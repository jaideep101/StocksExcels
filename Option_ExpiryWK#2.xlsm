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ExcelSheets\Option Chain\"/>
    </mc:Choice>
  </mc:AlternateContent>
  <xr:revisionPtr revIDLastSave="0" documentId="13_ncr:1_{DB4EBAE4-4052-43CA-8E51-31B07D5767E6}" xr6:coauthVersionLast="36" xr6:coauthVersionMax="36" xr10:uidLastSave="{00000000-0000-0000-0000-000000000000}"/>
  <bookViews>
    <workbookView minimized="1" xWindow="0" yWindow="0" windowWidth="16820" windowHeight="7620" xr2:uid="{00000000-000D-0000-FFFF-FFFF00000000}"/>
  </bookViews>
  <sheets>
    <sheet name="MAIN" sheetId="1" r:id="rId1"/>
    <sheet name="Sheet51" sheetId="2" r:id="rId2"/>
    <sheet name="Data" sheetId="3" r:id="rId3"/>
    <sheet name="Pivot" sheetId="4" r:id="rId4"/>
    <sheet name="CHGOI" sheetId="5" r:id="rId5"/>
    <sheet name="OI" sheetId="6" r:id="rId6"/>
    <sheet name="Price" sheetId="7" r:id="rId7"/>
    <sheet name="Option Trend Table" sheetId="9" r:id="rId8"/>
    <sheet name="FII-Analysis" sheetId="34" r:id="rId9"/>
    <sheet name="Auto_History" sheetId="28" r:id="rId10"/>
    <sheet name="0529" sheetId="42" r:id="rId11"/>
    <sheet name="Sheet1" sheetId="41" r:id="rId12"/>
    <sheet name="0528" sheetId="40" r:id="rId13"/>
    <sheet name="0527" sheetId="39" r:id="rId14"/>
    <sheet name="0524" sheetId="38" r:id="rId15"/>
    <sheet name="0522" sheetId="33" r:id="rId16"/>
    <sheet name="Auto" sheetId="18" r:id="rId17"/>
    <sheet name="0521" sheetId="32" r:id="rId18"/>
    <sheet name="0514" sheetId="27" r:id="rId19"/>
    <sheet name="0513" sheetId="26" r:id="rId20"/>
    <sheet name="0507" sheetId="25" r:id="rId21"/>
    <sheet name="0506" sheetId="24" r:id="rId22"/>
    <sheet name="0505" sheetId="23" r:id="rId23"/>
    <sheet name="0502" sheetId="22" r:id="rId24"/>
    <sheet name="0425" sheetId="21" r:id="rId25"/>
    <sheet name="0423" sheetId="20" r:id="rId26"/>
    <sheet name="0422" sheetId="19" r:id="rId27"/>
    <sheet name="Strategy" sheetId="11" r:id="rId28"/>
    <sheet name="0416" sheetId="17" r:id="rId29"/>
    <sheet name="0414" sheetId="14" r:id="rId30"/>
    <sheet name="Sheet2" sheetId="15" r:id="rId31"/>
    <sheet name="0413" sheetId="13" r:id="rId32"/>
    <sheet name="Changes" sheetId="16" r:id="rId33"/>
    <sheet name="04-08" sheetId="10" r:id="rId34"/>
    <sheet name="0411" sheetId="12" r:id="rId35"/>
  </sheets>
  <functionGroups builtInGroupCount="19"/>
  <externalReferences>
    <externalReference r:id="rId36"/>
    <externalReference r:id="rId37"/>
    <externalReference r:id="rId38"/>
    <externalReference r:id="rId39"/>
  </externalReferences>
  <definedNames>
    <definedName name="_Table1_Out" localSheetId="33" hidden="1">[1]mape!#REF!</definedName>
    <definedName name="_Table1_Out" localSheetId="16" hidden="1">[1]mape!#REF!</definedName>
    <definedName name="_Table1_Out" localSheetId="9" hidden="1">[1]mape!#REF!</definedName>
    <definedName name="_Table1_Out" hidden="1">[1]mape!#REF!</definedName>
    <definedName name="anscount" hidden="1">1</definedName>
    <definedName name="CP">[2]OAT!$F$13</definedName>
    <definedName name="EMAP1">[2]ANALYZESTOCK!$AH$2</definedName>
    <definedName name="EMAP2">[2]ANALYZESTOCK!$AI$2</definedName>
    <definedName name="EMAP3">[2]ANALYZESTOCK!$AJ$2</definedName>
    <definedName name="Exchange">[2]OAT!$C$2</definedName>
    <definedName name="Exchanges">[2]Indices!$B$3:$B$20</definedName>
    <definedName name="Exchanges_ET">[2]Indices!$D$3:$D$20</definedName>
    <definedName name="Exchanges_ST">[2]Indices!$C$3:$C$20</definedName>
    <definedName name="EXPIRY_DATES" localSheetId="16">[3]Data!$D$2:$D$4</definedName>
    <definedName name="EXPIRY_DATES" localSheetId="9">[3]Data!$D$2:$D$4</definedName>
    <definedName name="EXPIRY_DATES">Data!$D$2:$D$4</definedName>
    <definedName name="EXPIRYDATE" localSheetId="16">[3]MAIN!$I$14</definedName>
    <definedName name="EXPIRYDATE" localSheetId="9">[3]MAIN!$I$14</definedName>
    <definedName name="EXPIRYDATE">MAIN!$I$14</definedName>
    <definedName name="ExpiryStockListNifty">[4]OIAnalysisNifty!$K$2</definedName>
    <definedName name="fomwatchsymbol.jsp?key_NIFTY_Fut_Opt_Futures" localSheetId="2">Data!$AH$1:$AT$8</definedName>
    <definedName name="IntervalInSeconds">[2]FData!$F$1</definedName>
    <definedName name="IPP">[2]OAT!$E$19</definedName>
    <definedName name="LAST_PIVOT">[2]ANALYZESTOCK!$AZ$17</definedName>
    <definedName name="MAXPAIN">[2]SOData!$BI$24</definedName>
    <definedName name="NEXT3MONTHSEXPIRY">[2]SOData!$AP$20:$AP$22</definedName>
    <definedName name="NIFTY_Futures_1" localSheetId="2">Data!$AH$1:$AT$8</definedName>
    <definedName name="NIFTY_Futures_2" localSheetId="2">Data!$AH$1:$AT$8</definedName>
    <definedName name="NIFTY_Futures_3" localSheetId="2">Data!$AH$1:$AT$10</definedName>
    <definedName name="NIFTY_OptionsChain" localSheetId="2">Data!$A$11:$W$115</definedName>
    <definedName name="NIFTY_OptionsChain_1" localSheetId="2">Data!$A$11:$W$101</definedName>
    <definedName name="NIFTY_OptionsChain_2" localSheetId="2">Data!$A$11:$W$113</definedName>
    <definedName name="NIFTY_OptionsChain_3" localSheetId="2">Data!$A$11:$W$114</definedName>
    <definedName name="NIFTY_OptionsChain_4" localSheetId="2">Data!$A$11:$W$114</definedName>
    <definedName name="NIFTY_OptionsChain_5" localSheetId="2">Data!$A$11:$W$114</definedName>
    <definedName name="OAT_CODE">[2]OAT!$C$4</definedName>
    <definedName name="optionKeys.jsp?symbolCode__10007_symbol_NIFTY_symbol_NIFTY_instrument___date___segmentLink_17_symbolCount_2_segmentLink_17" localSheetId="2">Data!$A$11:$W$100</definedName>
    <definedName name="PIVOTTF">[2]OAT!$M$80</definedName>
    <definedName name="POS1_BuySell">[2]TradeAnalyser!$K$1</definedName>
    <definedName name="POS1_Credit">[2]TradeAnalyser!$B$12</definedName>
    <definedName name="POS1_QTY">[2]TradeAnalyser!$B$11</definedName>
    <definedName name="POS1_Type">[2]TradeAnalyser!$K$2</definedName>
    <definedName name="POS2_BuySell">[2]TradeAnalyser!$N$1</definedName>
    <definedName name="POS2_Credit">[2]TradeAnalyser!$E$12</definedName>
    <definedName name="POS2_QTY">[2]TradeAnalyser!$E$11</definedName>
    <definedName name="POS2_Type">[2]TradeAnalyser!$N$2</definedName>
    <definedName name="POSPERCENT">[2]SOData!$AF$67</definedName>
    <definedName name="PPP">[2]OAT!$H$19</definedName>
    <definedName name="REFRESH_STATUS">MAIN!$F$18</definedName>
    <definedName name="REFRESH_TIME">MAIN!$I$13</definedName>
    <definedName name="Stock" localSheetId="33">#REF!</definedName>
    <definedName name="Stock" localSheetId="16">#REF!</definedName>
    <definedName name="Stock" localSheetId="9">#REF!</definedName>
    <definedName name="Stock">#REF!</definedName>
    <definedName name="STOCK_OPT_RANGE">[2]SOData!$K$1</definedName>
    <definedName name="STOCK_OPT_RANGE2" localSheetId="33">Sheet51!#REF!</definedName>
    <definedName name="STOCK_OPT_RANGE2" localSheetId="16">[3]Sheet51!#REF!</definedName>
    <definedName name="STOCK_OPT_RANGE2" localSheetId="9">[3]Sheet51!#REF!</definedName>
    <definedName name="STOCK_OPT_RANGE2">Sheet51!#REF!</definedName>
    <definedName name="STOCK_SYMBOL">MAIN!$I$12</definedName>
    <definedName name="StrikePrice">[2]SOData!$L$15:$L$100</definedName>
    <definedName name="TA_Increment">[2]TradeAnalyser!$H$3</definedName>
    <definedName name="TA_StartPrice">[2]TradeAnalyser!$H$2</definedName>
    <definedName name="TIMEFRAME">[2]OAT!$M$79</definedName>
    <definedName name="TIMEZONE_OFFSET">[2]FData!$B$1</definedName>
  </definedNames>
  <calcPr calcId="191029" calcMode="manual"/>
  <customWorkbookViews>
    <customWorkbookView name="Muthusathyasudhan - Personal View" guid="{D12DFD61-4B7F-43F1-B07E-A848E00A354C}" mergeInterval="0" personalView="1" maximized="1" xWindow="1" yWindow="1" windowWidth="1280" windowHeight="570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41" l="1"/>
  <c r="F2" i="41"/>
  <c r="N26" i="1" l="1"/>
  <c r="N25" i="1"/>
  <c r="N24" i="1"/>
  <c r="N23" i="1"/>
  <c r="N22" i="1"/>
  <c r="N21" i="1"/>
  <c r="G26" i="1"/>
  <c r="G25" i="1"/>
  <c r="G24" i="1"/>
  <c r="G23" i="1"/>
  <c r="G22" i="1"/>
  <c r="G21" i="1"/>
  <c r="H21" i="1" s="1"/>
  <c r="N27" i="1" l="1"/>
  <c r="G27" i="1"/>
  <c r="F24" i="34" l="1"/>
  <c r="Q26" i="1"/>
  <c r="P26" i="1"/>
  <c r="O26" i="1"/>
  <c r="M26" i="1"/>
  <c r="L26" i="1"/>
  <c r="K26" i="1"/>
  <c r="J26" i="1"/>
  <c r="I26" i="1"/>
  <c r="H26" i="1"/>
  <c r="F26" i="1"/>
  <c r="C26" i="1" s="1"/>
  <c r="Q25" i="1"/>
  <c r="P25" i="1"/>
  <c r="O25" i="1"/>
  <c r="M25" i="1"/>
  <c r="L25" i="1"/>
  <c r="K25" i="1"/>
  <c r="J25" i="1"/>
  <c r="I25" i="1"/>
  <c r="H25" i="1"/>
  <c r="F25" i="1"/>
  <c r="E25" i="1"/>
  <c r="Q24" i="1"/>
  <c r="P24" i="1"/>
  <c r="O24" i="1"/>
  <c r="M24" i="1"/>
  <c r="L24" i="1"/>
  <c r="K24" i="1"/>
  <c r="J24" i="1"/>
  <c r="I24" i="1"/>
  <c r="H24" i="1"/>
  <c r="F24" i="1"/>
  <c r="E24" i="1"/>
  <c r="Q23" i="1"/>
  <c r="P23" i="1"/>
  <c r="O23" i="1"/>
  <c r="M23" i="1"/>
  <c r="L23" i="1"/>
  <c r="K23" i="1"/>
  <c r="J23" i="1"/>
  <c r="I23" i="1"/>
  <c r="H23" i="1"/>
  <c r="F23" i="1"/>
  <c r="E23" i="1"/>
  <c r="Q22" i="1"/>
  <c r="P22" i="1"/>
  <c r="O22" i="1"/>
  <c r="M22" i="1"/>
  <c r="L22" i="1"/>
  <c r="K22" i="1"/>
  <c r="J22" i="1"/>
  <c r="I22" i="1"/>
  <c r="H22" i="1"/>
  <c r="F22" i="1"/>
  <c r="E22" i="1"/>
  <c r="Q21" i="1"/>
  <c r="P21" i="1"/>
  <c r="O21" i="1"/>
  <c r="M21" i="1"/>
  <c r="L21" i="1"/>
  <c r="K21" i="1"/>
  <c r="J21" i="1"/>
  <c r="I21" i="1"/>
  <c r="F21" i="1"/>
  <c r="E21" i="1"/>
  <c r="H27" i="1" l="1"/>
  <c r="L27" i="1"/>
  <c r="I27" i="1"/>
  <c r="M27" i="1"/>
  <c r="C25" i="1"/>
  <c r="S24" i="1"/>
  <c r="C21" i="1"/>
  <c r="C23" i="1"/>
  <c r="S22" i="1"/>
  <c r="C22" i="1"/>
  <c r="S23" i="1"/>
  <c r="S26" i="1"/>
  <c r="S21" i="1"/>
  <c r="C24" i="1"/>
  <c r="S25" i="1"/>
  <c r="K27" i="1"/>
  <c r="L14" i="1" l="1"/>
  <c r="AN3" i="28"/>
  <c r="AO11" i="28" s="1"/>
  <c r="AO1" i="1"/>
  <c r="AO5" i="28" l="1"/>
  <c r="AO7" i="28"/>
  <c r="AO9" i="28"/>
  <c r="AO3" i="28"/>
  <c r="AO51" i="28"/>
  <c r="AO49" i="28"/>
  <c r="AO47" i="28"/>
  <c r="AO45" i="28"/>
  <c r="AO43" i="28"/>
  <c r="AO41" i="28"/>
  <c r="AO39" i="28"/>
  <c r="AO37" i="28"/>
  <c r="AO35" i="28"/>
  <c r="AO33" i="28"/>
  <c r="AO31" i="28"/>
  <c r="AO29" i="28"/>
  <c r="AO27" i="28"/>
  <c r="AO25" i="28"/>
  <c r="AO23" i="28"/>
  <c r="AO21" i="28"/>
  <c r="AO19" i="28"/>
  <c r="AO13" i="28"/>
  <c r="AO15" i="28"/>
  <c r="AO17" i="28"/>
  <c r="AO49" i="1"/>
  <c r="AO47" i="1"/>
  <c r="AO45" i="1"/>
  <c r="AO43" i="1"/>
  <c r="AO41" i="1"/>
  <c r="AO39" i="1"/>
  <c r="AO37" i="1"/>
  <c r="AO35" i="1"/>
  <c r="AO33" i="1"/>
  <c r="AO31" i="1"/>
  <c r="AO29" i="1"/>
  <c r="AO27" i="1"/>
  <c r="AO25" i="1"/>
  <c r="AO23" i="1"/>
  <c r="AO21" i="1"/>
  <c r="AO19" i="1"/>
  <c r="AO17" i="1"/>
  <c r="AO15" i="1"/>
  <c r="AO13" i="1"/>
  <c r="AO11" i="1"/>
  <c r="AO9" i="1"/>
  <c r="AO7" i="1"/>
  <c r="AO5" i="1"/>
  <c r="AO3" i="1"/>
  <c r="AN1" i="1"/>
  <c r="J7" i="1" l="1"/>
  <c r="H7" i="1"/>
  <c r="E17" i="1"/>
  <c r="C15" i="1"/>
  <c r="E16" i="1"/>
  <c r="C13" i="1"/>
  <c r="C14" i="1"/>
  <c r="E15" i="1"/>
  <c r="C17" i="1"/>
  <c r="E13" i="1"/>
  <c r="E14" i="1"/>
  <c r="C16" i="1"/>
  <c r="D26" i="1"/>
  <c r="D25" i="1"/>
  <c r="D24" i="1"/>
  <c r="D23" i="1"/>
  <c r="D22" i="1"/>
  <c r="D21" i="1"/>
  <c r="AN3" i="18"/>
  <c r="AO51" i="18" l="1"/>
  <c r="AO5" i="18"/>
  <c r="AO41" i="18"/>
  <c r="AO3" i="18"/>
  <c r="AO7" i="18"/>
  <c r="AO11" i="18"/>
  <c r="AO15" i="18"/>
  <c r="AO19" i="18"/>
  <c r="AO23" i="18"/>
  <c r="AO27" i="18"/>
  <c r="AO37" i="18"/>
  <c r="AO33" i="18"/>
  <c r="AO49" i="18"/>
  <c r="AO9" i="18"/>
  <c r="AO13" i="18"/>
  <c r="AO17" i="18"/>
  <c r="AO21" i="18"/>
  <c r="AO25" i="18"/>
  <c r="AO29" i="18"/>
  <c r="AO45" i="18"/>
  <c r="AO31" i="18"/>
  <c r="AO35" i="18"/>
  <c r="AO39" i="18"/>
  <c r="AO43" i="18"/>
  <c r="AO47" i="18"/>
  <c r="A6" i="3" l="1"/>
  <c r="G10" i="3"/>
  <c r="H8" i="3"/>
  <c r="G9" i="3"/>
  <c r="H6" i="3"/>
  <c r="G8" i="3"/>
  <c r="A8" i="3"/>
  <c r="F6" i="3"/>
  <c r="A3" i="3"/>
  <c r="A4" i="3" s="1"/>
  <c r="D14" i="11" l="1"/>
  <c r="D13" i="11"/>
  <c r="D12" i="11"/>
  <c r="D11" i="11"/>
  <c r="D9" i="11"/>
  <c r="D8" i="11"/>
  <c r="D7" i="11"/>
  <c r="D6" i="11"/>
  <c r="B3" i="2" l="1"/>
  <c r="M18" i="1" l="1"/>
  <c r="B18" i="1"/>
  <c r="AW31" i="1" l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30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R29" i="1"/>
  <c r="Q29" i="1"/>
  <c r="J39" i="1" l="1"/>
  <c r="J38" i="1" l="1"/>
  <c r="J37" i="1" s="1"/>
  <c r="J36" i="1" s="1"/>
  <c r="J35" i="1" s="1"/>
  <c r="J34" i="1" s="1"/>
  <c r="J33" i="1" s="1"/>
  <c r="J32" i="1" s="1"/>
  <c r="J31" i="1" s="1"/>
  <c r="J30" i="1" s="1"/>
  <c r="AT39" i="1"/>
  <c r="J40" i="1"/>
  <c r="J41" i="1" s="1"/>
  <c r="J42" i="1" s="1"/>
  <c r="J43" i="1" s="1"/>
  <c r="J44" i="1" s="1"/>
  <c r="J45" i="1" s="1"/>
  <c r="J46" i="1" s="1"/>
  <c r="J47" i="1" s="1"/>
  <c r="J48" i="1" s="1"/>
  <c r="AS39" i="1"/>
  <c r="AT36" i="1" l="1"/>
  <c r="AT38" i="1"/>
  <c r="AS36" i="1"/>
  <c r="AS38" i="1"/>
  <c r="AT37" i="1"/>
  <c r="AS37" i="1"/>
  <c r="AS40" i="1"/>
  <c r="AT40" i="1"/>
  <c r="AT35" i="1"/>
  <c r="AS35" i="1"/>
  <c r="AT41" i="1"/>
  <c r="AS41" i="1"/>
  <c r="AT42" i="1" l="1"/>
  <c r="AS42" i="1"/>
  <c r="AT34" i="1"/>
  <c r="AS34" i="1"/>
  <c r="AT33" i="1" l="1"/>
  <c r="AS33" i="1"/>
  <c r="AT43" i="1"/>
  <c r="AS43" i="1"/>
  <c r="AT44" i="1" l="1"/>
  <c r="AS44" i="1"/>
  <c r="AS32" i="1"/>
  <c r="AT32" i="1"/>
  <c r="AT31" i="1" l="1"/>
  <c r="AS31" i="1"/>
  <c r="AT45" i="1"/>
  <c r="AS45" i="1"/>
  <c r="AT46" i="1" l="1"/>
  <c r="AS46" i="1"/>
  <c r="AT30" i="1"/>
  <c r="AS30" i="1"/>
  <c r="AT47" i="1" l="1"/>
  <c r="AS47" i="1"/>
  <c r="AT48" i="1" l="1"/>
  <c r="AS48" i="1"/>
  <c r="Q10" i="1" l="1"/>
  <c r="O10" i="1"/>
  <c r="M10" i="1"/>
  <c r="L10" i="1"/>
  <c r="F10" i="1"/>
  <c r="E10" i="1"/>
  <c r="D10" i="1"/>
  <c r="C10" i="1"/>
  <c r="K28" i="9" l="1"/>
  <c r="J9" i="1"/>
  <c r="B1" i="2" l="1"/>
  <c r="C6" i="3"/>
  <c r="F41" i="9" l="1"/>
  <c r="F40" i="9" s="1"/>
  <c r="F39" i="9" s="1"/>
  <c r="F38" i="9" s="1"/>
  <c r="F37" i="9" s="1"/>
  <c r="F36" i="9" s="1"/>
  <c r="F35" i="9" s="1"/>
  <c r="F34" i="9" s="1"/>
  <c r="F33" i="9" s="1"/>
  <c r="F32" i="9" s="1"/>
  <c r="F31" i="9" s="1"/>
  <c r="M160" i="2"/>
  <c r="AV8" i="3"/>
  <c r="AV7" i="3"/>
  <c r="E160" i="2"/>
  <c r="F42" i="9" l="1"/>
  <c r="F43" i="9" s="1"/>
  <c r="F44" i="9" s="1"/>
  <c r="F45" i="9" s="1"/>
  <c r="F46" i="9" s="1"/>
  <c r="F47" i="9" s="1"/>
  <c r="F48" i="9" s="1"/>
  <c r="F49" i="9" s="1"/>
  <c r="F50" i="9" s="1"/>
  <c r="F51" i="9" s="1"/>
  <c r="F14" i="9"/>
  <c r="M159" i="2"/>
  <c r="M161" i="2"/>
  <c r="I44" i="5"/>
  <c r="B180" i="2"/>
  <c r="H129" i="2"/>
  <c r="K77" i="2"/>
  <c r="B2" i="2"/>
  <c r="E2" i="2"/>
  <c r="E3" i="2" s="1"/>
  <c r="F2" i="2" s="1"/>
  <c r="C2" i="3"/>
  <c r="D2" i="3"/>
  <c r="Q1" i="18" l="1"/>
  <c r="Q1" i="28"/>
  <c r="F13" i="9"/>
  <c r="F12" i="9" s="1"/>
  <c r="F11" i="9" s="1"/>
  <c r="F10" i="9" s="1"/>
  <c r="F9" i="9" s="1"/>
  <c r="F8" i="9" s="1"/>
  <c r="F7" i="9" s="1"/>
  <c r="F6" i="9" s="1"/>
  <c r="F5" i="9" s="1"/>
  <c r="F4" i="9" s="1"/>
  <c r="F15" i="9"/>
  <c r="F16" i="9" s="1"/>
  <c r="F17" i="9" s="1"/>
  <c r="F18" i="9" s="1"/>
  <c r="F19" i="9" s="1"/>
  <c r="F20" i="9" s="1"/>
  <c r="F21" i="9" s="1"/>
  <c r="F22" i="9" s="1"/>
  <c r="F23" i="9" s="1"/>
  <c r="F24" i="9" s="1"/>
  <c r="I43" i="5"/>
  <c r="M158" i="2"/>
  <c r="M162" i="2"/>
  <c r="I45" i="5"/>
  <c r="P1" i="2"/>
  <c r="D1" i="2"/>
  <c r="P3" i="2" s="1"/>
  <c r="K1" i="9"/>
  <c r="D3" i="3"/>
  <c r="I46" i="5" l="1"/>
  <c r="M163" i="2"/>
  <c r="I42" i="5"/>
  <c r="M157" i="2"/>
  <c r="P4" i="2"/>
  <c r="P17" i="2" s="1"/>
  <c r="L35" i="1" s="1"/>
  <c r="I8" i="4"/>
  <c r="AA105" i="4"/>
  <c r="AA107" i="4" s="1"/>
  <c r="AA104" i="4"/>
  <c r="AA106" i="4" s="1"/>
  <c r="F13" i="4"/>
  <c r="F18" i="4"/>
  <c r="K1" i="4"/>
  <c r="J1" i="4"/>
  <c r="D4" i="3"/>
  <c r="I41" i="5" l="1"/>
  <c r="M156" i="2"/>
  <c r="I47" i="5"/>
  <c r="M164" i="2"/>
  <c r="M91" i="2"/>
  <c r="D18" i="4"/>
  <c r="J13" i="4"/>
  <c r="B18" i="4"/>
  <c r="B13" i="4"/>
  <c r="D13" i="4"/>
  <c r="H18" i="4"/>
  <c r="J18" i="4"/>
  <c r="A13" i="4"/>
  <c r="C13" i="4"/>
  <c r="E13" i="4"/>
  <c r="E14" i="4" s="1"/>
  <c r="G13" i="4"/>
  <c r="I13" i="4"/>
  <c r="K13" i="4"/>
  <c r="A18" i="4"/>
  <c r="C18" i="4"/>
  <c r="C19" i="4" s="1"/>
  <c r="E18" i="4"/>
  <c r="E19" i="4" s="1"/>
  <c r="G18" i="4"/>
  <c r="I18" i="4"/>
  <c r="K18" i="4"/>
  <c r="H13" i="4"/>
  <c r="I14" i="4" s="1"/>
  <c r="K14" i="4" l="1"/>
  <c r="J14" i="4"/>
  <c r="C14" i="4"/>
  <c r="I48" i="5"/>
  <c r="M165" i="2"/>
  <c r="I40" i="5"/>
  <c r="M155" i="2"/>
  <c r="A19" i="4"/>
  <c r="B19" i="4"/>
  <c r="J19" i="4"/>
  <c r="A14" i="4"/>
  <c r="H19" i="4"/>
  <c r="K19" i="4"/>
  <c r="D14" i="4"/>
  <c r="H14" i="4"/>
  <c r="G14" i="4"/>
  <c r="I19" i="4"/>
  <c r="G19" i="4"/>
  <c r="D19" i="4"/>
  <c r="B14" i="4"/>
  <c r="I39" i="5" l="1"/>
  <c r="M154" i="2"/>
  <c r="I49" i="5"/>
  <c r="M166" i="2"/>
  <c r="N25" i="5"/>
  <c r="L26" i="5"/>
  <c r="H26" i="5"/>
  <c r="D26" i="5"/>
  <c r="P27" i="5"/>
  <c r="B27" i="5"/>
  <c r="P2" i="2"/>
  <c r="Q18" i="2" s="1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H36" i="2" l="1"/>
  <c r="I50" i="5"/>
  <c r="M167" i="2"/>
  <c r="I38" i="5"/>
  <c r="M153" i="2"/>
  <c r="AV6" i="3"/>
  <c r="S10" i="1" s="1"/>
  <c r="B2" i="4"/>
  <c r="M2" i="2"/>
  <c r="S1" i="1"/>
  <c r="Q25" i="5" s="1"/>
  <c r="Q1" i="1"/>
  <c r="P25" i="5" s="1"/>
  <c r="J8" i="4"/>
  <c r="I37" i="5" l="1"/>
  <c r="M152" i="2"/>
  <c r="I51" i="5"/>
  <c r="M168" i="2"/>
  <c r="B179" i="2"/>
  <c r="B178" i="2" s="1"/>
  <c r="B177" i="2" s="1"/>
  <c r="B181" i="2"/>
  <c r="B182" i="2" s="1"/>
  <c r="B183" i="2" s="1"/>
  <c r="H8" i="4"/>
  <c r="G8" i="4"/>
  <c r="D8" i="4"/>
  <c r="C8" i="4"/>
  <c r="B8" i="4"/>
  <c r="A8" i="4"/>
  <c r="L30" i="1" l="1"/>
  <c r="L31" i="1"/>
  <c r="L39" i="1"/>
  <c r="L43" i="1"/>
  <c r="L47" i="1"/>
  <c r="L36" i="1"/>
  <c r="L44" i="1"/>
  <c r="L48" i="1"/>
  <c r="L37" i="1"/>
  <c r="L45" i="1"/>
  <c r="L34" i="1"/>
  <c r="L42" i="1"/>
  <c r="L32" i="1"/>
  <c r="L40" i="1"/>
  <c r="L41" i="1"/>
  <c r="L38" i="1"/>
  <c r="L33" i="1"/>
  <c r="L46" i="1"/>
  <c r="K31" i="1"/>
  <c r="BA31" i="1" s="1"/>
  <c r="K35" i="1"/>
  <c r="BA35" i="1" s="1"/>
  <c r="K39" i="1"/>
  <c r="BA39" i="1" s="1"/>
  <c r="K43" i="1"/>
  <c r="BA43" i="1" s="1"/>
  <c r="K47" i="1"/>
  <c r="BA47" i="1" s="1"/>
  <c r="K41" i="1"/>
  <c r="BA41" i="1" s="1"/>
  <c r="K34" i="1"/>
  <c r="BA34" i="1" s="1"/>
  <c r="K42" i="1"/>
  <c r="BA42" i="1" s="1"/>
  <c r="K32" i="1"/>
  <c r="BA32" i="1" s="1"/>
  <c r="K36" i="1"/>
  <c r="BA36" i="1" s="1"/>
  <c r="K40" i="1"/>
  <c r="BA40" i="1" s="1"/>
  <c r="K44" i="1"/>
  <c r="BA44" i="1" s="1"/>
  <c r="K48" i="1"/>
  <c r="BA48" i="1" s="1"/>
  <c r="K37" i="1"/>
  <c r="BA37" i="1" s="1"/>
  <c r="K38" i="1"/>
  <c r="BA38" i="1" s="1"/>
  <c r="K46" i="1"/>
  <c r="BA46" i="1" s="1"/>
  <c r="K33" i="1"/>
  <c r="BA33" i="1" s="1"/>
  <c r="K45" i="1"/>
  <c r="BA45" i="1" s="1"/>
  <c r="K30" i="1"/>
  <c r="H30" i="1"/>
  <c r="H31" i="1"/>
  <c r="H35" i="1"/>
  <c r="H39" i="1"/>
  <c r="H43" i="1"/>
  <c r="H47" i="1"/>
  <c r="H32" i="1"/>
  <c r="H36" i="1"/>
  <c r="H40" i="1"/>
  <c r="H44" i="1"/>
  <c r="H48" i="1"/>
  <c r="H38" i="1"/>
  <c r="H42" i="1"/>
  <c r="H33" i="1"/>
  <c r="H37" i="1"/>
  <c r="H41" i="1"/>
  <c r="H45" i="1"/>
  <c r="H34" i="1"/>
  <c r="H46" i="1"/>
  <c r="I30" i="1"/>
  <c r="I31" i="1"/>
  <c r="AV31" i="1" s="1"/>
  <c r="I35" i="1"/>
  <c r="AV35" i="1" s="1"/>
  <c r="I39" i="1"/>
  <c r="AV39" i="1" s="1"/>
  <c r="I43" i="1"/>
  <c r="AV43" i="1" s="1"/>
  <c r="I47" i="1"/>
  <c r="AV47" i="1" s="1"/>
  <c r="I32" i="1"/>
  <c r="AV32" i="1" s="1"/>
  <c r="I36" i="1"/>
  <c r="AV36" i="1" s="1"/>
  <c r="I40" i="1"/>
  <c r="AV40" i="1" s="1"/>
  <c r="I44" i="1"/>
  <c r="AV44" i="1" s="1"/>
  <c r="I48" i="1"/>
  <c r="AV48" i="1" s="1"/>
  <c r="I38" i="1"/>
  <c r="AV38" i="1" s="1"/>
  <c r="I33" i="1"/>
  <c r="AV33" i="1" s="1"/>
  <c r="I37" i="1"/>
  <c r="AV37" i="1" s="1"/>
  <c r="I41" i="1"/>
  <c r="AV41" i="1" s="1"/>
  <c r="I45" i="1"/>
  <c r="AV45" i="1" s="1"/>
  <c r="I34" i="1"/>
  <c r="AV34" i="1" s="1"/>
  <c r="I42" i="1"/>
  <c r="AV42" i="1" s="1"/>
  <c r="I46" i="1"/>
  <c r="AV46" i="1" s="1"/>
  <c r="I52" i="5"/>
  <c r="M169" i="2"/>
  <c r="I36" i="5"/>
  <c r="M151" i="2"/>
  <c r="C36" i="2"/>
  <c r="C4" i="9"/>
  <c r="I6" i="9"/>
  <c r="I8" i="9"/>
  <c r="I10" i="9"/>
  <c r="I12" i="9"/>
  <c r="I14" i="9"/>
  <c r="I16" i="9"/>
  <c r="I18" i="9"/>
  <c r="I20" i="9"/>
  <c r="I22" i="9"/>
  <c r="I24" i="9"/>
  <c r="I5" i="9"/>
  <c r="I7" i="9"/>
  <c r="I9" i="9"/>
  <c r="I11" i="9"/>
  <c r="I13" i="9"/>
  <c r="I15" i="9"/>
  <c r="I17" i="9"/>
  <c r="I19" i="9"/>
  <c r="I21" i="9"/>
  <c r="I23" i="9"/>
  <c r="C6" i="9"/>
  <c r="C8" i="9"/>
  <c r="C10" i="9"/>
  <c r="C12" i="9"/>
  <c r="C14" i="9"/>
  <c r="C16" i="9"/>
  <c r="C18" i="9"/>
  <c r="C20" i="9"/>
  <c r="C22" i="9"/>
  <c r="C24" i="9"/>
  <c r="C5" i="9"/>
  <c r="C7" i="9"/>
  <c r="C9" i="9"/>
  <c r="C11" i="9"/>
  <c r="C13" i="9"/>
  <c r="C15" i="9"/>
  <c r="C17" i="9"/>
  <c r="C19" i="9"/>
  <c r="C21" i="9"/>
  <c r="C23" i="9"/>
  <c r="G6" i="9"/>
  <c r="G8" i="9"/>
  <c r="G10" i="9"/>
  <c r="G12" i="9"/>
  <c r="G14" i="9"/>
  <c r="G16" i="9"/>
  <c r="G18" i="9"/>
  <c r="G20" i="9"/>
  <c r="G22" i="9"/>
  <c r="G24" i="9"/>
  <c r="G5" i="9"/>
  <c r="G7" i="9"/>
  <c r="G9" i="9"/>
  <c r="G11" i="9"/>
  <c r="G13" i="9"/>
  <c r="G15" i="9"/>
  <c r="G17" i="9"/>
  <c r="G19" i="9"/>
  <c r="G21" i="9"/>
  <c r="G23" i="9"/>
  <c r="D10" i="9"/>
  <c r="D22" i="9"/>
  <c r="D5" i="9"/>
  <c r="D7" i="9"/>
  <c r="D9" i="9"/>
  <c r="D11" i="9"/>
  <c r="D13" i="9"/>
  <c r="D15" i="9"/>
  <c r="D17" i="9"/>
  <c r="D19" i="9"/>
  <c r="D21" i="9"/>
  <c r="D23" i="9"/>
  <c r="D6" i="9"/>
  <c r="D8" i="9"/>
  <c r="D12" i="9"/>
  <c r="D14" i="9"/>
  <c r="D16" i="9"/>
  <c r="D18" i="9"/>
  <c r="D20" i="9"/>
  <c r="D24" i="9"/>
  <c r="I4" i="9"/>
  <c r="G4" i="9"/>
  <c r="D4" i="9"/>
  <c r="R7" i="1"/>
  <c r="P5" i="1"/>
  <c r="M89" i="2"/>
  <c r="N6" i="1" s="1"/>
  <c r="M88" i="2"/>
  <c r="E8" i="4"/>
  <c r="G1" i="2"/>
  <c r="G2" i="2" s="1"/>
  <c r="G3" i="2" s="1"/>
  <c r="F1" i="2" s="1"/>
  <c r="J24" i="9" l="1"/>
  <c r="K24" i="9" s="1"/>
  <c r="J17" i="9"/>
  <c r="K17" i="9" s="1"/>
  <c r="J9" i="9"/>
  <c r="K9" i="9" s="1"/>
  <c r="J22" i="9"/>
  <c r="K22" i="9" s="1"/>
  <c r="J14" i="9"/>
  <c r="K14" i="9" s="1"/>
  <c r="J6" i="9"/>
  <c r="K6" i="9" s="1"/>
  <c r="J19" i="9"/>
  <c r="K19" i="9" s="1"/>
  <c r="J16" i="9"/>
  <c r="K16" i="9" s="1"/>
  <c r="J23" i="9"/>
  <c r="K23" i="9" s="1"/>
  <c r="J15" i="9"/>
  <c r="K15" i="9" s="1"/>
  <c r="J7" i="9"/>
  <c r="K7" i="9" s="1"/>
  <c r="J20" i="9"/>
  <c r="K20" i="9" s="1"/>
  <c r="J12" i="9"/>
  <c r="K12" i="9" s="1"/>
  <c r="J11" i="9"/>
  <c r="K11" i="9" s="1"/>
  <c r="J8" i="9"/>
  <c r="K8" i="9" s="1"/>
  <c r="J21" i="9"/>
  <c r="K21" i="9" s="1"/>
  <c r="J13" i="9"/>
  <c r="K13" i="9" s="1"/>
  <c r="J5" i="9"/>
  <c r="K5" i="9" s="1"/>
  <c r="J18" i="9"/>
  <c r="K18" i="9" s="1"/>
  <c r="J10" i="9"/>
  <c r="K10" i="9" s="1"/>
  <c r="J4" i="9"/>
  <c r="K4" i="9" s="1"/>
  <c r="B24" i="9"/>
  <c r="A24" i="9" s="1"/>
  <c r="B16" i="9"/>
  <c r="A16" i="9" s="1"/>
  <c r="B11" i="9"/>
  <c r="A11" i="9" s="1"/>
  <c r="B8" i="9"/>
  <c r="A8" i="9" s="1"/>
  <c r="B17" i="9"/>
  <c r="A17" i="9" s="1"/>
  <c r="B9" i="9"/>
  <c r="A9" i="9" s="1"/>
  <c r="B22" i="9"/>
  <c r="A22" i="9" s="1"/>
  <c r="B14" i="9"/>
  <c r="A14" i="9" s="1"/>
  <c r="B6" i="9"/>
  <c r="A6" i="9" s="1"/>
  <c r="B23" i="9"/>
  <c r="A23" i="9" s="1"/>
  <c r="B15" i="9"/>
  <c r="A15" i="9" s="1"/>
  <c r="B7" i="9"/>
  <c r="A7" i="9" s="1"/>
  <c r="B20" i="9"/>
  <c r="A20" i="9" s="1"/>
  <c r="B12" i="9"/>
  <c r="A12" i="9" s="1"/>
  <c r="B19" i="9"/>
  <c r="A19" i="9" s="1"/>
  <c r="B21" i="9"/>
  <c r="A21" i="9" s="1"/>
  <c r="B13" i="9"/>
  <c r="A13" i="9" s="1"/>
  <c r="B5" i="9"/>
  <c r="A5" i="9" s="1"/>
  <c r="B18" i="9"/>
  <c r="A18" i="9" s="1"/>
  <c r="B10" i="9"/>
  <c r="A10" i="9" s="1"/>
  <c r="B4" i="9"/>
  <c r="A4" i="9" s="1"/>
  <c r="BA30" i="1"/>
  <c r="K49" i="1"/>
  <c r="AV30" i="1"/>
  <c r="I49" i="1"/>
  <c r="H50" i="1"/>
  <c r="I35" i="5"/>
  <c r="M150" i="2"/>
  <c r="I34" i="5" s="1"/>
  <c r="I53" i="5"/>
  <c r="M170" i="2"/>
  <c r="I54" i="5" s="1"/>
  <c r="B36" i="2"/>
  <c r="H37" i="2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35" i="2"/>
  <c r="H34" i="2" s="1"/>
  <c r="H33" i="2" s="1"/>
  <c r="H32" i="2" s="1"/>
  <c r="H31" i="2" s="1"/>
  <c r="H30" i="2" s="1"/>
  <c r="H29" i="2" s="1"/>
  <c r="H28" i="2" s="1"/>
  <c r="H27" i="2" s="1"/>
  <c r="H26" i="2" s="1"/>
  <c r="H25" i="2" s="1"/>
  <c r="H24" i="2" s="1"/>
  <c r="H23" i="2" s="1"/>
  <c r="H22" i="2" s="1"/>
  <c r="H21" i="2" s="1"/>
  <c r="H20" i="2" s="1"/>
  <c r="H19" i="2" s="1"/>
  <c r="H18" i="2" s="1"/>
  <c r="H17" i="2" s="1"/>
  <c r="H16" i="2" s="1"/>
  <c r="H15" i="2" s="1"/>
  <c r="H14" i="2" s="1"/>
  <c r="H13" i="2" s="1"/>
  <c r="H12" i="2" s="1"/>
  <c r="H11" i="2" s="1"/>
  <c r="H10" i="2" s="1"/>
  <c r="H9" i="2" s="1"/>
  <c r="H8" i="2" s="1"/>
  <c r="H7" i="2" s="1"/>
  <c r="H6" i="2" s="1"/>
  <c r="E6" i="2" s="1"/>
  <c r="J5" i="4"/>
  <c r="N5" i="1"/>
  <c r="J4" i="4" s="1"/>
  <c r="N36" i="2"/>
  <c r="M36" i="2"/>
  <c r="L36" i="2"/>
  <c r="K36" i="2"/>
  <c r="J36" i="2"/>
  <c r="I36" i="2"/>
  <c r="G36" i="2"/>
  <c r="F36" i="2"/>
  <c r="E36" i="2"/>
  <c r="D36" i="2"/>
  <c r="R36" i="2" s="1"/>
  <c r="C94" i="2"/>
  <c r="I94" i="2" s="1"/>
  <c r="D1" i="1"/>
  <c r="D1" i="4"/>
  <c r="S36" i="2" l="1"/>
  <c r="L49" i="1"/>
  <c r="J49" i="1"/>
  <c r="G9" i="1" s="1"/>
  <c r="B6" i="2"/>
  <c r="G6" i="2"/>
  <c r="D2" i="9"/>
  <c r="D29" i="9"/>
  <c r="C6" i="2"/>
  <c r="N35" i="2"/>
  <c r="N37" i="2"/>
  <c r="N7" i="1"/>
  <c r="K5" i="4" s="1"/>
  <c r="L37" i="2"/>
  <c r="M37" i="2"/>
  <c r="L35" i="2"/>
  <c r="M35" i="2"/>
  <c r="J37" i="2"/>
  <c r="K37" i="2"/>
  <c r="J35" i="2"/>
  <c r="K35" i="2"/>
  <c r="G37" i="2"/>
  <c r="I37" i="2"/>
  <c r="G35" i="2"/>
  <c r="I35" i="2"/>
  <c r="E37" i="2"/>
  <c r="F37" i="2"/>
  <c r="E35" i="2"/>
  <c r="F35" i="2"/>
  <c r="C37" i="2"/>
  <c r="D37" i="2"/>
  <c r="C35" i="2"/>
  <c r="D35" i="2"/>
  <c r="B37" i="2"/>
  <c r="B35" i="2"/>
  <c r="C93" i="2"/>
  <c r="I93" i="2" s="1"/>
  <c r="N34" i="2"/>
  <c r="C95" i="2"/>
  <c r="I95" i="2" s="1"/>
  <c r="N38" i="2"/>
  <c r="G2" i="6"/>
  <c r="F3" i="7"/>
  <c r="G2" i="5"/>
  <c r="D27" i="5" s="1"/>
  <c r="K8" i="4"/>
  <c r="B2" i="1"/>
  <c r="R22" i="1" l="1"/>
  <c r="R21" i="1"/>
  <c r="R26" i="1"/>
  <c r="R25" i="1"/>
  <c r="R23" i="1"/>
  <c r="R24" i="1"/>
  <c r="S35" i="2"/>
  <c r="S37" i="2"/>
  <c r="R37" i="2"/>
  <c r="R35" i="2"/>
  <c r="B25" i="1"/>
  <c r="B26" i="1"/>
  <c r="B23" i="1"/>
  <c r="B21" i="1"/>
  <c r="B24" i="1"/>
  <c r="B22" i="1"/>
  <c r="B28" i="9"/>
  <c r="BB46" i="1"/>
  <c r="BB30" i="1"/>
  <c r="BC44" i="1"/>
  <c r="BC45" i="1"/>
  <c r="BC30" i="1"/>
  <c r="BB37" i="1"/>
  <c r="BB36" i="1"/>
  <c r="BC39" i="1"/>
  <c r="BB39" i="1"/>
  <c r="BC42" i="1"/>
  <c r="BB33" i="1"/>
  <c r="BC36" i="1"/>
  <c r="BB47" i="1"/>
  <c r="BC33" i="1"/>
  <c r="BC47" i="1"/>
  <c r="BC31" i="1"/>
  <c r="BC34" i="1"/>
  <c r="BC48" i="1"/>
  <c r="BB45" i="1"/>
  <c r="BC43" i="1"/>
  <c r="BC46" i="1"/>
  <c r="BB42" i="1"/>
  <c r="BB41" i="1"/>
  <c r="BC40" i="1"/>
  <c r="BC37" i="1"/>
  <c r="BC41" i="1"/>
  <c r="BB48" i="1"/>
  <c r="BB32" i="1"/>
  <c r="BC35" i="1"/>
  <c r="BB35" i="1"/>
  <c r="BC38" i="1"/>
  <c r="BB38" i="1"/>
  <c r="BB44" i="1"/>
  <c r="BB31" i="1"/>
  <c r="BB34" i="1"/>
  <c r="BC32" i="1"/>
  <c r="BB43" i="1"/>
  <c r="BB40" i="1"/>
  <c r="AY34" i="1"/>
  <c r="AY40" i="1"/>
  <c r="AY45" i="1"/>
  <c r="AY36" i="1"/>
  <c r="AY46" i="1"/>
  <c r="AY48" i="1"/>
  <c r="AY35" i="1"/>
  <c r="AY37" i="1"/>
  <c r="AY47" i="1"/>
  <c r="AY30" i="1"/>
  <c r="C30" i="1" s="1"/>
  <c r="AZ34" i="1"/>
  <c r="AZ40" i="1"/>
  <c r="AZ45" i="1"/>
  <c r="AZ36" i="1"/>
  <c r="AZ46" i="1"/>
  <c r="AZ48" i="1"/>
  <c r="AZ35" i="1"/>
  <c r="AZ37" i="1"/>
  <c r="AZ47" i="1"/>
  <c r="AZ30" i="1"/>
  <c r="AY33" i="1"/>
  <c r="AY43" i="1"/>
  <c r="AY38" i="1"/>
  <c r="AY39" i="1"/>
  <c r="F39" i="1" s="1"/>
  <c r="AY41" i="1"/>
  <c r="AY32" i="1"/>
  <c r="AY42" i="1"/>
  <c r="AY44" i="1"/>
  <c r="AY31" i="1"/>
  <c r="AZ33" i="1"/>
  <c r="AZ43" i="1"/>
  <c r="AZ38" i="1"/>
  <c r="AZ39" i="1"/>
  <c r="AZ41" i="1"/>
  <c r="AZ32" i="1"/>
  <c r="AZ42" i="1"/>
  <c r="AZ44" i="1"/>
  <c r="AZ31" i="1"/>
  <c r="H130" i="2"/>
  <c r="H131" i="2" s="1"/>
  <c r="H132" i="2" s="1"/>
  <c r="H133" i="2" s="1"/>
  <c r="H134" i="2" s="1"/>
  <c r="H128" i="2"/>
  <c r="H127" i="2" s="1"/>
  <c r="H126" i="2" s="1"/>
  <c r="H125" i="2" s="1"/>
  <c r="H124" i="2" s="1"/>
  <c r="E159" i="2"/>
  <c r="E158" i="2" s="1"/>
  <c r="E157" i="2" s="1"/>
  <c r="E156" i="2" s="1"/>
  <c r="E155" i="2" s="1"/>
  <c r="E154" i="2" s="1"/>
  <c r="E153" i="2" s="1"/>
  <c r="E152" i="2" s="1"/>
  <c r="E151" i="2" s="1"/>
  <c r="E150" i="2" s="1"/>
  <c r="E161" i="2"/>
  <c r="E162" i="2" s="1"/>
  <c r="E163" i="2" s="1"/>
  <c r="E164" i="2" s="1"/>
  <c r="E165" i="2" s="1"/>
  <c r="E166" i="2" s="1"/>
  <c r="E167" i="2" s="1"/>
  <c r="E168" i="2" s="1"/>
  <c r="E169" i="2" s="1"/>
  <c r="E170" i="2" s="1"/>
  <c r="L99" i="2"/>
  <c r="K76" i="2"/>
  <c r="K75" i="2" s="1"/>
  <c r="K74" i="2" s="1"/>
  <c r="K78" i="2"/>
  <c r="K79" i="2" s="1"/>
  <c r="K80" i="2" s="1"/>
  <c r="E3" i="7"/>
  <c r="B1" i="9"/>
  <c r="L38" i="2"/>
  <c r="M38" i="2"/>
  <c r="L34" i="2"/>
  <c r="M34" i="2"/>
  <c r="J38" i="2"/>
  <c r="K38" i="2"/>
  <c r="J34" i="2"/>
  <c r="K34" i="2"/>
  <c r="G38" i="2"/>
  <c r="I38" i="2"/>
  <c r="G34" i="2"/>
  <c r="I34" i="2"/>
  <c r="E38" i="2"/>
  <c r="F38" i="2"/>
  <c r="E34" i="2"/>
  <c r="F34" i="2"/>
  <c r="C34" i="2"/>
  <c r="D34" i="2"/>
  <c r="C38" i="2"/>
  <c r="D38" i="2"/>
  <c r="B38" i="2"/>
  <c r="B34" i="2"/>
  <c r="C96" i="2"/>
  <c r="I96" i="2" s="1"/>
  <c r="N39" i="2"/>
  <c r="N33" i="2"/>
  <c r="C92" i="2"/>
  <c r="I92" i="2" s="1"/>
  <c r="B13" i="7"/>
  <c r="P13" i="7"/>
  <c r="E2" i="6"/>
  <c r="E2" i="5"/>
  <c r="C27" i="5" s="1"/>
  <c r="B13" i="5"/>
  <c r="B13" i="6"/>
  <c r="S38" i="2" l="1"/>
  <c r="R38" i="2"/>
  <c r="S34" i="2"/>
  <c r="R34" i="2"/>
  <c r="M46" i="1"/>
  <c r="M47" i="1"/>
  <c r="M41" i="1"/>
  <c r="M44" i="1"/>
  <c r="M48" i="1"/>
  <c r="M42" i="1"/>
  <c r="M40" i="1"/>
  <c r="M43" i="1"/>
  <c r="M45" i="1"/>
  <c r="L100" i="2"/>
  <c r="P14" i="7"/>
  <c r="M38" i="1"/>
  <c r="O48" i="1"/>
  <c r="P48" i="1"/>
  <c r="Q48" i="1"/>
  <c r="P41" i="1"/>
  <c r="O41" i="1"/>
  <c r="Q41" i="1"/>
  <c r="P45" i="1"/>
  <c r="Q45" i="1"/>
  <c r="O45" i="1"/>
  <c r="P33" i="1"/>
  <c r="Q33" i="1"/>
  <c r="O33" i="1"/>
  <c r="M36" i="1"/>
  <c r="O36" i="1"/>
  <c r="Q36" i="1"/>
  <c r="P36" i="1"/>
  <c r="O40" i="1"/>
  <c r="P40" i="1"/>
  <c r="Q40" i="1"/>
  <c r="Q31" i="1"/>
  <c r="P31" i="1"/>
  <c r="O31" i="1"/>
  <c r="Q35" i="1"/>
  <c r="O35" i="1"/>
  <c r="P35" i="1"/>
  <c r="O42" i="1"/>
  <c r="P42" i="1"/>
  <c r="Q42" i="1"/>
  <c r="P37" i="1"/>
  <c r="O37" i="1"/>
  <c r="Q37" i="1"/>
  <c r="P30" i="1"/>
  <c r="O30" i="1"/>
  <c r="Q30" i="1"/>
  <c r="Q43" i="1"/>
  <c r="O43" i="1"/>
  <c r="P43" i="1"/>
  <c r="O44" i="1"/>
  <c r="Q44" i="1"/>
  <c r="P44" i="1"/>
  <c r="Q47" i="1"/>
  <c r="P47" i="1"/>
  <c r="O47" i="1"/>
  <c r="Q39" i="1"/>
  <c r="P39" i="1"/>
  <c r="O39" i="1"/>
  <c r="Q46" i="1"/>
  <c r="P46" i="1"/>
  <c r="O46" i="1"/>
  <c r="O34" i="1"/>
  <c r="Q34" i="1"/>
  <c r="P34" i="1"/>
  <c r="P38" i="1"/>
  <c r="O38" i="1"/>
  <c r="Q38" i="1"/>
  <c r="O32" i="1"/>
  <c r="P32" i="1"/>
  <c r="Q32" i="1"/>
  <c r="D31" i="1"/>
  <c r="C31" i="1"/>
  <c r="D41" i="1"/>
  <c r="C41" i="1"/>
  <c r="D33" i="1"/>
  <c r="C33" i="1"/>
  <c r="D47" i="1"/>
  <c r="C47" i="1"/>
  <c r="D46" i="1"/>
  <c r="C46" i="1"/>
  <c r="D34" i="1"/>
  <c r="C34" i="1"/>
  <c r="D44" i="1"/>
  <c r="C44" i="1"/>
  <c r="D39" i="1"/>
  <c r="C39" i="1"/>
  <c r="D37" i="1"/>
  <c r="C37" i="1"/>
  <c r="D36" i="1"/>
  <c r="C36" i="1"/>
  <c r="D42" i="1"/>
  <c r="C42" i="1"/>
  <c r="D38" i="1"/>
  <c r="C38" i="1"/>
  <c r="D35" i="1"/>
  <c r="C35" i="1"/>
  <c r="D45" i="1"/>
  <c r="C45" i="1"/>
  <c r="D32" i="1"/>
  <c r="C32" i="1"/>
  <c r="D43" i="1"/>
  <c r="C43" i="1"/>
  <c r="D48" i="1"/>
  <c r="C48" i="1"/>
  <c r="D40" i="1"/>
  <c r="C40" i="1"/>
  <c r="D30" i="1"/>
  <c r="M30" i="1"/>
  <c r="M35" i="1"/>
  <c r="M33" i="1"/>
  <c r="M37" i="1"/>
  <c r="M34" i="1"/>
  <c r="M32" i="1"/>
  <c r="M31" i="1"/>
  <c r="M39" i="1"/>
  <c r="L33" i="2"/>
  <c r="M33" i="2"/>
  <c r="L39" i="2"/>
  <c r="M39" i="2"/>
  <c r="J33" i="2"/>
  <c r="K33" i="2"/>
  <c r="J39" i="2"/>
  <c r="K39" i="2"/>
  <c r="G39" i="2"/>
  <c r="I39" i="2"/>
  <c r="G33" i="2"/>
  <c r="I33" i="2"/>
  <c r="E33" i="2"/>
  <c r="F33" i="2"/>
  <c r="E39" i="2"/>
  <c r="F39" i="2"/>
  <c r="C39" i="2"/>
  <c r="D39" i="2"/>
  <c r="C33" i="2"/>
  <c r="D33" i="2"/>
  <c r="B33" i="2"/>
  <c r="B39" i="2"/>
  <c r="L98" i="2"/>
  <c r="C91" i="2"/>
  <c r="I91" i="2" s="1"/>
  <c r="N32" i="2"/>
  <c r="C97" i="2"/>
  <c r="I97" i="2" s="1"/>
  <c r="N40" i="2"/>
  <c r="P15" i="7"/>
  <c r="B14" i="7"/>
  <c r="B14" i="5"/>
  <c r="B14" i="6"/>
  <c r="S33" i="2" l="1"/>
  <c r="S39" i="2"/>
  <c r="R33" i="2"/>
  <c r="R39" i="2"/>
  <c r="L97" i="2"/>
  <c r="L40" i="2"/>
  <c r="M40" i="2"/>
  <c r="L32" i="2"/>
  <c r="M32" i="2"/>
  <c r="J40" i="2"/>
  <c r="K40" i="2"/>
  <c r="J32" i="2"/>
  <c r="K32" i="2"/>
  <c r="G40" i="2"/>
  <c r="I40" i="2"/>
  <c r="G32" i="2"/>
  <c r="I32" i="2"/>
  <c r="E40" i="2"/>
  <c r="F40" i="2"/>
  <c r="E32" i="2"/>
  <c r="F32" i="2"/>
  <c r="C32" i="2"/>
  <c r="D32" i="2"/>
  <c r="C40" i="2"/>
  <c r="D40" i="2"/>
  <c r="B40" i="2"/>
  <c r="B32" i="2"/>
  <c r="L101" i="2"/>
  <c r="C98" i="2"/>
  <c r="I98" i="2" s="1"/>
  <c r="N41" i="2"/>
  <c r="C90" i="2"/>
  <c r="I90" i="2" s="1"/>
  <c r="N31" i="2"/>
  <c r="P16" i="7"/>
  <c r="B15" i="7"/>
  <c r="B15" i="5"/>
  <c r="B15" i="6"/>
  <c r="L96" i="2"/>
  <c r="L102" i="2"/>
  <c r="S32" i="2" l="1"/>
  <c r="S40" i="2"/>
  <c r="R32" i="2"/>
  <c r="R40" i="2"/>
  <c r="L31" i="2"/>
  <c r="M31" i="2"/>
  <c r="L41" i="2"/>
  <c r="M41" i="2"/>
  <c r="J31" i="2"/>
  <c r="K31" i="2"/>
  <c r="J41" i="2"/>
  <c r="K41" i="2"/>
  <c r="G31" i="2"/>
  <c r="I31" i="2"/>
  <c r="G41" i="2"/>
  <c r="I41" i="2"/>
  <c r="E31" i="2"/>
  <c r="F31" i="2"/>
  <c r="E41" i="2"/>
  <c r="F41" i="2"/>
  <c r="C41" i="2"/>
  <c r="D41" i="2"/>
  <c r="C31" i="2"/>
  <c r="D31" i="2"/>
  <c r="B41" i="2"/>
  <c r="B31" i="2"/>
  <c r="C99" i="2"/>
  <c r="I99" i="2" s="1"/>
  <c r="N42" i="2"/>
  <c r="C89" i="2"/>
  <c r="I89" i="2" s="1"/>
  <c r="N30" i="2"/>
  <c r="P17" i="7"/>
  <c r="B16" i="7"/>
  <c r="B16" i="5"/>
  <c r="B16" i="6"/>
  <c r="G223" i="2"/>
  <c r="G224" i="2"/>
  <c r="G225" i="2"/>
  <c r="G226" i="2"/>
  <c r="G227" i="2"/>
  <c r="S41" i="2" l="1"/>
  <c r="S31" i="2"/>
  <c r="R31" i="2"/>
  <c r="R41" i="2"/>
  <c r="L30" i="2"/>
  <c r="M30" i="2"/>
  <c r="L42" i="2"/>
  <c r="M42" i="2"/>
  <c r="J30" i="2"/>
  <c r="K30" i="2"/>
  <c r="J42" i="2"/>
  <c r="K42" i="2"/>
  <c r="G42" i="2"/>
  <c r="I42" i="2"/>
  <c r="G30" i="2"/>
  <c r="I30" i="2"/>
  <c r="E30" i="2"/>
  <c r="F30" i="2"/>
  <c r="E42" i="2"/>
  <c r="F42" i="2"/>
  <c r="C42" i="2"/>
  <c r="D42" i="2"/>
  <c r="C30" i="2"/>
  <c r="D30" i="2"/>
  <c r="B30" i="2"/>
  <c r="B42" i="2"/>
  <c r="C88" i="2"/>
  <c r="I88" i="2" s="1"/>
  <c r="N29" i="2"/>
  <c r="C100" i="2"/>
  <c r="I100" i="2" s="1"/>
  <c r="N43" i="2"/>
  <c r="P18" i="7"/>
  <c r="B17" i="7"/>
  <c r="B17" i="5"/>
  <c r="B17" i="6"/>
  <c r="S30" i="2" l="1"/>
  <c r="S42" i="2"/>
  <c r="R30" i="2"/>
  <c r="R42" i="2"/>
  <c r="L29" i="2"/>
  <c r="M29" i="2"/>
  <c r="L43" i="2"/>
  <c r="M43" i="2"/>
  <c r="J43" i="2"/>
  <c r="K43" i="2"/>
  <c r="J29" i="2"/>
  <c r="K29" i="2"/>
  <c r="G43" i="2"/>
  <c r="I43" i="2"/>
  <c r="G29" i="2"/>
  <c r="I29" i="2"/>
  <c r="E29" i="2"/>
  <c r="F29" i="2"/>
  <c r="E43" i="2"/>
  <c r="F43" i="2"/>
  <c r="C29" i="2"/>
  <c r="D29" i="2"/>
  <c r="C43" i="2"/>
  <c r="D43" i="2"/>
  <c r="B43" i="2"/>
  <c r="B29" i="2"/>
  <c r="C101" i="2"/>
  <c r="I101" i="2" s="1"/>
  <c r="N44" i="2"/>
  <c r="C87" i="2"/>
  <c r="I87" i="2" s="1"/>
  <c r="N28" i="2"/>
  <c r="P19" i="7"/>
  <c r="B18" i="7"/>
  <c r="R1" i="6"/>
  <c r="P1" i="6"/>
  <c r="I1" i="6"/>
  <c r="B18" i="5"/>
  <c r="B18" i="6"/>
  <c r="S43" i="2" l="1"/>
  <c r="S29" i="2"/>
  <c r="R43" i="2"/>
  <c r="R29" i="2"/>
  <c r="L28" i="2"/>
  <c r="M28" i="2"/>
  <c r="L44" i="2"/>
  <c r="M44" i="2"/>
  <c r="J28" i="2"/>
  <c r="K28" i="2"/>
  <c r="J44" i="2"/>
  <c r="K44" i="2"/>
  <c r="G44" i="2"/>
  <c r="I44" i="2"/>
  <c r="G28" i="2"/>
  <c r="I28" i="2"/>
  <c r="E44" i="2"/>
  <c r="F44" i="2"/>
  <c r="E28" i="2"/>
  <c r="F28" i="2"/>
  <c r="C44" i="2"/>
  <c r="D44" i="2"/>
  <c r="C28" i="2"/>
  <c r="D28" i="2"/>
  <c r="B28" i="2"/>
  <c r="B44" i="2"/>
  <c r="C86" i="2"/>
  <c r="I86" i="2" s="1"/>
  <c r="N27" i="2"/>
  <c r="C102" i="2"/>
  <c r="I102" i="2" s="1"/>
  <c r="N45" i="2"/>
  <c r="P20" i="7"/>
  <c r="B19" i="7"/>
  <c r="B19" i="5"/>
  <c r="B19" i="6"/>
  <c r="S28" i="2" l="1"/>
  <c r="S44" i="2"/>
  <c r="R28" i="2"/>
  <c r="R44" i="2"/>
  <c r="G41" i="9"/>
  <c r="I41" i="9"/>
  <c r="D41" i="9"/>
  <c r="C41" i="9"/>
  <c r="L45" i="2"/>
  <c r="M45" i="2"/>
  <c r="L27" i="2"/>
  <c r="M27" i="2"/>
  <c r="J45" i="2"/>
  <c r="K45" i="2"/>
  <c r="J27" i="2"/>
  <c r="K27" i="2"/>
  <c r="G45" i="2"/>
  <c r="I45" i="2"/>
  <c r="G27" i="2"/>
  <c r="I27" i="2"/>
  <c r="E27" i="2"/>
  <c r="F27" i="2"/>
  <c r="E45" i="2"/>
  <c r="F45" i="2"/>
  <c r="C27" i="2"/>
  <c r="D27" i="2"/>
  <c r="C45" i="2"/>
  <c r="D45" i="2"/>
  <c r="B45" i="2"/>
  <c r="B27" i="2"/>
  <c r="C103" i="2"/>
  <c r="I103" i="2" s="1"/>
  <c r="N46" i="2"/>
  <c r="C85" i="2"/>
  <c r="I85" i="2" s="1"/>
  <c r="N26" i="2"/>
  <c r="P21" i="7"/>
  <c r="B20" i="7"/>
  <c r="B20" i="5"/>
  <c r="B20" i="6"/>
  <c r="S27" i="2" l="1"/>
  <c r="S45" i="2"/>
  <c r="R45" i="2"/>
  <c r="R27" i="2"/>
  <c r="J41" i="9"/>
  <c r="K41" i="9" s="1"/>
  <c r="B41" i="9"/>
  <c r="A41" i="9" s="1"/>
  <c r="I42" i="9"/>
  <c r="G42" i="9"/>
  <c r="C42" i="9"/>
  <c r="D42" i="9"/>
  <c r="I40" i="9"/>
  <c r="G40" i="9"/>
  <c r="C40" i="9"/>
  <c r="D40" i="9"/>
  <c r="L46" i="2"/>
  <c r="M46" i="2"/>
  <c r="L26" i="2"/>
  <c r="M26" i="2"/>
  <c r="J26" i="2"/>
  <c r="K26" i="2"/>
  <c r="J46" i="2"/>
  <c r="K46" i="2"/>
  <c r="G46" i="2"/>
  <c r="I46" i="2"/>
  <c r="G26" i="2"/>
  <c r="I26" i="2"/>
  <c r="E46" i="2"/>
  <c r="F46" i="2"/>
  <c r="E26" i="2"/>
  <c r="F26" i="2"/>
  <c r="C46" i="2"/>
  <c r="D46" i="2"/>
  <c r="C26" i="2"/>
  <c r="D26" i="2"/>
  <c r="B26" i="2"/>
  <c r="B46" i="2"/>
  <c r="C84" i="2"/>
  <c r="I84" i="2" s="1"/>
  <c r="N25" i="2"/>
  <c r="C104" i="2"/>
  <c r="I104" i="2" s="1"/>
  <c r="N47" i="2"/>
  <c r="P22" i="7"/>
  <c r="B21" i="7"/>
  <c r="B21" i="5"/>
  <c r="B21" i="6"/>
  <c r="S46" i="2" l="1"/>
  <c r="S26" i="2"/>
  <c r="R46" i="2"/>
  <c r="R26" i="2"/>
  <c r="J40" i="9"/>
  <c r="K40" i="9" s="1"/>
  <c r="J42" i="9"/>
  <c r="K42" i="9" s="1"/>
  <c r="B40" i="9"/>
  <c r="A40" i="9" s="1"/>
  <c r="B42" i="9"/>
  <c r="A42" i="9" s="1"/>
  <c r="G43" i="9"/>
  <c r="I43" i="9"/>
  <c r="D43" i="9"/>
  <c r="C43" i="9"/>
  <c r="G39" i="9"/>
  <c r="I39" i="9"/>
  <c r="D39" i="9"/>
  <c r="C39" i="9"/>
  <c r="L25" i="2"/>
  <c r="M25" i="2"/>
  <c r="L47" i="2"/>
  <c r="M47" i="2"/>
  <c r="J47" i="2"/>
  <c r="K47" i="2"/>
  <c r="J25" i="2"/>
  <c r="K25" i="2"/>
  <c r="G25" i="2"/>
  <c r="I25" i="2"/>
  <c r="G47" i="2"/>
  <c r="I47" i="2"/>
  <c r="E25" i="2"/>
  <c r="F25" i="2"/>
  <c r="E47" i="2"/>
  <c r="F47" i="2"/>
  <c r="C25" i="2"/>
  <c r="D25" i="2"/>
  <c r="C47" i="2"/>
  <c r="D47" i="2"/>
  <c r="B47" i="2"/>
  <c r="B25" i="2"/>
  <c r="C105" i="2"/>
  <c r="I105" i="2" s="1"/>
  <c r="N48" i="2"/>
  <c r="C83" i="2"/>
  <c r="I83" i="2" s="1"/>
  <c r="N24" i="2"/>
  <c r="B22" i="7"/>
  <c r="B22" i="5"/>
  <c r="B22" i="6"/>
  <c r="S25" i="2" l="1"/>
  <c r="S47" i="2"/>
  <c r="R47" i="2"/>
  <c r="R25" i="2"/>
  <c r="B39" i="9"/>
  <c r="A39" i="9" s="1"/>
  <c r="J39" i="9"/>
  <c r="K39" i="9" s="1"/>
  <c r="J43" i="9"/>
  <c r="K43" i="9" s="1"/>
  <c r="B43" i="9"/>
  <c r="A43" i="9" s="1"/>
  <c r="I44" i="9"/>
  <c r="G44" i="9"/>
  <c r="C44" i="9"/>
  <c r="D44" i="9"/>
  <c r="I38" i="9"/>
  <c r="G38" i="9"/>
  <c r="C38" i="9"/>
  <c r="D38" i="9"/>
  <c r="L24" i="2"/>
  <c r="M24" i="2"/>
  <c r="L48" i="2"/>
  <c r="M48" i="2"/>
  <c r="J24" i="2"/>
  <c r="K24" i="2"/>
  <c r="J48" i="2"/>
  <c r="K48" i="2"/>
  <c r="G24" i="2"/>
  <c r="I24" i="2"/>
  <c r="G48" i="2"/>
  <c r="I48" i="2"/>
  <c r="E48" i="2"/>
  <c r="F48" i="2"/>
  <c r="E24" i="2"/>
  <c r="F24" i="2"/>
  <c r="C48" i="2"/>
  <c r="D48" i="2"/>
  <c r="C24" i="2"/>
  <c r="D24" i="2"/>
  <c r="B24" i="2"/>
  <c r="B48" i="2"/>
  <c r="C82" i="2"/>
  <c r="I82" i="2" s="1"/>
  <c r="N23" i="2"/>
  <c r="C106" i="2"/>
  <c r="I106" i="2" s="1"/>
  <c r="N49" i="2"/>
  <c r="B23" i="7"/>
  <c r="P23" i="7"/>
  <c r="B23" i="5"/>
  <c r="B23" i="6"/>
  <c r="S24" i="2" l="1"/>
  <c r="S48" i="2"/>
  <c r="R24" i="2"/>
  <c r="R48" i="2"/>
  <c r="J38" i="9"/>
  <c r="K38" i="9" s="1"/>
  <c r="J44" i="9"/>
  <c r="K44" i="9" s="1"/>
  <c r="B38" i="9"/>
  <c r="A38" i="9" s="1"/>
  <c r="B44" i="9"/>
  <c r="A44" i="9" s="1"/>
  <c r="G45" i="9"/>
  <c r="I45" i="9"/>
  <c r="D45" i="9"/>
  <c r="C45" i="9"/>
  <c r="G37" i="9"/>
  <c r="I37" i="9"/>
  <c r="D37" i="9"/>
  <c r="C37" i="9"/>
  <c r="L23" i="2"/>
  <c r="M23" i="2"/>
  <c r="L49" i="2"/>
  <c r="M49" i="2"/>
  <c r="J49" i="2"/>
  <c r="K49" i="2"/>
  <c r="J23" i="2"/>
  <c r="K23" i="2"/>
  <c r="G23" i="2"/>
  <c r="I23" i="2"/>
  <c r="G49" i="2"/>
  <c r="I49" i="2"/>
  <c r="E23" i="2"/>
  <c r="F23" i="2"/>
  <c r="E49" i="2"/>
  <c r="F49" i="2"/>
  <c r="C23" i="2"/>
  <c r="D23" i="2"/>
  <c r="C49" i="2"/>
  <c r="D49" i="2"/>
  <c r="B49" i="2"/>
  <c r="B23" i="2"/>
  <c r="C107" i="2"/>
  <c r="I107" i="2" s="1"/>
  <c r="N50" i="2"/>
  <c r="C81" i="2"/>
  <c r="I81" i="2" s="1"/>
  <c r="N22" i="2"/>
  <c r="S49" i="2" l="1"/>
  <c r="S23" i="2"/>
  <c r="R49" i="2"/>
  <c r="R23" i="2"/>
  <c r="B37" i="9"/>
  <c r="A37" i="9" s="1"/>
  <c r="J45" i="9"/>
  <c r="K45" i="9" s="1"/>
  <c r="J37" i="9"/>
  <c r="K37" i="9" s="1"/>
  <c r="B45" i="9"/>
  <c r="A45" i="9" s="1"/>
  <c r="I46" i="9"/>
  <c r="G46" i="9"/>
  <c r="C46" i="9"/>
  <c r="D46" i="9"/>
  <c r="L50" i="2"/>
  <c r="M50" i="2"/>
  <c r="L22" i="2"/>
  <c r="M22" i="2"/>
  <c r="J22" i="2"/>
  <c r="K22" i="2"/>
  <c r="J50" i="2"/>
  <c r="K50" i="2"/>
  <c r="G50" i="2"/>
  <c r="I50" i="2"/>
  <c r="G22" i="2"/>
  <c r="I22" i="2"/>
  <c r="E50" i="2"/>
  <c r="F50" i="2"/>
  <c r="E22" i="2"/>
  <c r="F22" i="2"/>
  <c r="C50" i="2"/>
  <c r="D50" i="2"/>
  <c r="C22" i="2"/>
  <c r="D22" i="2"/>
  <c r="B22" i="2"/>
  <c r="B50" i="2"/>
  <c r="C80" i="2"/>
  <c r="I80" i="2" s="1"/>
  <c r="N21" i="2"/>
  <c r="C108" i="2"/>
  <c r="I108" i="2" s="1"/>
  <c r="N51" i="2"/>
  <c r="S22" i="2" l="1"/>
  <c r="S50" i="2"/>
  <c r="R22" i="2"/>
  <c r="R50" i="2"/>
  <c r="J46" i="9"/>
  <c r="K46" i="9" s="1"/>
  <c r="B46" i="9"/>
  <c r="A46" i="9" s="1"/>
  <c r="G47" i="9"/>
  <c r="I47" i="9"/>
  <c r="D47" i="9"/>
  <c r="C47" i="9"/>
  <c r="L21" i="2"/>
  <c r="M21" i="2"/>
  <c r="L51" i="2"/>
  <c r="M51" i="2"/>
  <c r="J51" i="2"/>
  <c r="K51" i="2"/>
  <c r="J21" i="2"/>
  <c r="K21" i="2"/>
  <c r="G21" i="2"/>
  <c r="I21" i="2"/>
  <c r="G51" i="2"/>
  <c r="I51" i="2"/>
  <c r="E21" i="2"/>
  <c r="F21" i="2"/>
  <c r="E51" i="2"/>
  <c r="F51" i="2"/>
  <c r="C51" i="2"/>
  <c r="D51" i="2"/>
  <c r="C21" i="2"/>
  <c r="D21" i="2"/>
  <c r="B51" i="2"/>
  <c r="B21" i="2"/>
  <c r="C109" i="2"/>
  <c r="I109" i="2" s="1"/>
  <c r="N52" i="2"/>
  <c r="C79" i="2"/>
  <c r="I79" i="2" s="1"/>
  <c r="N20" i="2"/>
  <c r="S21" i="2" l="1"/>
  <c r="S51" i="2"/>
  <c r="R51" i="2"/>
  <c r="R21" i="2"/>
  <c r="J47" i="9"/>
  <c r="K47" i="9" s="1"/>
  <c r="B47" i="9"/>
  <c r="A47" i="9" s="1"/>
  <c r="I48" i="9"/>
  <c r="G48" i="9"/>
  <c r="C48" i="9"/>
  <c r="D48" i="9"/>
  <c r="I34" i="9"/>
  <c r="G34" i="9"/>
  <c r="C34" i="9"/>
  <c r="D34" i="9"/>
  <c r="L52" i="2"/>
  <c r="M52" i="2"/>
  <c r="L20" i="2"/>
  <c r="M20" i="2"/>
  <c r="J52" i="2"/>
  <c r="K52" i="2"/>
  <c r="J20" i="2"/>
  <c r="K20" i="2"/>
  <c r="G52" i="2"/>
  <c r="I52" i="2"/>
  <c r="G20" i="2"/>
  <c r="I20" i="2"/>
  <c r="E20" i="2"/>
  <c r="F20" i="2"/>
  <c r="E52" i="2"/>
  <c r="F52" i="2"/>
  <c r="C20" i="2"/>
  <c r="D20" i="2"/>
  <c r="C52" i="2"/>
  <c r="D52" i="2"/>
  <c r="B20" i="2"/>
  <c r="B52" i="2"/>
  <c r="C78" i="2"/>
  <c r="I78" i="2" s="1"/>
  <c r="N19" i="2"/>
  <c r="C110" i="2"/>
  <c r="I110" i="2" s="1"/>
  <c r="N53" i="2"/>
  <c r="S52" i="2" l="1"/>
  <c r="S20" i="2"/>
  <c r="R20" i="2"/>
  <c r="R52" i="2"/>
  <c r="J48" i="9"/>
  <c r="K48" i="9" s="1"/>
  <c r="J34" i="9"/>
  <c r="K34" i="9" s="1"/>
  <c r="B34" i="9"/>
  <c r="A34" i="9" s="1"/>
  <c r="B48" i="9"/>
  <c r="A48" i="9" s="1"/>
  <c r="G49" i="9"/>
  <c r="I49" i="9"/>
  <c r="D49" i="9"/>
  <c r="C49" i="9"/>
  <c r="G33" i="9"/>
  <c r="I33" i="9"/>
  <c r="D33" i="9"/>
  <c r="C33" i="9"/>
  <c r="L19" i="2"/>
  <c r="M19" i="2"/>
  <c r="L53" i="2"/>
  <c r="M53" i="2"/>
  <c r="J19" i="2"/>
  <c r="K19" i="2"/>
  <c r="J53" i="2"/>
  <c r="K53" i="2"/>
  <c r="G19" i="2"/>
  <c r="I19" i="2"/>
  <c r="G53" i="2"/>
  <c r="I53" i="2"/>
  <c r="E19" i="2"/>
  <c r="F19" i="2"/>
  <c r="E53" i="2"/>
  <c r="F53" i="2"/>
  <c r="C53" i="2"/>
  <c r="D53" i="2"/>
  <c r="C19" i="2"/>
  <c r="D19" i="2"/>
  <c r="B53" i="2"/>
  <c r="B19" i="2"/>
  <c r="C111" i="2"/>
  <c r="I111" i="2" s="1"/>
  <c r="N54" i="2"/>
  <c r="C77" i="2"/>
  <c r="I77" i="2" s="1"/>
  <c r="N18" i="2"/>
  <c r="S19" i="2" l="1"/>
  <c r="S53" i="2"/>
  <c r="R19" i="2"/>
  <c r="R53" i="2"/>
  <c r="J49" i="9"/>
  <c r="K49" i="9" s="1"/>
  <c r="J33" i="9"/>
  <c r="K33" i="9" s="1"/>
  <c r="B49" i="9"/>
  <c r="A49" i="9" s="1"/>
  <c r="B33" i="9"/>
  <c r="A33" i="9" s="1"/>
  <c r="I50" i="9"/>
  <c r="G50" i="9"/>
  <c r="C50" i="9"/>
  <c r="D50" i="9"/>
  <c r="I32" i="9"/>
  <c r="G32" i="9"/>
  <c r="C32" i="9"/>
  <c r="D32" i="9"/>
  <c r="L54" i="2"/>
  <c r="M54" i="2"/>
  <c r="L18" i="2"/>
  <c r="M18" i="2"/>
  <c r="J54" i="2"/>
  <c r="K54" i="2"/>
  <c r="J18" i="2"/>
  <c r="K18" i="2"/>
  <c r="G18" i="2"/>
  <c r="I18" i="2"/>
  <c r="G54" i="2"/>
  <c r="I54" i="2"/>
  <c r="E18" i="2"/>
  <c r="F18" i="2"/>
  <c r="E54" i="2"/>
  <c r="F54" i="2"/>
  <c r="C18" i="2"/>
  <c r="D18" i="2"/>
  <c r="C54" i="2"/>
  <c r="D54" i="2"/>
  <c r="B18" i="2"/>
  <c r="B54" i="2"/>
  <c r="C112" i="2"/>
  <c r="I112" i="2" s="1"/>
  <c r="N55" i="2"/>
  <c r="C76" i="2"/>
  <c r="I76" i="2" s="1"/>
  <c r="N17" i="2"/>
  <c r="S54" i="2" l="1"/>
  <c r="S18" i="2"/>
  <c r="R54" i="2"/>
  <c r="R18" i="2"/>
  <c r="J32" i="9"/>
  <c r="K32" i="9" s="1"/>
  <c r="J50" i="9"/>
  <c r="K50" i="9" s="1"/>
  <c r="B32" i="9"/>
  <c r="A32" i="9" s="1"/>
  <c r="B50" i="9"/>
  <c r="A50" i="9" s="1"/>
  <c r="G51" i="9"/>
  <c r="I51" i="9"/>
  <c r="D51" i="9"/>
  <c r="C51" i="9"/>
  <c r="G31" i="9"/>
  <c r="I31" i="9"/>
  <c r="D31" i="9"/>
  <c r="C31" i="9"/>
  <c r="L55" i="2"/>
  <c r="M55" i="2"/>
  <c r="L17" i="2"/>
  <c r="M17" i="2"/>
  <c r="J17" i="2"/>
  <c r="K17" i="2"/>
  <c r="J55" i="2"/>
  <c r="K55" i="2"/>
  <c r="G55" i="2"/>
  <c r="I55" i="2"/>
  <c r="G17" i="2"/>
  <c r="I17" i="2"/>
  <c r="E17" i="2"/>
  <c r="F17" i="2"/>
  <c r="E55" i="2"/>
  <c r="F55" i="2"/>
  <c r="C17" i="2"/>
  <c r="D17" i="2"/>
  <c r="C55" i="2"/>
  <c r="D55" i="2"/>
  <c r="B55" i="2"/>
  <c r="B17" i="2"/>
  <c r="C75" i="2"/>
  <c r="N16" i="2"/>
  <c r="C113" i="2"/>
  <c r="N56" i="2"/>
  <c r="S55" i="2" l="1"/>
  <c r="S17" i="2"/>
  <c r="R55" i="2"/>
  <c r="R17" i="2"/>
  <c r="J31" i="9"/>
  <c r="K31" i="9" s="1"/>
  <c r="J51" i="9"/>
  <c r="K51" i="9" s="1"/>
  <c r="B31" i="9"/>
  <c r="A31" i="9" s="1"/>
  <c r="B51" i="9"/>
  <c r="A51" i="9" s="1"/>
  <c r="L16" i="2"/>
  <c r="M16" i="2"/>
  <c r="L56" i="2"/>
  <c r="M56" i="2"/>
  <c r="J16" i="2"/>
  <c r="K16" i="2"/>
  <c r="J56" i="2"/>
  <c r="K56" i="2"/>
  <c r="G16" i="2"/>
  <c r="I16" i="2"/>
  <c r="G56" i="2"/>
  <c r="I56" i="2"/>
  <c r="E16" i="2"/>
  <c r="F16" i="2"/>
  <c r="E56" i="2"/>
  <c r="F56" i="2"/>
  <c r="C16" i="2"/>
  <c r="D16" i="2"/>
  <c r="C56" i="2"/>
  <c r="D56" i="2"/>
  <c r="B56" i="2"/>
  <c r="B16" i="2"/>
  <c r="I113" i="2"/>
  <c r="I75" i="2"/>
  <c r="C114" i="2"/>
  <c r="N57" i="2"/>
  <c r="N15" i="2"/>
  <c r="C74" i="2"/>
  <c r="S16" i="2" l="1"/>
  <c r="S56" i="2"/>
  <c r="R56" i="2"/>
  <c r="R16" i="2"/>
  <c r="E94" i="2"/>
  <c r="D113" i="2"/>
  <c r="D86" i="2"/>
  <c r="E86" i="2"/>
  <c r="D99" i="2"/>
  <c r="D112" i="2"/>
  <c r="D93" i="2"/>
  <c r="D92" i="2"/>
  <c r="D84" i="2"/>
  <c r="D109" i="2"/>
  <c r="D83" i="2"/>
  <c r="D78" i="2"/>
  <c r="E96" i="2"/>
  <c r="D77" i="2"/>
  <c r="E112" i="2"/>
  <c r="D104" i="2"/>
  <c r="D87" i="2"/>
  <c r="D103" i="2"/>
  <c r="D102" i="2"/>
  <c r="D82" i="2"/>
  <c r="D100" i="2"/>
  <c r="E97" i="2"/>
  <c r="D96" i="2"/>
  <c r="D79" i="2"/>
  <c r="D101" i="2"/>
  <c r="D111" i="2"/>
  <c r="D94" i="2"/>
  <c r="E78" i="2"/>
  <c r="E79" i="2"/>
  <c r="E92" i="2"/>
  <c r="D90" i="2"/>
  <c r="D76" i="2"/>
  <c r="D108" i="2"/>
  <c r="E77" i="2"/>
  <c r="D85" i="2"/>
  <c r="D91" i="2"/>
  <c r="D107" i="2"/>
  <c r="E104" i="2"/>
  <c r="D95" i="2"/>
  <c r="D110" i="2"/>
  <c r="E101" i="2"/>
  <c r="E87" i="2"/>
  <c r="E98" i="2"/>
  <c r="E106" i="2"/>
  <c r="E95" i="2"/>
  <c r="E84" i="2"/>
  <c r="E76" i="2"/>
  <c r="D80" i="2"/>
  <c r="D106" i="2"/>
  <c r="E103" i="2"/>
  <c r="E89" i="2"/>
  <c r="D75" i="2"/>
  <c r="E99" i="2"/>
  <c r="E75" i="2"/>
  <c r="E83" i="2"/>
  <c r="E100" i="2"/>
  <c r="E90" i="2"/>
  <c r="E107" i="2"/>
  <c r="E85" i="2"/>
  <c r="E93" i="2"/>
  <c r="E113" i="2"/>
  <c r="E105" i="2"/>
  <c r="E108" i="2"/>
  <c r="E82" i="2"/>
  <c r="E109" i="2"/>
  <c r="E81" i="2"/>
  <c r="D89" i="2"/>
  <c r="D81" i="2"/>
  <c r="D97" i="2"/>
  <c r="D105" i="2"/>
  <c r="E102" i="2"/>
  <c r="E110" i="2"/>
  <c r="E88" i="2"/>
  <c r="E80" i="2"/>
  <c r="D88" i="2"/>
  <c r="D98" i="2"/>
  <c r="E91" i="2"/>
  <c r="E111" i="2"/>
  <c r="L57" i="2"/>
  <c r="M57" i="2"/>
  <c r="L15" i="2"/>
  <c r="M15" i="2"/>
  <c r="J15" i="2"/>
  <c r="K15" i="2"/>
  <c r="J57" i="2"/>
  <c r="K57" i="2"/>
  <c r="G15" i="2"/>
  <c r="I15" i="2"/>
  <c r="G57" i="2"/>
  <c r="I57" i="2"/>
  <c r="E57" i="2"/>
  <c r="F57" i="2"/>
  <c r="E15" i="2"/>
  <c r="F15" i="2"/>
  <c r="C15" i="2"/>
  <c r="D15" i="2"/>
  <c r="C57" i="2"/>
  <c r="D57" i="2"/>
  <c r="B15" i="2"/>
  <c r="B57" i="2"/>
  <c r="D114" i="2"/>
  <c r="E114" i="2"/>
  <c r="G114" i="2" s="1"/>
  <c r="N14" i="2"/>
  <c r="I114" i="2"/>
  <c r="I74" i="2"/>
  <c r="D74" i="2"/>
  <c r="F74" i="2" s="1"/>
  <c r="E74" i="2"/>
  <c r="N58" i="2"/>
  <c r="S57" i="2" l="1"/>
  <c r="S15" i="2"/>
  <c r="R15" i="2"/>
  <c r="R57" i="2"/>
  <c r="G84" i="2"/>
  <c r="L14" i="2"/>
  <c r="M14" i="2"/>
  <c r="G77" i="2"/>
  <c r="L58" i="2"/>
  <c r="M58" i="2"/>
  <c r="G78" i="2"/>
  <c r="G81" i="2"/>
  <c r="J58" i="2"/>
  <c r="K58" i="2"/>
  <c r="J14" i="2"/>
  <c r="K14" i="2"/>
  <c r="G85" i="2"/>
  <c r="G108" i="2"/>
  <c r="G103" i="2"/>
  <c r="G106" i="2"/>
  <c r="G113" i="2"/>
  <c r="G107" i="2"/>
  <c r="G86" i="2"/>
  <c r="G100" i="2"/>
  <c r="G96" i="2"/>
  <c r="G89" i="2"/>
  <c r="G76" i="2"/>
  <c r="G95" i="2"/>
  <c r="G98" i="2"/>
  <c r="G101" i="2"/>
  <c r="G58" i="2"/>
  <c r="I58" i="2"/>
  <c r="G75" i="2"/>
  <c r="G93" i="2"/>
  <c r="G99" i="2"/>
  <c r="G82" i="2"/>
  <c r="G90" i="2"/>
  <c r="G104" i="2"/>
  <c r="G92" i="2"/>
  <c r="G83" i="2"/>
  <c r="G79" i="2"/>
  <c r="G111" i="2"/>
  <c r="G91" i="2"/>
  <c r="G80" i="2"/>
  <c r="G88" i="2"/>
  <c r="G110" i="2"/>
  <c r="G102" i="2"/>
  <c r="G94" i="2"/>
  <c r="G87" i="2"/>
  <c r="G14" i="2"/>
  <c r="I14" i="2"/>
  <c r="E58" i="2"/>
  <c r="F58" i="2"/>
  <c r="E14" i="2"/>
  <c r="F14" i="2"/>
  <c r="C58" i="2"/>
  <c r="D58" i="2"/>
  <c r="C14" i="2"/>
  <c r="D14" i="2"/>
  <c r="B58" i="2"/>
  <c r="B14" i="2"/>
  <c r="G105" i="2"/>
  <c r="G109" i="2"/>
  <c r="G97" i="2"/>
  <c r="G112" i="2"/>
  <c r="F94" i="2"/>
  <c r="F91" i="2"/>
  <c r="F92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93" i="2"/>
  <c r="F95" i="2"/>
  <c r="F96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113" i="2"/>
  <c r="N13" i="2"/>
  <c r="F114" i="2"/>
  <c r="H114" i="2" s="1"/>
  <c r="N59" i="2"/>
  <c r="R58" i="2" l="1"/>
  <c r="S14" i="2"/>
  <c r="S58" i="2"/>
  <c r="R14" i="2"/>
  <c r="H103" i="2"/>
  <c r="H82" i="2"/>
  <c r="H85" i="2"/>
  <c r="H100" i="2"/>
  <c r="H108" i="2"/>
  <c r="H75" i="2"/>
  <c r="H87" i="2"/>
  <c r="H96" i="2"/>
  <c r="H99" i="2"/>
  <c r="H91" i="2"/>
  <c r="H95" i="2"/>
  <c r="H106" i="2"/>
  <c r="H109" i="2"/>
  <c r="H79" i="2"/>
  <c r="H110" i="2"/>
  <c r="H80" i="2"/>
  <c r="H94" i="2"/>
  <c r="H104" i="2"/>
  <c r="H77" i="2"/>
  <c r="H81" i="2"/>
  <c r="H89" i="2"/>
  <c r="H107" i="2"/>
  <c r="H101" i="2"/>
  <c r="H83" i="2"/>
  <c r="H93" i="2"/>
  <c r="H111" i="2"/>
  <c r="H113" i="2"/>
  <c r="H76" i="2"/>
  <c r="H78" i="2"/>
  <c r="H84" i="2"/>
  <c r="H86" i="2"/>
  <c r="H88" i="2"/>
  <c r="H90" i="2"/>
  <c r="H102" i="2"/>
  <c r="H98" i="2"/>
  <c r="H92" i="2"/>
  <c r="L59" i="2"/>
  <c r="M59" i="2"/>
  <c r="L13" i="2"/>
  <c r="M13" i="2"/>
  <c r="J59" i="2"/>
  <c r="K59" i="2"/>
  <c r="J13" i="2"/>
  <c r="K13" i="2"/>
  <c r="G59" i="2"/>
  <c r="I59" i="2"/>
  <c r="G13" i="2"/>
  <c r="I13" i="2"/>
  <c r="E13" i="2"/>
  <c r="F13" i="2"/>
  <c r="E59" i="2"/>
  <c r="F59" i="2"/>
  <c r="C59" i="2"/>
  <c r="D59" i="2"/>
  <c r="C13" i="2"/>
  <c r="D13" i="2"/>
  <c r="B59" i="2"/>
  <c r="B13" i="2"/>
  <c r="H105" i="2"/>
  <c r="H97" i="2"/>
  <c r="H112" i="2"/>
  <c r="N60" i="2"/>
  <c r="N12" i="2"/>
  <c r="S59" i="2" l="1"/>
  <c r="S13" i="2"/>
  <c r="R13" i="2"/>
  <c r="R59" i="2"/>
  <c r="L12" i="2"/>
  <c r="M12" i="2"/>
  <c r="L60" i="2"/>
  <c r="M60" i="2"/>
  <c r="J12" i="2"/>
  <c r="K12" i="2"/>
  <c r="J60" i="2"/>
  <c r="K60" i="2"/>
  <c r="G12" i="2"/>
  <c r="I12" i="2"/>
  <c r="G60" i="2"/>
  <c r="I60" i="2"/>
  <c r="E12" i="2"/>
  <c r="F12" i="2"/>
  <c r="E60" i="2"/>
  <c r="F60" i="2"/>
  <c r="C60" i="2"/>
  <c r="D60" i="2"/>
  <c r="C12" i="2"/>
  <c r="D12" i="2"/>
  <c r="B60" i="2"/>
  <c r="B12" i="2"/>
  <c r="N11" i="2"/>
  <c r="N61" i="2"/>
  <c r="S12" i="2" l="1"/>
  <c r="S60" i="2"/>
  <c r="R60" i="2"/>
  <c r="R12" i="2"/>
  <c r="L61" i="2"/>
  <c r="M61" i="2"/>
  <c r="L11" i="2"/>
  <c r="M11" i="2"/>
  <c r="J11" i="2"/>
  <c r="K11" i="2"/>
  <c r="J61" i="2"/>
  <c r="K61" i="2"/>
  <c r="G61" i="2"/>
  <c r="I61" i="2"/>
  <c r="G11" i="2"/>
  <c r="I11" i="2"/>
  <c r="E11" i="2"/>
  <c r="F11" i="2"/>
  <c r="E61" i="2"/>
  <c r="F61" i="2"/>
  <c r="C61" i="2"/>
  <c r="D61" i="2"/>
  <c r="C11" i="2"/>
  <c r="D11" i="2"/>
  <c r="B11" i="2"/>
  <c r="B61" i="2"/>
  <c r="N10" i="2"/>
  <c r="N62" i="2"/>
  <c r="S11" i="2" l="1"/>
  <c r="S61" i="2"/>
  <c r="R61" i="2"/>
  <c r="R11" i="2"/>
  <c r="L62" i="2"/>
  <c r="M62" i="2"/>
  <c r="L10" i="2"/>
  <c r="M10" i="2"/>
  <c r="J62" i="2"/>
  <c r="K62" i="2"/>
  <c r="J10" i="2"/>
  <c r="K10" i="2"/>
  <c r="G10" i="2"/>
  <c r="I10" i="2"/>
  <c r="G62" i="2"/>
  <c r="I62" i="2"/>
  <c r="E62" i="2"/>
  <c r="F62" i="2"/>
  <c r="E10" i="2"/>
  <c r="F10" i="2"/>
  <c r="C62" i="2"/>
  <c r="D62" i="2"/>
  <c r="C10" i="2"/>
  <c r="D10" i="2"/>
  <c r="B10" i="2"/>
  <c r="B62" i="2"/>
  <c r="N9" i="2"/>
  <c r="N63" i="2"/>
  <c r="S62" i="2" l="1"/>
  <c r="S10" i="2"/>
  <c r="R62" i="2"/>
  <c r="R10" i="2"/>
  <c r="P12" i="7"/>
  <c r="B12" i="7"/>
  <c r="B12" i="6"/>
  <c r="B12" i="5"/>
  <c r="L63" i="2"/>
  <c r="M63" i="2"/>
  <c r="L9" i="2"/>
  <c r="M9" i="2"/>
  <c r="J63" i="2"/>
  <c r="K63" i="2"/>
  <c r="J9" i="2"/>
  <c r="K9" i="2"/>
  <c r="G63" i="2"/>
  <c r="I63" i="2"/>
  <c r="G9" i="2"/>
  <c r="I9" i="2"/>
  <c r="E63" i="2"/>
  <c r="F63" i="2"/>
  <c r="E9" i="2"/>
  <c r="F9" i="2"/>
  <c r="C63" i="2"/>
  <c r="D63" i="2"/>
  <c r="C9" i="2"/>
  <c r="D9" i="2"/>
  <c r="B9" i="2"/>
  <c r="B63" i="2"/>
  <c r="N64" i="2"/>
  <c r="N8" i="2"/>
  <c r="S63" i="2" l="1"/>
  <c r="S9" i="2"/>
  <c r="R63" i="2"/>
  <c r="R9" i="2"/>
  <c r="P11" i="7"/>
  <c r="B11" i="5"/>
  <c r="B11" i="7"/>
  <c r="B11" i="6"/>
  <c r="L8" i="2"/>
  <c r="M8" i="2"/>
  <c r="L64" i="2"/>
  <c r="M64" i="2"/>
  <c r="J8" i="2"/>
  <c r="K8" i="2"/>
  <c r="J64" i="2"/>
  <c r="K64" i="2"/>
  <c r="G8" i="2"/>
  <c r="I8" i="2"/>
  <c r="G64" i="2"/>
  <c r="I64" i="2"/>
  <c r="E8" i="2"/>
  <c r="F8" i="2"/>
  <c r="E64" i="2"/>
  <c r="F64" i="2"/>
  <c r="C8" i="2"/>
  <c r="D8" i="2"/>
  <c r="C64" i="2"/>
  <c r="D64" i="2"/>
  <c r="B64" i="2"/>
  <c r="B8" i="2"/>
  <c r="N65" i="2"/>
  <c r="N7" i="2"/>
  <c r="S8" i="2" l="1"/>
  <c r="S64" i="2"/>
  <c r="R8" i="2"/>
  <c r="R64" i="2"/>
  <c r="P10" i="7"/>
  <c r="B10" i="5"/>
  <c r="B10" i="7"/>
  <c r="B10" i="6"/>
  <c r="L65" i="2"/>
  <c r="M65" i="2"/>
  <c r="L7" i="2"/>
  <c r="M7" i="2"/>
  <c r="J7" i="2"/>
  <c r="K7" i="2"/>
  <c r="J65" i="2"/>
  <c r="K65" i="2"/>
  <c r="G7" i="2"/>
  <c r="I7" i="2"/>
  <c r="G65" i="2"/>
  <c r="I65" i="2"/>
  <c r="E7" i="2"/>
  <c r="F7" i="2"/>
  <c r="E65" i="2"/>
  <c r="F65" i="2"/>
  <c r="C7" i="2"/>
  <c r="D7" i="2"/>
  <c r="C65" i="2"/>
  <c r="D65" i="2"/>
  <c r="B65" i="2"/>
  <c r="B7" i="2"/>
  <c r="N66" i="2"/>
  <c r="S7" i="2" l="1"/>
  <c r="S65" i="2"/>
  <c r="R7" i="2"/>
  <c r="R65" i="2"/>
  <c r="P9" i="7"/>
  <c r="B9" i="5"/>
  <c r="B9" i="7"/>
  <c r="B9" i="6"/>
  <c r="L66" i="2"/>
  <c r="M66" i="2"/>
  <c r="J66" i="2"/>
  <c r="K66" i="2"/>
  <c r="G66" i="2"/>
  <c r="I66" i="2"/>
  <c r="E66" i="2"/>
  <c r="F66" i="2"/>
  <c r="C66" i="2"/>
  <c r="D66" i="2"/>
  <c r="B66" i="2"/>
  <c r="M6" i="2"/>
  <c r="N6" i="2"/>
  <c r="K6" i="2"/>
  <c r="L6" i="2"/>
  <c r="I6" i="2"/>
  <c r="J6" i="2"/>
  <c r="F6" i="2"/>
  <c r="D6" i="2"/>
  <c r="R6" i="2" s="1"/>
  <c r="N67" i="2"/>
  <c r="D179" i="2"/>
  <c r="D181" i="2"/>
  <c r="D183" i="2"/>
  <c r="D178" i="2"/>
  <c r="D180" i="2"/>
  <c r="D182" i="2"/>
  <c r="C183" i="2"/>
  <c r="D177" i="2"/>
  <c r="C181" i="2"/>
  <c r="C182" i="2"/>
  <c r="C179" i="2"/>
  <c r="C180" i="2"/>
  <c r="C177" i="2"/>
  <c r="C178" i="2"/>
  <c r="C174" i="2"/>
  <c r="G74" i="2"/>
  <c r="H74" i="2" s="1"/>
  <c r="G71" i="2" s="1"/>
  <c r="M77" i="2"/>
  <c r="L76" i="2"/>
  <c r="M76" i="2"/>
  <c r="M75" i="2"/>
  <c r="L79" i="2"/>
  <c r="M74" i="2"/>
  <c r="M80" i="2"/>
  <c r="L77" i="2"/>
  <c r="M78" i="2"/>
  <c r="L78" i="2"/>
  <c r="L75" i="2"/>
  <c r="M79" i="2"/>
  <c r="L74" i="2"/>
  <c r="L80" i="2"/>
  <c r="S66" i="2" l="1"/>
  <c r="S6" i="2"/>
  <c r="R66" i="2"/>
  <c r="P8" i="7"/>
  <c r="B8" i="7"/>
  <c r="B8" i="6"/>
  <c r="B8" i="5"/>
  <c r="L67" i="2"/>
  <c r="M67" i="2"/>
  <c r="I129" i="2" s="1"/>
  <c r="J67" i="2"/>
  <c r="K67" i="2"/>
  <c r="H170" i="2" s="1"/>
  <c r="G67" i="2"/>
  <c r="I67" i="2"/>
  <c r="L6" i="1" s="1"/>
  <c r="E67" i="2"/>
  <c r="F67" i="2"/>
  <c r="G134" i="2" s="1"/>
  <c r="C67" i="2"/>
  <c r="K99" i="2" s="1"/>
  <c r="D67" i="2"/>
  <c r="D168" i="2" s="1"/>
  <c r="B67" i="2"/>
  <c r="L5" i="1" s="1"/>
  <c r="G168" i="2"/>
  <c r="C170" i="2"/>
  <c r="C154" i="2"/>
  <c r="C161" i="2"/>
  <c r="C167" i="2"/>
  <c r="C157" i="2"/>
  <c r="C168" i="2"/>
  <c r="C163" i="2"/>
  <c r="C169" i="2"/>
  <c r="C164" i="2"/>
  <c r="C159" i="2"/>
  <c r="K102" i="2"/>
  <c r="K97" i="2"/>
  <c r="K98" i="2"/>
  <c r="E182" i="2"/>
  <c r="E179" i="2"/>
  <c r="E178" i="2"/>
  <c r="E183" i="2"/>
  <c r="E177" i="2"/>
  <c r="E181" i="2"/>
  <c r="E180" i="2"/>
  <c r="D174" i="2"/>
  <c r="L81" i="2"/>
  <c r="L71" i="2" s="1"/>
  <c r="J5" i="1" s="1"/>
  <c r="M81" i="2"/>
  <c r="M71" i="2" s="1"/>
  <c r="J6" i="1" s="1"/>
  <c r="G170" i="2" l="1"/>
  <c r="C23" i="5" s="1"/>
  <c r="S67" i="2"/>
  <c r="R67" i="2"/>
  <c r="K96" i="2"/>
  <c r="S16" i="1"/>
  <c r="R16" i="1"/>
  <c r="S15" i="1"/>
  <c r="R15" i="1"/>
  <c r="K68" i="2"/>
  <c r="S14" i="1" s="1"/>
  <c r="J68" i="2"/>
  <c r="C68" i="2"/>
  <c r="R13" i="1" s="1"/>
  <c r="D68" i="2"/>
  <c r="R14" i="1" s="1"/>
  <c r="M68" i="2"/>
  <c r="F68" i="2"/>
  <c r="B156" i="2"/>
  <c r="A9" i="6" s="1"/>
  <c r="M98" i="2"/>
  <c r="B155" i="2"/>
  <c r="A8" i="6" s="1"/>
  <c r="B159" i="2"/>
  <c r="A12" i="6" s="1"/>
  <c r="D160" i="2"/>
  <c r="C155" i="2"/>
  <c r="A8" i="7" s="1"/>
  <c r="C156" i="2"/>
  <c r="A9" i="7" s="1"/>
  <c r="C160" i="2"/>
  <c r="A13" i="5" s="1"/>
  <c r="F157" i="2"/>
  <c r="C10" i="6" s="1"/>
  <c r="F154" i="2"/>
  <c r="C7" i="6" s="1"/>
  <c r="B163" i="2"/>
  <c r="A16" i="6" s="1"/>
  <c r="G166" i="2"/>
  <c r="C19" i="7" s="1"/>
  <c r="M97" i="2"/>
  <c r="G165" i="2"/>
  <c r="C18" i="5" s="1"/>
  <c r="G164" i="2"/>
  <c r="C17" i="7" s="1"/>
  <c r="P14" i="1"/>
  <c r="P17" i="1"/>
  <c r="P15" i="1"/>
  <c r="P16" i="1"/>
  <c r="P13" i="1"/>
  <c r="N14" i="1"/>
  <c r="N17" i="1"/>
  <c r="N15" i="1"/>
  <c r="N16" i="1"/>
  <c r="N13" i="1"/>
  <c r="D161" i="2"/>
  <c r="M6" i="1"/>
  <c r="M5" i="1"/>
  <c r="B160" i="2"/>
  <c r="A13" i="6" s="1"/>
  <c r="G154" i="2"/>
  <c r="C7" i="7" s="1"/>
  <c r="M100" i="2"/>
  <c r="B168" i="2"/>
  <c r="A21" i="6" s="1"/>
  <c r="G169" i="2"/>
  <c r="C22" i="7" s="1"/>
  <c r="G157" i="2"/>
  <c r="C10" i="5" s="1"/>
  <c r="I126" i="2"/>
  <c r="E126" i="2" s="1"/>
  <c r="B165" i="2"/>
  <c r="A18" i="6" s="1"/>
  <c r="F159" i="2"/>
  <c r="C12" i="6" s="1"/>
  <c r="G156" i="2"/>
  <c r="C9" i="5" s="1"/>
  <c r="G155" i="2"/>
  <c r="C8" i="7" s="1"/>
  <c r="M96" i="2"/>
  <c r="M101" i="2"/>
  <c r="B169" i="2"/>
  <c r="A22" i="6" s="1"/>
  <c r="B157" i="2"/>
  <c r="A10" i="6" s="1"/>
  <c r="F170" i="2"/>
  <c r="C23" i="6" s="1"/>
  <c r="G158" i="2"/>
  <c r="C11" i="7" s="1"/>
  <c r="G162" i="2"/>
  <c r="C15" i="7" s="1"/>
  <c r="K101" i="2"/>
  <c r="M99" i="2"/>
  <c r="B167" i="2"/>
  <c r="A20" i="6" s="1"/>
  <c r="B154" i="2"/>
  <c r="A7" i="6" s="1"/>
  <c r="B170" i="2"/>
  <c r="A23" i="6" s="1"/>
  <c r="C158" i="2"/>
  <c r="A11" i="5" s="1"/>
  <c r="C162" i="2"/>
  <c r="A15" i="5" s="1"/>
  <c r="F158" i="2"/>
  <c r="C11" i="6" s="1"/>
  <c r="G161" i="2"/>
  <c r="C14" i="7" s="1"/>
  <c r="G160" i="2"/>
  <c r="C13" i="7" s="1"/>
  <c r="K100" i="2"/>
  <c r="I128" i="2"/>
  <c r="N129" i="2" s="1"/>
  <c r="B158" i="2"/>
  <c r="A11" i="6" s="1"/>
  <c r="B162" i="2"/>
  <c r="A15" i="6" s="1"/>
  <c r="C166" i="2"/>
  <c r="A19" i="5" s="1"/>
  <c r="C165" i="2"/>
  <c r="A18" i="5" s="1"/>
  <c r="G159" i="2"/>
  <c r="C12" i="5" s="1"/>
  <c r="G163" i="2"/>
  <c r="C16" i="5" s="1"/>
  <c r="M102" i="2"/>
  <c r="B161" i="2"/>
  <c r="A14" i="6" s="1"/>
  <c r="G167" i="2"/>
  <c r="C20" i="7" s="1"/>
  <c r="B164" i="2"/>
  <c r="A17" i="6" s="1"/>
  <c r="B166" i="2"/>
  <c r="A19" i="6" s="1"/>
  <c r="G125" i="2"/>
  <c r="L126" i="2" s="1"/>
  <c r="H164" i="2"/>
  <c r="G132" i="2"/>
  <c r="L133" i="2" s="1"/>
  <c r="H163" i="2"/>
  <c r="H156" i="2"/>
  <c r="H162" i="2"/>
  <c r="H155" i="2"/>
  <c r="O8" i="7"/>
  <c r="P7" i="7"/>
  <c r="O7" i="7" s="1"/>
  <c r="B7" i="7"/>
  <c r="B7" i="6"/>
  <c r="B7" i="5"/>
  <c r="G129" i="2"/>
  <c r="C129" i="2" s="1"/>
  <c r="H169" i="2"/>
  <c r="H168" i="2"/>
  <c r="G127" i="2"/>
  <c r="C127" i="2" s="1"/>
  <c r="H161" i="2"/>
  <c r="H160" i="2"/>
  <c r="G128" i="2"/>
  <c r="C128" i="2" s="1"/>
  <c r="H153" i="2"/>
  <c r="G131" i="2"/>
  <c r="L132" i="2" s="1"/>
  <c r="G133" i="2"/>
  <c r="C133" i="2" s="1"/>
  <c r="H167" i="2"/>
  <c r="H166" i="2"/>
  <c r="H165" i="2"/>
  <c r="G124" i="2"/>
  <c r="L125" i="2" s="1"/>
  <c r="G130" i="2"/>
  <c r="C130" i="2" s="1"/>
  <c r="H159" i="2"/>
  <c r="H158" i="2"/>
  <c r="H157" i="2"/>
  <c r="G126" i="2"/>
  <c r="C126" i="2" s="1"/>
  <c r="H154" i="2"/>
  <c r="O11" i="7"/>
  <c r="O22" i="7"/>
  <c r="O17" i="7"/>
  <c r="O12" i="7"/>
  <c r="Q7" i="7"/>
  <c r="Q23" i="7"/>
  <c r="Q18" i="7"/>
  <c r="Q13" i="7"/>
  <c r="Q8" i="7"/>
  <c r="O15" i="7"/>
  <c r="O10" i="7"/>
  <c r="O21" i="7"/>
  <c r="O16" i="7"/>
  <c r="Q11" i="7"/>
  <c r="Q22" i="7"/>
  <c r="Q17" i="7"/>
  <c r="Q12" i="7"/>
  <c r="O19" i="7"/>
  <c r="O14" i="7"/>
  <c r="O9" i="7"/>
  <c r="O20" i="7"/>
  <c r="Q15" i="7"/>
  <c r="Q10" i="7"/>
  <c r="Q21" i="7"/>
  <c r="Q16" i="7"/>
  <c r="O23" i="7"/>
  <c r="O18" i="7"/>
  <c r="O13" i="7"/>
  <c r="Q19" i="7"/>
  <c r="Q14" i="7"/>
  <c r="Q9" i="7"/>
  <c r="Q20" i="7"/>
  <c r="D167" i="2"/>
  <c r="D166" i="2"/>
  <c r="D165" i="2"/>
  <c r="F164" i="2"/>
  <c r="C17" i="6" s="1"/>
  <c r="F163" i="2"/>
  <c r="C16" i="6" s="1"/>
  <c r="F162" i="2"/>
  <c r="C15" i="6" s="1"/>
  <c r="I124" i="2"/>
  <c r="E124" i="2" s="1"/>
  <c r="I130" i="2"/>
  <c r="N131" i="2" s="1"/>
  <c r="D159" i="2"/>
  <c r="D158" i="2"/>
  <c r="D157" i="2"/>
  <c r="F156" i="2"/>
  <c r="C9" i="6" s="1"/>
  <c r="F155" i="2"/>
  <c r="C8" i="6" s="1"/>
  <c r="I132" i="2"/>
  <c r="N133" i="2" s="1"/>
  <c r="I127" i="2"/>
  <c r="E127" i="2" s="1"/>
  <c r="D154" i="2"/>
  <c r="D170" i="2"/>
  <c r="F169" i="2"/>
  <c r="C22" i="6" s="1"/>
  <c r="F168" i="2"/>
  <c r="C21" i="6" s="1"/>
  <c r="I134" i="2"/>
  <c r="E134" i="2" s="1"/>
  <c r="I125" i="2"/>
  <c r="E125" i="2" s="1"/>
  <c r="D164" i="2"/>
  <c r="D163" i="2"/>
  <c r="D162" i="2"/>
  <c r="F161" i="2"/>
  <c r="C14" i="6" s="1"/>
  <c r="F160" i="2"/>
  <c r="C13" i="6" s="1"/>
  <c r="I131" i="2"/>
  <c r="N132" i="2" s="1"/>
  <c r="I133" i="2"/>
  <c r="E133" i="2" s="1"/>
  <c r="D156" i="2"/>
  <c r="D155" i="2"/>
  <c r="F153" i="2"/>
  <c r="C6" i="6" s="1"/>
  <c r="D169" i="2"/>
  <c r="F167" i="2"/>
  <c r="C20" i="6" s="1"/>
  <c r="F166" i="2"/>
  <c r="C19" i="6" s="1"/>
  <c r="F165" i="2"/>
  <c r="C18" i="6" s="1"/>
  <c r="C134" i="2"/>
  <c r="A17" i="5"/>
  <c r="A17" i="7"/>
  <c r="A16" i="5"/>
  <c r="A16" i="7"/>
  <c r="A20" i="5"/>
  <c r="A20" i="7"/>
  <c r="C21" i="7"/>
  <c r="C21" i="5"/>
  <c r="A12" i="5"/>
  <c r="A12" i="7"/>
  <c r="A22" i="5"/>
  <c r="A22" i="7"/>
  <c r="A21" i="5"/>
  <c r="A21" i="7"/>
  <c r="A10" i="5"/>
  <c r="A10" i="7"/>
  <c r="N130" i="2"/>
  <c r="E129" i="2"/>
  <c r="A14" i="5"/>
  <c r="A14" i="7"/>
  <c r="A7" i="5"/>
  <c r="A7" i="7"/>
  <c r="A23" i="5"/>
  <c r="A23" i="7"/>
  <c r="F182" i="2"/>
  <c r="F181" i="2"/>
  <c r="C23" i="7" l="1"/>
  <c r="S13" i="1"/>
  <c r="H68" i="2"/>
  <c r="A9" i="5"/>
  <c r="A8" i="5"/>
  <c r="C17" i="5"/>
  <c r="A13" i="7"/>
  <c r="C19" i="5"/>
  <c r="C18" i="7"/>
  <c r="C11" i="5"/>
  <c r="M7" i="1"/>
  <c r="C7" i="5"/>
  <c r="C10" i="7"/>
  <c r="C22" i="5"/>
  <c r="A19" i="7"/>
  <c r="A15" i="7"/>
  <c r="C9" i="7"/>
  <c r="C15" i="5"/>
  <c r="E128" i="2"/>
  <c r="A18" i="7"/>
  <c r="C125" i="2"/>
  <c r="C14" i="5"/>
  <c r="C8" i="5"/>
  <c r="N127" i="2"/>
  <c r="C132" i="2"/>
  <c r="M104" i="2"/>
  <c r="R6" i="1" s="1"/>
  <c r="C16" i="7"/>
  <c r="C13" i="5"/>
  <c r="A11" i="7"/>
  <c r="C12" i="7"/>
  <c r="C20" i="5"/>
  <c r="L127" i="2"/>
  <c r="L129" i="2"/>
  <c r="L134" i="2"/>
  <c r="P6" i="7"/>
  <c r="B6" i="5"/>
  <c r="B6" i="7"/>
  <c r="B6" i="6"/>
  <c r="G153" i="2"/>
  <c r="D153" i="2"/>
  <c r="B153" i="2"/>
  <c r="A6" i="6" s="1"/>
  <c r="C153" i="2"/>
  <c r="L128" i="2"/>
  <c r="C124" i="2"/>
  <c r="L130" i="2"/>
  <c r="L131" i="2"/>
  <c r="C131" i="2"/>
  <c r="N125" i="2"/>
  <c r="N128" i="2"/>
  <c r="N126" i="2"/>
  <c r="E130" i="2"/>
  <c r="E132" i="2"/>
  <c r="N134" i="2"/>
  <c r="E131" i="2"/>
  <c r="F183" i="2"/>
  <c r="F2" i="7" s="1"/>
  <c r="F184" i="2"/>
  <c r="M2" i="7" s="1"/>
  <c r="L13" i="1" l="1"/>
  <c r="J27" i="1"/>
  <c r="A6" i="5"/>
  <c r="A6" i="7"/>
  <c r="Q6" i="7"/>
  <c r="O6" i="7"/>
  <c r="C6" i="7"/>
  <c r="C6" i="5"/>
  <c r="P5" i="7"/>
  <c r="B5" i="5"/>
  <c r="B5" i="7"/>
  <c r="B5" i="6"/>
  <c r="G152" i="2"/>
  <c r="B152" i="2"/>
  <c r="A5" i="6" s="1"/>
  <c r="C152" i="2"/>
  <c r="D152" i="2"/>
  <c r="H152" i="2"/>
  <c r="F152" i="2"/>
  <c r="C5" i="6" s="1"/>
  <c r="C136" i="2"/>
  <c r="B136" i="2" s="1"/>
  <c r="C139" i="2" s="1"/>
  <c r="L136" i="2"/>
  <c r="K136" i="2" s="1"/>
  <c r="L139" i="2" s="1"/>
  <c r="N136" i="2"/>
  <c r="M136" i="2" s="1"/>
  <c r="L140" i="2" s="1"/>
  <c r="E136" i="2"/>
  <c r="D136" i="2" s="1"/>
  <c r="S2" i="1"/>
  <c r="Q2" i="5" s="1"/>
  <c r="Q27" i="5" s="1"/>
  <c r="K2" i="4"/>
  <c r="N139" i="2" l="1"/>
  <c r="O5" i="7"/>
  <c r="Q5" i="7"/>
  <c r="A5" i="5"/>
  <c r="A5" i="7"/>
  <c r="C5" i="7"/>
  <c r="C5" i="5"/>
  <c r="P4" i="7"/>
  <c r="B4" i="5"/>
  <c r="B4" i="7"/>
  <c r="B4" i="6"/>
  <c r="C151" i="2"/>
  <c r="B151" i="2"/>
  <c r="A4" i="6" s="1"/>
  <c r="F151" i="2"/>
  <c r="C4" i="6" s="1"/>
  <c r="G151" i="2"/>
  <c r="H151" i="2"/>
  <c r="D151" i="2"/>
  <c r="N137" i="2"/>
  <c r="E139" i="2"/>
  <c r="N140" i="2"/>
  <c r="E140" i="2"/>
  <c r="E137" i="2"/>
  <c r="C140" i="2"/>
  <c r="C142" i="2" s="1"/>
  <c r="C144" i="2" s="1"/>
  <c r="E144" i="2" s="1"/>
  <c r="L142" i="2"/>
  <c r="L143" i="2" s="1"/>
  <c r="N143" i="2" s="1"/>
  <c r="Q2" i="6"/>
  <c r="N3" i="7"/>
  <c r="N141" i="2" l="1"/>
  <c r="C4" i="7"/>
  <c r="C4" i="5"/>
  <c r="O4" i="7"/>
  <c r="Q4" i="7"/>
  <c r="A4" i="5"/>
  <c r="A4" i="7"/>
  <c r="P3" i="7"/>
  <c r="B3" i="7"/>
  <c r="B3" i="6"/>
  <c r="B3" i="5"/>
  <c r="G150" i="2"/>
  <c r="B150" i="2"/>
  <c r="A3" i="6" s="1"/>
  <c r="C150" i="2"/>
  <c r="D150" i="2"/>
  <c r="H150" i="2"/>
  <c r="F150" i="2"/>
  <c r="C3" i="6" s="1"/>
  <c r="E141" i="2"/>
  <c r="L144" i="2"/>
  <c r="N144" i="2" s="1"/>
  <c r="C143" i="2"/>
  <c r="E143" i="2" l="1"/>
  <c r="E145" i="2" s="1"/>
  <c r="A3" i="5"/>
  <c r="A3" i="7"/>
  <c r="C3" i="5"/>
  <c r="C3" i="7"/>
  <c r="O3" i="7"/>
  <c r="Q3" i="7"/>
  <c r="N145" i="2"/>
  <c r="I5" i="4"/>
  <c r="O1" i="6"/>
  <c r="M125" i="2"/>
  <c r="M133" i="2"/>
  <c r="M128" i="2"/>
  <c r="M132" i="2"/>
  <c r="M131" i="2"/>
  <c r="M130" i="2"/>
  <c r="M134" i="2"/>
  <c r="M127" i="2"/>
  <c r="M126" i="2"/>
  <c r="M129" i="2"/>
  <c r="D124" i="2"/>
  <c r="D129" i="2"/>
  <c r="D127" i="2"/>
  <c r="D126" i="2"/>
  <c r="D128" i="2"/>
  <c r="D132" i="2"/>
  <c r="D130" i="2"/>
  <c r="D133" i="2"/>
  <c r="D125" i="2"/>
  <c r="D131" i="2"/>
  <c r="D134" i="2"/>
  <c r="M86" i="2"/>
  <c r="E6" i="1" s="1"/>
  <c r="I1" i="9" l="1"/>
  <c r="I28" i="9"/>
  <c r="C6" i="1"/>
  <c r="F6" i="1"/>
  <c r="I4" i="4"/>
  <c r="H1" i="6"/>
  <c r="K125" i="2"/>
  <c r="K128" i="2"/>
  <c r="K127" i="2"/>
  <c r="K126" i="2"/>
  <c r="K129" i="2"/>
  <c r="K134" i="2"/>
  <c r="K133" i="2"/>
  <c r="K132" i="2"/>
  <c r="K131" i="2"/>
  <c r="K130" i="2"/>
  <c r="B124" i="2"/>
  <c r="B126" i="2"/>
  <c r="B128" i="2"/>
  <c r="B129" i="2"/>
  <c r="B131" i="2"/>
  <c r="B132" i="2"/>
  <c r="B125" i="2"/>
  <c r="B127" i="2"/>
  <c r="B130" i="2"/>
  <c r="B133" i="2"/>
  <c r="B134" i="2"/>
  <c r="M85" i="2"/>
  <c r="K104" i="2"/>
  <c r="R5" i="1" s="1"/>
  <c r="P1" i="5"/>
  <c r="N26" i="5" s="1"/>
  <c r="C5" i="4"/>
  <c r="H1" i="9" l="1"/>
  <c r="H28" i="9"/>
  <c r="M1" i="7"/>
  <c r="D6" i="1"/>
  <c r="H6" i="1"/>
  <c r="E184" i="2"/>
  <c r="F180" i="2" s="1"/>
  <c r="H3" i="1" s="1"/>
  <c r="E4" i="4" s="1"/>
  <c r="E5" i="1"/>
  <c r="B5" i="4"/>
  <c r="L1" i="7"/>
  <c r="O1" i="5"/>
  <c r="M26" i="5" s="1"/>
  <c r="K5" i="1" l="1"/>
  <c r="E28" i="9"/>
  <c r="E7" i="1"/>
  <c r="R1" i="5" s="1"/>
  <c r="E1" i="9"/>
  <c r="C5" i="1"/>
  <c r="F5" i="1"/>
  <c r="F1" i="7"/>
  <c r="C4" i="4"/>
  <c r="I1" i="5"/>
  <c r="F26" i="5" s="1"/>
  <c r="G5" i="1" l="1"/>
  <c r="D1" i="9"/>
  <c r="D28" i="9"/>
  <c r="F7" i="1"/>
  <c r="D5" i="1"/>
  <c r="D7" i="1" s="1"/>
  <c r="H5" i="1"/>
  <c r="D5" i="4"/>
  <c r="Q26" i="5"/>
  <c r="H2" i="7"/>
  <c r="E1" i="7"/>
  <c r="H1" i="5"/>
  <c r="E26" i="5" s="1"/>
  <c r="B4" i="4"/>
  <c r="K6" i="1" l="1"/>
  <c r="G6" i="1"/>
  <c r="N35" i="1"/>
  <c r="B35" i="1"/>
  <c r="G35" i="1"/>
  <c r="R35" i="1"/>
  <c r="R32" i="1"/>
  <c r="B32" i="1"/>
  <c r="B33" i="1"/>
  <c r="R33" i="1"/>
  <c r="B41" i="1"/>
  <c r="R30" i="1"/>
  <c r="B30" i="1"/>
  <c r="N30" i="1"/>
  <c r="B39" i="1"/>
  <c r="R39" i="1"/>
  <c r="N39" i="1"/>
  <c r="B36" i="1"/>
  <c r="N36" i="1"/>
  <c r="R36" i="1"/>
  <c r="N37" i="1"/>
  <c r="B37" i="1"/>
  <c r="N45" i="1"/>
  <c r="B45" i="1"/>
  <c r="R45" i="1"/>
  <c r="R34" i="1"/>
  <c r="R42" i="1"/>
  <c r="N42" i="1"/>
  <c r="B43" i="1"/>
  <c r="B44" i="1"/>
  <c r="R44" i="1"/>
  <c r="N44" i="1"/>
  <c r="B40" i="1"/>
  <c r="R31" i="1"/>
  <c r="R46" i="1"/>
  <c r="N46" i="1"/>
  <c r="B46" i="1"/>
  <c r="N47" i="1"/>
  <c r="B47" i="1"/>
  <c r="R47" i="1"/>
  <c r="B48" i="1"/>
  <c r="R38" i="1"/>
  <c r="B38" i="1"/>
  <c r="N38" i="1"/>
  <c r="G36" i="9"/>
  <c r="D36" i="9"/>
  <c r="I36" i="9"/>
  <c r="C36" i="9"/>
  <c r="I35" i="9"/>
  <c r="C35" i="9"/>
  <c r="G35" i="9"/>
  <c r="D35" i="9"/>
  <c r="O160" i="2"/>
  <c r="J44" i="5" s="1"/>
  <c r="P160" i="2"/>
  <c r="J161" i="2"/>
  <c r="K161" i="2"/>
  <c r="H45" i="5" s="1"/>
  <c r="L161" i="2"/>
  <c r="N161" i="2"/>
  <c r="O161" i="2"/>
  <c r="J45" i="5" s="1"/>
  <c r="P161" i="2"/>
  <c r="K162" i="2"/>
  <c r="H46" i="5" s="1"/>
  <c r="O162" i="2"/>
  <c r="J46" i="5" s="1"/>
  <c r="K163" i="2"/>
  <c r="H47" i="5" s="1"/>
  <c r="N163" i="2"/>
  <c r="O163" i="2"/>
  <c r="J47" i="5" s="1"/>
  <c r="P163" i="2"/>
  <c r="K164" i="2"/>
  <c r="H48" i="5" s="1"/>
  <c r="J36" i="9" l="1"/>
  <c r="K36" i="9" s="1"/>
  <c r="J35" i="9"/>
  <c r="K35" i="9" s="1"/>
  <c r="B36" i="9"/>
  <c r="A36" i="9" s="1"/>
  <c r="B35" i="9"/>
  <c r="A35" i="9" s="1"/>
  <c r="G33" i="1"/>
  <c r="G47" i="1"/>
  <c r="G43" i="1"/>
  <c r="G40" i="1"/>
  <c r="G44" i="1"/>
  <c r="G39" i="1"/>
  <c r="F48" i="1"/>
  <c r="E48" i="1" s="1"/>
  <c r="G48" i="1"/>
  <c r="F36" i="1"/>
  <c r="E36" i="1" s="1"/>
  <c r="G36" i="1"/>
  <c r="F32" i="1"/>
  <c r="E32" i="1" s="1"/>
  <c r="G32" i="1"/>
  <c r="F38" i="1"/>
  <c r="E38" i="1" s="1"/>
  <c r="G38" i="1"/>
  <c r="G46" i="1"/>
  <c r="F42" i="1"/>
  <c r="E42" i="1" s="1"/>
  <c r="G42" i="1"/>
  <c r="G30" i="1"/>
  <c r="F31" i="1"/>
  <c r="E31" i="1" s="1"/>
  <c r="G31" i="1"/>
  <c r="G34" i="1"/>
  <c r="G45" i="1"/>
  <c r="G37" i="1"/>
  <c r="G41" i="1"/>
  <c r="F45" i="1"/>
  <c r="E45" i="1" s="1"/>
  <c r="R40" i="1"/>
  <c r="F30" i="1"/>
  <c r="E30" i="1" s="1"/>
  <c r="R48" i="1"/>
  <c r="B34" i="1"/>
  <c r="R41" i="1"/>
  <c r="R43" i="1"/>
  <c r="R37" i="1"/>
  <c r="N33" i="1"/>
  <c r="B31" i="1"/>
  <c r="F40" i="1"/>
  <c r="E40" i="1" s="1"/>
  <c r="F43" i="1"/>
  <c r="E43" i="1" s="1"/>
  <c r="B42" i="1"/>
  <c r="N34" i="1"/>
  <c r="F37" i="1"/>
  <c r="E37" i="1" s="1"/>
  <c r="F41" i="1"/>
  <c r="E41" i="1" s="1"/>
  <c r="N48" i="1"/>
  <c r="F46" i="1"/>
  <c r="E46" i="1" s="1"/>
  <c r="N40" i="1"/>
  <c r="N43" i="1"/>
  <c r="F34" i="1"/>
  <c r="E34" i="1" s="1"/>
  <c r="N41" i="1"/>
  <c r="N32" i="1"/>
  <c r="F47" i="1"/>
  <c r="E47" i="1" s="1"/>
  <c r="N31" i="1"/>
  <c r="F44" i="1"/>
  <c r="E44" i="1" s="1"/>
  <c r="E39" i="1"/>
  <c r="F33" i="1"/>
  <c r="E33" i="1" s="1"/>
  <c r="F35" i="1"/>
  <c r="E35" i="1" s="1"/>
  <c r="J163" i="2"/>
  <c r="O164" i="2"/>
  <c r="J48" i="5" s="1"/>
  <c r="L163" i="2"/>
  <c r="K159" i="2"/>
  <c r="H43" i="5" s="1"/>
  <c r="O159" i="2"/>
  <c r="J43" i="5" s="1"/>
  <c r="J159" i="2"/>
  <c r="L159" i="2"/>
  <c r="N159" i="2"/>
  <c r="P159" i="2"/>
  <c r="P164" i="2"/>
  <c r="N164" i="2"/>
  <c r="L164" i="2"/>
  <c r="J164" i="2"/>
  <c r="P162" i="2"/>
  <c r="N162" i="2"/>
  <c r="L162" i="2"/>
  <c r="J162" i="2"/>
  <c r="K160" i="2"/>
  <c r="H44" i="5" s="1"/>
  <c r="N160" i="2"/>
  <c r="L160" i="2"/>
  <c r="J160" i="2"/>
  <c r="J158" i="2" l="1"/>
  <c r="L158" i="2"/>
  <c r="N158" i="2"/>
  <c r="P158" i="2"/>
  <c r="K158" i="2"/>
  <c r="H42" i="5" s="1"/>
  <c r="O158" i="2"/>
  <c r="J42" i="5" s="1"/>
  <c r="K165" i="2"/>
  <c r="H49" i="5" s="1"/>
  <c r="O165" i="2"/>
  <c r="J49" i="5" s="1"/>
  <c r="J165" i="2"/>
  <c r="L165" i="2"/>
  <c r="N165" i="2"/>
  <c r="P165" i="2"/>
  <c r="K157" i="2" l="1"/>
  <c r="H41" i="5" s="1"/>
  <c r="O157" i="2"/>
  <c r="J41" i="5" s="1"/>
  <c r="J157" i="2"/>
  <c r="L157" i="2"/>
  <c r="N157" i="2"/>
  <c r="P157" i="2"/>
  <c r="J166" i="2"/>
  <c r="L166" i="2"/>
  <c r="N166" i="2"/>
  <c r="P166" i="2"/>
  <c r="K166" i="2"/>
  <c r="H50" i="5" s="1"/>
  <c r="O166" i="2"/>
  <c r="J50" i="5" s="1"/>
  <c r="J156" i="2" l="1"/>
  <c r="L156" i="2"/>
  <c r="N156" i="2"/>
  <c r="P156" i="2"/>
  <c r="K156" i="2"/>
  <c r="H40" i="5" s="1"/>
  <c r="O156" i="2"/>
  <c r="J40" i="5" s="1"/>
  <c r="P167" i="2"/>
  <c r="K167" i="2"/>
  <c r="H51" i="5" s="1"/>
  <c r="O167" i="2"/>
  <c r="J51" i="5" s="1"/>
  <c r="J167" i="2"/>
  <c r="L167" i="2"/>
  <c r="N167" i="2"/>
  <c r="K155" i="2" l="1"/>
  <c r="H39" i="5" s="1"/>
  <c r="O155" i="2"/>
  <c r="J39" i="5" s="1"/>
  <c r="J155" i="2"/>
  <c r="L155" i="2"/>
  <c r="N155" i="2"/>
  <c r="P155" i="2"/>
  <c r="O168" i="2"/>
  <c r="J52" i="5" s="1"/>
  <c r="J168" i="2"/>
  <c r="L168" i="2"/>
  <c r="N168" i="2"/>
  <c r="P168" i="2"/>
  <c r="K168" i="2"/>
  <c r="H52" i="5" s="1"/>
  <c r="J169" i="2" l="1"/>
  <c r="N169" i="2"/>
  <c r="K169" i="2"/>
  <c r="H53" i="5" s="1"/>
  <c r="O169" i="2"/>
  <c r="J53" i="5" s="1"/>
  <c r="L169" i="2"/>
  <c r="P169" i="2"/>
  <c r="J154" i="2"/>
  <c r="L154" i="2"/>
  <c r="N154" i="2"/>
  <c r="P154" i="2"/>
  <c r="K154" i="2"/>
  <c r="H38" i="5" s="1"/>
  <c r="O154" i="2"/>
  <c r="J38" i="5" s="1"/>
  <c r="K170" i="2" l="1"/>
  <c r="H54" i="5" s="1"/>
  <c r="O170" i="2"/>
  <c r="J54" i="5" s="1"/>
  <c r="J170" i="2"/>
  <c r="L170" i="2"/>
  <c r="N170" i="2"/>
  <c r="P170" i="2"/>
  <c r="K153" i="2"/>
  <c r="H37" i="5" s="1"/>
  <c r="O153" i="2"/>
  <c r="J37" i="5" s="1"/>
  <c r="J153" i="2"/>
  <c r="L153" i="2"/>
  <c r="N153" i="2"/>
  <c r="P153" i="2"/>
  <c r="J152" i="2" l="1"/>
  <c r="L152" i="2"/>
  <c r="N152" i="2"/>
  <c r="P152" i="2"/>
  <c r="K152" i="2"/>
  <c r="H36" i="5" s="1"/>
  <c r="O152" i="2"/>
  <c r="J36" i="5" s="1"/>
  <c r="K151" i="2" l="1"/>
  <c r="H35" i="5" s="1"/>
  <c r="O151" i="2"/>
  <c r="J35" i="5" s="1"/>
  <c r="J151" i="2"/>
  <c r="L151" i="2"/>
  <c r="N151" i="2"/>
  <c r="P151" i="2"/>
  <c r="J150" i="2" l="1"/>
  <c r="L150" i="2"/>
  <c r="N150" i="2"/>
  <c r="P150" i="2"/>
  <c r="K150" i="2"/>
  <c r="H34" i="5" s="1"/>
  <c r="O150" i="2"/>
  <c r="J34" i="5" s="1"/>
  <c r="G7" i="1" l="1"/>
  <c r="L55" i="28" l="1"/>
  <c r="V6" i="3"/>
  <c r="M92" i="2" s="1"/>
  <c r="P6" i="1" s="1"/>
  <c r="P7" i="1" s="1"/>
  <c r="J51" i="18"/>
  <c r="C52" i="18"/>
  <c r="M51" i="18"/>
  <c r="U51" i="18"/>
  <c r="R51" i="18"/>
  <c r="F51" i="18"/>
  <c r="E51" i="18"/>
  <c r="F52" i="18"/>
  <c r="Q51" i="18"/>
  <c r="H51" i="18"/>
  <c r="D52" i="18"/>
  <c r="S51" i="18"/>
  <c r="S52" i="18"/>
  <c r="T51" i="18"/>
  <c r="N51" i="18"/>
  <c r="B51" i="18"/>
  <c r="O51" i="18"/>
  <c r="L51" i="18"/>
  <c r="G51" i="18"/>
  <c r="K51" i="18"/>
  <c r="O52" i="18"/>
  <c r="I51" i="18"/>
  <c r="P51" i="18"/>
  <c r="V51" i="18"/>
  <c r="A51" i="18"/>
  <c r="K51" i="28"/>
  <c r="E51" i="28"/>
  <c r="U51" i="28"/>
  <c r="O51" i="28"/>
  <c r="C51" i="28"/>
  <c r="R51" i="28"/>
  <c r="P51" i="28"/>
  <c r="L51" i="28"/>
  <c r="N51" i="28"/>
  <c r="S52" i="28"/>
  <c r="I51" i="28"/>
  <c r="J51" i="28"/>
  <c r="Q51" i="28"/>
  <c r="M51" i="28"/>
  <c r="H51" i="28"/>
  <c r="S51" i="28"/>
  <c r="T51" i="28"/>
  <c r="D51" i="28"/>
  <c r="B51" i="28"/>
  <c r="V51" i="28"/>
  <c r="F51" i="28"/>
  <c r="G51" i="28"/>
  <c r="F52" i="28"/>
  <c r="A51" i="28"/>
  <c r="J49" i="28"/>
  <c r="M49" i="28"/>
  <c r="D49" i="28"/>
  <c r="S50" i="28"/>
  <c r="O49" i="28"/>
  <c r="R49" i="28"/>
  <c r="P49" i="28"/>
  <c r="V49" i="28"/>
  <c r="F50" i="28"/>
  <c r="H49" i="28"/>
  <c r="G49" i="28"/>
  <c r="E49" i="28"/>
  <c r="B49" i="28"/>
  <c r="L49" i="28"/>
  <c r="K49" i="28"/>
  <c r="Q49" i="28"/>
  <c r="N49" i="28"/>
  <c r="F49" i="28"/>
  <c r="S49" i="28"/>
  <c r="C49" i="28"/>
  <c r="T49" i="28"/>
  <c r="I49" i="28"/>
  <c r="U49" i="28"/>
  <c r="A49" i="28"/>
  <c r="B49" i="18"/>
  <c r="J49" i="18"/>
  <c r="V49" i="18"/>
  <c r="T49" i="18"/>
  <c r="C50" i="18"/>
  <c r="Q49" i="18"/>
  <c r="E49" i="18"/>
  <c r="K49" i="18"/>
  <c r="F50" i="18"/>
  <c r="D50" i="18"/>
  <c r="H49" i="18"/>
  <c r="R49" i="18"/>
  <c r="F49" i="18"/>
  <c r="I49" i="18"/>
  <c r="N49" i="18"/>
  <c r="M49" i="18"/>
  <c r="S49" i="18"/>
  <c r="P49" i="18"/>
  <c r="G49" i="18"/>
  <c r="S50" i="18"/>
  <c r="U49" i="18"/>
  <c r="L49" i="18"/>
  <c r="O49" i="18"/>
  <c r="A49" i="18"/>
  <c r="O50" i="18"/>
  <c r="J47" i="18"/>
  <c r="H47" i="18"/>
  <c r="C48" i="18"/>
  <c r="I47" i="18"/>
  <c r="F48" i="18"/>
  <c r="Q47" i="18"/>
  <c r="U47" i="18"/>
  <c r="B47" i="18"/>
  <c r="E47" i="18"/>
  <c r="R47" i="18"/>
  <c r="M47" i="18"/>
  <c r="D48" i="18"/>
  <c r="K47" i="18"/>
  <c r="S47" i="18"/>
  <c r="T47" i="18"/>
  <c r="G47" i="18"/>
  <c r="P47" i="18"/>
  <c r="N47" i="18"/>
  <c r="S48" i="18"/>
  <c r="L47" i="18"/>
  <c r="O48" i="18"/>
  <c r="V47" i="18"/>
  <c r="F47" i="18"/>
  <c r="A47" i="18"/>
  <c r="O47" i="18"/>
  <c r="E47" i="28"/>
  <c r="S48" i="28"/>
  <c r="V47" i="28"/>
  <c r="B47" i="28"/>
  <c r="T47" i="28"/>
  <c r="Q47" i="28"/>
  <c r="R47" i="28"/>
  <c r="U47" i="28"/>
  <c r="M47" i="28"/>
  <c r="I47" i="28"/>
  <c r="L47" i="28"/>
  <c r="G47" i="28"/>
  <c r="O47" i="28"/>
  <c r="P47" i="28"/>
  <c r="F48" i="28"/>
  <c r="N47" i="28"/>
  <c r="K47" i="28"/>
  <c r="F47" i="28"/>
  <c r="D47" i="28"/>
  <c r="S47" i="28"/>
  <c r="C47" i="28"/>
  <c r="H47" i="28"/>
  <c r="A47" i="28"/>
  <c r="J47" i="28"/>
  <c r="O45" i="28"/>
  <c r="I45" i="28"/>
  <c r="M45" i="28"/>
  <c r="C45" i="28"/>
  <c r="Q45" i="28"/>
  <c r="J45" i="28"/>
  <c r="L45" i="28"/>
  <c r="V45" i="28"/>
  <c r="R45" i="28"/>
  <c r="F46" i="28"/>
  <c r="S45" i="28"/>
  <c r="D45" i="28"/>
  <c r="E45" i="28"/>
  <c r="B45" i="28"/>
  <c r="G45" i="28"/>
  <c r="P45" i="28"/>
  <c r="N45" i="28"/>
  <c r="K45" i="28"/>
  <c r="H45" i="28"/>
  <c r="S46" i="28"/>
  <c r="F45" i="28"/>
  <c r="T45" i="28"/>
  <c r="A45" i="28"/>
  <c r="U45" i="28"/>
  <c r="T45" i="18"/>
  <c r="O45" i="18"/>
  <c r="N45" i="18"/>
  <c r="D46" i="18"/>
  <c r="J45" i="18"/>
  <c r="H45" i="18"/>
  <c r="S46" i="18"/>
  <c r="R45" i="18"/>
  <c r="S45" i="18"/>
  <c r="I45" i="18"/>
  <c r="Q45" i="18"/>
  <c r="B45" i="18"/>
  <c r="M45" i="18"/>
  <c r="V45" i="18"/>
  <c r="L45" i="18"/>
  <c r="F46" i="18"/>
  <c r="P45" i="18"/>
  <c r="K45" i="18"/>
  <c r="F45" i="18"/>
  <c r="U45" i="18"/>
  <c r="O46" i="18"/>
  <c r="G45" i="18"/>
  <c r="E45" i="18"/>
  <c r="A45" i="18"/>
  <c r="C46" i="18"/>
  <c r="V41" i="18"/>
  <c r="S42" i="18"/>
  <c r="F41" i="18"/>
  <c r="J41" i="18"/>
  <c r="K41" i="18"/>
  <c r="M41" i="18"/>
  <c r="O42" i="18"/>
  <c r="T41" i="18"/>
  <c r="I41" i="18"/>
  <c r="N41" i="18"/>
  <c r="O41" i="18"/>
  <c r="C42" i="18"/>
  <c r="L41" i="18"/>
  <c r="P41" i="18"/>
  <c r="B41" i="18"/>
  <c r="R41" i="18"/>
  <c r="D42" i="18"/>
  <c r="F42" i="18"/>
  <c r="G41" i="18"/>
  <c r="U41" i="18"/>
  <c r="H41" i="18"/>
  <c r="Q41" i="18"/>
  <c r="E41" i="18"/>
  <c r="S41" i="18"/>
  <c r="A41" i="18"/>
  <c r="M41" i="28"/>
  <c r="T41" i="28"/>
  <c r="F42" i="28"/>
  <c r="L41" i="28"/>
  <c r="N41" i="28"/>
  <c r="P41" i="28"/>
  <c r="J41" i="28"/>
  <c r="K41" i="28"/>
  <c r="H41" i="28"/>
  <c r="E41" i="28"/>
  <c r="O41" i="28"/>
  <c r="U41" i="28"/>
  <c r="I41" i="28"/>
  <c r="S42" i="28"/>
  <c r="B41" i="28"/>
  <c r="F41" i="28"/>
  <c r="S41" i="28"/>
  <c r="R41" i="28"/>
  <c r="V41" i="28"/>
  <c r="Q41" i="28"/>
  <c r="C41" i="28"/>
  <c r="D41" i="28"/>
  <c r="G41" i="28"/>
  <c r="A41" i="28"/>
  <c r="V39" i="28"/>
  <c r="S40" i="28"/>
  <c r="R39" i="28"/>
  <c r="I39" i="28"/>
  <c r="P39" i="28"/>
  <c r="M39" i="28"/>
  <c r="Q39" i="28"/>
  <c r="E39" i="28"/>
  <c r="K39" i="28"/>
  <c r="H39" i="28"/>
  <c r="D39" i="28"/>
  <c r="F39" i="28"/>
  <c r="C39" i="28"/>
  <c r="L39" i="28"/>
  <c r="N39" i="28"/>
  <c r="U39" i="28"/>
  <c r="J39" i="28"/>
  <c r="S39" i="28"/>
  <c r="F40" i="28"/>
  <c r="B39" i="28"/>
  <c r="T39" i="28"/>
  <c r="G39" i="28"/>
  <c r="O39" i="28"/>
  <c r="A39" i="28"/>
  <c r="C40" i="18"/>
  <c r="V39" i="18"/>
  <c r="S39" i="18"/>
  <c r="H39" i="18"/>
  <c r="T39" i="18"/>
  <c r="F40" i="18"/>
  <c r="I39" i="18"/>
  <c r="J39" i="18"/>
  <c r="E39" i="18"/>
  <c r="S40" i="18"/>
  <c r="O39" i="18"/>
  <c r="N39" i="18"/>
  <c r="D40" i="18"/>
  <c r="L39" i="18"/>
  <c r="G39" i="18"/>
  <c r="R39" i="18"/>
  <c r="U39" i="18"/>
  <c r="B39" i="18"/>
  <c r="M39" i="18"/>
  <c r="O40" i="18"/>
  <c r="F39" i="18"/>
  <c r="P39" i="18"/>
  <c r="Q39" i="18"/>
  <c r="A39" i="18"/>
  <c r="K39" i="18"/>
  <c r="P37" i="18"/>
  <c r="B37" i="18"/>
  <c r="S38" i="18"/>
  <c r="Q37" i="18"/>
  <c r="V37" i="18"/>
  <c r="S37" i="18"/>
  <c r="D38" i="18"/>
  <c r="C38" i="18"/>
  <c r="M37" i="18"/>
  <c r="O37" i="18"/>
  <c r="U37" i="18"/>
  <c r="L37" i="18"/>
  <c r="N37" i="18"/>
  <c r="G37" i="18"/>
  <c r="F37" i="18"/>
  <c r="E37" i="18"/>
  <c r="T37" i="18"/>
  <c r="R37" i="18"/>
  <c r="F38" i="18"/>
  <c r="K37" i="18"/>
  <c r="J37" i="18"/>
  <c r="I37" i="18"/>
  <c r="H37" i="18"/>
  <c r="A37" i="18"/>
  <c r="O38" i="18"/>
  <c r="U37" i="28"/>
  <c r="E37" i="28"/>
  <c r="Q37" i="28"/>
  <c r="F38" i="28"/>
  <c r="G37" i="28"/>
  <c r="S37" i="28"/>
  <c r="F37" i="28"/>
  <c r="N37" i="28"/>
  <c r="J37" i="28"/>
  <c r="I37" i="28"/>
  <c r="C37" i="28"/>
  <c r="M37" i="28"/>
  <c r="B37" i="28"/>
  <c r="S38" i="28"/>
  <c r="P37" i="28"/>
  <c r="H37" i="28"/>
  <c r="L37" i="28"/>
  <c r="D37" i="28"/>
  <c r="T37" i="28"/>
  <c r="R37" i="28"/>
  <c r="V37" i="28"/>
  <c r="K37" i="28"/>
  <c r="O37" i="28"/>
  <c r="A37" i="28"/>
  <c r="F36" i="28"/>
  <c r="J35" i="28"/>
  <c r="R35" i="28"/>
  <c r="N35" i="28"/>
  <c r="O35" i="28"/>
  <c r="S36" i="28"/>
  <c r="F35" i="28"/>
  <c r="B35" i="28"/>
  <c r="C35" i="28"/>
  <c r="U35" i="28"/>
  <c r="T35" i="28"/>
  <c r="V35" i="28"/>
  <c r="D35" i="28"/>
  <c r="S35" i="28"/>
  <c r="M35" i="28"/>
  <c r="Q35" i="28"/>
  <c r="P35" i="28"/>
  <c r="H35" i="28"/>
  <c r="L35" i="28"/>
  <c r="E35" i="28"/>
  <c r="G35" i="28"/>
  <c r="K35" i="28"/>
  <c r="I35" i="28"/>
  <c r="A35" i="28"/>
  <c r="G35" i="18"/>
  <c r="D36" i="18"/>
  <c r="M35" i="18"/>
  <c r="F35" i="18"/>
  <c r="U35" i="18"/>
  <c r="J35" i="18"/>
  <c r="Q35" i="18"/>
  <c r="T35" i="18"/>
  <c r="L35" i="18"/>
  <c r="E35" i="18"/>
  <c r="N35" i="18"/>
  <c r="P35" i="18"/>
  <c r="C36" i="18"/>
  <c r="S35" i="18"/>
  <c r="S36" i="18"/>
  <c r="I35" i="18"/>
  <c r="R35" i="18"/>
  <c r="K35" i="18"/>
  <c r="O36" i="18"/>
  <c r="O35" i="18"/>
  <c r="V35" i="18"/>
  <c r="H35" i="18"/>
  <c r="F36" i="18"/>
  <c r="A35" i="18"/>
  <c r="B35" i="18"/>
  <c r="H23" i="28"/>
  <c r="K23" i="28"/>
  <c r="F23" i="28"/>
  <c r="D23" i="28"/>
  <c r="L23" i="28"/>
  <c r="C23" i="28"/>
  <c r="G23" i="28"/>
  <c r="T23" i="28"/>
  <c r="U23" i="28"/>
  <c r="B23" i="28"/>
  <c r="Q23" i="28"/>
  <c r="P23" i="28"/>
  <c r="J23" i="28"/>
  <c r="F24" i="28"/>
  <c r="N23" i="28"/>
  <c r="V23" i="28"/>
  <c r="S23" i="28"/>
  <c r="S24" i="28"/>
  <c r="O23" i="28"/>
  <c r="M23" i="28"/>
  <c r="I23" i="28"/>
  <c r="E23" i="28"/>
  <c r="A23" i="28"/>
  <c r="R23" i="28"/>
  <c r="D24" i="18"/>
  <c r="S24" i="18"/>
  <c r="L23" i="18"/>
  <c r="F23" i="18"/>
  <c r="O23" i="18"/>
  <c r="G23" i="18"/>
  <c r="J23" i="18"/>
  <c r="T23" i="18"/>
  <c r="F24" i="18"/>
  <c r="P23" i="18"/>
  <c r="H23" i="18"/>
  <c r="N23" i="18"/>
  <c r="M23" i="18"/>
  <c r="E23" i="18"/>
  <c r="V23" i="18"/>
  <c r="K23" i="18"/>
  <c r="C24" i="18"/>
  <c r="U23" i="18"/>
  <c r="B23" i="18"/>
  <c r="R23" i="18"/>
  <c r="I23" i="18"/>
  <c r="O24" i="18"/>
  <c r="S23" i="18"/>
  <c r="A23" i="18"/>
  <c r="Q23" i="18"/>
  <c r="F21" i="28"/>
  <c r="K21" i="28"/>
  <c r="O21" i="28"/>
  <c r="G21" i="28"/>
  <c r="C21" i="28"/>
  <c r="B21" i="28"/>
  <c r="R21" i="28"/>
  <c r="L21" i="28"/>
  <c r="P21" i="28"/>
  <c r="I21" i="28"/>
  <c r="Q21" i="28"/>
  <c r="M21" i="28"/>
  <c r="N21" i="28"/>
  <c r="S21" i="28"/>
  <c r="S22" i="28"/>
  <c r="F22" i="28"/>
  <c r="J21" i="28"/>
  <c r="U21" i="28"/>
  <c r="T21" i="28"/>
  <c r="V21" i="28"/>
  <c r="H21" i="28"/>
  <c r="E21" i="28"/>
  <c r="A21" i="28"/>
  <c r="D21" i="28"/>
  <c r="O22" i="18"/>
  <c r="N21" i="18"/>
  <c r="I21" i="18"/>
  <c r="S22" i="18"/>
  <c r="P21" i="18"/>
  <c r="Q21" i="18"/>
  <c r="C22" i="18"/>
  <c r="J21" i="18"/>
  <c r="L21" i="18"/>
  <c r="F22" i="18"/>
  <c r="H21" i="18"/>
  <c r="G21" i="18"/>
  <c r="S21" i="18"/>
  <c r="T21" i="18"/>
  <c r="M21" i="18"/>
  <c r="O21" i="18"/>
  <c r="E21" i="18"/>
  <c r="R21" i="18"/>
  <c r="D22" i="18"/>
  <c r="B21" i="18"/>
  <c r="F21" i="18"/>
  <c r="V21" i="18"/>
  <c r="K21" i="18"/>
  <c r="A21" i="18"/>
  <c r="U21" i="18"/>
  <c r="F19" i="28"/>
  <c r="F20" i="28"/>
  <c r="H19" i="28"/>
  <c r="M19" i="28"/>
  <c r="L19" i="28"/>
  <c r="D19" i="28"/>
  <c r="P19" i="28"/>
  <c r="B19" i="28"/>
  <c r="S19" i="28"/>
  <c r="U19" i="28"/>
  <c r="S20" i="28"/>
  <c r="K19" i="28"/>
  <c r="O19" i="28"/>
  <c r="V19" i="28"/>
  <c r="T19" i="28"/>
  <c r="J19" i="28"/>
  <c r="E19" i="28"/>
  <c r="Q19" i="28"/>
  <c r="G19" i="28"/>
  <c r="C19" i="28"/>
  <c r="N19" i="28"/>
  <c r="I19" i="28"/>
  <c r="A19" i="28"/>
  <c r="R19" i="28"/>
  <c r="I19" i="18"/>
  <c r="D20" i="18"/>
  <c r="H19" i="18"/>
  <c r="U19" i="18"/>
  <c r="P19" i="18"/>
  <c r="R19" i="18"/>
  <c r="F19" i="18"/>
  <c r="M19" i="18"/>
  <c r="F20" i="18"/>
  <c r="S19" i="18"/>
  <c r="J19" i="18"/>
  <c r="E19" i="18"/>
  <c r="T19" i="18"/>
  <c r="K19" i="18"/>
  <c r="O19" i="18"/>
  <c r="S20" i="18"/>
  <c r="O20" i="18"/>
  <c r="V19" i="18"/>
  <c r="G19" i="18"/>
  <c r="Q19" i="18"/>
  <c r="C20" i="18"/>
  <c r="L19" i="18"/>
  <c r="B19" i="18"/>
  <c r="N19" i="18"/>
  <c r="A19" i="18"/>
  <c r="J17" i="28"/>
  <c r="D17" i="28"/>
  <c r="C17" i="28"/>
  <c r="F17" i="28"/>
  <c r="Q17" i="28"/>
  <c r="L17" i="28"/>
  <c r="I17" i="28"/>
  <c r="M17" i="28"/>
  <c r="V17" i="28"/>
  <c r="P17" i="28"/>
  <c r="H17" i="28"/>
  <c r="F18" i="28"/>
  <c r="U17" i="28"/>
  <c r="T17" i="28"/>
  <c r="R17" i="28"/>
  <c r="E17" i="28"/>
  <c r="G17" i="28"/>
  <c r="O17" i="28"/>
  <c r="S18" i="28"/>
  <c r="B17" i="28"/>
  <c r="S17" i="28"/>
  <c r="K17" i="28"/>
  <c r="N17" i="28"/>
  <c r="A17" i="28"/>
  <c r="F18" i="18"/>
  <c r="K17" i="18"/>
  <c r="H17" i="18"/>
  <c r="C18" i="18"/>
  <c r="V17" i="18"/>
  <c r="R17" i="18"/>
  <c r="I17" i="18"/>
  <c r="G17" i="18"/>
  <c r="U17" i="18"/>
  <c r="S18" i="18"/>
  <c r="J17" i="18"/>
  <c r="D18" i="18"/>
  <c r="P17" i="18"/>
  <c r="Q17" i="18"/>
  <c r="F17" i="18"/>
  <c r="O17" i="18"/>
  <c r="B17" i="18"/>
  <c r="N17" i="18"/>
  <c r="M17" i="18"/>
  <c r="O18" i="18"/>
  <c r="S17" i="18"/>
  <c r="T17" i="18"/>
  <c r="L17" i="18"/>
  <c r="A17" i="18"/>
  <c r="E17" i="18"/>
  <c r="C15" i="28"/>
  <c r="S16" i="28"/>
  <c r="H15" i="28"/>
  <c r="T15" i="28"/>
  <c r="L15" i="28"/>
  <c r="F16" i="28"/>
  <c r="G15" i="28"/>
  <c r="F15" i="28"/>
  <c r="S15" i="28"/>
  <c r="J15" i="28"/>
  <c r="I15" i="28"/>
  <c r="E15" i="28"/>
  <c r="M15" i="28"/>
  <c r="B15" i="28"/>
  <c r="P15" i="28"/>
  <c r="R15" i="28"/>
  <c r="D15" i="28"/>
  <c r="Q15" i="28"/>
  <c r="U15" i="28"/>
  <c r="N15" i="28"/>
  <c r="V15" i="28"/>
  <c r="K15" i="28"/>
  <c r="A15" i="28"/>
  <c r="O15" i="28"/>
  <c r="S15" i="18"/>
  <c r="O15" i="18"/>
  <c r="O16" i="18"/>
  <c r="S16" i="18"/>
  <c r="K15" i="18"/>
  <c r="F16" i="18"/>
  <c r="L15" i="18"/>
  <c r="N15" i="18"/>
  <c r="R15" i="18"/>
  <c r="B15" i="18"/>
  <c r="J15" i="18"/>
  <c r="C16" i="18"/>
  <c r="V15" i="18"/>
  <c r="I15" i="18"/>
  <c r="D16" i="18"/>
  <c r="H15" i="18"/>
  <c r="Q15" i="18"/>
  <c r="E15" i="18"/>
  <c r="G15" i="18"/>
  <c r="U15" i="18"/>
  <c r="M15" i="18"/>
  <c r="F15" i="18"/>
  <c r="T15" i="18"/>
  <c r="A15" i="18"/>
  <c r="P15" i="18"/>
  <c r="O13" i="28"/>
  <c r="G13" i="28"/>
  <c r="U13" i="28"/>
  <c r="M13" i="28"/>
  <c r="D13" i="28"/>
  <c r="S13" i="28"/>
  <c r="S14" i="28"/>
  <c r="B13" i="28"/>
  <c r="T13" i="28"/>
  <c r="F13" i="28"/>
  <c r="H13" i="28"/>
  <c r="J13" i="28"/>
  <c r="L13" i="28"/>
  <c r="Q13" i="28"/>
  <c r="K13" i="28"/>
  <c r="N13" i="28"/>
  <c r="P13" i="28"/>
  <c r="V13" i="28"/>
  <c r="C13" i="28"/>
  <c r="F14" i="28"/>
  <c r="E13" i="28"/>
  <c r="R13" i="28"/>
  <c r="A13" i="28"/>
  <c r="I13" i="28"/>
  <c r="N13" i="18"/>
  <c r="H13" i="18"/>
  <c r="I13" i="18"/>
  <c r="B13" i="18"/>
  <c r="V13" i="18"/>
  <c r="M13" i="18"/>
  <c r="O13" i="18"/>
  <c r="F13" i="18"/>
  <c r="E13" i="18"/>
  <c r="T13" i="18"/>
  <c r="P13" i="18"/>
  <c r="F14" i="18"/>
  <c r="K13" i="18"/>
  <c r="U13" i="18"/>
  <c r="S14" i="18"/>
  <c r="Q13" i="18"/>
  <c r="L13" i="18"/>
  <c r="G13" i="18"/>
  <c r="S13" i="18"/>
  <c r="O14" i="18"/>
  <c r="D14" i="18"/>
  <c r="J13" i="18"/>
  <c r="C14" i="18"/>
  <c r="A13" i="18"/>
  <c r="R13" i="18"/>
  <c r="T11" i="28"/>
  <c r="U11" i="28"/>
  <c r="I11" i="28"/>
  <c r="N11" i="28"/>
  <c r="R11" i="28"/>
  <c r="D11" i="28"/>
  <c r="S12" i="28"/>
  <c r="O11" i="28"/>
  <c r="G12" i="28"/>
  <c r="F12" i="28"/>
  <c r="G11" i="28"/>
  <c r="S11" i="28"/>
  <c r="M11" i="28"/>
  <c r="V11" i="28"/>
  <c r="Q11" i="28"/>
  <c r="B11" i="28"/>
  <c r="L11" i="28"/>
  <c r="H11" i="28"/>
  <c r="K11" i="28"/>
  <c r="F11" i="28"/>
  <c r="C11" i="28"/>
  <c r="J11" i="28"/>
  <c r="P11" i="28"/>
  <c r="A11" i="28"/>
  <c r="E11" i="28"/>
  <c r="N11" i="18"/>
  <c r="L11" i="18"/>
  <c r="V11" i="18"/>
  <c r="Q11" i="18"/>
  <c r="O11" i="18"/>
  <c r="K11" i="18"/>
  <c r="H11" i="18"/>
  <c r="M11" i="18"/>
  <c r="S11" i="18"/>
  <c r="U11" i="18"/>
  <c r="G11" i="18"/>
  <c r="B11" i="18"/>
  <c r="S12" i="18"/>
  <c r="I11" i="18"/>
  <c r="R11" i="18"/>
  <c r="E11" i="18"/>
  <c r="G12" i="18"/>
  <c r="F11" i="18"/>
  <c r="J11" i="18"/>
  <c r="F12" i="18"/>
  <c r="P11" i="18"/>
  <c r="T11" i="18"/>
  <c r="O12" i="18"/>
  <c r="D12" i="18"/>
  <c r="C12" i="18"/>
  <c r="A11" i="18"/>
  <c r="F10" i="28"/>
  <c r="L9" i="28"/>
  <c r="T9" i="28"/>
  <c r="J9" i="28"/>
  <c r="C9" i="28"/>
  <c r="S9" i="28"/>
  <c r="I9" i="28"/>
  <c r="S10" i="28"/>
  <c r="B9" i="28"/>
  <c r="U9" i="28"/>
  <c r="D9" i="28"/>
  <c r="G9" i="28"/>
  <c r="M9" i="28"/>
  <c r="G10" i="28"/>
  <c r="P9" i="28"/>
  <c r="H9" i="28"/>
  <c r="F9" i="28"/>
  <c r="N9" i="28"/>
  <c r="E9" i="28"/>
  <c r="O9" i="28"/>
  <c r="Q9" i="28"/>
  <c r="K9" i="28"/>
  <c r="R9" i="28"/>
  <c r="A9" i="28"/>
  <c r="V9" i="28"/>
  <c r="S9" i="18"/>
  <c r="S10" i="18"/>
  <c r="O9" i="18"/>
  <c r="I9" i="18"/>
  <c r="J9" i="18"/>
  <c r="P9" i="18"/>
  <c r="H9" i="18"/>
  <c r="F10" i="18"/>
  <c r="U9" i="18"/>
  <c r="C10" i="18"/>
  <c r="O10" i="18"/>
  <c r="K9" i="18"/>
  <c r="D10" i="18"/>
  <c r="R9" i="18"/>
  <c r="G9" i="18"/>
  <c r="F9" i="18"/>
  <c r="E9" i="18"/>
  <c r="B9" i="18"/>
  <c r="Q9" i="18"/>
  <c r="L9" i="18"/>
  <c r="T9" i="18"/>
  <c r="G10" i="18"/>
  <c r="N9" i="18"/>
  <c r="M9" i="18"/>
  <c r="A9" i="18"/>
  <c r="V9" i="18"/>
  <c r="S7" i="28"/>
  <c r="E7" i="28"/>
  <c r="L7" i="28"/>
  <c r="M7" i="28"/>
  <c r="P7" i="28"/>
  <c r="T7" i="28"/>
  <c r="C7" i="28"/>
  <c r="N7" i="28"/>
  <c r="I7" i="28"/>
  <c r="F8" i="28"/>
  <c r="Q7" i="28"/>
  <c r="G8" i="28"/>
  <c r="O7" i="28"/>
  <c r="S8" i="28"/>
  <c r="H7" i="28"/>
  <c r="V7" i="28"/>
  <c r="F7" i="28"/>
  <c r="R7" i="28"/>
  <c r="B7" i="28"/>
  <c r="K7" i="28"/>
  <c r="G7" i="28"/>
  <c r="D7" i="28"/>
  <c r="U7" i="28"/>
  <c r="J7" i="28"/>
  <c r="A7" i="28"/>
  <c r="T7" i="18"/>
  <c r="F7" i="18"/>
  <c r="D8" i="18"/>
  <c r="O7" i="18"/>
  <c r="M7" i="18"/>
  <c r="P7" i="18"/>
  <c r="Q7" i="18"/>
  <c r="I7" i="18"/>
  <c r="R7" i="18"/>
  <c r="O8" i="18"/>
  <c r="B7" i="18"/>
  <c r="S8" i="18"/>
  <c r="S7" i="18"/>
  <c r="L7" i="18"/>
  <c r="H7" i="18"/>
  <c r="V7" i="18"/>
  <c r="G7" i="18"/>
  <c r="U7" i="18"/>
  <c r="K7" i="18"/>
  <c r="F8" i="18"/>
  <c r="C8" i="18"/>
  <c r="N7" i="18"/>
  <c r="J7" i="18"/>
  <c r="E7" i="18"/>
  <c r="A7" i="18"/>
  <c r="G8" i="18"/>
  <c r="L5" i="28"/>
  <c r="G6" i="28"/>
  <c r="H5" i="28"/>
  <c r="J5" i="28"/>
  <c r="T5" i="28"/>
  <c r="F5" i="28"/>
  <c r="S6" i="28"/>
  <c r="R5" i="28"/>
  <c r="O5" i="28"/>
  <c r="G5" i="28"/>
  <c r="E5" i="28"/>
  <c r="U5" i="28"/>
  <c r="D5" i="28"/>
  <c r="N5" i="28"/>
  <c r="Q5" i="28"/>
  <c r="B5" i="28"/>
  <c r="K5" i="28"/>
  <c r="I5" i="28"/>
  <c r="C5" i="28"/>
  <c r="P5" i="28"/>
  <c r="M5" i="28"/>
  <c r="V5" i="28"/>
  <c r="F6" i="28"/>
  <c r="A5" i="28"/>
  <c r="S5" i="28"/>
  <c r="R5" i="18"/>
  <c r="B5" i="18"/>
  <c r="V5" i="18"/>
  <c r="P5" i="18"/>
  <c r="M5" i="18"/>
  <c r="I5" i="18"/>
  <c r="D6" i="18"/>
  <c r="C6" i="18"/>
  <c r="J5" i="18"/>
  <c r="S6" i="18"/>
  <c r="Q5" i="18"/>
  <c r="U5" i="18"/>
  <c r="N5" i="18"/>
  <c r="L5" i="18"/>
  <c r="F6" i="18"/>
  <c r="K5" i="18"/>
  <c r="G5" i="18"/>
  <c r="T5" i="18"/>
  <c r="F5" i="18"/>
  <c r="G6" i="18"/>
  <c r="S5" i="18"/>
  <c r="H5" i="18"/>
  <c r="O6" i="18"/>
  <c r="E5" i="18"/>
  <c r="A5" i="18"/>
  <c r="O5" i="18"/>
  <c r="H3" i="28"/>
  <c r="T3" i="28"/>
  <c r="S4" i="28"/>
  <c r="V3" i="28"/>
  <c r="R3" i="28"/>
  <c r="G4" i="28"/>
  <c r="S3" i="28"/>
  <c r="F4" i="28"/>
  <c r="F3" i="28"/>
  <c r="P3" i="28"/>
  <c r="L3" i="28"/>
  <c r="B3" i="28"/>
  <c r="O3" i="28"/>
  <c r="G3" i="28"/>
  <c r="I3" i="28"/>
  <c r="C3" i="28"/>
  <c r="Q3" i="28"/>
  <c r="J3" i="28"/>
  <c r="K3" i="28"/>
  <c r="U3" i="28"/>
  <c r="M3" i="28"/>
  <c r="N3" i="28"/>
  <c r="D3" i="28"/>
  <c r="A3" i="28"/>
  <c r="E3" i="28"/>
  <c r="D3" i="18"/>
  <c r="T3" i="18"/>
  <c r="H3" i="18"/>
  <c r="O3" i="18"/>
  <c r="J3" i="18"/>
  <c r="D4" i="18"/>
  <c r="I3" i="18"/>
  <c r="P3" i="18"/>
  <c r="G4" i="18"/>
  <c r="M3" i="18"/>
  <c r="K3" i="18"/>
  <c r="B3" i="18"/>
  <c r="S3" i="18"/>
  <c r="U3" i="18"/>
  <c r="R3" i="18"/>
  <c r="F3" i="18"/>
  <c r="S4" i="18"/>
  <c r="F4" i="18"/>
  <c r="L3" i="18"/>
  <c r="N3" i="18"/>
  <c r="C3" i="18"/>
  <c r="V3" i="18"/>
  <c r="G3" i="18"/>
  <c r="E3" i="18"/>
  <c r="Q3" i="18"/>
  <c r="O4" i="18"/>
  <c r="A3" i="18"/>
  <c r="C4" i="18"/>
  <c r="V33" i="28"/>
  <c r="F34" i="28"/>
  <c r="S33" i="28"/>
  <c r="F33" i="28"/>
  <c r="N33" i="28"/>
  <c r="M33" i="28"/>
  <c r="T33" i="28"/>
  <c r="G33" i="28"/>
  <c r="Q33" i="28"/>
  <c r="B33" i="28"/>
  <c r="S34" i="28"/>
  <c r="J33" i="28"/>
  <c r="H33" i="28"/>
  <c r="O33" i="28"/>
  <c r="D33" i="28"/>
  <c r="C33" i="28"/>
  <c r="E33" i="28"/>
  <c r="L33" i="28"/>
  <c r="P33" i="28"/>
  <c r="I33" i="28"/>
  <c r="K33" i="28"/>
  <c r="R33" i="28"/>
  <c r="A33" i="28"/>
  <c r="U33" i="28"/>
  <c r="K27" i="28"/>
  <c r="D27" i="28"/>
  <c r="E27" i="28"/>
  <c r="U27" i="28"/>
  <c r="S27" i="28"/>
  <c r="S28" i="28"/>
  <c r="J27" i="28"/>
  <c r="R27" i="28"/>
  <c r="V27" i="28"/>
  <c r="G27" i="28"/>
  <c r="B27" i="28"/>
  <c r="H27" i="28"/>
  <c r="T27" i="28"/>
  <c r="F28" i="28"/>
  <c r="P27" i="28"/>
  <c r="L27" i="28"/>
  <c r="O27" i="28"/>
  <c r="I27" i="28"/>
  <c r="N27" i="28"/>
  <c r="C27" i="28"/>
  <c r="Q27" i="28"/>
  <c r="M27" i="28"/>
  <c r="A27" i="28"/>
  <c r="F27" i="28"/>
  <c r="N25" i="28"/>
  <c r="K25" i="28"/>
  <c r="Q25" i="28"/>
  <c r="S25" i="28"/>
  <c r="T25" i="28"/>
  <c r="C25" i="28"/>
  <c r="F26" i="28"/>
  <c r="J25" i="28"/>
  <c r="O25" i="28"/>
  <c r="I25" i="28"/>
  <c r="H25" i="28"/>
  <c r="V25" i="28"/>
  <c r="E25" i="28"/>
  <c r="G25" i="28"/>
  <c r="B25" i="28"/>
  <c r="R25" i="28"/>
  <c r="P25" i="28"/>
  <c r="S26" i="28"/>
  <c r="D25" i="28"/>
  <c r="L25" i="28"/>
  <c r="M25" i="28"/>
  <c r="U25" i="28"/>
  <c r="A25" i="28"/>
  <c r="F25" i="28"/>
  <c r="K43" i="28"/>
  <c r="D43" i="28"/>
  <c r="N43" i="28"/>
  <c r="B43" i="28"/>
  <c r="F44" i="28"/>
  <c r="V43" i="28"/>
  <c r="H43" i="28"/>
  <c r="Q43" i="28"/>
  <c r="T43" i="28"/>
  <c r="S43" i="28"/>
  <c r="P43" i="28"/>
  <c r="U43" i="28"/>
  <c r="C43" i="28"/>
  <c r="J43" i="28"/>
  <c r="G43" i="28"/>
  <c r="O43" i="28"/>
  <c r="M43" i="28"/>
  <c r="S44" i="28"/>
  <c r="F43" i="28"/>
  <c r="I43" i="28"/>
  <c r="L43" i="28"/>
  <c r="E43" i="28"/>
  <c r="R43" i="28"/>
  <c r="A43" i="28"/>
  <c r="F31" i="28"/>
  <c r="Q31" i="28"/>
  <c r="O31" i="28"/>
  <c r="I31" i="28"/>
  <c r="J31" i="28"/>
  <c r="T31" i="28"/>
  <c r="M31" i="28"/>
  <c r="L31" i="28"/>
  <c r="R31" i="28"/>
  <c r="S32" i="28"/>
  <c r="E31" i="28"/>
  <c r="K31" i="28"/>
  <c r="D31" i="28"/>
  <c r="P31" i="28"/>
  <c r="H31" i="28"/>
  <c r="U31" i="28"/>
  <c r="N31" i="28"/>
  <c r="S31" i="28"/>
  <c r="G31" i="28"/>
  <c r="B31" i="28"/>
  <c r="C31" i="28"/>
  <c r="F32" i="28"/>
  <c r="A31" i="28"/>
  <c r="V31" i="28"/>
  <c r="S30" i="28"/>
  <c r="V29" i="28"/>
  <c r="G29" i="28"/>
  <c r="K29" i="28"/>
  <c r="H29" i="28"/>
  <c r="B29" i="28"/>
  <c r="R29" i="28"/>
  <c r="F29" i="28"/>
  <c r="N29" i="28"/>
  <c r="I29" i="28"/>
  <c r="E29" i="28"/>
  <c r="M29" i="28"/>
  <c r="T29" i="28"/>
  <c r="P29" i="28"/>
  <c r="O29" i="28"/>
  <c r="L29" i="28"/>
  <c r="J29" i="28"/>
  <c r="F30" i="28"/>
  <c r="U29" i="28"/>
  <c r="S29" i="28"/>
  <c r="D29" i="28"/>
  <c r="C29" i="28"/>
  <c r="A29" i="28"/>
  <c r="Q29" i="28"/>
  <c r="V33" i="18"/>
  <c r="D34" i="18"/>
  <c r="E33" i="18"/>
  <c r="C34" i="18"/>
  <c r="O34" i="18"/>
  <c r="S34" i="18"/>
  <c r="R33" i="18"/>
  <c r="F33" i="18"/>
  <c r="M33" i="18"/>
  <c r="T33" i="18"/>
  <c r="Q33" i="18"/>
  <c r="F34" i="18"/>
  <c r="N33" i="18"/>
  <c r="P33" i="18"/>
  <c r="U33" i="18"/>
  <c r="S33" i="18"/>
  <c r="H33" i="18"/>
  <c r="B33" i="18"/>
  <c r="G33" i="18"/>
  <c r="L33" i="18"/>
  <c r="K33" i="18"/>
  <c r="I33" i="18"/>
  <c r="O33" i="18"/>
  <c r="A33" i="18"/>
  <c r="J33" i="18"/>
  <c r="G27" i="18"/>
  <c r="J27" i="18"/>
  <c r="I27" i="18"/>
  <c r="K27" i="18"/>
  <c r="B27" i="18"/>
  <c r="O27" i="18"/>
  <c r="P27" i="18"/>
  <c r="F28" i="18"/>
  <c r="M27" i="18"/>
  <c r="T27" i="18"/>
  <c r="N27" i="18"/>
  <c r="L27" i="18"/>
  <c r="V27" i="18"/>
  <c r="E27" i="18"/>
  <c r="R27" i="18"/>
  <c r="Q27" i="18"/>
  <c r="F27" i="18"/>
  <c r="H27" i="18"/>
  <c r="U27" i="18"/>
  <c r="S28" i="18"/>
  <c r="S27" i="18"/>
  <c r="O28" i="18"/>
  <c r="C28" i="18"/>
  <c r="D28" i="18"/>
  <c r="A27" i="18"/>
  <c r="F26" i="18"/>
  <c r="L25" i="18"/>
  <c r="M25" i="18"/>
  <c r="F25" i="18"/>
  <c r="D26" i="18"/>
  <c r="B25" i="18"/>
  <c r="V25" i="18"/>
  <c r="O25" i="18"/>
  <c r="O26" i="18"/>
  <c r="R25" i="18"/>
  <c r="E25" i="18"/>
  <c r="K25" i="18"/>
  <c r="P25" i="18"/>
  <c r="S25" i="18"/>
  <c r="Q25" i="18"/>
  <c r="H25" i="18"/>
  <c r="C26" i="18"/>
  <c r="N25" i="18"/>
  <c r="G25" i="18"/>
  <c r="I25" i="18"/>
  <c r="U25" i="18"/>
  <c r="J25" i="18"/>
  <c r="S26" i="18"/>
  <c r="A25" i="18"/>
  <c r="T25" i="18"/>
  <c r="N31" i="18"/>
  <c r="O32" i="18"/>
  <c r="D32" i="18"/>
  <c r="C32" i="18"/>
  <c r="B31" i="18"/>
  <c r="J31" i="18"/>
  <c r="O31" i="18"/>
  <c r="S32" i="18"/>
  <c r="G31" i="18"/>
  <c r="E31" i="18"/>
  <c r="M31" i="18"/>
  <c r="T31" i="18"/>
  <c r="S31" i="18"/>
  <c r="I31" i="18"/>
  <c r="L31" i="18"/>
  <c r="R31" i="18"/>
  <c r="U31" i="18"/>
  <c r="K31" i="18"/>
  <c r="Q31" i="18"/>
  <c r="P31" i="18"/>
  <c r="F31" i="18"/>
  <c r="V31" i="18"/>
  <c r="H31" i="18"/>
  <c r="A31" i="18"/>
  <c r="F32" i="18"/>
  <c r="T29" i="18"/>
  <c r="N29" i="18"/>
  <c r="V29" i="18"/>
  <c r="M29" i="18"/>
  <c r="S30" i="18"/>
  <c r="B29" i="18"/>
  <c r="L29" i="18"/>
  <c r="C30" i="18"/>
  <c r="J29" i="18"/>
  <c r="F30" i="18"/>
  <c r="K29" i="18"/>
  <c r="Q29" i="18"/>
  <c r="R29" i="18"/>
  <c r="P29" i="18"/>
  <c r="S29" i="18"/>
  <c r="H29" i="18"/>
  <c r="O30" i="18"/>
  <c r="O29" i="18"/>
  <c r="D30" i="18"/>
  <c r="E29" i="18"/>
  <c r="F29" i="18"/>
  <c r="U29" i="18"/>
  <c r="I29" i="18"/>
  <c r="A29" i="18"/>
  <c r="G29" i="18"/>
  <c r="R43" i="18"/>
  <c r="I43" i="18"/>
  <c r="T43" i="18"/>
  <c r="D44" i="18"/>
  <c r="P43" i="18"/>
  <c r="B43" i="18"/>
  <c r="N43" i="18"/>
  <c r="U43" i="18"/>
  <c r="S44" i="18"/>
  <c r="O43" i="18"/>
  <c r="F44" i="18"/>
  <c r="G43" i="18"/>
  <c r="M43" i="18"/>
  <c r="F43" i="18"/>
  <c r="L43" i="18"/>
  <c r="O44" i="18"/>
  <c r="S43" i="18"/>
  <c r="K43" i="18"/>
  <c r="H43" i="18"/>
  <c r="E43" i="18"/>
  <c r="J43" i="18"/>
  <c r="V43" i="18"/>
  <c r="C44" i="18"/>
  <c r="Q43" i="18"/>
  <c r="A43" i="18"/>
  <c r="R34" i="28"/>
  <c r="D15" i="18"/>
  <c r="E44" i="28"/>
  <c r="T26" i="28"/>
  <c r="J42" i="18"/>
  <c r="R38" i="28"/>
  <c r="O30" i="28"/>
  <c r="C7" i="18"/>
  <c r="D26" i="28"/>
  <c r="K50" i="18"/>
  <c r="C52" i="28"/>
  <c r="C37" i="18"/>
  <c r="E14" i="28"/>
  <c r="J38" i="28"/>
  <c r="I4" i="28"/>
  <c r="D37" i="18"/>
  <c r="Q40" i="28"/>
  <c r="E6" i="18"/>
  <c r="K44" i="28"/>
  <c r="K12" i="28"/>
  <c r="G24" i="28"/>
  <c r="C34" i="28"/>
  <c r="D24" i="28"/>
  <c r="T4" i="18"/>
  <c r="C36" i="28"/>
  <c r="P30" i="28"/>
  <c r="C19" i="18"/>
  <c r="Q16" i="28"/>
  <c r="E48" i="18"/>
  <c r="C22" i="28"/>
  <c r="U40" i="18"/>
  <c r="Q22" i="28"/>
  <c r="Q26" i="28"/>
  <c r="C49" i="18"/>
  <c r="P10" i="28"/>
  <c r="Q24" i="28"/>
  <c r="C46" i="28"/>
  <c r="I34" i="28"/>
  <c r="U50" i="28"/>
  <c r="U36" i="28"/>
  <c r="I50" i="18"/>
  <c r="E20" i="18"/>
  <c r="K46" i="18"/>
  <c r="G46" i="18"/>
  <c r="K46" i="28"/>
  <c r="U44" i="28"/>
  <c r="D20" i="28"/>
  <c r="D39" i="18"/>
  <c r="K12" i="18"/>
  <c r="I22" i="28"/>
  <c r="T12" i="28"/>
  <c r="J18" i="18"/>
  <c r="C33" i="18"/>
  <c r="I32" i="18"/>
  <c r="L22" i="28"/>
  <c r="I10" i="28"/>
  <c r="J6" i="18"/>
  <c r="I44" i="18"/>
  <c r="L18" i="18"/>
  <c r="E46" i="18"/>
  <c r="E8" i="28"/>
  <c r="U12" i="28"/>
  <c r="J48" i="28"/>
  <c r="I34" i="18"/>
  <c r="R52" i="28"/>
  <c r="U4" i="28"/>
  <c r="L50" i="28"/>
  <c r="K42" i="28"/>
  <c r="L24" i="28"/>
  <c r="J34" i="18"/>
  <c r="J42" i="28"/>
  <c r="T44" i="28"/>
  <c r="I14" i="18"/>
  <c r="L16" i="18"/>
  <c r="P44" i="28"/>
  <c r="T36" i="18"/>
  <c r="E50" i="28"/>
  <c r="C10" i="28"/>
  <c r="O18" i="28"/>
  <c r="O24" i="28"/>
  <c r="Q52" i="28"/>
  <c r="T34" i="28"/>
  <c r="D29" i="18"/>
  <c r="P36" i="28"/>
  <c r="R8" i="28"/>
  <c r="Q42" i="28"/>
  <c r="U10" i="28"/>
  <c r="D23" i="18"/>
  <c r="I14" i="28"/>
  <c r="D18" i="28"/>
  <c r="E14" i="18"/>
  <c r="K36" i="18"/>
  <c r="U20" i="28"/>
  <c r="C51" i="18"/>
  <c r="R28" i="28"/>
  <c r="U34" i="18"/>
  <c r="I28" i="18"/>
  <c r="R24" i="28"/>
  <c r="L42" i="28"/>
  <c r="I42" i="18"/>
  <c r="C35" i="18"/>
  <c r="P32" i="28"/>
  <c r="G14" i="18"/>
  <c r="G40" i="18"/>
  <c r="K52" i="18"/>
  <c r="L32" i="18"/>
  <c r="I48" i="28"/>
  <c r="R14" i="28"/>
  <c r="J18" i="28"/>
  <c r="I10" i="18"/>
  <c r="U18" i="28"/>
  <c r="L48" i="28"/>
  <c r="E20" i="28"/>
  <c r="G38" i="28"/>
  <c r="E24" i="28"/>
  <c r="K20" i="18"/>
  <c r="K42" i="18"/>
  <c r="G48" i="28"/>
  <c r="L30" i="28"/>
  <c r="R18" i="28"/>
  <c r="J30" i="28"/>
  <c r="J8" i="18"/>
  <c r="Q10" i="28"/>
  <c r="L6" i="28"/>
  <c r="J24" i="28"/>
  <c r="P42" i="28"/>
  <c r="E32" i="28"/>
  <c r="P52" i="28"/>
  <c r="U30" i="18"/>
  <c r="T40" i="28"/>
  <c r="U46" i="28"/>
  <c r="O26" i="28"/>
  <c r="U44" i="18"/>
  <c r="E18" i="28"/>
  <c r="U18" i="18"/>
  <c r="J22" i="28"/>
  <c r="E48" i="28"/>
  <c r="Q48" i="28"/>
  <c r="K30" i="18"/>
  <c r="C5" i="18"/>
  <c r="U14" i="18"/>
  <c r="K8" i="28"/>
  <c r="C4" i="28"/>
  <c r="J34" i="28"/>
  <c r="O32" i="28"/>
  <c r="I36" i="28"/>
  <c r="J46" i="18"/>
  <c r="K6" i="18"/>
  <c r="U30" i="28"/>
  <c r="L34" i="28"/>
  <c r="U28" i="28"/>
  <c r="I46" i="18"/>
  <c r="I50" i="28"/>
  <c r="G46" i="28"/>
  <c r="E26" i="28"/>
  <c r="L28" i="28"/>
  <c r="U48" i="28"/>
  <c r="K14" i="28"/>
  <c r="C13" i="18"/>
  <c r="E38" i="18"/>
  <c r="R46" i="28"/>
  <c r="U24" i="28"/>
  <c r="I22" i="18"/>
  <c r="K36" i="28"/>
  <c r="D13" i="18"/>
  <c r="T46" i="28"/>
  <c r="E16" i="18"/>
  <c r="D7" i="18"/>
  <c r="E34" i="28"/>
  <c r="D51" i="18"/>
  <c r="T20" i="18"/>
  <c r="I30" i="28"/>
  <c r="L38" i="18"/>
  <c r="D46" i="28"/>
  <c r="G30" i="28"/>
  <c r="D45" i="18"/>
  <c r="G22" i="18"/>
  <c r="U8" i="18"/>
  <c r="D50" i="28"/>
  <c r="G36" i="28"/>
  <c r="E38" i="28"/>
  <c r="G48" i="18"/>
  <c r="T34" i="18"/>
  <c r="K22" i="28"/>
  <c r="O4" i="28"/>
  <c r="G20" i="18"/>
  <c r="T24" i="28"/>
  <c r="G24" i="18"/>
  <c r="J44" i="28"/>
  <c r="K40" i="28"/>
  <c r="G50" i="18"/>
  <c r="P28" i="28"/>
  <c r="T30" i="28"/>
  <c r="C45" i="18"/>
  <c r="L20" i="28"/>
  <c r="C20" i="28"/>
  <c r="R6" i="28"/>
  <c r="J22" i="18"/>
  <c r="D22" i="28"/>
  <c r="U46" i="18"/>
  <c r="K48" i="18"/>
  <c r="J10" i="28"/>
  <c r="U4" i="18"/>
  <c r="P22" i="28"/>
  <c r="D31" i="18"/>
  <c r="R10" i="28"/>
  <c r="T38" i="18"/>
  <c r="G42" i="18"/>
  <c r="T48" i="28"/>
  <c r="K28" i="18"/>
  <c r="J6" i="28"/>
  <c r="J24" i="18"/>
  <c r="O42" i="28"/>
  <c r="L30" i="18"/>
  <c r="T20" i="28"/>
  <c r="T46" i="18"/>
  <c r="C44" i="28"/>
  <c r="U36" i="18"/>
  <c r="L46" i="18"/>
  <c r="O40" i="28"/>
  <c r="C31" i="18"/>
  <c r="G52" i="18"/>
  <c r="K52" i="28"/>
  <c r="U40" i="28"/>
  <c r="E40" i="18"/>
  <c r="U32" i="28"/>
  <c r="O50" i="28"/>
  <c r="E42" i="18"/>
  <c r="D41" i="18"/>
  <c r="D34" i="28"/>
  <c r="R30" i="28"/>
  <c r="I38" i="28"/>
  <c r="O44" i="28"/>
  <c r="D40" i="28"/>
  <c r="C23" i="18"/>
  <c r="C39" i="18"/>
  <c r="E52" i="28"/>
  <c r="C6" i="28"/>
  <c r="K8" i="18"/>
  <c r="D47" i="18"/>
  <c r="L22" i="18"/>
  <c r="P8" i="28"/>
  <c r="E12" i="28"/>
  <c r="T12" i="18"/>
  <c r="T50" i="28"/>
  <c r="J48" i="18"/>
  <c r="G42" i="28"/>
  <c r="L44" i="28"/>
  <c r="L10" i="18"/>
  <c r="E16" i="28"/>
  <c r="R4" i="28"/>
  <c r="I40" i="18"/>
  <c r="R20" i="28"/>
  <c r="P24" i="28"/>
  <c r="D49" i="18"/>
  <c r="L24" i="18"/>
  <c r="G32" i="28"/>
  <c r="T10" i="28"/>
  <c r="G22" i="28"/>
  <c r="U26" i="18"/>
  <c r="I28" i="28"/>
  <c r="J40" i="18"/>
  <c r="L16" i="28"/>
  <c r="K34" i="28"/>
  <c r="L14" i="28"/>
  <c r="C48" i="28"/>
  <c r="U16" i="28"/>
  <c r="G26" i="28"/>
  <c r="P40" i="28"/>
  <c r="U28" i="18"/>
  <c r="E10" i="18"/>
  <c r="Q4" i="28"/>
  <c r="K14" i="18"/>
  <c r="U26" i="28"/>
  <c r="D6" i="28"/>
  <c r="T38" i="28"/>
  <c r="J52" i="28"/>
  <c r="T52" i="18"/>
  <c r="T28" i="28"/>
  <c r="D14" i="28"/>
  <c r="J12" i="18"/>
  <c r="J32" i="28"/>
  <c r="I26" i="18"/>
  <c r="L52" i="18"/>
  <c r="O14" i="28"/>
  <c r="G18" i="18"/>
  <c r="L40" i="18"/>
  <c r="P26" i="28"/>
  <c r="K38" i="18"/>
  <c r="C15" i="18"/>
  <c r="J36" i="18"/>
  <c r="Q18" i="28"/>
  <c r="K48" i="28"/>
  <c r="K28" i="28"/>
  <c r="E6" i="28"/>
  <c r="U20" i="18"/>
  <c r="J52" i="18"/>
  <c r="O48" i="28"/>
  <c r="J46" i="28"/>
  <c r="K50" i="28"/>
  <c r="L4" i="28"/>
  <c r="I6" i="28"/>
  <c r="C24" i="28"/>
  <c r="E40" i="28"/>
  <c r="C17" i="18"/>
  <c r="G52" i="28"/>
  <c r="C21" i="18"/>
  <c r="O22" i="28"/>
  <c r="K30" i="28"/>
  <c r="D12" i="28"/>
  <c r="Q38" i="28"/>
  <c r="L38" i="28"/>
  <c r="E44" i="18"/>
  <c r="K32" i="18"/>
  <c r="U16" i="18"/>
  <c r="T32" i="18"/>
  <c r="R40" i="28"/>
  <c r="E52" i="18"/>
  <c r="C41" i="18"/>
  <c r="L40" i="28"/>
  <c r="K26" i="28"/>
  <c r="J26" i="18"/>
  <c r="C42" i="28"/>
  <c r="L10" i="28"/>
  <c r="E36" i="18"/>
  <c r="J16" i="28"/>
  <c r="D43" i="18"/>
  <c r="O16" i="28"/>
  <c r="T50" i="18"/>
  <c r="J14" i="18"/>
  <c r="C8" i="28"/>
  <c r="U12" i="18"/>
  <c r="D4" i="28"/>
  <c r="L4" i="18"/>
  <c r="G16" i="28"/>
  <c r="L14" i="18"/>
  <c r="L48" i="18"/>
  <c r="P50" i="28"/>
  <c r="C43" i="18"/>
  <c r="U50" i="18"/>
  <c r="I30" i="18"/>
  <c r="T28" i="18"/>
  <c r="Q28" i="28"/>
  <c r="T24" i="18"/>
  <c r="K38" i="28"/>
  <c r="Q30" i="28"/>
  <c r="T42" i="28"/>
  <c r="O38" i="28"/>
  <c r="J28" i="18"/>
  <c r="I6" i="18"/>
  <c r="U42" i="28"/>
  <c r="C11" i="18"/>
  <c r="J50" i="28"/>
  <c r="L36" i="28"/>
  <c r="T26" i="18"/>
  <c r="R32" i="28"/>
  <c r="T16" i="18"/>
  <c r="J50" i="18"/>
  <c r="O6" i="28"/>
  <c r="J28" i="28"/>
  <c r="U34" i="28"/>
  <c r="T22" i="28"/>
  <c r="D21" i="18"/>
  <c r="U10" i="18"/>
  <c r="D8" i="28"/>
  <c r="L42" i="18"/>
  <c r="R26" i="28"/>
  <c r="T32" i="28"/>
  <c r="I12" i="28"/>
  <c r="I24" i="28"/>
  <c r="C12" i="28"/>
  <c r="P6" i="28"/>
  <c r="K6" i="28"/>
  <c r="J44" i="18"/>
  <c r="K44" i="18"/>
  <c r="I38" i="18"/>
  <c r="Q20" i="28"/>
  <c r="L52" i="28"/>
  <c r="O20" i="28"/>
  <c r="R48" i="28"/>
  <c r="C16" i="28"/>
  <c r="Q8" i="28"/>
  <c r="O28" i="28"/>
  <c r="R36" i="28"/>
  <c r="E22" i="18"/>
  <c r="J32" i="18"/>
  <c r="J10" i="18"/>
  <c r="D30" i="28"/>
  <c r="G14" i="28"/>
  <c r="L50" i="18"/>
  <c r="T16" i="28"/>
  <c r="O46" i="28"/>
  <c r="I16" i="18"/>
  <c r="E4" i="18"/>
  <c r="G40" i="28"/>
  <c r="D35" i="18"/>
  <c r="T6" i="18"/>
  <c r="I48" i="18"/>
  <c r="K18" i="28"/>
  <c r="J16" i="18"/>
  <c r="C25" i="18"/>
  <c r="U24" i="18"/>
  <c r="J20" i="18"/>
  <c r="E30" i="28"/>
  <c r="D36" i="28"/>
  <c r="D33" i="18"/>
  <c r="I12" i="18"/>
  <c r="I20" i="18"/>
  <c r="G34" i="18"/>
  <c r="G26" i="18"/>
  <c r="T40" i="18"/>
  <c r="P14" i="28"/>
  <c r="P16" i="28"/>
  <c r="G28" i="28"/>
  <c r="I18" i="18"/>
  <c r="T10" i="18"/>
  <c r="U52" i="28"/>
  <c r="J20" i="28"/>
  <c r="D17" i="18"/>
  <c r="G32" i="18"/>
  <c r="D48" i="28"/>
  <c r="E42" i="28"/>
  <c r="G44" i="28"/>
  <c r="J26" i="28"/>
  <c r="D11" i="18"/>
  <c r="J36" i="28"/>
  <c r="O12" i="28"/>
  <c r="T48" i="18"/>
  <c r="T52" i="28"/>
  <c r="K24" i="18"/>
  <c r="L46" i="28"/>
  <c r="O52" i="28"/>
  <c r="J30" i="18"/>
  <c r="L6" i="18"/>
  <c r="T18" i="28"/>
  <c r="E22" i="28"/>
  <c r="C50" i="28"/>
  <c r="K22" i="18"/>
  <c r="K10" i="18"/>
  <c r="T44" i="18"/>
  <c r="C30" i="28"/>
  <c r="Q14" i="28"/>
  <c r="I46" i="28"/>
  <c r="Q36" i="28"/>
  <c r="Q32" i="28"/>
  <c r="T14" i="28"/>
  <c r="K10" i="28"/>
  <c r="R16" i="28"/>
  <c r="L8" i="18"/>
  <c r="U52" i="18"/>
  <c r="D25" i="18"/>
  <c r="L56" i="28"/>
  <c r="J14" i="28"/>
  <c r="R42" i="28"/>
  <c r="P12" i="28"/>
  <c r="J40" i="28"/>
  <c r="C38" i="28"/>
  <c r="L20" i="18"/>
  <c r="D42" i="28"/>
  <c r="J38" i="18"/>
  <c r="I26" i="28"/>
  <c r="Q44" i="28"/>
  <c r="G20" i="28"/>
  <c r="K16" i="28"/>
  <c r="I18" i="28"/>
  <c r="P48" i="28"/>
  <c r="G30" i="18"/>
  <c r="E24" i="18"/>
  <c r="E10" i="28"/>
  <c r="K40" i="18"/>
  <c r="T42" i="18"/>
  <c r="L44" i="18"/>
  <c r="D9" i="18"/>
  <c r="I8" i="28"/>
  <c r="O10" i="28"/>
  <c r="D16" i="28"/>
  <c r="E32" i="18"/>
  <c r="E28" i="18"/>
  <c r="E18" i="18"/>
  <c r="T4" i="28"/>
  <c r="P34" i="28"/>
  <c r="Q50" i="28"/>
  <c r="E26" i="18"/>
  <c r="L18" i="28"/>
  <c r="D38" i="28"/>
  <c r="J12" i="28"/>
  <c r="I4" i="18"/>
  <c r="I24" i="18"/>
  <c r="I16" i="28"/>
  <c r="E8" i="18"/>
  <c r="G38" i="18"/>
  <c r="I40" i="28"/>
  <c r="E50" i="18"/>
  <c r="E46" i="28"/>
  <c r="E36" i="28"/>
  <c r="L34" i="18"/>
  <c r="C29" i="18"/>
  <c r="D52" i="28"/>
  <c r="U6" i="18"/>
  <c r="U14" i="28"/>
  <c r="Q12" i="28"/>
  <c r="K16" i="18"/>
  <c r="T8" i="18"/>
  <c r="E4" i="28"/>
  <c r="T22" i="18"/>
  <c r="T18" i="18"/>
  <c r="P46" i="28"/>
  <c r="L26" i="18"/>
  <c r="Q46" i="28"/>
  <c r="C27" i="18"/>
  <c r="U32" i="18"/>
  <c r="K4" i="18"/>
  <c r="Q6" i="28"/>
  <c r="I52" i="18"/>
  <c r="T14" i="18"/>
  <c r="C28" i="28"/>
  <c r="K34" i="18"/>
  <c r="I52" i="28"/>
  <c r="P20" i="28"/>
  <c r="K32" i="28"/>
  <c r="O8" i="28"/>
  <c r="G34" i="28"/>
  <c r="I8" i="18"/>
  <c r="G28" i="18"/>
  <c r="I42" i="28"/>
  <c r="J4" i="28"/>
  <c r="T36" i="28"/>
  <c r="G36" i="18"/>
  <c r="D19" i="18"/>
  <c r="T6" i="28"/>
  <c r="J4" i="18"/>
  <c r="L12" i="28"/>
  <c r="I32" i="28"/>
  <c r="L12" i="18"/>
  <c r="R50" i="28"/>
  <c r="R12" i="28"/>
  <c r="K24" i="28"/>
  <c r="C18" i="28"/>
  <c r="U42" i="18"/>
  <c r="D27" i="18"/>
  <c r="C9" i="18"/>
  <c r="O34" i="28"/>
  <c r="E34" i="18"/>
  <c r="E28" i="28"/>
  <c r="C14" i="28"/>
  <c r="K20" i="28"/>
  <c r="C26" i="28"/>
  <c r="G18" i="28"/>
  <c r="D32" i="28"/>
  <c r="I20" i="28"/>
  <c r="Q34" i="28"/>
  <c r="K26" i="18"/>
  <c r="U22" i="18"/>
  <c r="T30" i="18"/>
  <c r="U48" i="18"/>
  <c r="U22" i="28"/>
  <c r="R22" i="28"/>
  <c r="O36" i="28"/>
  <c r="G50" i="28"/>
  <c r="P4" i="28"/>
  <c r="U8" i="28"/>
  <c r="C47" i="18"/>
  <c r="D44" i="28"/>
  <c r="R44" i="28"/>
  <c r="U6" i="28"/>
  <c r="K18" i="18"/>
  <c r="D5" i="18"/>
  <c r="I36" i="18"/>
  <c r="D28" i="28"/>
  <c r="U38" i="28"/>
  <c r="C40" i="28"/>
  <c r="J8" i="28"/>
  <c r="T8" i="28"/>
  <c r="E12" i="18"/>
  <c r="C32" i="28"/>
  <c r="D10" i="28"/>
  <c r="L36" i="18"/>
  <c r="K4" i="28"/>
  <c r="E30" i="18"/>
  <c r="G44" i="18"/>
  <c r="P38" i="28"/>
  <c r="L32" i="28"/>
  <c r="L26" i="28"/>
  <c r="G16" i="18"/>
  <c r="L28" i="18"/>
  <c r="P18" i="28"/>
  <c r="L8" i="28"/>
  <c r="I44" i="28"/>
  <c r="U3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Singh Rajawat, Ajay</author>
  </authors>
  <commentList>
    <comment ref="G5" authorId="0" shapeId="0" xr:uid="{E5169CE6-AFA6-4327-AA8C-440B6BCB04D6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This needs a change as at times it takes a long range values which doesn't work for intraday.</t>
        </r>
      </text>
    </comment>
    <comment ref="J5" authorId="0" shapeId="0" xr:uid="{9474B4D2-D70F-43B4-9444-078331FB008D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04/08- Mrkt going down when CE  IV is greater almost by 3 points by PE IV and call writing happening at strike price.
When Difference further increased to amost CE@17.01 and PE@9.42 Mrkt start increasing and increased about 40-50 points.
Call IV 9.99 &amp; Put IV.11.97% Mark raised @607 because of long unwinding at put side</t>
        </r>
      </text>
    </comment>
    <comment ref="F29" authorId="0" shapeId="0" xr:uid="{AD9D2D04-5EEB-4D6A-8E51-7937BD9883FE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9" authorId="0" shapeId="0" xr:uid="{7DE25011-2689-4BAA-8E45-89691D8CA7B6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Seen when Gamma is more the an put Market is increasing Gamma Put .0004,.0004 Gamma call .0003,.0002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99406D-B64A-4863-B1BB-F63926A3A4D6}" name="Connection" type="4" refreshedVersion="0" background="1" saveData="1">
    <webPr url="http://www.nseindia.com/live_market/dynaContent/live_watch/option_chain/optionKeys.jsp?segmentLink=17&amp;instrument=OPTIDX&amp;symbol=NIFTY&amp;date=11APR2019" htmlTables="1" htmlFormat="all"/>
  </connection>
  <connection id="2" xr16:uid="{9F59BFE0-1B82-45D0-982B-E697DA0712D8}" name="Connection1" type="4" refreshedVersion="0" background="1" saveData="1">
    <webPr url="http://www.nseindia.com/live_market/dynaContent/live_watch/fomwatchsymbol.jsp?key=NIFTY&amp;Fut_Opt=Futures" htmlTables="1" htmlFormat="all"/>
  </connection>
  <connection id="3" xr16:uid="{DADCD941-7ADD-48F8-9FA2-D11E63494E4C}" name="Connection10" type="4" refreshedVersion="0" background="1">
    <webPr url="http://www.nseindia.com/live_market/dynaContent/live_watch/fomwatchsymbol.jsp?key=NIFTY&amp;Fut_Opt=Futures" htmlTables="1" htmlFormat="all"/>
  </connection>
  <connection id="4" xr16:uid="{9F5035A7-CB3E-43CF-A359-E6D75A3FBFE9}" name="Connection10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5" xr16:uid="{FBC058AC-BA29-4F85-9D79-6EF23F66182E}" name="Connection101" type="4" refreshedVersion="0" background="1">
    <webPr url="http://www.nseindia.com/live_market/dynaContent/live_watch/fomwatchsymbol.jsp?key=NIFTY&amp;Fut_Opt=Futures" htmlTables="1" htmlFormat="all"/>
  </connection>
  <connection id="6" xr16:uid="{FB281CEC-94BB-4F89-B5C2-BFF1DBAB316D}" name="Connection10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7" xr16:uid="{7EC388BD-7AB9-444A-9237-A5437380C1E2}" name="Connection103" type="4" refreshedVersion="0" background="1">
    <webPr url="http://www.nseindia.com/live_market/dynaContent/live_watch/fomwatchsymbol.jsp?key=NIFTY&amp;Fut_Opt=Futures" htmlTables="1" htmlFormat="all"/>
  </connection>
  <connection id="8" xr16:uid="{68B67FEC-B6FE-4E04-8BA3-F4B5DE69E9BD}" name="Connection10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9" xr16:uid="{86DD93F6-0FF7-4084-84BE-8D5FA5C633C2}" name="Connection105" type="4" refreshedVersion="0" background="1">
    <webPr url="http://www.nseindia.com/live_market/dynaContent/live_watch/fomwatchsymbol.jsp?key=NIFTY&amp;Fut_Opt=Futures" htmlTables="1" htmlFormat="all"/>
  </connection>
  <connection id="10" xr16:uid="{2AB890D8-1371-45DA-9D3F-664EB53E601B}" name="Connection10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1" xr16:uid="{E0C85980-FF73-44F0-A962-48D5E3584219}" name="Connection107" type="4" refreshedVersion="0" background="1">
    <webPr url="http://www.nseindia.com/live_market/dynaContent/live_watch/fomwatchsymbol.jsp?key=NIFTY&amp;Fut_Opt=Futures" htmlTables="1" htmlFormat="all"/>
  </connection>
  <connection id="12" xr16:uid="{C948467C-5F6A-4645-AEF9-85884E4CD851}" name="Connection10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3" xr16:uid="{E90171F8-1AB6-4633-ABF6-FF3AF00A36C6}" name="Connection109" type="4" refreshedVersion="0" background="1">
    <webPr url="http://www.nseindia.com/live_market/dynaContent/live_watch/fomwatchsymbol.jsp?key=NIFTY&amp;Fut_Opt=Futures" htmlTables="1" htmlFormat="all"/>
  </connection>
  <connection id="14" xr16:uid="{4AE142C0-9911-4823-8AAA-1DF5C906079C}" name="Connection11" type="4" refreshedVersion="0" background="1">
    <webPr url="http://www.nseindia.com/live_market/dynaContent/live_watch/fomwatchsymbol.jsp?key=NIFTY&amp;Fut_Opt=Futures" htmlTables="1" htmlFormat="all"/>
  </connection>
  <connection id="15" xr16:uid="{42025557-A476-46C1-8808-5FD993CEF2D5}" name="Connection11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" xr16:uid="{BEDC081F-3514-4093-A1F9-286C81D01EC6}" name="Connection111" type="4" refreshedVersion="0" background="1">
    <webPr url="http://www.nseindia.com/live_market/dynaContent/live_watch/fomwatchsymbol.jsp?key=NIFTY&amp;Fut_Opt=Futures" htmlTables="1" htmlFormat="all"/>
  </connection>
  <connection id="17" xr16:uid="{B5BF5E90-29C8-4BC1-AF51-A779ECDBC302}" name="Connection112" type="4" refreshedVersion="0" background="1">
    <webPr url="http://www.nseindia.com/live_market/dynaContent/live_watch/fomwatchsymbol.jsp?key=NIFTY&amp;Fut_Opt=Futures" htmlTables="1" htmlFormat="all"/>
  </connection>
  <connection id="18" xr16:uid="{DA0DFD3B-5FF2-4E97-A66B-76FE29B0D769}" name="Connection113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" xr16:uid="{66C29FE1-4C36-438D-B8E5-CE7579BF2C45}" name="Connection114" type="4" refreshedVersion="0" background="1">
    <webPr url="http://www.nseindia.com/live_market/dynaContent/live_watch/fomwatchsymbol.jsp?key=NIFTY&amp;Fut_Opt=Futures" htmlTables="1" htmlFormat="all"/>
  </connection>
  <connection id="20" xr16:uid="{502CF15A-2E1F-41BD-9BB9-A8D3F0F42CC7}" name="Connection115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" xr16:uid="{A30070E5-F59F-4D01-921E-B34709EE4AD6}" name="Connection116" type="4" refreshedVersion="0" background="1">
    <webPr url="http://www.nseindia.com/live_market/dynaContent/live_watch/fomwatchsymbol.jsp?key=NIFTY&amp;Fut_Opt=Futures" htmlTables="1" htmlFormat="all"/>
  </connection>
  <connection id="22" xr16:uid="{DAF84CE4-320C-472B-8036-DF8772BFDA9A}" name="Connection117" type="4" refreshedVersion="0" background="1">
    <webPr url="http://www.nseindia.com/live_market/dynaContent/live_watch/fomwatchsymbol.jsp?key=NIFTY&amp;Fut_Opt=Futures" htmlTables="1" htmlFormat="all"/>
  </connection>
  <connection id="23" xr16:uid="{D6D17257-33C7-4B3F-A70D-532D2A944C87}" name="Connection11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4" xr16:uid="{D1DCBE1A-8B3A-4C7A-98AF-6FB9E88AF4BC}" name="Connection119" type="4" refreshedVersion="0" background="1">
    <webPr url="http://www.nseindia.com/live_market/dynaContent/live_watch/fomwatchsymbol.jsp?key=NIFTY&amp;Fut_Opt=Futures" htmlTables="1" htmlFormat="all"/>
  </connection>
  <connection id="25" xr16:uid="{D26EA0F3-50E3-48DA-9B2E-401DCB4F67CB}" name="Connection1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6" xr16:uid="{2926DE1A-5FE2-4854-BB34-6977142790BE}" name="Connection12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7" xr16:uid="{20193D90-7E44-4560-BD99-045460B04143}" name="Connection121" type="4" refreshedVersion="0" background="1">
    <webPr url="http://www.nseindia.com/live_market/dynaContent/live_watch/fomwatchsymbol.jsp?key=NIFTY&amp;Fut_Opt=Futures" htmlTables="1" htmlFormat="all"/>
  </connection>
  <connection id="28" xr16:uid="{78A107F2-5C53-49A6-AC4E-BC86F7BD54AD}" name="Connection12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9" xr16:uid="{014CF8B5-E148-4FEC-A090-CA4E1D53E977}" name="Connection123" type="4" refreshedVersion="0" background="1">
    <webPr url="http://www.nseindia.com/live_market/dynaContent/live_watch/fomwatchsymbol.jsp?key=NIFTY&amp;Fut_Opt=Futures" htmlTables="1" htmlFormat="all"/>
  </connection>
  <connection id="30" xr16:uid="{987B69DB-3CC5-472E-A5E9-6611AACA323A}" name="Connection124" type="4" refreshedVersion="0" background="1">
    <webPr url="http://www.nseindia.com/live_market/dynaContent/live_watch/fomwatchsymbol.jsp?key=NIFTY&amp;Fut_Opt=Futures" htmlTables="1" htmlFormat="all"/>
  </connection>
  <connection id="31" xr16:uid="{8426AB47-E519-4D8B-9A02-7A081F577384}" name="Connection125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32" xr16:uid="{83B2AC21-C86C-465B-A91E-B8E4C8D04AE3}" name="Connection126" type="4" refreshedVersion="0" background="1">
    <webPr url="http://www.nseindia.com/live_market/dynaContent/live_watch/fomwatchsymbol.jsp?key=NIFTY&amp;Fut_Opt=Futures" htmlTables="1" htmlFormat="all"/>
  </connection>
  <connection id="33" xr16:uid="{B2264217-EE9D-4B6D-8C2B-BF9763C1040F}" name="Connection127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34" xr16:uid="{4245DD31-0AFD-4EB5-92CA-D7D168068205}" name="Connection12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35" xr16:uid="{7007C0C9-23FB-4A4F-8EF3-669E4BCE9AF2}" name="Connection129" type="4" refreshedVersion="0" background="1">
    <webPr url="http://www.nseindia.com/live_market/dynaContent/live_watch/fomwatchsymbol.jsp?key=NIFTY&amp;Fut_Opt=Futures" htmlTables="1" htmlFormat="all"/>
  </connection>
  <connection id="36" xr16:uid="{EC280F99-A74B-4C63-AC45-3B17FF3F25FC}" name="Connection13" type="4" refreshedVersion="0" background="1">
    <webPr url="http://www.nseindia.com/live_market/dynaContent/live_watch/fomwatchsymbol.jsp?key=NIFTY&amp;Fut_Opt=Futures" htmlTables="1" htmlFormat="all"/>
  </connection>
  <connection id="37" xr16:uid="{28B99730-58B2-49CA-9EB4-3453D3166AE5}" name="Connection13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38" xr16:uid="{0ADC6440-6546-4A64-A790-ED876015130F}" name="Connection131" type="4" refreshedVersion="0" background="1">
    <webPr url="http://www.nseindia.com/live_market/dynaContent/live_watch/fomwatchsymbol.jsp?key=NIFTY&amp;Fut_Opt=Futures" htmlTables="1" htmlFormat="all"/>
  </connection>
  <connection id="39" xr16:uid="{5C089B05-9453-47E6-B68B-6F556FA454EA}" name="Connection132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0" xr16:uid="{54D7F7F3-512C-4BC6-BD5B-5AD5FC962C58}" name="Connection133" type="4" refreshedVersion="0" background="1">
    <webPr url="http://www.nseindia.com/live_market/dynaContent/live_watch/fomwatchsymbol.jsp?key=NIFTY&amp;Fut_Opt=Futures" htmlTables="1" htmlFormat="all"/>
  </connection>
  <connection id="41" xr16:uid="{51F54AFA-DF9D-49F7-8C5D-BB31D819CEF0}" name="Connection13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2" xr16:uid="{D316E7C7-B6C9-4255-B3B6-169C0262C463}" name="Connection135" type="4" refreshedVersion="0" background="1">
    <webPr url="http://www.nseindia.com/live_market/dynaContent/live_watch/fomwatchsymbol.jsp?key=NIFTY&amp;Fut_Opt=Futures" htmlTables="1" htmlFormat="all"/>
  </connection>
  <connection id="43" xr16:uid="{C2DE04D1-92EC-4097-8CBF-FC37E13FF534}" name="Connection136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4" xr16:uid="{243EDD9E-0F87-4362-BF32-FCB53CAAF4D3}" name="Connection137" type="4" refreshedVersion="0" background="1">
    <webPr url="http://www.nseindia.com/live_market/dynaContent/live_watch/fomwatchsymbol.jsp?key=NIFTY&amp;Fut_Opt=Futures" htmlTables="1" htmlFormat="all"/>
  </connection>
  <connection id="45" xr16:uid="{C15D7D3F-AAC7-48D2-9D6C-D4AA642CF8AE}" name="Connection13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6" xr16:uid="{EF5BA8B8-A73C-440C-9CEF-7BEBFB762B1A}" name="Connection139" type="4" refreshedVersion="0" background="1">
    <webPr url="http://www.nseindia.com/live_market/dynaContent/live_watch/fomwatchsymbol.jsp?key=NIFTY&amp;Fut_Opt=Futures" htmlTables="1" htmlFormat="all"/>
  </connection>
  <connection id="47" xr16:uid="{1A0637AC-D3E7-48D0-992D-F03B238F7B25}" name="Connection1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48" xr16:uid="{D7779827-04E7-462B-96C2-07B2343BCC2D}" name="Connection14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9" xr16:uid="{8716DB83-C77C-4461-A4D0-9938039044A6}" name="Connection141" type="4" refreshedVersion="0" background="1">
    <webPr url="http://www.nseindia.com/live_market/dynaContent/live_watch/fomwatchsymbol.jsp?key=NIFTY&amp;Fut_Opt=Futures" htmlTables="1" htmlFormat="all"/>
  </connection>
  <connection id="50" xr16:uid="{37B4705A-FE10-4833-A863-646E809B5684}" name="Connection142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1" xr16:uid="{DEB96AD2-AA43-4D58-9E64-7BF78945034F}" name="Connection143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2" xr16:uid="{EE7112AC-F76F-4A30-85BF-4068212969AF}" name="Connection14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3" xr16:uid="{FFAA3BD7-F2F3-4F52-9352-E44E5C123EBF}" name="Connection145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4" xr16:uid="{97D37943-6337-4C49-B751-65C0CA955254}" name="Connection146" type="4" refreshedVersion="0" background="1">
    <webPr url="http://www.nseindia.com/live_market/dynaContent/live_watch/fomwatchsymbol.jsp?key=NIFTY&amp;Fut_Opt=Futures" htmlTables="1" htmlFormat="all"/>
  </connection>
  <connection id="55" xr16:uid="{38457AD9-DADF-4EDB-9D34-067B17453021}" name="Connection147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6" xr16:uid="{7728EE31-48F5-4C56-94E8-B8B50743CC1B}" name="Connection148" type="4" refreshedVersion="0" background="1">
    <webPr url="http://www.nseindia.com/live_market/dynaContent/live_watch/fomwatchsymbol.jsp?key=NIFTY&amp;Fut_Opt=Futures" htmlTables="1" htmlFormat="all"/>
  </connection>
  <connection id="57" xr16:uid="{CA8A2852-4CB3-4D41-8F64-AFD0C3F72314}" name="Connection149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8" xr16:uid="{ABEF6D45-7C51-4F59-A3F4-6CBD05E03AEF}" name="Connection15" type="4" refreshedVersion="0" background="1">
    <webPr url="http://www.nseindia.com/live_market/dynaContent/live_watch/fomwatchsymbol.jsp?key=NIFTY&amp;Fut_Opt=Futures" htmlTables="1" htmlFormat="all"/>
  </connection>
  <connection id="59" xr16:uid="{423667F2-43C5-4969-9565-30E764AAC21C}" name="Connection150" type="4" refreshedVersion="0" background="1">
    <webPr url="http://www.nseindia.com/live_market/dynaContent/live_watch/fomwatchsymbol.jsp?key=NIFTY&amp;Fut_Opt=Futures" htmlTables="1" htmlFormat="all"/>
  </connection>
  <connection id="60" xr16:uid="{FD692103-6BBC-4DE2-9FCA-D7416D204544}" name="Connection151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1" xr16:uid="{EE0C7020-5D8E-483D-96CB-D8268F8CF427}" name="Connection152" type="4" refreshedVersion="0" background="1">
    <webPr url="http://www.nseindia.com/live_market/dynaContent/live_watch/fomwatchsymbol.jsp?key=NIFTY&amp;Fut_Opt=Futures" htmlTables="1" htmlFormat="all"/>
  </connection>
  <connection id="62" xr16:uid="{5C95C952-B156-47D1-B0F1-C8F6644859CE}" name="Connection153" type="4" refreshedVersion="0" background="1">
    <webPr url="http://www.nseindia.com/live_market/dynaContent/live_watch/fomwatchsymbol.jsp?key=NIFTY&amp;Fut_Opt=Futures" htmlTables="1" htmlFormat="all"/>
  </connection>
  <connection id="63" xr16:uid="{EB72FBE7-2F46-435F-8901-546D199269ED}" name="Connection15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4" xr16:uid="{D0B6C2BA-39BD-4A52-AD9C-CA11D188765B}" name="Connection155" type="4" refreshedVersion="0" background="1">
    <webPr url="http://www.nseindia.com/live_market/dynaContent/live_watch/fomwatchsymbol.jsp?key=NIFTY&amp;Fut_Opt=Futures" htmlTables="1" htmlFormat="all"/>
  </connection>
  <connection id="65" xr16:uid="{53F42B8B-123C-49F1-A56F-23B668A1C021}" name="Connection156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6" xr16:uid="{3EAE658C-E364-4B5C-A007-845049F97AA9}" name="Connection157" type="4" refreshedVersion="0" background="1">
    <webPr url="http://www.nseindia.com/live_market/dynaContent/live_watch/fomwatchsymbol.jsp?key=NIFTY&amp;Fut_Opt=Futures" htmlTables="1" htmlFormat="all"/>
  </connection>
  <connection id="67" xr16:uid="{886E0686-B63B-4D57-AC25-A828E0B4E419}" name="Connection15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8" xr16:uid="{A227E09C-4B3B-4DE3-8090-62777C9588B4}" name="Connection159" type="4" refreshedVersion="0" background="1">
    <webPr url="http://www.nseindia.com/live_market/dynaContent/live_watch/fomwatchsymbol.jsp?key=NIFTY&amp;Fut_Opt=Futures" htmlTables="1" htmlFormat="all"/>
  </connection>
  <connection id="69" xr16:uid="{DC73B2E7-74D1-4688-AA53-06CE2756DED9}" name="Connection1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70" xr16:uid="{1DA63CF8-5978-4B8D-AE38-18E6BF7D9C0C}" name="Connection16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1" xr16:uid="{A7CFC219-81A1-4F29-8FD9-F4306614E0E9}" name="Connection161" type="4" refreshedVersion="0" background="1">
    <webPr url="http://www.nseindia.com/live_market/dynaContent/live_watch/fomwatchsymbol.jsp?key=NIFTY&amp;Fut_Opt=Futures" htmlTables="1" htmlFormat="all"/>
  </connection>
  <connection id="72" xr16:uid="{FA88937C-72F3-4197-9337-0EFDB0797F3B}" name="Connection162" type="4" refreshedVersion="0" background="1">
    <webPr url="http://www.nseindia.com/live_market/dynaContent/live_watch/fomwatchsymbol.jsp?key=NIFTY&amp;Fut_Opt=Futures" htmlTables="1" htmlFormat="all"/>
  </connection>
  <connection id="73" xr16:uid="{88D95F7A-A73A-47F8-8B4A-89E97A6D0E3F}" name="Connection163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4" xr16:uid="{6258E1E3-95A9-4D5A-A047-7DD3BFD3820F}" name="Connection164" type="4" refreshedVersion="0" background="1">
    <webPr url="http://www.nseindia.com/live_market/dynaContent/live_watch/fomwatchsymbol.jsp?key=NIFTY&amp;Fut_Opt=Futures" htmlTables="1" htmlFormat="all"/>
  </connection>
  <connection id="75" xr16:uid="{E35A2C58-D273-4B53-8FB0-EA61CAAF8EC0}" name="Connection165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6" xr16:uid="{AA1912B7-CF1D-4EDC-B2E4-9EA4FBD3311E}" name="Connection166" type="4" refreshedVersion="0" background="1">
    <webPr url="http://www.nseindia.com/live_market/dynaContent/live_watch/fomwatchsymbol.jsp?key=NIFTY&amp;Fut_Opt=Futures" htmlTables="1" htmlFormat="all"/>
  </connection>
  <connection id="77" xr16:uid="{6C9D9D28-7651-4EC0-9C3A-249BD4666C24}" name="Connection167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8" xr16:uid="{BAEDF69B-B387-4F2E-A826-6C442EEE6439}" name="Connection168" type="4" refreshedVersion="0" background="1">
    <webPr url="http://www.nseindia.com/live_market/dynaContent/live_watch/fomwatchsymbol.jsp?key=NIFTY&amp;Fut_Opt=Futures" htmlTables="1" htmlFormat="all"/>
  </connection>
  <connection id="79" xr16:uid="{E9CDDC82-E17E-4DA2-8725-9E3E48ED54CA}" name="Connection169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80" xr16:uid="{C8D55507-CC0D-4807-B825-CB9D074DD5E8}" name="Connection17" type="4" refreshedVersion="0" background="1">
    <webPr url="http://www.nseindia.com/live_market/dynaContent/live_watch/fomwatchsymbol.jsp?key=NIFTY&amp;Fut_Opt=Futures" htmlTables="1" htmlFormat="all"/>
  </connection>
  <connection id="81" xr16:uid="{0BDC0CF7-35FD-4140-B6A5-6B5EAE2E1C4F}" name="Connection170" type="4" refreshedVersion="0" background="1">
    <webPr url="http://www.nseindia.com/live_market/dynaContent/live_watch/fomwatchsymbol.jsp?key=NIFTY&amp;Fut_Opt=Futures" htmlTables="1" htmlFormat="all"/>
  </connection>
  <connection id="82" xr16:uid="{54D1FB26-8C59-41E8-A3C7-DDFFAD0FD020}" name="Connection171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3" xr16:uid="{CD11EDF1-7F1B-4D35-A1BA-F3DBACB5A592}" name="Connection172" type="4" refreshedVersion="0" background="1">
    <webPr url="http://www.nseindia.com/live_market/dynaContent/live_watch/fomwatchsymbol.jsp?key=NIFTY&amp;Fut_Opt=Futures" htmlTables="1" htmlFormat="all"/>
  </connection>
  <connection id="84" xr16:uid="{C2FC4F63-6BC3-481A-B391-6A27555EB840}" name="Connection173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5" xr16:uid="{AF198730-A3E9-497B-B116-1612F0777966}" name="Connection174" type="4" refreshedVersion="0" background="1">
    <webPr url="http://www.nseindia.com/live_market/dynaContent/live_watch/fomwatchsymbol.jsp?key=NIFTY&amp;Fut_Opt=Futures" htmlTables="1" htmlFormat="all"/>
  </connection>
  <connection id="86" xr16:uid="{E02496ED-CFEE-407C-9A13-8C36835AC2FF}" name="Connection175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7" xr16:uid="{FFC53461-405A-4901-A425-0E82D6B2A40F}" name="Connection176" type="4" refreshedVersion="0" background="1">
    <webPr url="http://www.nseindia.com/live_market/dynaContent/live_watch/fomwatchsymbol.jsp?key=NIFTY&amp;Fut_Opt=Futures" htmlTables="1" htmlFormat="all"/>
  </connection>
  <connection id="88" xr16:uid="{60874E1F-2DB0-44AA-BA0F-10E825E68AA0}" name="Connection177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9" xr16:uid="{5868AB7C-EC46-4227-A427-D2EE2FEC67D9}" name="Connection178" type="4" refreshedVersion="0" background="1">
    <webPr url="http://www.nseindia.com/live_market/dynaContent/live_watch/fomwatchsymbol.jsp?key=NIFTY&amp;Fut_Opt=Futures" htmlTables="1" htmlFormat="all"/>
  </connection>
  <connection id="90" xr16:uid="{256AA12B-2A5F-47FF-A5D1-67061A093C8E}" name="Connection179" type="4" refreshedVersion="0" background="1">
    <webPr url="http://www.nseindia.com/live_market/dynaContent/live_watch/fomwatchsymbol.jsp?key=NIFTY&amp;Fut_Opt=Futures" htmlTables="1" htmlFormat="all"/>
  </connection>
  <connection id="91" xr16:uid="{AA5386AF-9F04-489F-9AEE-FEF26BF1F2E9}" name="Connection1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92" xr16:uid="{8F22A992-BDB1-471A-A85A-BB4836E9D1DD}" name="Connection18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3" xr16:uid="{B3E540CC-1908-4E69-A69E-77C5D403C2FD}" name="Connection181" type="4" refreshedVersion="0" background="1">
    <webPr url="http://www.nseindia.com/live_market/dynaContent/live_watch/fomwatchsymbol.jsp?key=NIFTY&amp;Fut_Opt=Futures" htmlTables="1" htmlFormat="all"/>
  </connection>
  <connection id="94" xr16:uid="{CD970E10-39B7-4713-8F23-AF4B46BFCC44}" name="Connection18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5" xr16:uid="{AC49B851-339B-4B17-8990-A8661B20D84D}" name="Connection183" type="4" refreshedVersion="0" background="1">
    <webPr url="http://www.nseindia.com/live_market/dynaContent/live_watch/fomwatchsymbol.jsp?key=NIFTY&amp;Fut_Opt=Futures" htmlTables="1" htmlFormat="all"/>
  </connection>
  <connection id="96" xr16:uid="{8CE4CEFE-480D-49DF-9BBC-C18F69BA2A8A}" name="Connection18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7" xr16:uid="{2931A60B-CA99-467E-BA27-B3249D00E841}" name="Connection185" type="4" refreshedVersion="0" background="1">
    <webPr url="http://www.nseindia.com/live_market/dynaContent/live_watch/fomwatchsymbol.jsp?key=NIFTY&amp;Fut_Opt=Futures" htmlTables="1" htmlFormat="all"/>
  </connection>
  <connection id="98" xr16:uid="{0085E8D3-DD5E-449A-BCB6-82D38B37D62F}" name="Connection186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9" xr16:uid="{E9AE490F-C20A-4970-8845-CDD73EFBAF06}" name="Connection187" type="4" refreshedVersion="0" background="1">
    <webPr url="http://www.nseindia.com/live_market/dynaContent/live_watch/fomwatchsymbol.jsp?key=NIFTY&amp;Fut_Opt=Futures" htmlTables="1" htmlFormat="all"/>
  </connection>
  <connection id="100" xr16:uid="{40197D89-1EFD-4F24-BF9E-7770BF8900FA}" name="Connection188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1" xr16:uid="{5DE47A23-210F-477A-906C-A6D7BFAD1B57}" name="Connection189" type="4" refreshedVersion="0" background="1">
    <webPr url="http://www.nseindia.com/live_market/dynaContent/live_watch/fomwatchsymbol.jsp?key=NIFTY&amp;Fut_Opt=Futures" htmlTables="1" htmlFormat="all"/>
  </connection>
  <connection id="102" xr16:uid="{8BF6406F-7107-47BB-BEC6-FD8583C52AA9}" name="Connection19" type="4" refreshedVersion="0" background="1">
    <webPr url="http://www.nseindia.com/live_market/dynaContent/live_watch/fomwatchsymbol.jsp?key=NIFTY&amp;Fut_Opt=Futures" htmlTables="1" htmlFormat="all"/>
  </connection>
  <connection id="103" xr16:uid="{FD056FBE-1CA1-4712-9A82-10C62C2CB0D9}" name="Connection19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4" xr16:uid="{070CF4F8-A76D-41F6-B2F2-ABDB5611B130}" name="Connection191" type="4" refreshedVersion="0" background="1">
    <webPr url="http://www.nseindia.com/live_market/dynaContent/live_watch/fomwatchsymbol.jsp?key=NIFTY&amp;Fut_Opt=Futures" htmlTables="1" htmlFormat="all"/>
  </connection>
  <connection id="105" xr16:uid="{6D92F92E-65EF-41F3-8CC7-57EF75B7F1EA}" name="Connection19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6" xr16:uid="{82D2315F-581B-4112-9CFD-DDD02540FE3F}" name="Connection193" type="4" refreshedVersion="0" background="1">
    <webPr url="http://www.nseindia.com/live_market/dynaContent/live_watch/fomwatchsymbol.jsp?key=NIFTY&amp;Fut_Opt=Futures" htmlTables="1" htmlFormat="all"/>
  </connection>
  <connection id="107" xr16:uid="{B3F21BF1-421D-48EA-92A0-6330FA465132}" name="Connection19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8" xr16:uid="{FEB5832E-3118-42EC-82E7-6812759761E2}" name="Connection195" type="4" refreshedVersion="0" background="1">
    <webPr url="http://www.nseindia.com/live_market/dynaContent/live_watch/fomwatchsymbol.jsp?key=NIFTY&amp;Fut_Opt=Futures" htmlTables="1" htmlFormat="all"/>
  </connection>
  <connection id="109" xr16:uid="{510B4DA0-4F76-4102-91BC-0175E4614D3F}" name="Connection196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0" xr16:uid="{5E6D0E9D-3E71-466C-B160-64600C9FF17A}" name="Connection197" type="4" refreshedVersion="0" background="1">
    <webPr url="http://www.nseindia.com/live_market/dynaContent/live_watch/fomwatchsymbol.jsp?key=NIFTY&amp;Fut_Opt=Futures" htmlTables="1" htmlFormat="all"/>
  </connection>
  <connection id="111" xr16:uid="{A4175B0D-375B-4B4F-A8FE-8D254F689685}" name="Connection198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2" xr16:uid="{9AA4C717-79FE-4973-B5A8-8D211ECAFC65}" name="Connection199" type="4" refreshedVersion="0" background="1">
    <webPr url="http://www.nseindia.com/live_market/dynaContent/live_watch/fomwatchsymbol.jsp?key=NIFTY&amp;Fut_Opt=Futures" htmlTables="1" htmlFormat="all"/>
  </connection>
  <connection id="113" xr16:uid="{3DC7284A-CD92-4475-BAF5-560708349567}" name="Connection2" type="4" refreshedVersion="0" background="1" saveData="1">
    <webPr url="http://www.nseindia.com/live_market/dynaContent/live_watch/option_chain/optionKeys.jsp?segmentLink=17&amp;instrument=OPTIDX&amp;symbol=NIFTY&amp;date=25APR2019" htmlTables="1" htmlFormat="all"/>
  </connection>
  <connection id="114" xr16:uid="{B26BE008-E88B-4029-A430-B54417DC5431}" name="Connection2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15" xr16:uid="{AB606B6B-9108-481A-9299-E9089048C751}" name="Connection20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6" xr16:uid="{3B96A937-CBCA-4263-8120-65327DA986F2}" name="Connection201" type="4" refreshedVersion="0" background="1">
    <webPr url="http://www.nseindia.com/live_market/dynaContent/live_watch/fomwatchsymbol.jsp?key=NIFTY&amp;Fut_Opt=Futures" htmlTables="1" htmlFormat="all"/>
  </connection>
  <connection id="117" xr16:uid="{3A754CC2-8805-4ED8-B84E-CB35A19217DD}" name="Connection20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8" xr16:uid="{E3ABA5CF-0F0D-4B3D-B325-B408F357AA51}" name="Connection203" type="4" refreshedVersion="0" background="1">
    <webPr url="http://www.nseindia.com/live_market/dynaContent/live_watch/fomwatchsymbol.jsp?key=NIFTY&amp;Fut_Opt=Futures" htmlTables="1" htmlFormat="all"/>
  </connection>
  <connection id="119" xr16:uid="{90A2503B-B50C-4E35-BA26-B294570AC30F}" name="Connection20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0" xr16:uid="{0BC96D05-1AAA-4F89-9C49-533AC382BB2F}" name="Connection205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1" xr16:uid="{BEEDAC0E-75BA-4F0B-810A-3B0BF5913687}" name="Connection206" type="4" refreshedVersion="0" background="1">
    <webPr url="http://www.nseindia.com/live_market/dynaContent/live_watch/fomwatchsymbol.jsp?key=NIFTY&amp;Fut_Opt=Futures" htmlTables="1" htmlFormat="all"/>
  </connection>
  <connection id="122" xr16:uid="{AD0066C0-17D6-42DD-8748-6D9743736559}" name="Connection207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3" xr16:uid="{CDA01F92-F1AC-475F-9D95-2E0313BDD7B6}" name="Connection208" type="4" refreshedVersion="0" background="1">
    <webPr url="http://www.nseindia.com/live_market/dynaContent/live_watch/fomwatchsymbol.jsp?key=NIFTY&amp;Fut_Opt=Futures" htmlTables="1" htmlFormat="all"/>
  </connection>
  <connection id="124" xr16:uid="{1F886D1B-58C7-4327-984D-9081CBCFE582}" name="Connection209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5" xr16:uid="{0C43A1BD-88B2-4CC7-A5A3-2144C7FF7F88}" name="Connection21" type="4" refreshedVersion="0" background="1">
    <webPr url="http://www.nseindia.com/live_market/dynaContent/live_watch/fomwatchsymbol.jsp?key=NIFTY&amp;Fut_Opt=Futures" htmlTables="1" htmlFormat="all"/>
  </connection>
  <connection id="126" xr16:uid="{16343EC6-FB91-47CB-BAE8-DB9F8AD3AD47}" name="Connection210" type="4" refreshedVersion="0" background="1">
    <webPr url="http://www.nseindia.com/live_market/dynaContent/live_watch/fomwatchsymbol.jsp?key=NIFTY&amp;Fut_Opt=Futures" htmlTables="1" htmlFormat="all"/>
  </connection>
  <connection id="127" xr16:uid="{878C1FBC-7049-4B75-B9D3-7F80ED4BD82B}" name="Connection211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28" xr16:uid="{A9540127-CCAE-4666-8D65-11043B8AFA6C}" name="Connection212" type="4" refreshedVersion="0" background="1">
    <webPr url="http://www.nseindia.com/live_market/dynaContent/live_watch/fomwatchsymbol.jsp?key=NIFTY&amp;Fut_Opt=Futures" htmlTables="1" htmlFormat="all"/>
  </connection>
  <connection id="129" xr16:uid="{5FD389B0-C440-4633-A377-C1D0FB41488C}" name="Connection213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0" xr16:uid="{48D9468C-8ADB-46DF-A84D-DDE4851C96CF}" name="Connection214" type="4" refreshedVersion="0" background="1">
    <webPr url="http://www.nseindia.com/live_market/dynaContent/live_watch/fomwatchsymbol.jsp?key=NIFTY&amp;Fut_Opt=Futures" htmlTables="1" htmlFormat="all"/>
  </connection>
  <connection id="131" xr16:uid="{37AC90AB-5374-49A8-9842-0C5AA72847FB}" name="Connection215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2" xr16:uid="{04984A9F-641B-4963-AA4D-CED0A571C798}" name="Connection216" type="4" refreshedVersion="0" background="1">
    <webPr url="http://www.nseindia.com/live_market/dynaContent/live_watch/fomwatchsymbol.jsp?key=NIFTY&amp;Fut_Opt=Futures" htmlTables="1" htmlFormat="all"/>
  </connection>
  <connection id="133" xr16:uid="{069898D2-7D2F-4426-991D-DBA49A25B511}" name="Connection217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4" xr16:uid="{9C0016CE-DCDD-46F4-8FB8-3B2B324CAEC7}" name="Connection218" type="4" refreshedVersion="0" background="1">
    <webPr url="http://www.nseindia.com/live_market/dynaContent/live_watch/fomwatchsymbol.jsp?key=NIFTY&amp;Fut_Opt=Futures" htmlTables="1" htmlFormat="all"/>
  </connection>
  <connection id="135" xr16:uid="{BC3B1364-F2CB-4085-936F-FCF7323A265E}" name="Connection219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6" xr16:uid="{AE6E9979-A85D-4A3E-A3AF-9A5BF5AE3A65}" name="Connection2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37" xr16:uid="{1395CEC6-7548-46C7-B9C3-CA38F584D838}" name="Connection220" type="4" refreshedVersion="0" background="1">
    <webPr url="http://www.nseindia.com/live_market/dynaContent/live_watch/fomwatchsymbol.jsp?key=NIFTY&amp;Fut_Opt=Futures" htmlTables="1" htmlFormat="all"/>
  </connection>
  <connection id="138" xr16:uid="{CA48DEFB-8DE3-4A94-88F3-B084210D7B7D}" name="Connection221" type="4" refreshedVersion="0" background="1">
    <webPr url="http://www.nseindia.com/live_market/dynaContent/live_watch/option_chain/optionKeys.jsp?segmentLink=17&amp;instrument=OPTIDX&amp;symbol=NIFTY&amp;date=23MAY2019" htmlTables="1" htmlFormat="all"/>
  </connection>
  <connection id="139" xr16:uid="{E325E03A-4FE2-437F-A93C-1A25BBE5ABC9}" name="Connection222" type="4" refreshedVersion="0" background="1">
    <webPr url="http://www.nseindia.com/live_market/dynaContent/live_watch/fomwatchsymbol.jsp?key=NIFTY&amp;Fut_Opt=Futures" htmlTables="1" htmlFormat="all"/>
  </connection>
  <connection id="140" xr16:uid="{A524031B-C345-45F8-93AB-36DC5217AC52}" name="Connection223" type="4" refreshedVersion="0" background="1">
    <webPr url="http://www.nseindia.com/live_market/dynaContent/live_watch/fomwatchsymbol.jsp?key=NIFTY&amp;Fut_Opt=Futures" htmlTables="1" htmlFormat="all"/>
  </connection>
  <connection id="141" xr16:uid="{55ABA118-ED9E-46AA-A890-274FCAC79795}" name="Connection224" type="4" refreshedVersion="0" background="1">
    <webPr url="http://www.nseindia.com/live_market/dynaContent/live_watch/fomwatchsymbol.jsp?key=NIFTY&amp;Fut_Opt=Futures" htmlTables="1" htmlFormat="all"/>
  </connection>
  <connection id="142" xr16:uid="{4989476B-D8ED-4D65-8A70-DCF9CCD205C1}" name="Connection225" type="4" refreshedVersion="0" background="1">
    <webPr url="http://www.nseindia.com/live_market/dynaContent/live_watch/option_chain/optionKeys.jsp?segmentLink=17&amp;instrument=OPTIDX&amp;symbol=NIFTY&amp;date=30MAY2019" htmlTables="1" htmlFormat="all"/>
  </connection>
  <connection id="143" xr16:uid="{BF4929DD-976A-4DB0-8221-A2CE64735A70}" name="Connection226" type="4" refreshedVersion="0" background="1">
    <webPr url="http://www.nseindia.com/live_market/dynaContent/live_watch/fomwatchsymbol.jsp?key=NIFTY&amp;Fut_Opt=Futures" htmlTables="1" htmlFormat="all"/>
  </connection>
  <connection id="144" xr16:uid="{5070A6FB-21B0-4E0D-9519-EA75725F1295}" name="Connection227" type="4" refreshedVersion="0" background="1">
    <webPr url="http://www.nseindia.com/live_market/dynaContent/live_watch/option_chain/optionKeys.jsp?segmentLink=17&amp;instrument=OPTIDX&amp;symbol=NIFTY&amp;date=30MAY2019" htmlTables="1" htmlFormat="all"/>
  </connection>
  <connection id="145" xr16:uid="{CC5E1F02-1EB8-4F8E-89D0-5C1303157402}" name="Connection228" type="4" refreshedVersion="0" background="1">
    <webPr url="http://www.nseindia.com/live_market/dynaContent/live_watch/fomwatchsymbol.jsp?key=NIFTY&amp;Fut_Opt=Futures" htmlTables="1" htmlFormat="all"/>
  </connection>
  <connection id="146" xr16:uid="{E99E318C-7D62-461E-A68B-5B50C2CC06E9}" name="Connection229" type="4" refreshedVersion="0" background="1">
    <webPr url="http://www.nseindia.com/live_market/dynaContent/live_watch/option_chain/optionKeys.jsp?segmentLink=17&amp;instrument=OPTIDX&amp;symbol=NIFTY&amp;date=30MAY2019" htmlTables="1" htmlFormat="all"/>
  </connection>
  <connection id="147" xr16:uid="{11A83AF4-1A4E-461D-A959-23B155719D70}" name="Connection23" type="4" refreshedVersion="0" background="1">
    <webPr url="http://www.nseindia.com/live_market/dynaContent/live_watch/fomwatchsymbol.jsp?key=NIFTY&amp;Fut_Opt=Futures" htmlTables="1" htmlFormat="all"/>
  </connection>
  <connection id="148" xr16:uid="{55CE5014-E3C1-4A49-86C4-1D8330AA7F44}" name="Connection230" type="4" refreshedVersion="0" background="1">
    <webPr url="http://www.nseindia.com/live_market/dynaContent/live_watch/fomwatchsymbol.jsp?key=NIFTY&amp;Fut_Opt=Futures" htmlTables="1" htmlFormat="all"/>
  </connection>
  <connection id="149" xr16:uid="{EFE5ACEF-CE18-40C6-A649-B50850A547E0}" name="Connection231" type="4" refreshedVersion="6">
    <webPr sourceData="1" parsePre="1" consecutive="1" xl2000="1" url="http://www.nseindia.com/live_market/dynaContent/live_watch/option_chain/optionKeys.jsp?segmentLink=17&amp;instrument=OPTIDX&amp;symbol=NIFTY&amp;date=30MAY2019"/>
  </connection>
  <connection id="150" xr16:uid="{2EF83893-810B-45A5-9324-4109DDA71C6A}" name="Connection2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51" xr16:uid="{884F29E1-12E8-49F0-BF91-0EB596950128}" name="Connection25" type="4" refreshedVersion="0" background="1">
    <webPr url="http://www.nseindia.com/live_market/dynaContent/live_watch/fomwatchsymbol.jsp?key=NIFTY&amp;Fut_Opt=Futures" htmlTables="1" htmlFormat="all"/>
  </connection>
  <connection id="152" xr16:uid="{C255F41F-7163-43E1-87CB-9F892AAB02F8}" name="Connection2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53" xr16:uid="{69455EC7-8171-4480-9290-1F0835DBF40F}" name="Connection27" type="4" refreshedVersion="0" background="1">
    <webPr url="http://www.nseindia.com/live_market/dynaContent/live_watch/fomwatchsymbol.jsp?key=NIFTY&amp;Fut_Opt=Futures" htmlTables="1" htmlFormat="all"/>
  </connection>
  <connection id="154" xr16:uid="{154BA16D-75D2-4D24-843A-756FB62CA3A5}" name="Connection2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55" xr16:uid="{1E2C0A5F-A616-4C27-ABC6-EFFD97B47D65}" name="Connection29" type="4" refreshedVersion="0" background="1">
    <webPr url="http://www.nseindia.com/live_market/dynaContent/live_watch/fomwatchsymbol.jsp?key=NIFTY&amp;Fut_Opt=Futures" htmlTables="1" htmlFormat="all"/>
  </connection>
  <connection id="156" xr16:uid="{5885A693-6DAA-4D25-96A4-61AB215E3E45}" name="Connection3" type="4" refreshedVersion="0" background="1" saveData="1">
    <webPr url="http://www.nseindia.com/live_market/dynaContent/live_watch/fomwatchsymbol.jsp?key=NIFTY&amp;Fut_Opt=Futures" htmlTables="1" htmlFormat="all"/>
  </connection>
  <connection id="157" xr16:uid="{57111B8F-B0A4-468A-B9F2-F38DA8C30886}" name="Connection3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58" xr16:uid="{A8E8E369-E075-4E72-A2B3-06C640691C13}" name="Connection31" type="4" refreshedVersion="0" background="1">
    <webPr url="http://www.nseindia.com/live_market/dynaContent/live_watch/fomwatchsymbol.jsp?key=NIFTY&amp;Fut_Opt=Futures" htmlTables="1" htmlFormat="all"/>
  </connection>
  <connection id="159" xr16:uid="{4ECE0FA7-6F19-485D-8798-C1FE45E3FDC0}" name="Connection3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0" xr16:uid="{985D3EB5-1C43-4B20-979E-BA2DC3B61E31}" name="Connection33" type="4" refreshedVersion="0" background="1">
    <webPr url="http://www.nseindia.com/live_market/dynaContent/live_watch/fomwatchsymbol.jsp?key=NIFTY&amp;Fut_Opt=Futures" htmlTables="1" htmlFormat="all"/>
  </connection>
  <connection id="161" xr16:uid="{C05F4110-D3A5-40C8-AD8B-2E0C6DB5613E}" name="Connection3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62" xr16:uid="{66790F36-1BD0-4734-98CA-FBF423677FF2}" name="Connection35" type="4" refreshedVersion="0" background="1">
    <webPr url="http://www.nseindia.com/live_market/dynaContent/live_watch/fomwatchsymbol.jsp?key=NIFTY&amp;Fut_Opt=Futures" htmlTables="1" htmlFormat="all"/>
  </connection>
  <connection id="163" xr16:uid="{4B286A21-7489-43BF-A25E-D3B1F731AF88}" name="Connection3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64" xr16:uid="{918A15FA-E104-421B-BEF0-94519F69B25D}" name="Connection37" type="4" refreshedVersion="0" background="1">
    <webPr url="http://www.nseindia.com/live_market/dynaContent/live_watch/fomwatchsymbol.jsp?key=NIFTY&amp;Fut_Opt=Futures" htmlTables="1" htmlFormat="all"/>
  </connection>
  <connection id="165" xr16:uid="{4F97ACAE-A08F-4BA9-8386-1A7F25A0019A}" name="Connection3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66" xr16:uid="{378B3F59-4349-4C7C-883F-C9C7CBE967F2}" name="Connection39" type="4" refreshedVersion="0" background="1">
    <webPr url="http://www.nseindia.com/live_market/dynaContent/live_watch/fomwatchsymbol.jsp?key=NIFTY&amp;Fut_Opt=Futures" htmlTables="1" htmlFormat="all"/>
  </connection>
  <connection id="167" xr16:uid="{185569E7-156C-4314-AF95-048AD58E9CB8}" name="Connection4" type="4" refreshedVersion="0" background="1">
    <webPr url="http://www.nseindia.com/live_market/dynaContent/live_watch/fomwatchsymbol.jsp?key=NIFTY&amp;Fut_Opt=Futures" htmlTables="1" htmlFormat="all"/>
  </connection>
  <connection id="168" xr16:uid="{4DAEAB43-A42F-4E82-AA69-0F125B56DB67}" name="Connection4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69" xr16:uid="{BE6300C7-B33C-4DB4-9200-FA6FC2C77DB8}" name="Connection41" type="4" refreshedVersion="0" background="1">
    <webPr url="http://www.nseindia.com/live_market/dynaContent/live_watch/fomwatchsymbol.jsp?key=NIFTY&amp;Fut_Opt=Futures" htmlTables="1" htmlFormat="all"/>
  </connection>
  <connection id="170" xr16:uid="{8A7589C9-14DA-4679-978D-B70155E61F54}" name="Connection4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1" xr16:uid="{54395C1D-B4E9-4D7E-94B3-CC9D7F8F6264}" name="Connection43" type="4" refreshedVersion="0" background="1">
    <webPr url="http://www.nseindia.com/live_market/dynaContent/live_watch/fomwatchsymbol.jsp?key=NIFTY&amp;Fut_Opt=Futures" htmlTables="1" htmlFormat="all"/>
  </connection>
  <connection id="172" xr16:uid="{603CA64D-0267-48F5-BE96-178742758DD4}" name="Connection4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3" xr16:uid="{687204FC-5C3C-4143-8FFA-C571E416B136}" name="Connection45" type="4" refreshedVersion="0" background="1">
    <webPr url="http://www.nseindia.com/live_market/dynaContent/live_watch/fomwatchsymbol.jsp?key=NIFTY&amp;Fut_Opt=Futures" htmlTables="1" htmlFormat="all"/>
  </connection>
  <connection id="174" xr16:uid="{9F73473D-8A95-448C-B36B-D6B1F44E89CA}" name="Connection4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5" xr16:uid="{6589145A-15DE-4ED1-BEEA-F7F8D121ACF0}" name="Connection47" type="4" refreshedVersion="0" background="1">
    <webPr url="http://www.nseindia.com/live_market/dynaContent/live_watch/fomwatchsymbol.jsp?key=NIFTY&amp;Fut_Opt=Futures" htmlTables="1" htmlFormat="all"/>
  </connection>
  <connection id="176" xr16:uid="{F7654A6F-65A9-4B5B-858A-C3C1FF694398}" name="Connection4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7" xr16:uid="{21820A49-5978-4820-AE5E-D0010A109B08}" name="Connection49" type="4" refreshedVersion="0" background="1">
    <webPr url="http://www.nseindia.com/live_market/dynaContent/live_watch/fomwatchsymbol.jsp?key=NIFTY&amp;Fut_Opt=Futures" htmlTables="1" htmlFormat="all"/>
  </connection>
  <connection id="178" xr16:uid="{1E962972-4AA7-42F0-AB57-3CFD2210B190}" name="Connection5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79" xr16:uid="{C710EC35-992E-49F4-BD0E-8B683E4E8117}" name="Connection5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0" xr16:uid="{2D6684BA-2B25-489A-A806-52D2ADB20941}" name="Connection51" type="4" refreshedVersion="0" background="1">
    <webPr url="http://www.nseindia.com/live_market/dynaContent/live_watch/fomwatchsymbol.jsp?key=NIFTY&amp;Fut_Opt=Futures" htmlTables="1" htmlFormat="all"/>
  </connection>
  <connection id="181" xr16:uid="{341A4AE5-0E5E-48E0-A389-34CCAEEB82FE}" name="Connection5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2" xr16:uid="{4F1D48D6-D140-4F8C-9A2A-A4DF64CA1635}" name="Connection53" type="4" refreshedVersion="0" background="1">
    <webPr url="http://www.nseindia.com/live_market/dynaContent/live_watch/fomwatchsymbol.jsp?key=NIFTY&amp;Fut_Opt=Futures" htmlTables="1" htmlFormat="all"/>
  </connection>
  <connection id="183" xr16:uid="{D3E461D9-09A9-4FA1-8E58-0EF728302123}" name="Connection5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4" xr16:uid="{E498909B-3C5D-49D4-9481-1536A916B852}" name="Connection55" type="4" refreshedVersion="0" background="1">
    <webPr url="http://www.nseindia.com/live_market/dynaContent/live_watch/fomwatchsymbol.jsp?key=NIFTY&amp;Fut_Opt=Futures" htmlTables="1" htmlFormat="all"/>
  </connection>
  <connection id="185" xr16:uid="{7ED96FDE-587E-4094-B19D-C4CF7C93D7E9}" name="Connection5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6" xr16:uid="{12BC5086-DE93-4BD9-86BB-131E219603CD}" name="Connection57" type="4" refreshedVersion="0" background="1">
    <webPr url="http://www.nseindia.com/live_market/dynaContent/live_watch/fomwatchsymbol.jsp?key=NIFTY&amp;Fut_Opt=Futures" htmlTables="1" htmlFormat="all"/>
  </connection>
  <connection id="187" xr16:uid="{CF1C0229-0E88-4765-9EDF-9140C05502E5}" name="Connection5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8" xr16:uid="{336E44DA-CCF5-4992-84BD-5D3D0AC0A010}" name="Connection59" type="4" refreshedVersion="0" background="1">
    <webPr url="http://www.nseindia.com/live_market/dynaContent/live_watch/fomwatchsymbol.jsp?key=NIFTY&amp;Fut_Opt=Futures" htmlTables="1" htmlFormat="all"/>
  </connection>
  <connection id="189" xr16:uid="{BB8084E1-A412-4745-8307-43235A2E1614}" name="Connection6" type="4" refreshedVersion="0" background="1">
    <webPr url="http://www.nseindia.com/live_market/dynaContent/live_watch/fomwatchsymbol.jsp?key=NIFTY&amp;Fut_Opt=Futures" htmlTables="1" htmlFormat="all"/>
  </connection>
  <connection id="190" xr16:uid="{471DAE13-B950-4F75-B8A7-E36D6549E9B0}" name="Connection6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1" xr16:uid="{60F3ACD4-9CB6-4559-A5F9-D7A2E9BD7F49}" name="Connection61" type="4" refreshedVersion="0" background="1">
    <webPr url="http://www.nseindia.com/live_market/dynaContent/live_watch/fomwatchsymbol.jsp?key=NIFTY&amp;Fut_Opt=Futures" htmlTables="1" htmlFormat="all"/>
  </connection>
  <connection id="192" xr16:uid="{73EDAB83-2975-44CC-8D83-F17C4F1D68D7}" name="Connection6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3" xr16:uid="{4B6EB439-71EF-48D1-94AF-8AC37C886465}" name="Connection63" type="4" refreshedVersion="0" background="1">
    <webPr url="http://www.nseindia.com/live_market/dynaContent/live_watch/fomwatchsymbol.jsp?key=NIFTY&amp;Fut_Opt=Futures" htmlTables="1" htmlFormat="all"/>
  </connection>
  <connection id="194" xr16:uid="{E64B0B31-3ECB-4358-9ECA-B32CCF2037AE}" name="Connection6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5" xr16:uid="{9DBCA21F-7967-4B68-8BA5-9D7C0DA8D7C9}" name="Connection65" type="4" refreshedVersion="0" background="1">
    <webPr url="http://www.nseindia.com/live_market/dynaContent/live_watch/fomwatchsymbol.jsp?key=NIFTY&amp;Fut_Opt=Futures" htmlTables="1" htmlFormat="all"/>
  </connection>
  <connection id="196" xr16:uid="{7FE2B8B3-62C3-48AF-99EA-8582607999EE}" name="Connection6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7" xr16:uid="{364CA6EB-45E7-4321-A9C4-DD51C59A2780}" name="Connection67" type="4" refreshedVersion="0" background="1">
    <webPr url="http://www.nseindia.com/live_market/dynaContent/live_watch/fomwatchsymbol.jsp?key=NIFTY&amp;Fut_Opt=Futures" htmlTables="1" htmlFormat="all"/>
  </connection>
  <connection id="198" xr16:uid="{89ABA71B-EB94-42B4-9815-DC1CE024B361}" name="Connection6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9" xr16:uid="{EB73BF2B-25F6-4BF0-85C1-7B87C1F52E4F}" name="Connection69" type="4" refreshedVersion="0" background="1">
    <webPr url="http://www.nseindia.com/live_market/dynaContent/live_watch/fomwatchsymbol.jsp?key=NIFTY&amp;Fut_Opt=Futures" htmlTables="1" htmlFormat="all"/>
  </connection>
  <connection id="200" xr16:uid="{C53FBE72-6062-4DCD-AE2F-265FAA857459}" name="Connection7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01" xr16:uid="{782B6B28-33E9-4C15-9C76-FDA2E599A6D0}" name="Connection7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2" xr16:uid="{941741E8-2742-4BF0-A40E-A7A4F20DE6AB}" name="Connection71" type="4" refreshedVersion="0" background="1">
    <webPr url="http://www.nseindia.com/live_market/dynaContent/live_watch/fomwatchsymbol.jsp?key=NIFTY&amp;Fut_Opt=Futures" htmlTables="1" htmlFormat="all"/>
  </connection>
  <connection id="203" xr16:uid="{42312F92-234D-4562-BD94-784B6F0C1DD3}" name="Connection7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4" xr16:uid="{28AB1711-8747-494A-B28D-4C6B6120279D}" name="Connection73" type="4" refreshedVersion="0" background="1">
    <webPr url="http://www.nseindia.com/live_market/dynaContent/live_watch/fomwatchsymbol.jsp?key=NIFTY&amp;Fut_Opt=Futures" htmlTables="1" htmlFormat="all"/>
  </connection>
  <connection id="205" xr16:uid="{D9EDD1E0-C469-45F1-829C-F24ED0144071}" name="Connection7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6" xr16:uid="{74721497-7BE3-4FE7-812C-63ADD264A291}" name="Connection75" type="4" refreshedVersion="0" background="1">
    <webPr url="http://www.nseindia.com/live_market/dynaContent/live_watch/fomwatchsymbol.jsp?key=NIFTY&amp;Fut_Opt=Futures" htmlTables="1" htmlFormat="all"/>
  </connection>
  <connection id="207" xr16:uid="{7869897E-FE34-4DB7-82A9-089D5E62B1EF}" name="Connection7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8" xr16:uid="{B4004CBC-AA77-493E-88C8-DEE9E17537FA}" name="Connection77" type="4" refreshedVersion="0" background="1">
    <webPr url="http://www.nseindia.com/live_market/dynaContent/live_watch/fomwatchsymbol.jsp?key=NIFTY&amp;Fut_Opt=Futures" htmlTables="1" htmlFormat="all"/>
  </connection>
  <connection id="209" xr16:uid="{E90055F5-DADC-481D-8CFB-081F23434168}" name="Connection7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0" xr16:uid="{C9ADA8AE-4CF9-4A15-ADFD-C1D1BF27545F}" name="Connection79" type="4" refreshedVersion="0" background="1">
    <webPr url="http://www.nseindia.com/live_market/dynaContent/live_watch/fomwatchsymbol.jsp?key=NIFTY&amp;Fut_Opt=Futures" htmlTables="1" htmlFormat="all"/>
  </connection>
  <connection id="211" xr16:uid="{49A22ADA-2A66-4205-AE37-550FE4162074}" name="Connection8" type="4" refreshedVersion="0" background="1">
    <webPr url="http://www.nseindia.com/live_market/dynaContent/live_watch/fomwatchsymbol.jsp?key=NIFTY&amp;Fut_Opt=Futures" htmlTables="1" htmlFormat="all"/>
  </connection>
  <connection id="212" xr16:uid="{50176C52-B612-40C8-93A3-DDD8C399548E}" name="Connection8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3" xr16:uid="{87426F2D-7EFD-4DE9-B202-B3736E0A7BFE}" name="Connection81" type="4" refreshedVersion="0" background="1">
    <webPr url="http://www.nseindia.com/live_market/dynaContent/live_watch/fomwatchsymbol.jsp?key=NIFTY&amp;Fut_Opt=Futures" htmlTables="1" htmlFormat="all"/>
  </connection>
  <connection id="214" xr16:uid="{4C6063EE-DFAF-48CA-909C-1C61FF0CDC70}" name="Connection8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5" xr16:uid="{CB4723AC-72AD-4457-A59C-6173B1EAB441}" name="Connection83" type="4" refreshedVersion="0" background="1">
    <webPr url="http://www.nseindia.com/live_market/dynaContent/live_watch/fomwatchsymbol.jsp?key=NIFTY&amp;Fut_Opt=Futures" htmlTables="1" htmlFormat="all"/>
  </connection>
  <connection id="216" xr16:uid="{CE1FBA28-70CC-48CA-9B85-9A123A4722F9}" name="Connection8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7" xr16:uid="{7D032E3A-1117-4ACC-91D3-88268028CF46}" name="Connection85" type="4" refreshedVersion="0" background="1">
    <webPr url="http://www.nseindia.com/live_market/dynaContent/live_watch/fomwatchsymbol.jsp?key=NIFTY&amp;Fut_Opt=Futures" htmlTables="1" htmlFormat="all"/>
  </connection>
  <connection id="218" xr16:uid="{D6CA5C41-B940-4D92-AD6E-87A45F70B9C4}" name="Connection8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9" xr16:uid="{20EFCCC8-A255-4C74-827F-6577981AFA2A}" name="Connection87" type="4" refreshedVersion="0" background="1">
    <webPr url="http://www.nseindia.com/live_market/dynaContent/live_watch/fomwatchsymbol.jsp?key=NIFTY&amp;Fut_Opt=Futures" htmlTables="1" htmlFormat="all"/>
  </connection>
  <connection id="220" xr16:uid="{E16FB2D5-09DF-43FC-94E0-8CCE3FA216E5}" name="Connection8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1" xr16:uid="{A6EF82A8-792F-412E-92E8-7AEF6CBD2252}" name="Connection89" type="4" refreshedVersion="0" background="1">
    <webPr url="http://www.nseindia.com/live_market/dynaContent/live_watch/fomwatchsymbol.jsp?key=NIFTY&amp;Fut_Opt=Futures" htmlTables="1" htmlFormat="all"/>
  </connection>
  <connection id="222" xr16:uid="{A74C23A3-F255-4872-8900-2579D96F1F7E}" name="Connection9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23" xr16:uid="{98CFF0D0-C6C1-4BD7-BF3E-71DC79645A7B}" name="Connection9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4" xr16:uid="{E1497C5C-02EC-4A1B-8590-BCA6D974C0AB}" name="Connection91" type="4" refreshedVersion="0" background="1">
    <webPr url="http://www.nseindia.com/live_market/dynaContent/live_watch/fomwatchsymbol.jsp?key=NIFTY&amp;Fut_Opt=Futures" htmlTables="1" htmlFormat="all"/>
  </connection>
  <connection id="225" xr16:uid="{5227B7DB-087E-431F-B37B-1DF960C14652}" name="Connection9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6" xr16:uid="{4DF102E3-0894-4D72-AA06-040BCA74234C}" name="Connection93" type="4" refreshedVersion="0" background="1">
    <webPr url="http://www.nseindia.com/live_market/dynaContent/live_watch/fomwatchsymbol.jsp?key=NIFTY&amp;Fut_Opt=Futures" htmlTables="1" htmlFormat="all"/>
  </connection>
  <connection id="227" xr16:uid="{8EB22A2C-3F49-41BB-B44B-81E2A3B6ACA2}" name="Connection9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8" xr16:uid="{9E7D4468-8DE3-4423-8B87-8AEFD5191606}" name="Connection95" type="4" refreshedVersion="0" background="1">
    <webPr url="http://www.nseindia.com/live_market/dynaContent/live_watch/fomwatchsymbol.jsp?key=NIFTY&amp;Fut_Opt=Futures" htmlTables="1" htmlFormat="all"/>
  </connection>
  <connection id="229" xr16:uid="{04DBE4D6-3C78-4206-B077-F1400B8EAD7E}" name="Connection9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0" xr16:uid="{D7D83DB3-636E-4D4A-A0F4-A52AF1A6DD06}" name="Connection97" type="4" refreshedVersion="0" background="1">
    <webPr url="http://www.nseindia.com/live_market/dynaContent/live_watch/fomwatchsymbol.jsp?key=NIFTY&amp;Fut_Opt=Futures" htmlTables="1" htmlFormat="all"/>
  </connection>
  <connection id="231" xr16:uid="{83649E25-C8F1-4194-A761-53FA0A73F51A}" name="Connection9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2" xr16:uid="{ACC51760-056D-4030-8CED-9EBFB8BD01FA}" name="Connection99" type="4" refreshedVersion="0" background="1">
    <webPr url="http://www.nseindia.com/live_market/dynaContent/live_watch/fomwatchsymbol.jsp?key=NIFTY&amp;Fut_Opt=Futures" htmlTables="1" htmlFormat="all"/>
  </connection>
</connections>
</file>

<file path=xl/sharedStrings.xml><?xml version="1.0" encoding="utf-8"?>
<sst xmlns="http://schemas.openxmlformats.org/spreadsheetml/2006/main" count="29682" uniqueCount="684">
  <si>
    <t>OI</t>
  </si>
  <si>
    <t>Chng in OI</t>
  </si>
  <si>
    <t>Volume</t>
  </si>
  <si>
    <t>IV</t>
  </si>
  <si>
    <t>LTP</t>
  </si>
  <si>
    <t>Net Chng</t>
  </si>
  <si>
    <t>Price</t>
  </si>
  <si>
    <t>Strike Price</t>
  </si>
  <si>
    <t>-</t>
  </si>
  <si>
    <t>Total</t>
  </si>
  <si>
    <t>Spot :</t>
  </si>
  <si>
    <t>Date :</t>
  </si>
  <si>
    <t>Time :</t>
  </si>
  <si>
    <t>Call Volume</t>
  </si>
  <si>
    <t>Strike</t>
  </si>
  <si>
    <t>Put Volume</t>
  </si>
  <si>
    <t>PUT</t>
  </si>
  <si>
    <t>CALL</t>
  </si>
  <si>
    <t>SP</t>
  </si>
  <si>
    <t>CE OI</t>
  </si>
  <si>
    <t>PE OI</t>
  </si>
  <si>
    <t>Call Value</t>
  </si>
  <si>
    <t>Put Value</t>
  </si>
  <si>
    <t>Max Pain Calculation</t>
  </si>
  <si>
    <t>MAX Pain :</t>
  </si>
  <si>
    <t>CE IV</t>
  </si>
  <si>
    <t>PE IV</t>
  </si>
  <si>
    <t>CE &amp; PE VOLT Calculation</t>
  </si>
  <si>
    <t>Volt</t>
  </si>
  <si>
    <t>Last Updated  :</t>
  </si>
  <si>
    <t>Spot:</t>
  </si>
  <si>
    <t>Max Pain :</t>
  </si>
  <si>
    <t>Intraday</t>
  </si>
  <si>
    <t>Positional</t>
  </si>
  <si>
    <t>Symbol</t>
  </si>
  <si>
    <t>CHGOI</t>
  </si>
  <si>
    <t>STRIKE</t>
  </si>
  <si>
    <t>VOL</t>
  </si>
  <si>
    <t>VOLT</t>
  </si>
  <si>
    <t>∑ OI</t>
  </si>
  <si>
    <t>∑ CHG in OI</t>
  </si>
  <si>
    <t>CE</t>
  </si>
  <si>
    <t>PE</t>
  </si>
  <si>
    <t>Signal</t>
  </si>
  <si>
    <t>H.VOLT</t>
  </si>
  <si>
    <t>FUTURE</t>
  </si>
  <si>
    <t>Open</t>
  </si>
  <si>
    <t>High</t>
  </si>
  <si>
    <t>Low</t>
  </si>
  <si>
    <t>L.T.Price</t>
  </si>
  <si>
    <t>Pre.Close</t>
  </si>
  <si>
    <t>U.Value</t>
  </si>
  <si>
    <t>Turn Over(Lks)</t>
  </si>
  <si>
    <t>Premium</t>
  </si>
  <si>
    <t>Type</t>
  </si>
  <si>
    <t>SELL</t>
  </si>
  <si>
    <t>Expiry</t>
  </si>
  <si>
    <t>Max CE CHGOI</t>
  </si>
  <si>
    <t>Max PE CHGOI</t>
  </si>
  <si>
    <t>Max OI CE</t>
  </si>
  <si>
    <t>Max OI PE</t>
  </si>
  <si>
    <t>BUY</t>
  </si>
  <si>
    <t>PAIR SUGGESTION CALCULATION</t>
  </si>
  <si>
    <t>CE LTP</t>
  </si>
  <si>
    <t>PE LTP</t>
  </si>
  <si>
    <t>CE STRIKE</t>
  </si>
  <si>
    <t>PE STRIKE</t>
  </si>
  <si>
    <t>SELL SIGNAL</t>
  </si>
  <si>
    <t>BUY SIGNAL</t>
  </si>
  <si>
    <t>CE :</t>
  </si>
  <si>
    <t>Price :</t>
  </si>
  <si>
    <t>PE :</t>
  </si>
  <si>
    <t>Premium:</t>
  </si>
  <si>
    <t>PAIR 1 :</t>
  </si>
  <si>
    <t>PAIR 2 :</t>
  </si>
  <si>
    <t>CE CHGOI</t>
  </si>
  <si>
    <t>PE CHGOI</t>
  </si>
  <si>
    <t>OI, CHGOI, VOL Calculation</t>
  </si>
  <si>
    <t>PE VOL</t>
  </si>
  <si>
    <t>CE VOL</t>
  </si>
  <si>
    <t>ITM</t>
  </si>
  <si>
    <t>ATM</t>
  </si>
  <si>
    <t>OTM</t>
  </si>
  <si>
    <t>Max.Pain:</t>
  </si>
  <si>
    <t>INTRADAY</t>
  </si>
  <si>
    <t>WEEKLY</t>
  </si>
  <si>
    <t>Time</t>
  </si>
  <si>
    <t>PAIR SUGESSTION</t>
  </si>
  <si>
    <t>iv</t>
  </si>
  <si>
    <t>SPOT</t>
  </si>
  <si>
    <t>MAX PAIN</t>
  </si>
  <si>
    <t>FUT.LTP</t>
  </si>
  <si>
    <t>FUT.HIGH</t>
  </si>
  <si>
    <t>FUT.LOW</t>
  </si>
  <si>
    <t>TYPE</t>
  </si>
  <si>
    <t>PRICE</t>
  </si>
  <si>
    <t>PREMIUM</t>
  </si>
  <si>
    <t>Clear All :</t>
  </si>
  <si>
    <t>NO</t>
  </si>
  <si>
    <t>YES</t>
  </si>
  <si>
    <t>&lt;- PAIR SUGGESTION -&gt;</t>
  </si>
  <si>
    <t>Data Date</t>
  </si>
  <si>
    <t>Today</t>
  </si>
  <si>
    <t>Current Time :</t>
  </si>
  <si>
    <t>No Updation Time From:</t>
  </si>
  <si>
    <t>No Updation Time To:</t>
  </si>
  <si>
    <t>Updation Time :</t>
  </si>
  <si>
    <t>PIVOT</t>
  </si>
  <si>
    <t>R1</t>
  </si>
  <si>
    <t>R2</t>
  </si>
  <si>
    <t>R3</t>
  </si>
  <si>
    <t>R4</t>
  </si>
  <si>
    <t>R5</t>
  </si>
  <si>
    <t>Mid R1</t>
  </si>
  <si>
    <t>Mid R2</t>
  </si>
  <si>
    <t>Mid R3</t>
  </si>
  <si>
    <t>Mid R4</t>
  </si>
  <si>
    <t>Mid R5</t>
  </si>
  <si>
    <t>S1</t>
  </si>
  <si>
    <t>S2</t>
  </si>
  <si>
    <t>S3</t>
  </si>
  <si>
    <t>S4</t>
  </si>
  <si>
    <t>S5</t>
  </si>
  <si>
    <t>Mid S1</t>
  </si>
  <si>
    <t>Mid S2</t>
  </si>
  <si>
    <t>Mid S3</t>
  </si>
  <si>
    <t>Mid S4</t>
  </si>
  <si>
    <t>Mid S5</t>
  </si>
  <si>
    <t>DATE</t>
  </si>
  <si>
    <t>OPEN</t>
  </si>
  <si>
    <t>HIGH</t>
  </si>
  <si>
    <t>LOW</t>
  </si>
  <si>
    <t>CLOSE</t>
  </si>
  <si>
    <t xml:space="preserve">Enter Previous Trade Day Nifty Open, High, Low, Close Details </t>
  </si>
  <si>
    <t>PIVOT TABLE</t>
  </si>
  <si>
    <t>Net +/-</t>
  </si>
  <si>
    <t>Und.Value</t>
  </si>
  <si>
    <t>Turn Over (Lks)</t>
  </si>
  <si>
    <t>Last Trade Price</t>
  </si>
  <si>
    <t>CE:</t>
  </si>
  <si>
    <t>PE:</t>
  </si>
  <si>
    <t>Max OI</t>
  </si>
  <si>
    <t>MAX CHGOI</t>
  </si>
  <si>
    <t>Weekly</t>
  </si>
  <si>
    <t>Trend</t>
  </si>
  <si>
    <t>∑ CHGOI Calculation</t>
  </si>
  <si>
    <t>CHGOI Intraday Trend</t>
  </si>
  <si>
    <t>Buy Win :</t>
  </si>
  <si>
    <t>Sell Win :</t>
  </si>
  <si>
    <t>CE PRICE</t>
  </si>
  <si>
    <t>PE PRICE</t>
  </si>
  <si>
    <t>Nifty Spot :</t>
  </si>
  <si>
    <t>Download Link :-</t>
  </si>
  <si>
    <t>http://www.nseindia.com/products/content/equities/indices/historical_index_data.htm</t>
  </si>
  <si>
    <t>Nifty Future :</t>
  </si>
  <si>
    <t>http://www.nseindia.com/products/content/derivatives/equities/historical_fo.htm</t>
  </si>
  <si>
    <t>Day :</t>
  </si>
  <si>
    <t>∑ OI CE</t>
  </si>
  <si>
    <t>∑ OI PE</t>
  </si>
  <si>
    <t>Interpretation</t>
  </si>
  <si>
    <t>Change in OI</t>
  </si>
  <si>
    <t>Net Change</t>
  </si>
  <si>
    <t>Last Updated :</t>
  </si>
  <si>
    <t>*Short unwinding = Profit Booking (Short)</t>
  </si>
  <si>
    <t>*Long unwinding  = Profit Booking  (Long)</t>
  </si>
  <si>
    <t>IF YOU WANT TO CLEAR ALL</t>
  </si>
  <si>
    <r>
      <t xml:space="preserve">DATA SELECT </t>
    </r>
    <r>
      <rPr>
        <b/>
        <sz val="11"/>
        <color rgb="FF00B0F0"/>
        <rFont val="Calibri"/>
        <family val="2"/>
        <scheme val="minor"/>
      </rPr>
      <t>"YES"</t>
    </r>
    <r>
      <rPr>
        <b/>
        <sz val="11"/>
        <color theme="0"/>
        <rFont val="Calibri"/>
        <family val="2"/>
        <scheme val="minor"/>
      </rPr>
      <t xml:space="preserve"> AND AGAIN</t>
    </r>
  </si>
  <si>
    <t>OTHERWISE DATA WILL NOT</t>
  </si>
  <si>
    <t>UPDATE IN THIS SHEET.</t>
  </si>
  <si>
    <r>
      <t xml:space="preserve">SELECT </t>
    </r>
    <r>
      <rPr>
        <b/>
        <sz val="11"/>
        <color rgb="FF00B0F0"/>
        <rFont val="Calibri"/>
        <family val="2"/>
        <scheme val="minor"/>
      </rPr>
      <t>"NO"</t>
    </r>
    <r>
      <rPr>
        <b/>
        <sz val="11"/>
        <color theme="0"/>
        <rFont val="Calibri"/>
        <family val="2"/>
        <scheme val="minor"/>
      </rPr>
      <t xml:space="preserve"> IN COLUMN X2.</t>
    </r>
  </si>
  <si>
    <t>Auto Copy &amp; Paste Time</t>
  </si>
  <si>
    <t>Start:</t>
  </si>
  <si>
    <t>End:</t>
  </si>
  <si>
    <t>Expiry Dates</t>
  </si>
  <si>
    <t>Refresh Time (mins)</t>
  </si>
  <si>
    <t>Price Range</t>
  </si>
  <si>
    <t>Data!AT6</t>
  </si>
  <si>
    <t xml:space="preserve">* This Above Chart Show only NIFTY </t>
  </si>
  <si>
    <t>* This Above 2nd Table Data Will Show Only Nifty</t>
  </si>
  <si>
    <t>Stock / Index</t>
  </si>
  <si>
    <t>NIFTY</t>
  </si>
  <si>
    <t>Index Futures</t>
  </si>
  <si>
    <t>Risk free Intrest Rate (%)</t>
  </si>
  <si>
    <t>Time to Expiration (days left)</t>
  </si>
  <si>
    <t>RHO</t>
  </si>
  <si>
    <t>Vega</t>
  </si>
  <si>
    <t>Gamma</t>
  </si>
  <si>
    <t>Theta</t>
  </si>
  <si>
    <t>Delta</t>
  </si>
  <si>
    <t>Call Price</t>
  </si>
  <si>
    <t>NSE Call LTP</t>
  </si>
  <si>
    <t xml:space="preserve"> CALL IV</t>
  </si>
  <si>
    <t>PUT IV</t>
  </si>
  <si>
    <t>NSE Put LTP</t>
  </si>
  <si>
    <t>Put Price</t>
  </si>
  <si>
    <t>R : risk free rate of interest</t>
  </si>
  <si>
    <t>o : Call volatility</t>
  </si>
  <si>
    <t>T-t : time to expiration</t>
  </si>
  <si>
    <t xml:space="preserve"> dividend yield</t>
  </si>
  <si>
    <t>d1 :</t>
  </si>
  <si>
    <t>d2 :</t>
  </si>
  <si>
    <t>o : Put volatility</t>
  </si>
  <si>
    <t>D1</t>
  </si>
  <si>
    <t>D2</t>
  </si>
  <si>
    <t>Index Options</t>
  </si>
  <si>
    <t xml:space="preserve"> 08 Apr 2019</t>
  </si>
  <si>
    <t>09:22:49</t>
  </si>
  <si>
    <t>Hour False</t>
  </si>
  <si>
    <t>09:43:20</t>
  </si>
  <si>
    <t>10:00:20</t>
  </si>
  <si>
    <t>CANBK</t>
  </si>
  <si>
    <t/>
  </si>
  <si>
    <t>10:24:51</t>
  </si>
  <si>
    <t>10:42:21</t>
  </si>
  <si>
    <t>10:58:52</t>
  </si>
  <si>
    <t>11:14:22</t>
  </si>
  <si>
    <t>11:30:53</t>
  </si>
  <si>
    <t>11:44:53</t>
  </si>
  <si>
    <t>11:58:24</t>
  </si>
  <si>
    <t>12:15:24</t>
  </si>
  <si>
    <t>12:30:25</t>
  </si>
  <si>
    <t>13:14:56</t>
  </si>
  <si>
    <t>13:29:56</t>
  </si>
  <si>
    <t>13:46:57</t>
  </si>
  <si>
    <t>13:59:27</t>
  </si>
  <si>
    <t>14:15:28</t>
  </si>
  <si>
    <t>14:30:58</t>
  </si>
  <si>
    <t>14:44:29</t>
  </si>
  <si>
    <t>15:00:29</t>
  </si>
  <si>
    <t>15:15:29</t>
  </si>
  <si>
    <t>15:30:30</t>
  </si>
  <si>
    <t>Price Change</t>
  </si>
  <si>
    <t>Stock</t>
  </si>
  <si>
    <t>Call</t>
  </si>
  <si>
    <t>Put</t>
  </si>
  <si>
    <t>&lt;0</t>
  </si>
  <si>
    <t>Long Liquidation</t>
  </si>
  <si>
    <t>Sell</t>
  </si>
  <si>
    <t>Buy</t>
  </si>
  <si>
    <t>Market will Go Down</t>
  </si>
  <si>
    <t>&gt;0</t>
  </si>
  <si>
    <t>Short Buildup</t>
  </si>
  <si>
    <t>Long Buildup</t>
  </si>
  <si>
    <t>Market will Go up</t>
  </si>
  <si>
    <t>Short Covering</t>
  </si>
  <si>
    <t>Prob ID</t>
  </si>
  <si>
    <t>Prob Positional</t>
  </si>
  <si>
    <t>Calls</t>
  </si>
  <si>
    <t>Puts</t>
  </si>
  <si>
    <t>Gamma( Percentage of change in Delta)</t>
  </si>
  <si>
    <t>Range</t>
  </si>
  <si>
    <t>0 to 1</t>
  </si>
  <si>
    <t>0 to -1</t>
  </si>
  <si>
    <t>IN comparision of two contracts higher the gamma value higher the risk, important for options writers</t>
  </si>
  <si>
    <t>becomes less if stock goes far</t>
  </si>
  <si>
    <t>lesser values</t>
  </si>
  <si>
    <t>If gamma value is +ve then chagne in Delta is +ve else -ve</t>
  </si>
  <si>
    <t>approx 0.5</t>
  </si>
  <si>
    <t>if 1 then not possible to hit the strike price</t>
  </si>
  <si>
    <t>Higher</t>
  </si>
  <si>
    <t>Deep ITM Or Deep OTM Gamma is 0</t>
  </si>
  <si>
    <t>in case of high volatility then Delta value goes down</t>
  </si>
  <si>
    <t>To select the stock check Gamma value ,choose strike with high gamma value though not always true</t>
  </si>
  <si>
    <t>Change in Delta value is inversely proportional to change in volatility</t>
  </si>
  <si>
    <t>If Gamma at calls side is higher than put side or vice versa then chances of price moving high is greater</t>
  </si>
  <si>
    <t>if the probability of hitting the strike price is high then delta will be less</t>
  </si>
  <si>
    <t>increase in volatility increases in stability of gamma values as no change in option premium</t>
  </si>
  <si>
    <t>Low volatile stocks give high profitable trades coz volatility</t>
  </si>
  <si>
    <t>Buy call around .2 or .3 and put around .5</t>
  </si>
  <si>
    <t>Sell options , options premium decreases means IV decreases means VEGA decreases</t>
  </si>
  <si>
    <t xml:space="preserve">Hedging </t>
  </si>
  <si>
    <t>for hedging take 2 lots of Put if delta is 0.5 for stock bought in cash</t>
  </si>
  <si>
    <t>VEGA</t>
  </si>
  <si>
    <t>Theta ( Risk for option Buyers) rate of decrease in premium as expiry approaches</t>
  </si>
  <si>
    <t>Rate of change of option premium with change in volatility is determined by vega</t>
  </si>
  <si>
    <t>non linear decay</t>
  </si>
  <si>
    <t>If IV increased to 1% then option premium will increase by a value of vega and vice versa</t>
  </si>
  <si>
    <t>higher theta favourable for options writer</t>
  </si>
  <si>
    <t>Volatility negates Theta</t>
  </si>
  <si>
    <t>VEGA decreases as expiry date approaches</t>
  </si>
  <si>
    <t xml:space="preserve">Extrinsic value have high Theta , Theta value is -ve if you bought an option and -ve if you sold </t>
  </si>
  <si>
    <t xml:space="preserve">Strategy : Break even point…..Delta value is 10 and theta value is 2 , means time to expiry increases means </t>
  </si>
  <si>
    <t>Value of vega is +ve for longs positions shorts -ve</t>
  </si>
  <si>
    <t>for Hedging they buy options in 2-3 minths advance , best to buy 60 days before and sell before expiry month starts</t>
  </si>
  <si>
    <t>who buy in options means he is going for long positions it means demand increases and IV increaes 
means Vega increases means premium increases</t>
  </si>
  <si>
    <t>Observations</t>
  </si>
  <si>
    <t>1. Opening with GAP down</t>
  </si>
  <si>
    <t>2. Put writing was visible @11700 significantly</t>
  </si>
  <si>
    <t>3. Call buying was obsererved siginificantly @11700</t>
  </si>
  <si>
    <t>4. No major shift in option greeks and IV</t>
  </si>
  <si>
    <t>5. Market started falling @2:40 to fill the gap</t>
  </si>
  <si>
    <t>6. Open interest @11700 Put reduced tremendeously</t>
  </si>
  <si>
    <t>Observed when difference of IV is around 3 as a whole nos then movement will happen in the market in direction where IV is greater</t>
  </si>
  <si>
    <t>Observed when CALL IV at strike of ATM was at 23-24 and PUT 13-14 still Market shown sharp fall, Put Gamma values were also favorable .004 &amp; .0045 at put side</t>
  </si>
  <si>
    <t>30-35 point mrkt fallen</t>
  </si>
  <si>
    <t>Implied Volatility</t>
  </si>
  <si>
    <t>(Stock price) x (Annualized Implied Volatility) x (Square Root of [days to expiration / 365]) = 1 standard deviation.</t>
  </si>
  <si>
    <t> option markets experience a downtrend, implied volatility generally increases.
 Conversely, market uptrends usually cause implied volatility to fall. Higher implied volatility indicates that greater option price movement is expected in the future.</t>
  </si>
  <si>
    <t>Preminum</t>
  </si>
  <si>
    <t>Decay</t>
  </si>
  <si>
    <t>10000PE</t>
  </si>
  <si>
    <t>10200PE</t>
  </si>
  <si>
    <t>10800 CE</t>
  </si>
  <si>
    <t>11000CE</t>
  </si>
  <si>
    <t>10800CE</t>
  </si>
  <si>
    <t>t</t>
  </si>
  <si>
    <t>C</t>
  </si>
  <si>
    <t>Call Price at time t</t>
  </si>
  <si>
    <t>P</t>
  </si>
  <si>
    <t>Put Price at time t</t>
  </si>
  <si>
    <t>S</t>
  </si>
  <si>
    <t>Stock price at time t</t>
  </si>
  <si>
    <t>X</t>
  </si>
  <si>
    <t>the exercise price at time t</t>
  </si>
  <si>
    <t>T</t>
  </si>
  <si>
    <t>Time to expiration</t>
  </si>
  <si>
    <t>RETRACEMENTS</t>
  </si>
  <si>
    <t>EXTENSIONS</t>
  </si>
  <si>
    <t>DOWN TREND</t>
  </si>
  <si>
    <t>UP TREND</t>
  </si>
  <si>
    <t>09:30:19</t>
  </si>
  <si>
    <t>09:45:50</t>
  </si>
  <si>
    <t>10:07:50</t>
  </si>
  <si>
    <t>10:32:21</t>
  </si>
  <si>
    <t>10:45:22</t>
  </si>
  <si>
    <t>11:02:22</t>
  </si>
  <si>
    <t>11:14:52</t>
  </si>
  <si>
    <t>11:32:23</t>
  </si>
  <si>
    <t>11:42:53</t>
  </si>
  <si>
    <t>12:01:54</t>
  </si>
  <si>
    <t>12:15:54</t>
  </si>
  <si>
    <t>12:29:55</t>
  </si>
  <si>
    <t>12:45:25</t>
  </si>
  <si>
    <t>13:30:27</t>
  </si>
  <si>
    <t>13:45:57</t>
  </si>
  <si>
    <t>14:00:27</t>
  </si>
  <si>
    <t>14:29:28</t>
  </si>
  <si>
    <t>14:45:29</t>
  </si>
  <si>
    <t>15:01:29</t>
  </si>
  <si>
    <t>15:14:30</t>
  </si>
  <si>
    <t xml:space="preserve"> 11 Apr 2019</t>
  </si>
  <si>
    <t>10:15:21</t>
  </si>
  <si>
    <t>10:30:21</t>
  </si>
  <si>
    <t>10:59:52</t>
  </si>
  <si>
    <t>11:14:53</t>
  </si>
  <si>
    <t>12:18:55</t>
  </si>
  <si>
    <t>14:40:29</t>
  </si>
  <si>
    <t>15:01:30</t>
  </si>
  <si>
    <t>15:30:00</t>
  </si>
  <si>
    <t>10:13:20</t>
  </si>
  <si>
    <t>13:09:26</t>
  </si>
  <si>
    <t>13:42:57</t>
  </si>
  <si>
    <t>13:51:57</t>
  </si>
  <si>
    <t>14:15:58</t>
  </si>
  <si>
    <t>0</t>
  </si>
  <si>
    <t>PUTS</t>
  </si>
  <si>
    <t>Sr No1</t>
  </si>
  <si>
    <t>Change</t>
  </si>
  <si>
    <t>Add OI column to Option Trend Table</t>
  </si>
  <si>
    <t>Add Option trend table for all applicable expiries to one sheet</t>
  </si>
  <si>
    <t>Record changing volatility</t>
  </si>
  <si>
    <t>Record premium decay</t>
  </si>
  <si>
    <t>Make changes to note first five highest open interest value at main page</t>
  </si>
  <si>
    <t xml:space="preserve"> 16 Apr 2019</t>
  </si>
  <si>
    <t>MinFalse</t>
  </si>
  <si>
    <t>DATA SELECT "YES" AND AGAIN</t>
  </si>
  <si>
    <t>SELECT "NO" IN COLUMN X2.</t>
  </si>
  <si>
    <t>14:52:28</t>
  </si>
  <si>
    <t>15:10:59</t>
  </si>
  <si>
    <t>Calls IV</t>
  </si>
  <si>
    <t>Puts IV</t>
  </si>
  <si>
    <t>Prob</t>
  </si>
  <si>
    <t>Prod</t>
  </si>
  <si>
    <t>Low Beta</t>
  </si>
  <si>
    <t>High Beta</t>
  </si>
  <si>
    <t>Bull Market</t>
  </si>
  <si>
    <t>Bear Market</t>
  </si>
  <si>
    <t>16-17</t>
  </si>
  <si>
    <t>21-24</t>
  </si>
  <si>
    <t>22-23</t>
  </si>
  <si>
    <t>16-15</t>
  </si>
  <si>
    <t xml:space="preserve"> 21-24</t>
  </si>
  <si>
    <t xml:space="preserve">21-22 </t>
  </si>
  <si>
    <t>38-40</t>
  </si>
  <si>
    <t>20-21 </t>
  </si>
  <si>
    <t>12 to 13</t>
  </si>
  <si>
    <t>Sideways</t>
  </si>
  <si>
    <t>IVs come down</t>
  </si>
  <si>
    <t>underlying goes up</t>
  </si>
  <si>
    <t>in case opinion is bullish IVs are high I would not buy a Call option but sell a PUT option (Sell at-the-money or out-of-money Put options)</t>
  </si>
  <si>
    <t>Call premiums doesn't go up, the value of Put will anyways decrease but the reduction in IV would make value of Put decrease with much faster pace</t>
  </si>
  <si>
    <t xml:space="preserve"> 22 Apr 2019</t>
  </si>
  <si>
    <t>09:25:49</t>
  </si>
  <si>
    <t>09:42:49</t>
  </si>
  <si>
    <t>09:59:20</t>
  </si>
  <si>
    <t>10:13:50</t>
  </si>
  <si>
    <t>10:26:51</t>
  </si>
  <si>
    <t>10:43:51</t>
  </si>
  <si>
    <t>10:59:22</t>
  </si>
  <si>
    <t>12:29:24</t>
  </si>
  <si>
    <t>12:44:55</t>
  </si>
  <si>
    <t>13:00:25</t>
  </si>
  <si>
    <t>13:03:25</t>
  </si>
  <si>
    <t>13:58:57</t>
  </si>
  <si>
    <t>14:15:57</t>
  </si>
  <si>
    <t>14:46:28</t>
  </si>
  <si>
    <t>15:14:29</t>
  </si>
  <si>
    <t xml:space="preserve"> 24 Apr 2019</t>
  </si>
  <si>
    <t>09:31:19</t>
  </si>
  <si>
    <t>09:44:49</t>
  </si>
  <si>
    <t>10:45:21</t>
  </si>
  <si>
    <t>11:27:22</t>
  </si>
  <si>
    <t>11:45:53</t>
  </si>
  <si>
    <t>11:59:23</t>
  </si>
  <si>
    <t>12:14:54</t>
  </si>
  <si>
    <t>12:30:54</t>
  </si>
  <si>
    <t>12:43:25</t>
  </si>
  <si>
    <t>13:01:25</t>
  </si>
  <si>
    <t>13:15:56</t>
  </si>
  <si>
    <t>13:29:26</t>
  </si>
  <si>
    <t>13:59:57</t>
  </si>
  <si>
    <t>14:14:27</t>
  </si>
  <si>
    <t>yes</t>
  </si>
  <si>
    <t>10:14:20</t>
  </si>
  <si>
    <t>11:28:52</t>
  </si>
  <si>
    <t>11:37:53</t>
  </si>
  <si>
    <t>12:29:54</t>
  </si>
  <si>
    <t>13:16:26</t>
  </si>
  <si>
    <t>13:27:56</t>
  </si>
  <si>
    <t>13:44:56</t>
  </si>
  <si>
    <t>14:01:27</t>
  </si>
  <si>
    <t>14:30:28</t>
  </si>
  <si>
    <t>14:45:58</t>
  </si>
  <si>
    <t>14:58:29</t>
  </si>
  <si>
    <t>15:14:59</t>
  </si>
  <si>
    <t>15:27:30</t>
  </si>
  <si>
    <t xml:space="preserve"> 02 May 2019</t>
  </si>
  <si>
    <t>09:58:50</t>
  </si>
  <si>
    <t>10:14:51</t>
  </si>
  <si>
    <t>10:28:51</t>
  </si>
  <si>
    <t>11:00:52</t>
  </si>
  <si>
    <t>11:15:22</t>
  </si>
  <si>
    <t>11:28:23</t>
  </si>
  <si>
    <t>11:44:23</t>
  </si>
  <si>
    <t>13:30:26</t>
  </si>
  <si>
    <t>13:44:27</t>
  </si>
  <si>
    <t>14:14:28</t>
  </si>
  <si>
    <t>14:43:29</t>
  </si>
  <si>
    <t>14:59:29</t>
  </si>
  <si>
    <t>15:16:00</t>
  </si>
  <si>
    <t>15:29:00</t>
  </si>
  <si>
    <t xml:space="preserve"> 03 May 2019</t>
  </si>
  <si>
    <t>09:45:19</t>
  </si>
  <si>
    <t>10:28:21</t>
  </si>
  <si>
    <t>10:45:51</t>
  </si>
  <si>
    <t>10:58:22</t>
  </si>
  <si>
    <t>11:29:23</t>
  </si>
  <si>
    <t>11:43:23</t>
  </si>
  <si>
    <t>12:00:23</t>
  </si>
  <si>
    <t>12:13:54</t>
  </si>
  <si>
    <t>13:28:56</t>
  </si>
  <si>
    <t>13:42:26</t>
  </si>
  <si>
    <t>14:00:57</t>
  </si>
  <si>
    <t>14:14:57</t>
  </si>
  <si>
    <t>14:23:28</t>
  </si>
  <si>
    <t>14:47:28</t>
  </si>
  <si>
    <t>15:12:59</t>
  </si>
  <si>
    <t xml:space="preserve"> 06 May 2019</t>
  </si>
  <si>
    <t>10:44:52</t>
  </si>
  <si>
    <t>10:57:53</t>
  </si>
  <si>
    <t>11:29:54</t>
  </si>
  <si>
    <t>11:59:24</t>
  </si>
  <si>
    <t>12:13:25</t>
  </si>
  <si>
    <t>12:43:26</t>
  </si>
  <si>
    <t>12:59:26</t>
  </si>
  <si>
    <t>13:13:57</t>
  </si>
  <si>
    <t>13:31:57</t>
  </si>
  <si>
    <t>13:44:28</t>
  </si>
  <si>
    <t>14:00:58</t>
  </si>
  <si>
    <t>14:13:59</t>
  </si>
  <si>
    <t>14:30:59</t>
  </si>
  <si>
    <t>14:46:00</t>
  </si>
  <si>
    <t>15:01:00</t>
  </si>
  <si>
    <t>15:12:00</t>
  </si>
  <si>
    <t>15:30:31</t>
  </si>
  <si>
    <t xml:space="preserve"> 07 May 2019</t>
  </si>
  <si>
    <t>10:01:20</t>
  </si>
  <si>
    <t>10:17:20</t>
  </si>
  <si>
    <t>10:31:21</t>
  </si>
  <si>
    <t>11:01:52</t>
  </si>
  <si>
    <t>11:15:52</t>
  </si>
  <si>
    <t>11:30:23</t>
  </si>
  <si>
    <t>11:43:53</t>
  </si>
  <si>
    <t>13:58:27</t>
  </si>
  <si>
    <t>14:43:28</t>
  </si>
  <si>
    <t>14:59:59</t>
  </si>
  <si>
    <t xml:space="preserve"> 13 May 2019</t>
  </si>
  <si>
    <t>09:44:19</t>
  </si>
  <si>
    <t>10:16:51</t>
  </si>
  <si>
    <t>10:19:51</t>
  </si>
  <si>
    <t>Parameters</t>
  </si>
  <si>
    <t>Monthly Expiry/ Prem</t>
  </si>
  <si>
    <t>Date</t>
  </si>
  <si>
    <t>Start</t>
  </si>
  <si>
    <t xml:space="preserve"> 14 May 2019</t>
  </si>
  <si>
    <t>10:11:50</t>
  </si>
  <si>
    <t>10:29:51</t>
  </si>
  <si>
    <t>10:44:51</t>
  </si>
  <si>
    <t>11:16:22</t>
  </si>
  <si>
    <t>11:31:23</t>
  </si>
  <si>
    <t>12:00:53</t>
  </si>
  <si>
    <t>13:17:26</t>
  </si>
  <si>
    <t>13:32:26</t>
  </si>
  <si>
    <t>13:47:27</t>
  </si>
  <si>
    <t>14:29:58</t>
  </si>
  <si>
    <t>15:28:00</t>
  </si>
  <si>
    <t>All</t>
  </si>
  <si>
    <t>Average</t>
  </si>
  <si>
    <t>Vol</t>
  </si>
  <si>
    <t>Corr</t>
  </si>
  <si>
    <t>CO-IV-P</t>
  </si>
  <si>
    <t xml:space="preserve"> 21 May 2019</t>
  </si>
  <si>
    <t>10:14:50</t>
  </si>
  <si>
    <t>10:47:21</t>
  </si>
  <si>
    <t>12:16:24</t>
  </si>
  <si>
    <t>12:27:54</t>
  </si>
  <si>
    <t>13:14:26</t>
  </si>
  <si>
    <t>14:16:57</t>
  </si>
  <si>
    <t>14:50:29</t>
  </si>
  <si>
    <t xml:space="preserve">5/30/2019 /6Strk </t>
  </si>
  <si>
    <t>ALL</t>
  </si>
  <si>
    <t>6 Strikes</t>
  </si>
  <si>
    <t>Graph</t>
  </si>
  <si>
    <t>Top</t>
  </si>
  <si>
    <t>Note :</t>
  </si>
  <si>
    <t>10% interest rate is applied while computing implied volatility.</t>
  </si>
  <si>
    <t xml:space="preserve"> 22 May 2019</t>
  </si>
  <si>
    <t>09:30:49</t>
  </si>
  <si>
    <t>10:00:50</t>
  </si>
  <si>
    <t>10:15:20</t>
  </si>
  <si>
    <t>11:45:23</t>
  </si>
  <si>
    <t>Net</t>
  </si>
  <si>
    <t>Equity Cash</t>
  </si>
  <si>
    <t>Total for May</t>
  </si>
  <si>
    <t>Total for 2019</t>
  </si>
  <si>
    <t>Options</t>
  </si>
  <si>
    <t xml:space="preserve"> Options Buy</t>
  </si>
  <si>
    <t>Options Sell</t>
  </si>
  <si>
    <t>Futures</t>
  </si>
  <si>
    <t>Futures Buy</t>
  </si>
  <si>
    <t>Futures Sell</t>
  </si>
  <si>
    <t xml:space="preserve"> 24 May 2019</t>
  </si>
  <si>
    <t>11:27:23</t>
  </si>
  <si>
    <t>11:46:53</t>
  </si>
  <si>
    <t>11:57:23</t>
  </si>
  <si>
    <t>12:28:54</t>
  </si>
  <si>
    <t>12:58:55</t>
  </si>
  <si>
    <t>13:26:56</t>
  </si>
  <si>
    <t>13:43:57</t>
  </si>
  <si>
    <t>14:13:58</t>
  </si>
  <si>
    <t>14:31:28</t>
  </si>
  <si>
    <t>14:41:28</t>
  </si>
  <si>
    <t>14:58:59</t>
  </si>
  <si>
    <t>15:13:29</t>
  </si>
  <si>
    <t>Call Action</t>
  </si>
  <si>
    <t>Put Action</t>
  </si>
  <si>
    <t>NetChgLTP</t>
  </si>
  <si>
    <t xml:space="preserve"> 27 May 2019</t>
  </si>
  <si>
    <t>09:28:49</t>
  </si>
  <si>
    <t>09:46:50</t>
  </si>
  <si>
    <t>10:13:21</t>
  </si>
  <si>
    <t>10:29:21</t>
  </si>
  <si>
    <t>10:44:22</t>
  </si>
  <si>
    <t>11:00:22</t>
  </si>
  <si>
    <t>11:11:22</t>
  </si>
  <si>
    <t>12:23:24</t>
  </si>
  <si>
    <t>12:40:55</t>
  </si>
  <si>
    <t>12:57:25</t>
  </si>
  <si>
    <t>13:11:56</t>
  </si>
  <si>
    <t>13:25:26</t>
  </si>
  <si>
    <t>14:05:58</t>
  </si>
  <si>
    <t>14:27:28</t>
  </si>
  <si>
    <t>15:00:59</t>
  </si>
  <si>
    <t>15:13:00</t>
  </si>
  <si>
    <t>15:29:30</t>
  </si>
  <si>
    <t>Open Interest values in the option chain are refreshed at the end of the day after bhavcopy file has been made available on the website.</t>
  </si>
  <si>
    <t>highlighted Highlighted options are in-the-money.</t>
  </si>
  <si>
    <t>NIFTY Futures</t>
  </si>
  <si>
    <t>Option chain</t>
  </si>
  <si>
    <t>Instrument</t>
  </si>
  <si>
    <t>Underlying</t>
  </si>
  <si>
    <t>Expiry Date</t>
  </si>
  <si>
    <t>Option Type</t>
  </si>
  <si>
    <t>Open Price</t>
  </si>
  <si>
    <t>High Price</t>
  </si>
  <si>
    <t>Low Price</t>
  </si>
  <si>
    <t>Prev. Close</t>
  </si>
  <si>
    <t>Last Price</t>
  </si>
  <si>
    <t>Turnover</t>
  </si>
  <si>
    <t>(lacs)</t>
  </si>
  <si>
    <t>Value</t>
  </si>
  <si>
    <t xml:space="preserve"> 29 May 2019</t>
  </si>
  <si>
    <t>09:45:49</t>
  </si>
  <si>
    <t>10:57:22</t>
  </si>
  <si>
    <t>11:12:22</t>
  </si>
  <si>
    <t>12:17:24</t>
  </si>
  <si>
    <t>12:31:24</t>
  </si>
  <si>
    <t>12:45:55</t>
  </si>
  <si>
    <t>12:59:55</t>
  </si>
  <si>
    <t>13:11:26</t>
  </si>
  <si>
    <t>13:28:26</t>
  </si>
  <si>
    <t>14:13:27</t>
  </si>
  <si>
    <t>Spot</t>
  </si>
  <si>
    <t>10:42:51</t>
  </si>
  <si>
    <t>11:12:52</t>
  </si>
  <si>
    <t>11:31:53</t>
  </si>
  <si>
    <t>11:58:23</t>
  </si>
  <si>
    <t>13:41:57</t>
  </si>
  <si>
    <t>15:16:29</t>
  </si>
  <si>
    <t>Automatic Refresh is in Progress.</t>
  </si>
  <si>
    <t>6,62,060</t>
  </si>
  <si>
    <t>59,26,761.12</t>
  </si>
  <si>
    <t>5,09,932</t>
  </si>
  <si>
    <t>45,13,873.44</t>
  </si>
  <si>
    <t>4,79,448</t>
  </si>
  <si>
    <t>42,63,136.55</t>
  </si>
  <si>
    <t>4,35,604</t>
  </si>
  <si>
    <t>39,10,706.78</t>
  </si>
  <si>
    <t>1,87,721</t>
  </si>
  <si>
    <t>16,98,729.10</t>
  </si>
  <si>
    <t>1,80,662</t>
  </si>
  <si>
    <t>16,32,800.57</t>
  </si>
  <si>
    <t>1,38,387</t>
  </si>
  <si>
    <t>12,37,135.15</t>
  </si>
  <si>
    <t>1,12,636</t>
  </si>
  <si>
    <t>9,92,690.92</t>
  </si>
  <si>
    <t>1,10,535</t>
  </si>
  <si>
    <t>9,87,566.94</t>
  </si>
  <si>
    <t>7,82,093.85</t>
  </si>
  <si>
    <t>7,41,002.31</t>
  </si>
  <si>
    <t>6,41,874.18</t>
  </si>
  <si>
    <t>5,54,409.46</t>
  </si>
  <si>
    <t>4,81,950.89</t>
  </si>
  <si>
    <t>4,54,282.55</t>
  </si>
  <si>
    <t>4,08,995.92</t>
  </si>
  <si>
    <t>3,57,316.03</t>
  </si>
  <si>
    <t>2,99,620.03</t>
  </si>
  <si>
    <t>2,57,077.11</t>
  </si>
  <si>
    <t>2,33,395.11</t>
  </si>
  <si>
    <t>2,31,920.16</t>
  </si>
  <si>
    <t>2,07,743.66</t>
  </si>
  <si>
    <t>2,07,198.43</t>
  </si>
  <si>
    <t>2,00,088.11</t>
  </si>
  <si>
    <t>1,97,331.83</t>
  </si>
  <si>
    <t>1,89,157.19</t>
  </si>
  <si>
    <t>1,86,977.20</t>
  </si>
  <si>
    <t>1,86,365.74</t>
  </si>
  <si>
    <t>1,86,120.82</t>
  </si>
  <si>
    <t>1,83,917.66</t>
  </si>
  <si>
    <t>1,82,423.94</t>
  </si>
  <si>
    <t>1,76,475.95</t>
  </si>
  <si>
    <t>1,73,612.25</t>
  </si>
  <si>
    <t>1,60,222.64</t>
  </si>
  <si>
    <t>1,59,432.14</t>
  </si>
  <si>
    <t>1,55,987.30</t>
  </si>
  <si>
    <t>1,51,207.91</t>
  </si>
  <si>
    <t>1,38,376.54</t>
  </si>
  <si>
    <t>1,35,338.32</t>
  </si>
  <si>
    <t>1,34,556.83</t>
  </si>
  <si>
    <t>1,27,712.87</t>
  </si>
  <si>
    <t>1,26,209.16</t>
  </si>
  <si>
    <t>1,16,288.09</t>
  </si>
  <si>
    <t>1,11,880.71</t>
  </si>
  <si>
    <t>1,11,135.03</t>
  </si>
  <si>
    <t>1,10,822.74</t>
  </si>
  <si>
    <t>1,08,782.24</t>
  </si>
  <si>
    <t>1,06,914.16</t>
  </si>
  <si>
    <t>1,03,425.49</t>
  </si>
  <si>
    <t>1,01,364.45</t>
  </si>
  <si>
    <t xml:space="preserve">As on May, 30 2019 15:30:30 IST </t>
  </si>
  <si>
    <t>1,68,413</t>
  </si>
  <si>
    <t>15,06,515.33</t>
  </si>
  <si>
    <t>1,43,615</t>
  </si>
  <si>
    <t>12,88,881.43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</si>
</sst>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164" formatCode="[$-14009]hh:mm:ss;@"/>
    <numFmt numFmtId="165" formatCode="_-* #,##0.00_-;\-* #,##0.00_-;_-* &quot;-&quot;??_-;_-@_-"/>
    <numFmt numFmtId="166" formatCode="[$-F400]h:mm:ss\ AM/PM"/>
    <numFmt numFmtId="167" formatCode="[$-14009]dd/mm/yyyy;@"/>
    <numFmt numFmtId="168" formatCode="[$-409]d/mmm/yy;@"/>
    <numFmt numFmtId="169" formatCode="0.000"/>
    <numFmt numFmtId="170" formatCode="0.0000"/>
    <numFmt numFmtId="171" formatCode="0.0"/>
  </numFmts>
  <fonts count="6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 tint="0.34998626667073579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u/>
      <sz val="18"/>
      <color rgb="FF92D05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1"/>
      <color theme="2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rgb="FFFFC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6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u/>
      <sz val="14"/>
      <color theme="6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/>
      <sz val="20"/>
      <color rgb="FFFFC000"/>
      <name val="Calibri"/>
      <family val="2"/>
      <scheme val="minor"/>
    </font>
    <font>
      <b/>
      <u/>
      <sz val="16"/>
      <color rgb="FF92D050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u/>
      <sz val="12"/>
      <color rgb="FF92D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7"/>
      <color rgb="FF3A3A3A"/>
      <name val="Segoe UI"/>
      <family val="2"/>
    </font>
    <font>
      <sz val="9"/>
      <color rgb="FF111111"/>
      <name val="Arial"/>
      <family val="2"/>
    </font>
    <font>
      <b/>
      <sz val="12"/>
      <color rgb="FF9E1E0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rgb="FF282828"/>
      <name val="Times New Roman"/>
      <family val="1"/>
    </font>
    <font>
      <sz val="11"/>
      <color rgb="FF000000"/>
      <name val="Calibri"/>
      <family val="2"/>
    </font>
    <font>
      <b/>
      <sz val="12"/>
      <color rgb="FF0070C0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gradientFill degree="90">
        <stop position="0">
          <color theme="0"/>
        </stop>
        <stop position="1">
          <color theme="9" tint="-0.25098422193060094"/>
        </stop>
      </gradientFill>
    </fill>
    <fill>
      <gradientFill degree="90">
        <stop position="0">
          <color rgb="FF92D050"/>
        </stop>
        <stop position="1">
          <color rgb="FF00B050"/>
        </stop>
      </gradientFill>
    </fill>
    <fill>
      <gradientFill degree="90">
        <stop position="0">
          <color theme="0"/>
        </stop>
        <stop position="1">
          <color rgb="FFFFC000"/>
        </stop>
      </gradientFill>
    </fill>
    <fill>
      <patternFill patternType="solid">
        <fgColor rgb="FF92D050"/>
        <bgColor theme="9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auto="1"/>
      </patternFill>
    </fill>
    <fill>
      <gradientFill degree="90">
        <stop position="0">
          <color theme="0"/>
        </stop>
        <stop position="1">
          <color rgb="FFC00000"/>
        </stop>
      </gradientFill>
    </fill>
    <fill>
      <gradientFill degree="90">
        <stop position="0">
          <color theme="9" tint="-0.25098422193060094"/>
        </stop>
        <stop position="1">
          <color theme="9" tint="0.59999389629810485"/>
        </stop>
      </gradientFill>
    </fill>
    <fill>
      <gradientFill degree="90">
        <stop position="0">
          <color theme="9"/>
        </stop>
        <stop position="1">
          <color rgb="FFFF0000"/>
        </stop>
      </gradientFill>
    </fill>
    <fill>
      <gradientFill degree="90">
        <stop position="0">
          <color theme="0" tint="-5.0965910824915313E-2"/>
        </stop>
        <stop position="1">
          <color theme="2" tint="-0.25098422193060094"/>
        </stop>
      </gradientFill>
    </fill>
  </fills>
  <borders count="115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rgb="FF92D050"/>
      </left>
      <right/>
      <top style="thick">
        <color rgb="FF92D050"/>
      </top>
      <bottom/>
      <diagonal/>
    </border>
    <border>
      <left/>
      <right/>
      <top style="thick">
        <color rgb="FF92D050"/>
      </top>
      <bottom/>
      <diagonal/>
    </border>
    <border>
      <left/>
      <right/>
      <top style="thick">
        <color rgb="FF92D050"/>
      </top>
      <bottom style="medium">
        <color rgb="FF92D050"/>
      </bottom>
      <diagonal/>
    </border>
    <border>
      <left style="thick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 style="thick">
        <color rgb="FF92D050"/>
      </left>
      <right/>
      <top/>
      <bottom/>
      <diagonal/>
    </border>
    <border>
      <left/>
      <right/>
      <top/>
      <bottom style="thin">
        <color rgb="FF92D050"/>
      </bottom>
      <diagonal/>
    </border>
    <border>
      <left/>
      <right style="thick">
        <color rgb="FF92D050"/>
      </right>
      <top/>
      <bottom/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medium">
        <color rgb="FF92D050"/>
      </right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 style="medium">
        <color rgb="FF92D050"/>
      </left>
      <right style="medium">
        <color rgb="FF92D050"/>
      </right>
      <top/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/>
      <right/>
      <top/>
      <bottom style="thick">
        <color rgb="FF92D050"/>
      </bottom>
      <diagonal/>
    </border>
    <border>
      <left/>
      <right/>
      <top/>
      <bottom style="thin">
        <color auto="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/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thick">
        <color rgb="FF92D050"/>
      </right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/>
      <right style="thick">
        <color rgb="FF92D050"/>
      </right>
      <top style="thick">
        <color rgb="FF92D050"/>
      </top>
      <bottom style="thick">
        <color rgb="FF92D050"/>
      </bottom>
      <diagonal/>
    </border>
    <border>
      <left/>
      <right style="thick">
        <color rgb="FF92D050"/>
      </right>
      <top style="thick">
        <color rgb="FF92D050"/>
      </top>
      <bottom/>
      <diagonal/>
    </border>
    <border>
      <left style="medium">
        <color rgb="FF92D050"/>
      </left>
      <right style="thick">
        <color rgb="FF92D050"/>
      </right>
      <top style="medium">
        <color rgb="FF92D050"/>
      </top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ck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ck">
        <color rgb="FF92D050"/>
      </left>
      <right/>
      <top style="thin">
        <color rgb="FF92D050"/>
      </top>
      <bottom style="thin">
        <color rgb="FF92D050"/>
      </bottom>
      <diagonal/>
    </border>
    <border>
      <left style="thick">
        <color rgb="FF92D050"/>
      </left>
      <right/>
      <top style="medium">
        <color rgb="FF92D050"/>
      </top>
      <bottom style="thick">
        <color rgb="FF92D050"/>
      </bottom>
      <diagonal/>
    </border>
    <border>
      <left/>
      <right style="thick">
        <color rgb="FF92D050"/>
      </right>
      <top style="medium">
        <color rgb="FF92D050"/>
      </top>
      <bottom style="thick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 style="thick">
        <color rgb="FF92D050"/>
      </left>
      <right style="thin">
        <color rgb="FF92D050"/>
      </right>
      <top style="thin">
        <color rgb="FF92D050"/>
      </top>
      <bottom/>
      <diagonal/>
    </border>
    <border>
      <left style="thick">
        <color rgb="FF92D050"/>
      </left>
      <right style="thin">
        <color rgb="FF92D050"/>
      </right>
      <top/>
      <bottom/>
      <diagonal/>
    </border>
    <border>
      <left style="thick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ck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ck">
        <color rgb="FF92D050"/>
      </right>
      <top/>
      <bottom style="thin">
        <color rgb="FF92D050"/>
      </bottom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medium">
        <color rgb="FF92D050"/>
      </left>
      <right style="medium">
        <color rgb="FF92D050"/>
      </right>
      <top style="medium">
        <color theme="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theme="0"/>
      </bottom>
      <diagonal/>
    </border>
    <border>
      <left/>
      <right/>
      <top style="medium">
        <color rgb="FF92D050"/>
      </top>
      <bottom style="thick">
        <color rgb="FF92D05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 style="medium">
        <color theme="2" tint="-0.749961851863155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theme="0" tint="-0.14996795556505021"/>
      </bottom>
      <diagonal/>
    </border>
    <border>
      <left/>
      <right/>
      <top style="thick">
        <color theme="0" tint="-0.14996795556505021"/>
      </top>
      <bottom style="thick">
        <color theme="0" tint="-0.14996795556505021"/>
      </bottom>
      <diagonal/>
    </border>
    <border>
      <left/>
      <right style="thick">
        <color theme="0" tint="-0.14996795556505021"/>
      </right>
      <top style="thick">
        <color theme="0" tint="-0.14996795556505021"/>
      </top>
      <bottom style="thick">
        <color theme="0" tint="-0.149967955565050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92D050"/>
      </left>
      <right style="dashDot">
        <color auto="1"/>
      </right>
      <top style="medium">
        <color rgb="FF92D050"/>
      </top>
      <bottom/>
      <diagonal/>
    </border>
    <border>
      <left/>
      <right style="thin">
        <color indexed="64"/>
      </right>
      <top style="medium">
        <color rgb="FF92D050"/>
      </top>
      <bottom/>
      <diagonal/>
    </border>
    <border>
      <left style="thick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 style="thick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medium">
        <color rgb="FF92D050"/>
      </top>
      <bottom style="medium">
        <color rgb="FF92D050"/>
      </bottom>
      <diagonal/>
    </border>
    <border>
      <left style="thin">
        <color indexed="64"/>
      </left>
      <right style="thin">
        <color indexed="64"/>
      </right>
      <top style="medium">
        <color theme="2" tint="-0.749992370372631"/>
      </top>
      <bottom/>
      <diagonal/>
    </border>
    <border>
      <left style="medium">
        <color theme="2" tint="-0.749992370372631"/>
      </left>
      <right style="thin">
        <color indexed="64"/>
      </right>
      <top style="medium">
        <color theme="2" tint="-0.749992370372631"/>
      </top>
      <bottom style="medium">
        <color theme="2" tint="-0.749992370372631"/>
      </bottom>
      <diagonal/>
    </border>
    <border>
      <left style="thin">
        <color indexed="64"/>
      </left>
      <right/>
      <top style="medium">
        <color theme="2" tint="-0.749992370372631"/>
      </top>
      <bottom/>
      <diagonal/>
    </border>
    <border>
      <left style="thin">
        <color indexed="64"/>
      </left>
      <right/>
      <top style="medium">
        <color theme="2" tint="-0.749992370372631"/>
      </top>
      <bottom style="medium">
        <color theme="2" tint="-0.749992370372631"/>
      </bottom>
      <diagonal/>
    </border>
    <border>
      <left style="thick">
        <color rgb="FF92D050"/>
      </left>
      <right style="dashDot">
        <color auto="1"/>
      </right>
      <top/>
      <bottom style="medium">
        <color rgb="FF92D050"/>
      </bottom>
      <diagonal/>
    </border>
    <border>
      <left style="thin">
        <color rgb="FF92D050"/>
      </left>
      <right style="medium">
        <color rgb="FF92D050"/>
      </right>
      <top style="medium">
        <color rgb="FF92D050"/>
      </top>
      <bottom/>
      <diagonal/>
    </border>
    <border>
      <left style="thin">
        <color indexed="64"/>
      </left>
      <right style="medium">
        <color rgb="FF92D050"/>
      </right>
      <top style="medium">
        <color rgb="FF92D050"/>
      </top>
      <bottom style="medium">
        <color theme="2" tint="-0.749992370372631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medium">
        <color theme="2" tint="-0.749992370372631"/>
      </bottom>
      <diagonal/>
    </border>
    <border>
      <left/>
      <right/>
      <top style="thin">
        <color rgb="FF92D050"/>
      </top>
      <bottom style="medium">
        <color rgb="FF92D050"/>
      </bottom>
      <diagonal/>
    </border>
    <border>
      <left/>
      <right style="thick">
        <color rgb="FF92D050"/>
      </right>
      <top style="thick">
        <color rgb="FF92D050"/>
      </top>
      <bottom style="medium">
        <color rgb="FF92D050"/>
      </bottom>
      <diagonal/>
    </border>
    <border>
      <left style="medium">
        <color rgb="FF92D050"/>
      </left>
      <right style="medium">
        <color rgb="FF00B0F0"/>
      </right>
      <top style="medium">
        <color rgb="FF92D050"/>
      </top>
      <bottom style="medium">
        <color rgb="FF92D050"/>
      </bottom>
      <diagonal/>
    </border>
    <border>
      <left style="medium">
        <color rgb="FF00B0F0"/>
      </left>
      <right/>
      <top style="medium">
        <color rgb="FF92D050"/>
      </top>
      <bottom style="medium">
        <color rgb="FF92D050"/>
      </bottom>
      <diagonal/>
    </border>
    <border>
      <left style="medium">
        <color rgb="FF00B0F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/>
      <right style="thick">
        <color theme="8" tint="0.59996337778862885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thick">
        <color theme="8" tint="0.59996337778862885"/>
      </right>
      <top style="medium">
        <color rgb="FF92D050"/>
      </top>
      <bottom/>
      <diagonal/>
    </border>
    <border>
      <left style="medium">
        <color rgb="FF00B0F0"/>
      </left>
      <right/>
      <top style="medium">
        <color rgb="FF92D050"/>
      </top>
      <bottom/>
      <diagonal/>
    </border>
    <border>
      <left style="medium">
        <color rgb="FF92D050"/>
      </left>
      <right style="medium">
        <color rgb="FF00B0F0"/>
      </right>
      <top style="medium">
        <color rgb="FF92D050"/>
      </top>
      <bottom/>
      <diagonal/>
    </border>
    <border>
      <left style="thick">
        <color theme="8" tint="0.59996337778862885"/>
      </left>
      <right style="medium">
        <color rgb="FF0070C0"/>
      </right>
      <top style="medium">
        <color rgb="FF92D050"/>
      </top>
      <bottom style="medium">
        <color rgb="FF0070C0"/>
      </bottom>
      <diagonal/>
    </border>
    <border>
      <left style="medium">
        <color rgb="FF0070C0"/>
      </left>
      <right style="medium">
        <color rgb="FF92D050"/>
      </right>
      <top style="medium">
        <color rgb="FF92D050"/>
      </top>
      <bottom style="medium">
        <color rgb="FF0070C0"/>
      </bottom>
      <diagonal/>
    </border>
    <border>
      <left style="thick">
        <color theme="8" tint="0.59996337778862885"/>
      </left>
      <right style="medium">
        <color rgb="FF0070C0"/>
      </right>
      <top style="medium">
        <color rgb="FF0070C0"/>
      </top>
      <bottom style="medium">
        <color rgb="FF92D050"/>
      </bottom>
      <diagonal/>
    </border>
    <border>
      <left style="medium">
        <color rgb="FF0070C0"/>
      </left>
      <right style="medium">
        <color rgb="FF92D050"/>
      </right>
      <top style="medium">
        <color rgb="FF0070C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/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thin">
        <color rgb="FF92D050"/>
      </bottom>
      <diagonal/>
    </border>
    <border>
      <left/>
      <right/>
      <top style="medium">
        <color rgb="FF92D050"/>
      </top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thin">
        <color rgb="FF92D050"/>
      </top>
      <bottom style="thin">
        <color rgb="FF92D050"/>
      </bottom>
      <diagonal/>
    </border>
    <border>
      <left/>
      <right style="medium">
        <color rgb="FF92D050"/>
      </right>
      <top style="medium">
        <color rgb="FF92D050"/>
      </top>
      <bottom style="thin">
        <color rgb="FF92D05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92D050"/>
      </left>
      <right/>
      <top style="medium">
        <color rgb="FF92D050"/>
      </top>
      <bottom style="medium">
        <color indexed="64"/>
      </bottom>
      <diagonal/>
    </border>
    <border>
      <left/>
      <right/>
      <top style="medium">
        <color rgb="FF92D050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rgb="FF92D050"/>
      </bottom>
      <diagonal/>
    </border>
    <border>
      <left/>
      <right/>
      <top style="medium">
        <color rgb="FF92D05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92D050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medium">
        <color rgb="FF92D05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92D050"/>
      </top>
      <bottom/>
      <diagonal/>
    </border>
  </borders>
  <cellStyleXfs count="10">
    <xf numFmtId="0" fontId="0" fillId="0" borderId="0"/>
    <xf numFmtId="165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5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55" fillId="0" borderId="0" applyNumberFormat="0" applyFill="0" applyBorder="0" applyAlignment="0" applyProtection="0"/>
    <xf numFmtId="9" fontId="56" fillId="0" borderId="0" applyFont="0" applyFill="0" applyBorder="0" applyAlignment="0" applyProtection="0"/>
  </cellStyleXfs>
  <cellXfs count="831">
    <xf numFmtId="0" fontId="0" fillId="0" borderId="0" xfId="0"/>
    <xf numFmtId="4" fontId="0" fillId="0" borderId="0" xfId="0" applyNumberFormat="1"/>
    <xf numFmtId="3" fontId="0" fillId="0" borderId="0" xfId="0" applyNumberFormat="1"/>
    <xf numFmtId="15" fontId="0" fillId="0" borderId="0" xfId="0" applyNumberFormat="1"/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right" vertical="center"/>
    </xf>
    <xf numFmtId="0" fontId="0" fillId="3" borderId="3" xfId="0" applyFill="1" applyBorder="1"/>
    <xf numFmtId="0" fontId="0" fillId="3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9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3" fontId="0" fillId="0" borderId="1" xfId="0" applyNumberFormat="1" applyBorder="1"/>
    <xf numFmtId="2" fontId="0" fillId="0" borderId="1" xfId="0" applyNumberFormat="1" applyBorder="1"/>
    <xf numFmtId="0" fontId="0" fillId="0" borderId="5" xfId="0" applyBorder="1"/>
    <xf numFmtId="3" fontId="0" fillId="0" borderId="5" xfId="0" applyNumberFormat="1" applyBorder="1"/>
    <xf numFmtId="0" fontId="1" fillId="0" borderId="5" xfId="0" applyFont="1" applyBorder="1"/>
    <xf numFmtId="0" fontId="0" fillId="0" borderId="0" xfId="0" applyBorder="1"/>
    <xf numFmtId="0" fontId="0" fillId="0" borderId="9" xfId="0" applyBorder="1"/>
    <xf numFmtId="0" fontId="0" fillId="0" borderId="5" xfId="0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4" fillId="5" borderId="10" xfId="0" applyFont="1" applyFill="1" applyBorder="1" applyProtection="1">
      <protection hidden="1"/>
    </xf>
    <xf numFmtId="0" fontId="4" fillId="5" borderId="11" xfId="0" applyFont="1" applyFill="1" applyBorder="1" applyProtection="1">
      <protection hidden="1"/>
    </xf>
    <xf numFmtId="0" fontId="9" fillId="5" borderId="13" xfId="0" applyFont="1" applyFill="1" applyBorder="1" applyAlignment="1" applyProtection="1">
      <alignment horizontal="left" vertical="center"/>
      <protection hidden="1"/>
    </xf>
    <xf numFmtId="0" fontId="9" fillId="5" borderId="14" xfId="0" applyFont="1" applyFill="1" applyBorder="1" applyProtection="1">
      <protection hidden="1"/>
    </xf>
    <xf numFmtId="0" fontId="4" fillId="5" borderId="14" xfId="0" applyFont="1" applyFill="1" applyBorder="1" applyProtection="1">
      <protection hidden="1"/>
    </xf>
    <xf numFmtId="0" fontId="12" fillId="6" borderId="11" xfId="0" applyFont="1" applyFill="1" applyBorder="1" applyProtection="1">
      <protection hidden="1"/>
    </xf>
    <xf numFmtId="0" fontId="11" fillId="6" borderId="11" xfId="0" applyFont="1" applyFill="1" applyBorder="1" applyAlignment="1" applyProtection="1">
      <alignment vertical="center"/>
      <protection hidden="1"/>
    </xf>
    <xf numFmtId="0" fontId="14" fillId="6" borderId="16" xfId="0" applyFont="1" applyFill="1" applyBorder="1" applyAlignment="1" applyProtection="1">
      <alignment vertical="center"/>
      <protection hidden="1"/>
    </xf>
    <xf numFmtId="0" fontId="14" fillId="6" borderId="16" xfId="0" applyFont="1" applyFill="1" applyBorder="1" applyAlignment="1" applyProtection="1">
      <alignment horizontal="center" vertical="center"/>
      <protection hidden="1"/>
    </xf>
    <xf numFmtId="0" fontId="12" fillId="8" borderId="18" xfId="0" applyFont="1" applyFill="1" applyBorder="1" applyAlignment="1" applyProtection="1">
      <alignment horizontal="center" vertical="center"/>
      <protection hidden="1"/>
    </xf>
    <xf numFmtId="2" fontId="12" fillId="8" borderId="19" xfId="0" applyNumberFormat="1" applyFont="1" applyFill="1" applyBorder="1" applyAlignment="1" applyProtection="1">
      <alignment horizontal="center" vertical="center"/>
      <protection hidden="1"/>
    </xf>
    <xf numFmtId="2" fontId="12" fillId="8" borderId="21" xfId="0" applyNumberFormat="1" applyFont="1" applyFill="1" applyBorder="1" applyAlignment="1" applyProtection="1">
      <alignment horizontal="center" vertical="center"/>
      <protection hidden="1"/>
    </xf>
    <xf numFmtId="0" fontId="12" fillId="6" borderId="18" xfId="0" applyFont="1" applyFill="1" applyBorder="1" applyAlignment="1" applyProtection="1">
      <alignment horizontal="center" vertical="top"/>
      <protection hidden="1"/>
    </xf>
    <xf numFmtId="0" fontId="3" fillId="6" borderId="18" xfId="0" applyFont="1" applyFill="1" applyBorder="1" applyAlignment="1" applyProtection="1">
      <alignment horizontal="center" vertical="top"/>
      <protection hidden="1"/>
    </xf>
    <xf numFmtId="0" fontId="3" fillId="6" borderId="19" xfId="0" applyFont="1" applyFill="1" applyBorder="1" applyAlignment="1" applyProtection="1">
      <alignment horizontal="center" vertical="center"/>
      <protection hidden="1"/>
    </xf>
    <xf numFmtId="0" fontId="4" fillId="7" borderId="15" xfId="0" applyFont="1" applyFill="1" applyBorder="1" applyProtection="1">
      <protection hidden="1"/>
    </xf>
    <xf numFmtId="0" fontId="4" fillId="7" borderId="0" xfId="0" applyFont="1" applyFill="1" applyBorder="1" applyProtection="1">
      <protection hidden="1"/>
    </xf>
    <xf numFmtId="0" fontId="4" fillId="7" borderId="14" xfId="0" applyFont="1" applyFill="1" applyBorder="1" applyProtection="1">
      <protection hidden="1"/>
    </xf>
    <xf numFmtId="0" fontId="4" fillId="7" borderId="0" xfId="0" applyFont="1" applyFill="1" applyBorder="1" applyAlignment="1" applyProtection="1">
      <alignment horizontal="center"/>
      <protection hidden="1"/>
    </xf>
    <xf numFmtId="0" fontId="3" fillId="11" borderId="5" xfId="0" applyFont="1" applyFill="1" applyBorder="1"/>
    <xf numFmtId="0" fontId="1" fillId="5" borderId="5" xfId="0" applyFont="1" applyFill="1" applyBorder="1" applyAlignment="1">
      <alignment horizontal="center" vertical="center"/>
    </xf>
    <xf numFmtId="0" fontId="3" fillId="4" borderId="5" xfId="0" applyFont="1" applyFill="1" applyBorder="1"/>
    <xf numFmtId="2" fontId="1" fillId="0" borderId="5" xfId="0" applyNumberFormat="1" applyFont="1" applyBorder="1"/>
    <xf numFmtId="0" fontId="1" fillId="0" borderId="5" xfId="0" applyFont="1" applyBorder="1" applyAlignment="1">
      <alignment horizontal="center" vertical="center"/>
    </xf>
    <xf numFmtId="0" fontId="3" fillId="9" borderId="0" xfId="0" applyFont="1" applyFill="1"/>
    <xf numFmtId="0" fontId="12" fillId="9" borderId="5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12" fillId="9" borderId="5" xfId="0" applyFont="1" applyFill="1" applyBorder="1" applyAlignment="1">
      <alignment horizontal="right" vertical="center"/>
    </xf>
    <xf numFmtId="0" fontId="16" fillId="9" borderId="0" xfId="0" applyFont="1" applyFill="1" applyAlignment="1">
      <alignment horizontal="center" vertical="center"/>
    </xf>
    <xf numFmtId="0" fontId="0" fillId="0" borderId="0" xfId="0" applyFill="1"/>
    <xf numFmtId="0" fontId="3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left" vertical="center"/>
    </xf>
    <xf numFmtId="0" fontId="3" fillId="12" borderId="0" xfId="0" applyFont="1" applyFill="1" applyBorder="1" applyAlignment="1">
      <alignment horizontal="left" vertical="center"/>
    </xf>
    <xf numFmtId="0" fontId="3" fillId="12" borderId="0" xfId="0" applyFont="1" applyFill="1"/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4" borderId="0" xfId="0" applyFont="1" applyFill="1"/>
    <xf numFmtId="0" fontId="3" fillId="0" borderId="0" xfId="0" applyFont="1" applyFill="1"/>
    <xf numFmtId="0" fontId="16" fillId="12" borderId="0" xfId="0" applyFont="1" applyFill="1"/>
    <xf numFmtId="0" fontId="16" fillId="4" borderId="0" xfId="0" applyFont="1" applyFill="1"/>
    <xf numFmtId="3" fontId="0" fillId="12" borderId="28" xfId="0" applyNumberFormat="1" applyFill="1" applyBorder="1"/>
    <xf numFmtId="3" fontId="0" fillId="4" borderId="28" xfId="0" applyNumberFormat="1" applyFill="1" applyBorder="1"/>
    <xf numFmtId="0" fontId="0" fillId="6" borderId="0" xfId="0" applyFill="1"/>
    <xf numFmtId="0" fontId="3" fillId="15" borderId="18" xfId="0" applyFont="1" applyFill="1" applyBorder="1" applyAlignment="1" applyProtection="1">
      <alignment horizontal="center" vertical="center"/>
      <protection hidden="1"/>
    </xf>
    <xf numFmtId="3" fontId="17" fillId="15" borderId="18" xfId="0" applyNumberFormat="1" applyFont="1" applyFill="1" applyBorder="1" applyAlignment="1" applyProtection="1">
      <alignment horizontal="center" vertical="center"/>
      <protection hidden="1"/>
    </xf>
    <xf numFmtId="0" fontId="17" fillId="14" borderId="18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right"/>
      <protection hidden="1"/>
    </xf>
    <xf numFmtId="0" fontId="19" fillId="6" borderId="0" xfId="0" applyFont="1" applyFill="1" applyAlignment="1" applyProtection="1">
      <protection hidden="1"/>
    </xf>
    <xf numFmtId="0" fontId="19" fillId="6" borderId="0" xfId="0" applyFont="1" applyFill="1" applyAlignment="1" applyProtection="1">
      <alignment horizontal="left"/>
      <protection hidden="1"/>
    </xf>
    <xf numFmtId="3" fontId="17" fillId="15" borderId="18" xfId="0" applyNumberFormat="1" applyFont="1" applyFill="1" applyBorder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protection hidden="1"/>
    </xf>
    <xf numFmtId="0" fontId="3" fillId="6" borderId="24" xfId="0" applyFont="1" applyFill="1" applyBorder="1" applyAlignment="1" applyProtection="1">
      <alignment horizontal="center" vertical="top"/>
      <protection hidden="1"/>
    </xf>
    <xf numFmtId="0" fontId="12" fillId="6" borderId="24" xfId="0" applyFont="1" applyFill="1" applyBorder="1" applyAlignment="1" applyProtection="1">
      <alignment horizontal="center" vertical="top"/>
      <protection hidden="1"/>
    </xf>
    <xf numFmtId="0" fontId="12" fillId="6" borderId="18" xfId="0" applyFont="1" applyFill="1" applyBorder="1" applyAlignment="1" applyProtection="1">
      <alignment horizontal="center" vertical="center"/>
      <protection hidden="1"/>
    </xf>
    <xf numFmtId="14" fontId="0" fillId="0" borderId="0" xfId="0" applyNumberFormat="1"/>
    <xf numFmtId="0" fontId="14" fillId="6" borderId="0" xfId="0" applyFont="1" applyFill="1" applyBorder="1" applyAlignment="1" applyProtection="1">
      <alignment horizontal="center" vertical="center"/>
      <protection hidden="1"/>
    </xf>
    <xf numFmtId="3" fontId="12" fillId="8" borderId="18" xfId="0" applyNumberFormat="1" applyFont="1" applyFill="1" applyBorder="1" applyAlignment="1" applyProtection="1">
      <alignment horizontal="center" vertical="center"/>
      <protection hidden="1"/>
    </xf>
    <xf numFmtId="0" fontId="9" fillId="5" borderId="37" xfId="0" applyFont="1" applyFill="1" applyBorder="1" applyAlignment="1" applyProtection="1">
      <alignment horizontal="left"/>
      <protection hidden="1"/>
    </xf>
    <xf numFmtId="0" fontId="11" fillId="6" borderId="37" xfId="0" applyFont="1" applyFill="1" applyBorder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center" vertical="center"/>
      <protection hidden="1"/>
    </xf>
    <xf numFmtId="0" fontId="3" fillId="6" borderId="18" xfId="0" applyFont="1" applyFill="1" applyBorder="1" applyAlignment="1" applyProtection="1">
      <alignment horizontal="center" vertical="center"/>
      <protection hidden="1"/>
    </xf>
    <xf numFmtId="0" fontId="15" fillId="6" borderId="30" xfId="0" applyFont="1" applyFill="1" applyBorder="1" applyAlignment="1" applyProtection="1">
      <alignment horizontal="center" vertical="center"/>
      <protection hidden="1"/>
    </xf>
    <xf numFmtId="0" fontId="15" fillId="6" borderId="31" xfId="0" applyFont="1" applyFill="1" applyBorder="1" applyAlignment="1" applyProtection="1">
      <alignment horizontal="center" vertical="center"/>
      <protection hidden="1"/>
    </xf>
    <xf numFmtId="164" fontId="15" fillId="6" borderId="31" xfId="0" applyNumberFormat="1" applyFont="1" applyFill="1" applyBorder="1" applyAlignment="1" applyProtection="1">
      <alignment horizontal="center" vertical="center"/>
      <protection hidden="1"/>
    </xf>
    <xf numFmtId="0" fontId="15" fillId="6" borderId="32" xfId="0" applyFont="1" applyFill="1" applyBorder="1" applyAlignment="1" applyProtection="1">
      <alignment horizontal="center" vertical="center"/>
      <protection hidden="1"/>
    </xf>
    <xf numFmtId="0" fontId="3" fillId="7" borderId="14" xfId="0" applyFont="1" applyFill="1" applyBorder="1" applyAlignment="1" applyProtection="1">
      <alignment horizontal="center" vertical="center"/>
      <protection hidden="1"/>
    </xf>
    <xf numFmtId="2" fontId="3" fillId="7" borderId="14" xfId="0" applyNumberFormat="1" applyFont="1" applyFill="1" applyBorder="1" applyAlignment="1" applyProtection="1">
      <alignment horizontal="center" vertical="center"/>
      <protection hidden="1"/>
    </xf>
    <xf numFmtId="0" fontId="3" fillId="6" borderId="29" xfId="0" applyFont="1" applyFill="1" applyBorder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/>
      <protection hidden="1"/>
    </xf>
    <xf numFmtId="0" fontId="3" fillId="7" borderId="39" xfId="0" applyFont="1" applyFill="1" applyBorder="1" applyAlignment="1" applyProtection="1">
      <alignment horizontal="center" vertical="center"/>
      <protection hidden="1"/>
    </xf>
    <xf numFmtId="2" fontId="3" fillId="7" borderId="39" xfId="0" applyNumberFormat="1" applyFont="1" applyFill="1" applyBorder="1" applyAlignment="1" applyProtection="1">
      <alignment horizontal="center" vertical="center"/>
      <protection hidden="1"/>
    </xf>
    <xf numFmtId="0" fontId="3" fillId="6" borderId="33" xfId="0" applyFont="1" applyFill="1" applyBorder="1" applyAlignment="1" applyProtection="1">
      <alignment horizontal="center" vertical="center"/>
      <protection hidden="1"/>
    </xf>
    <xf numFmtId="0" fontId="16" fillId="0" borderId="7" xfId="0" applyFont="1" applyFill="1" applyBorder="1"/>
    <xf numFmtId="0" fontId="0" fillId="0" borderId="0" xfId="0" applyAlignment="1"/>
    <xf numFmtId="0" fontId="16" fillId="5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right" vertical="center"/>
    </xf>
    <xf numFmtId="0" fontId="7" fillId="5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0" fontId="3" fillId="4" borderId="5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right" vertical="center"/>
    </xf>
    <xf numFmtId="3" fontId="12" fillId="9" borderId="5" xfId="0" applyNumberFormat="1" applyFont="1" applyFill="1" applyBorder="1" applyAlignment="1">
      <alignment horizontal="right" vertical="center"/>
    </xf>
    <xf numFmtId="3" fontId="12" fillId="9" borderId="5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center" vertical="center"/>
    </xf>
    <xf numFmtId="166" fontId="0" fillId="0" borderId="0" xfId="0" applyNumberFormat="1"/>
    <xf numFmtId="166" fontId="0" fillId="0" borderId="0" xfId="0" applyNumberFormat="1" applyFill="1" applyBorder="1"/>
    <xf numFmtId="0" fontId="30" fillId="0" borderId="40" xfId="0" applyFont="1" applyFill="1" applyBorder="1" applyAlignment="1" applyProtection="1">
      <alignment horizontal="center" vertical="center"/>
      <protection hidden="1"/>
    </xf>
    <xf numFmtId="166" fontId="0" fillId="0" borderId="0" xfId="0" applyNumberFormat="1" applyBorder="1"/>
    <xf numFmtId="0" fontId="4" fillId="6" borderId="0" xfId="0" applyFont="1" applyFill="1"/>
    <xf numFmtId="0" fontId="4" fillId="6" borderId="41" xfId="0" applyFont="1" applyFill="1" applyBorder="1" applyAlignment="1">
      <alignment vertical="center"/>
    </xf>
    <xf numFmtId="0" fontId="33" fillId="0" borderId="0" xfId="0" applyFont="1" applyFill="1"/>
    <xf numFmtId="0" fontId="4" fillId="0" borderId="0" xfId="0" applyFont="1" applyFill="1" applyBorder="1"/>
    <xf numFmtId="0" fontId="14" fillId="0" borderId="0" xfId="0" applyFont="1" applyFill="1" applyBorder="1" applyAlignment="1">
      <alignment horizontal="center" vertical="center"/>
    </xf>
    <xf numFmtId="2" fontId="10" fillId="0" borderId="0" xfId="0" applyNumberFormat="1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33" fillId="0" borderId="0" xfId="0" applyFont="1" applyFill="1" applyBorder="1"/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right"/>
      <protection hidden="1"/>
    </xf>
    <xf numFmtId="0" fontId="4" fillId="0" borderId="0" xfId="0" applyFont="1" applyFill="1" applyBorder="1" applyProtection="1">
      <protection hidden="1"/>
    </xf>
    <xf numFmtId="0" fontId="3" fillId="6" borderId="47" xfId="0" applyFont="1" applyFill="1" applyBorder="1" applyAlignment="1">
      <alignment horizontal="center" vertical="center"/>
    </xf>
    <xf numFmtId="0" fontId="25" fillId="5" borderId="12" xfId="0" applyNumberFormat="1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left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" vertical="center"/>
      <protection hidden="1"/>
    </xf>
    <xf numFmtId="4" fontId="12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 applyProtection="1">
      <alignment vertical="center"/>
      <protection hidden="1"/>
    </xf>
    <xf numFmtId="0" fontId="12" fillId="7" borderId="19" xfId="0" applyFont="1" applyFill="1" applyBorder="1" applyAlignment="1" applyProtection="1">
      <alignment horizontal="center" vertical="center"/>
      <protection hidden="1"/>
    </xf>
    <xf numFmtId="3" fontId="39" fillId="7" borderId="19" xfId="0" applyNumberFormat="1" applyFont="1" applyFill="1" applyBorder="1" applyAlignment="1" applyProtection="1">
      <alignment horizontal="center" vertical="center"/>
      <protection hidden="1"/>
    </xf>
    <xf numFmtId="0" fontId="12" fillId="7" borderId="19" xfId="0" applyFont="1" applyFill="1" applyBorder="1" applyAlignment="1" applyProtection="1">
      <alignment horizontal="center"/>
      <protection hidden="1"/>
    </xf>
    <xf numFmtId="3" fontId="12" fillId="7" borderId="19" xfId="0" applyNumberFormat="1" applyFont="1" applyFill="1" applyBorder="1" applyAlignment="1" applyProtection="1">
      <alignment horizontal="center"/>
      <protection hidden="1"/>
    </xf>
    <xf numFmtId="0" fontId="9" fillId="7" borderId="19" xfId="0" applyFont="1" applyFill="1" applyBorder="1" applyAlignment="1" applyProtection="1">
      <alignment horizontal="center" vertical="center"/>
      <protection hidden="1"/>
    </xf>
    <xf numFmtId="0" fontId="12" fillId="7" borderId="47" xfId="0" applyFont="1" applyFill="1" applyBorder="1" applyAlignment="1" applyProtection="1">
      <alignment horizontal="center" vertical="center"/>
      <protection hidden="1"/>
    </xf>
    <xf numFmtId="0" fontId="9" fillId="7" borderId="55" xfId="0" applyFont="1" applyFill="1" applyBorder="1" applyAlignment="1" applyProtection="1">
      <alignment horizontal="center" vertical="center"/>
      <protection hidden="1"/>
    </xf>
    <xf numFmtId="0" fontId="0" fillId="7" borderId="17" xfId="0" applyFill="1" applyBorder="1" applyProtection="1">
      <protection hidden="1"/>
    </xf>
    <xf numFmtId="0" fontId="9" fillId="6" borderId="15" xfId="0" applyFont="1" applyFill="1" applyBorder="1" applyAlignment="1" applyProtection="1">
      <alignment horizontal="left" vertical="center"/>
      <protection hidden="1"/>
    </xf>
    <xf numFmtId="0" fontId="9" fillId="6" borderId="0" xfId="0" applyFont="1" applyFill="1" applyBorder="1" applyProtection="1">
      <protection hidden="1"/>
    </xf>
    <xf numFmtId="3" fontId="4" fillId="6" borderId="0" xfId="0" applyNumberFormat="1" applyFont="1" applyFill="1" applyBorder="1" applyProtection="1">
      <protection hidden="1"/>
    </xf>
    <xf numFmtId="0" fontId="9" fillId="6" borderId="0" xfId="0" applyFont="1" applyFill="1" applyBorder="1" applyAlignment="1" applyProtection="1">
      <alignment horizontal="center" vertical="center"/>
      <protection hidden="1"/>
    </xf>
    <xf numFmtId="3" fontId="9" fillId="6" borderId="17" xfId="0" applyNumberFormat="1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Border="1" applyAlignment="1" applyProtection="1">
      <alignment horizontal="center" vertical="center"/>
      <protection hidden="1"/>
    </xf>
    <xf numFmtId="0" fontId="12" fillId="7" borderId="54" xfId="0" applyFont="1" applyFill="1" applyBorder="1" applyAlignment="1" applyProtection="1">
      <alignment horizontal="center" vertical="center"/>
      <protection hidden="1"/>
    </xf>
    <xf numFmtId="0" fontId="12" fillId="7" borderId="41" xfId="0" applyFont="1" applyFill="1" applyBorder="1" applyAlignment="1" applyProtection="1">
      <alignment horizontal="center" vertical="center"/>
      <protection hidden="1"/>
    </xf>
    <xf numFmtId="3" fontId="39" fillId="7" borderId="41" xfId="0" applyNumberFormat="1" applyFont="1" applyFill="1" applyBorder="1" applyAlignment="1" applyProtection="1">
      <alignment horizontal="center" vertical="center"/>
      <protection hidden="1"/>
    </xf>
    <xf numFmtId="0" fontId="12" fillId="7" borderId="41" xfId="0" applyFont="1" applyFill="1" applyBorder="1" applyAlignment="1" applyProtection="1">
      <alignment horizontal="center"/>
      <protection hidden="1"/>
    </xf>
    <xf numFmtId="3" fontId="12" fillId="7" borderId="41" xfId="0" applyNumberFormat="1" applyFont="1" applyFill="1" applyBorder="1" applyAlignment="1" applyProtection="1">
      <alignment horizontal="center"/>
      <protection hidden="1"/>
    </xf>
    <xf numFmtId="0" fontId="12" fillId="7" borderId="56" xfId="0" applyFont="1" applyFill="1" applyBorder="1" applyAlignment="1" applyProtection="1">
      <alignment horizontal="center" vertical="center"/>
      <protection hidden="1"/>
    </xf>
    <xf numFmtId="0" fontId="14" fillId="6" borderId="16" xfId="0" applyFont="1" applyFill="1" applyBorder="1" applyAlignment="1" applyProtection="1">
      <alignment horizontal="center"/>
      <protection hidden="1"/>
    </xf>
    <xf numFmtId="3" fontId="0" fillId="0" borderId="5" xfId="0" applyNumberFormat="1" applyBorder="1" applyAlignment="1">
      <alignment horizontal="center" vertical="center"/>
    </xf>
    <xf numFmtId="9" fontId="0" fillId="0" borderId="0" xfId="0" applyNumberFormat="1"/>
    <xf numFmtId="0" fontId="12" fillId="10" borderId="47" xfId="0" applyFont="1" applyFill="1" applyBorder="1" applyAlignment="1" applyProtection="1">
      <alignment horizontal="center" vertical="center"/>
      <protection hidden="1"/>
    </xf>
    <xf numFmtId="0" fontId="12" fillId="10" borderId="19" xfId="0" applyFont="1" applyFill="1" applyBorder="1" applyAlignment="1" applyProtection="1">
      <alignment horizontal="center" vertical="center"/>
      <protection hidden="1"/>
    </xf>
    <xf numFmtId="4" fontId="12" fillId="10" borderId="47" xfId="0" applyNumberFormat="1" applyFont="1" applyFill="1" applyBorder="1" applyAlignment="1" applyProtection="1">
      <alignment horizontal="center" vertical="center"/>
      <protection hidden="1"/>
    </xf>
    <xf numFmtId="4" fontId="12" fillId="10" borderId="19" xfId="0" applyNumberFormat="1" applyFont="1" applyFill="1" applyBorder="1" applyAlignment="1" applyProtection="1">
      <alignment horizontal="center" vertical="center"/>
      <protection hidden="1"/>
    </xf>
    <xf numFmtId="4" fontId="12" fillId="10" borderId="19" xfId="0" applyNumberFormat="1" applyFont="1" applyFill="1" applyBorder="1" applyAlignment="1" applyProtection="1">
      <alignment horizontal="center"/>
      <protection hidden="1"/>
    </xf>
    <xf numFmtId="0" fontId="18" fillId="14" borderId="18" xfId="0" applyFont="1" applyFill="1" applyBorder="1" applyAlignment="1" applyProtection="1">
      <alignment horizontal="center" vertical="center"/>
      <protection hidden="1"/>
    </xf>
    <xf numFmtId="0" fontId="12" fillId="14" borderId="18" xfId="0" applyFont="1" applyFill="1" applyBorder="1" applyAlignment="1" applyProtection="1">
      <alignment horizontal="center" vertical="center"/>
      <protection hidden="1"/>
    </xf>
    <xf numFmtId="3" fontId="12" fillId="6" borderId="0" xfId="0" applyNumberFormat="1" applyFont="1" applyFill="1" applyBorder="1" applyAlignment="1" applyProtection="1">
      <alignment horizontal="right" vertical="center"/>
      <protection hidden="1"/>
    </xf>
    <xf numFmtId="3" fontId="3" fillId="6" borderId="31" xfId="0" applyNumberFormat="1" applyFont="1" applyFill="1" applyBorder="1" applyAlignment="1" applyProtection="1">
      <alignment horizontal="center" vertical="center"/>
      <protection hidden="1"/>
    </xf>
    <xf numFmtId="3" fontId="3" fillId="7" borderId="14" xfId="0" applyNumberFormat="1" applyFont="1" applyFill="1" applyBorder="1" applyAlignment="1" applyProtection="1">
      <alignment horizontal="center" vertical="center"/>
      <protection hidden="1"/>
    </xf>
    <xf numFmtId="3" fontId="3" fillId="7" borderId="39" xfId="0" applyNumberFormat="1" applyFont="1" applyFill="1" applyBorder="1" applyAlignment="1" applyProtection="1">
      <alignment horizontal="center" vertical="center"/>
      <protection hidden="1"/>
    </xf>
    <xf numFmtId="3" fontId="3" fillId="6" borderId="32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16" fillId="0" borderId="27" xfId="0" applyFont="1" applyFill="1" applyBorder="1" applyAlignment="1">
      <alignment horizontal="center"/>
    </xf>
    <xf numFmtId="3" fontId="12" fillId="0" borderId="0" xfId="0" applyNumberFormat="1" applyFont="1" applyFill="1" applyAlignment="1">
      <alignment horizontal="right" vertical="center"/>
    </xf>
    <xf numFmtId="0" fontId="3" fillId="6" borderId="0" xfId="0" applyFont="1" applyFill="1"/>
    <xf numFmtId="0" fontId="0" fillId="0" borderId="0" xfId="0" applyAlignment="1">
      <alignment horizontal="center"/>
    </xf>
    <xf numFmtId="2" fontId="10" fillId="15" borderId="18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164" fontId="6" fillId="5" borderId="36" xfId="0" applyNumberFormat="1" applyFont="1" applyFill="1" applyBorder="1" applyAlignment="1" applyProtection="1">
      <alignment horizontal="left" vertical="center"/>
      <protection hidden="1"/>
    </xf>
    <xf numFmtId="0" fontId="12" fillId="10" borderId="55" xfId="0" applyFont="1" applyFill="1" applyBorder="1" applyAlignment="1" applyProtection="1">
      <alignment horizontal="center" vertical="center"/>
      <protection hidden="1"/>
    </xf>
    <xf numFmtId="3" fontId="12" fillId="10" borderId="19" xfId="0" applyNumberFormat="1" applyFont="1" applyFill="1" applyBorder="1" applyAlignment="1" applyProtection="1">
      <alignment horizontal="center" vertical="center"/>
      <protection hidden="1"/>
    </xf>
    <xf numFmtId="4" fontId="12" fillId="10" borderId="55" xfId="0" applyNumberFormat="1" applyFont="1" applyFill="1" applyBorder="1" applyAlignment="1" applyProtection="1">
      <alignment horizontal="center" vertical="center"/>
      <protection hidden="1"/>
    </xf>
    <xf numFmtId="0" fontId="4" fillId="6" borderId="15" xfId="0" applyFont="1" applyFill="1" applyBorder="1" applyProtection="1">
      <protection hidden="1"/>
    </xf>
    <xf numFmtId="0" fontId="4" fillId="6" borderId="0" xfId="0" applyFont="1" applyFill="1" applyBorder="1" applyProtection="1">
      <protection hidden="1"/>
    </xf>
    <xf numFmtId="0" fontId="4" fillId="6" borderId="17" xfId="0" applyFont="1" applyFill="1" applyBorder="1" applyProtection="1">
      <protection hidden="1"/>
    </xf>
    <xf numFmtId="0" fontId="14" fillId="6" borderId="48" xfId="0" applyFont="1" applyFill="1" applyBorder="1" applyAlignment="1" applyProtection="1">
      <alignment horizontal="center" vertical="center"/>
      <protection hidden="1"/>
    </xf>
    <xf numFmtId="0" fontId="14" fillId="6" borderId="42" xfId="0" applyFont="1" applyFill="1" applyBorder="1" applyAlignment="1" applyProtection="1">
      <alignment horizontal="center" vertical="center"/>
      <protection hidden="1"/>
    </xf>
    <xf numFmtId="0" fontId="14" fillId="6" borderId="19" xfId="0" applyFont="1" applyFill="1" applyBorder="1" applyAlignment="1" applyProtection="1">
      <alignment horizontal="center" vertical="center"/>
      <protection hidden="1"/>
    </xf>
    <xf numFmtId="0" fontId="35" fillId="6" borderId="42" xfId="0" applyFont="1" applyFill="1" applyBorder="1" applyAlignment="1" applyProtection="1">
      <alignment horizontal="center" vertical="center"/>
      <protection hidden="1"/>
    </xf>
    <xf numFmtId="0" fontId="14" fillId="6" borderId="55" xfId="0" applyFont="1" applyFill="1" applyBorder="1" applyAlignment="1" applyProtection="1">
      <alignment horizontal="center" vertical="center"/>
      <protection hidden="1"/>
    </xf>
    <xf numFmtId="2" fontId="10" fillId="8" borderId="48" xfId="0" applyNumberFormat="1" applyFont="1" applyFill="1" applyBorder="1" applyAlignment="1" applyProtection="1">
      <alignment horizontal="center" vertical="center"/>
      <protection hidden="1"/>
    </xf>
    <xf numFmtId="2" fontId="10" fillId="8" borderId="42" xfId="0" applyNumberFormat="1" applyFont="1" applyFill="1" applyBorder="1" applyAlignment="1" applyProtection="1">
      <alignment horizontal="center" vertical="center"/>
      <protection hidden="1"/>
    </xf>
    <xf numFmtId="2" fontId="10" fillId="8" borderId="19" xfId="0" applyNumberFormat="1" applyFont="1" applyFill="1" applyBorder="1" applyAlignment="1" applyProtection="1">
      <alignment horizontal="center" vertical="center"/>
      <protection hidden="1"/>
    </xf>
    <xf numFmtId="2" fontId="10" fillId="8" borderId="55" xfId="0" applyNumberFormat="1" applyFont="1" applyFill="1" applyBorder="1" applyAlignment="1" applyProtection="1">
      <alignment horizontal="center" vertical="center"/>
      <protection hidden="1"/>
    </xf>
    <xf numFmtId="2" fontId="12" fillId="8" borderId="48" xfId="0" applyNumberFormat="1" applyFont="1" applyFill="1" applyBorder="1" applyAlignment="1" applyProtection="1">
      <alignment horizontal="center" vertical="center"/>
      <protection hidden="1"/>
    </xf>
    <xf numFmtId="2" fontId="12" fillId="8" borderId="42" xfId="0" applyNumberFormat="1" applyFont="1" applyFill="1" applyBorder="1" applyAlignment="1" applyProtection="1">
      <alignment horizontal="center" vertical="center"/>
      <protection hidden="1"/>
    </xf>
    <xf numFmtId="2" fontId="12" fillId="8" borderId="55" xfId="0" applyNumberFormat="1" applyFont="1" applyFill="1" applyBorder="1" applyAlignment="1" applyProtection="1">
      <alignment horizontal="center" vertical="center"/>
      <protection hidden="1"/>
    </xf>
    <xf numFmtId="0" fontId="5" fillId="6" borderId="48" xfId="0" applyFont="1" applyFill="1" applyBorder="1" applyAlignment="1" applyProtection="1">
      <alignment horizontal="center" vertical="center"/>
      <protection hidden="1"/>
    </xf>
    <xf numFmtId="0" fontId="5" fillId="6" borderId="42" xfId="0" applyFont="1" applyFill="1" applyBorder="1" applyAlignment="1" applyProtection="1">
      <alignment horizontal="center" vertical="center"/>
      <protection hidden="1"/>
    </xf>
    <xf numFmtId="0" fontId="5" fillId="6" borderId="19" xfId="0" applyFont="1" applyFill="1" applyBorder="1" applyAlignment="1" applyProtection="1">
      <alignment horizontal="center" vertical="center"/>
      <protection hidden="1"/>
    </xf>
    <xf numFmtId="0" fontId="5" fillId="6" borderId="55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Protection="1">
      <protection hidden="1"/>
    </xf>
    <xf numFmtId="0" fontId="0" fillId="6" borderId="0" xfId="0" applyFill="1" applyProtection="1">
      <protection hidden="1"/>
    </xf>
    <xf numFmtId="0" fontId="3" fillId="6" borderId="0" xfId="0" applyFont="1" applyFill="1" applyAlignment="1" applyProtection="1">
      <alignment horizontal="right"/>
      <protection hidden="1"/>
    </xf>
    <xf numFmtId="0" fontId="3" fillId="6" borderId="0" xfId="0" applyFont="1" applyFill="1" applyAlignment="1" applyProtection="1">
      <alignment horizontal="center"/>
      <protection hidden="1"/>
    </xf>
    <xf numFmtId="3" fontId="20" fillId="6" borderId="0" xfId="0" applyNumberFormat="1" applyFont="1" applyFill="1" applyAlignment="1" applyProtection="1">
      <alignment horizontal="center"/>
      <protection hidden="1"/>
    </xf>
    <xf numFmtId="0" fontId="22" fillId="6" borderId="0" xfId="0" applyFont="1" applyFill="1" applyAlignment="1" applyProtection="1">
      <alignment horizontal="right"/>
      <protection hidden="1"/>
    </xf>
    <xf numFmtId="0" fontId="22" fillId="6" borderId="0" xfId="0" applyFont="1" applyFill="1" applyAlignment="1" applyProtection="1">
      <alignment horizontal="left"/>
      <protection hidden="1"/>
    </xf>
    <xf numFmtId="3" fontId="21" fillId="6" borderId="0" xfId="0" applyNumberFormat="1" applyFont="1" applyFill="1" applyAlignment="1" applyProtection="1">
      <alignment horizontal="center"/>
      <protection hidden="1"/>
    </xf>
    <xf numFmtId="0" fontId="3" fillId="6" borderId="0" xfId="0" applyFont="1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/>
      <protection hidden="1"/>
    </xf>
    <xf numFmtId="3" fontId="12" fillId="14" borderId="18" xfId="0" applyNumberFormat="1" applyFont="1" applyFill="1" applyBorder="1" applyAlignment="1" applyProtection="1">
      <alignment horizontal="right" vertical="center"/>
      <protection hidden="1"/>
    </xf>
    <xf numFmtId="3" fontId="3" fillId="6" borderId="0" xfId="0" applyNumberFormat="1" applyFont="1" applyFill="1" applyAlignment="1" applyProtection="1">
      <alignment horizontal="center" vertical="center"/>
      <protection hidden="1"/>
    </xf>
    <xf numFmtId="3" fontId="12" fillId="13" borderId="18" xfId="0" applyNumberFormat="1" applyFont="1" applyFill="1" applyBorder="1" applyAlignment="1" applyProtection="1">
      <alignment horizontal="right" vertical="center"/>
      <protection hidden="1"/>
    </xf>
    <xf numFmtId="3" fontId="12" fillId="4" borderId="18" xfId="0" applyNumberFormat="1" applyFont="1" applyFill="1" applyBorder="1" applyAlignment="1" applyProtection="1">
      <alignment horizontal="right" vertical="center"/>
      <protection hidden="1"/>
    </xf>
    <xf numFmtId="0" fontId="12" fillId="6" borderId="0" xfId="0" applyFont="1" applyFill="1" applyAlignment="1" applyProtection="1">
      <alignment horizontal="center" vertical="center"/>
      <protection hidden="1"/>
    </xf>
    <xf numFmtId="0" fontId="3" fillId="4" borderId="18" xfId="0" applyFont="1" applyFill="1" applyBorder="1" applyAlignment="1" applyProtection="1">
      <alignment horizontal="center" vertical="center"/>
      <protection hidden="1"/>
    </xf>
    <xf numFmtId="0" fontId="3" fillId="13" borderId="18" xfId="0" applyFont="1" applyFill="1" applyBorder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right" vertical="center"/>
      <protection hidden="1"/>
    </xf>
    <xf numFmtId="0" fontId="22" fillId="6" borderId="0" xfId="0" applyFont="1" applyFill="1" applyAlignment="1" applyProtection="1">
      <alignment horizontal="left" vertical="center"/>
      <protection hidden="1"/>
    </xf>
    <xf numFmtId="0" fontId="29" fillId="6" borderId="0" xfId="0" applyFont="1" applyFill="1" applyAlignment="1" applyProtection="1">
      <alignment vertical="center"/>
      <protection hidden="1"/>
    </xf>
    <xf numFmtId="0" fontId="23" fillId="6" borderId="0" xfId="0" applyFont="1" applyFill="1" applyAlignment="1" applyProtection="1">
      <alignment vertical="center"/>
      <protection hidden="1"/>
    </xf>
    <xf numFmtId="167" fontId="6" fillId="5" borderId="11" xfId="0" applyNumberFormat="1" applyFont="1" applyFill="1" applyBorder="1" applyAlignment="1" applyProtection="1">
      <alignment horizontal="center" vertical="center"/>
      <protection hidden="1"/>
    </xf>
    <xf numFmtId="167" fontId="6" fillId="6" borderId="0" xfId="0" applyNumberFormat="1" applyFont="1" applyFill="1" applyAlignment="1" applyProtection="1">
      <alignment horizontal="center" vertical="top"/>
      <protection hidden="1"/>
    </xf>
    <xf numFmtId="164" fontId="6" fillId="6" borderId="0" xfId="0" applyNumberFormat="1" applyFont="1" applyFill="1" applyAlignment="1" applyProtection="1">
      <alignment horizontal="left" vertical="top"/>
      <protection hidden="1"/>
    </xf>
    <xf numFmtId="3" fontId="20" fillId="6" borderId="0" xfId="0" applyNumberFormat="1" applyFont="1" applyFill="1" applyProtection="1">
      <protection hidden="1"/>
    </xf>
    <xf numFmtId="3" fontId="21" fillId="6" borderId="0" xfId="0" applyNumberFormat="1" applyFont="1" applyFill="1" applyProtection="1">
      <protection hidden="1"/>
    </xf>
    <xf numFmtId="0" fontId="3" fillId="6" borderId="0" xfId="0" applyFont="1" applyFill="1" applyProtection="1">
      <protection hidden="1"/>
    </xf>
    <xf numFmtId="0" fontId="19" fillId="6" borderId="0" xfId="0" applyFont="1" applyFill="1" applyAlignment="1" applyProtection="1">
      <alignment horizontal="right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center" vertical="center"/>
      <protection hidden="1"/>
    </xf>
    <xf numFmtId="0" fontId="21" fillId="6" borderId="0" xfId="0" applyFont="1" applyFill="1" applyAlignment="1" applyProtection="1">
      <alignment horizontal="center" vertical="center"/>
      <protection hidden="1"/>
    </xf>
    <xf numFmtId="9" fontId="21" fillId="6" borderId="0" xfId="0" applyNumberFormat="1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9" fontId="20" fillId="6" borderId="0" xfId="0" applyNumberFormat="1" applyFont="1" applyFill="1" applyAlignment="1" applyProtection="1">
      <alignment horizontal="left" vertical="center"/>
      <protection hidden="1"/>
    </xf>
    <xf numFmtId="0" fontId="4" fillId="6" borderId="0" xfId="0" applyFont="1" applyFill="1" applyAlignment="1" applyProtection="1">
      <alignment horizontal="center"/>
      <protection hidden="1"/>
    </xf>
    <xf numFmtId="0" fontId="4" fillId="6" borderId="0" xfId="0" applyFont="1" applyFill="1" applyAlignment="1" applyProtection="1">
      <alignment horizontal="left"/>
      <protection hidden="1"/>
    </xf>
    <xf numFmtId="2" fontId="12" fillId="14" borderId="18" xfId="0" applyNumberFormat="1" applyFont="1" applyFill="1" applyBorder="1" applyAlignment="1" applyProtection="1">
      <alignment horizontal="right" vertical="center"/>
      <protection hidden="1"/>
    </xf>
    <xf numFmtId="4" fontId="12" fillId="14" borderId="18" xfId="0" applyNumberFormat="1" applyFont="1" applyFill="1" applyBorder="1" applyAlignment="1" applyProtection="1">
      <alignment horizontal="right" vertical="center"/>
      <protection hidden="1"/>
    </xf>
    <xf numFmtId="0" fontId="25" fillId="6" borderId="30" xfId="0" applyFont="1" applyFill="1" applyBorder="1" applyAlignment="1" applyProtection="1">
      <alignment horizontal="center" vertical="center"/>
      <protection hidden="1"/>
    </xf>
    <xf numFmtId="0" fontId="25" fillId="6" borderId="31" xfId="0" applyFont="1" applyFill="1" applyBorder="1" applyAlignment="1" applyProtection="1">
      <alignment horizontal="left" vertical="center"/>
      <protection hidden="1"/>
    </xf>
    <xf numFmtId="0" fontId="19" fillId="6" borderId="31" xfId="0" applyFont="1" applyFill="1" applyBorder="1" applyAlignment="1" applyProtection="1">
      <alignment horizontal="center" vertical="center"/>
      <protection hidden="1"/>
    </xf>
    <xf numFmtId="3" fontId="19" fillId="6" borderId="31" xfId="0" applyNumberFormat="1" applyFont="1" applyFill="1" applyBorder="1" applyAlignment="1" applyProtection="1">
      <alignment horizontal="left" vertical="center"/>
      <protection hidden="1"/>
    </xf>
    <xf numFmtId="3" fontId="20" fillId="6" borderId="31" xfId="0" applyNumberFormat="1" applyFont="1" applyFill="1" applyBorder="1" applyAlignment="1" applyProtection="1">
      <alignment horizontal="center" vertical="center"/>
      <protection hidden="1"/>
    </xf>
    <xf numFmtId="0" fontId="12" fillId="6" borderId="31" xfId="0" applyFont="1" applyFill="1" applyBorder="1" applyAlignment="1" applyProtection="1">
      <alignment horizontal="center" vertical="center"/>
      <protection hidden="1"/>
    </xf>
    <xf numFmtId="0" fontId="22" fillId="6" borderId="31" xfId="0" applyFont="1" applyFill="1" applyBorder="1" applyAlignment="1" applyProtection="1">
      <alignment horizontal="center" vertical="center"/>
      <protection hidden="1"/>
    </xf>
    <xf numFmtId="0" fontId="22" fillId="6" borderId="31" xfId="0" applyFont="1" applyFill="1" applyBorder="1" applyAlignment="1" applyProtection="1">
      <alignment horizontal="left" vertical="center"/>
      <protection hidden="1"/>
    </xf>
    <xf numFmtId="3" fontId="21" fillId="6" borderId="31" xfId="0" applyNumberFormat="1" applyFont="1" applyFill="1" applyBorder="1" applyAlignment="1" applyProtection="1">
      <alignment horizontal="center" vertical="center"/>
      <protection hidden="1"/>
    </xf>
    <xf numFmtId="0" fontId="25" fillId="6" borderId="31" xfId="0" applyFont="1" applyFill="1" applyBorder="1" applyAlignment="1" applyProtection="1">
      <alignment horizontal="center" vertical="center"/>
      <protection hidden="1"/>
    </xf>
    <xf numFmtId="22" fontId="6" fillId="6" borderId="32" xfId="0" applyNumberFormat="1" applyFont="1" applyFill="1" applyBorder="1" applyAlignment="1" applyProtection="1">
      <alignment horizontal="center" vertical="center"/>
      <protection hidden="1"/>
    </xf>
    <xf numFmtId="0" fontId="44" fillId="6" borderId="18" xfId="0" applyFont="1" applyFill="1" applyBorder="1" applyAlignment="1" applyProtection="1">
      <alignment horizontal="center" vertical="top"/>
      <protection hidden="1"/>
    </xf>
    <xf numFmtId="0" fontId="45" fillId="6" borderId="18" xfId="0" applyFont="1" applyFill="1" applyBorder="1" applyAlignment="1" applyProtection="1">
      <alignment horizontal="center" vertical="top"/>
      <protection hidden="1"/>
    </xf>
    <xf numFmtId="0" fontId="3" fillId="14" borderId="18" xfId="0" applyFont="1" applyFill="1" applyBorder="1" applyAlignment="1" applyProtection="1">
      <alignment horizontal="center" vertical="center"/>
      <protection hidden="1"/>
    </xf>
    <xf numFmtId="0" fontId="3" fillId="14" borderId="18" xfId="0" applyFont="1" applyFill="1" applyBorder="1" applyAlignment="1" applyProtection="1">
      <alignment horizontal="center"/>
      <protection hidden="1"/>
    </xf>
    <xf numFmtId="0" fontId="12" fillId="14" borderId="18" xfId="0" applyFont="1" applyFill="1" applyBorder="1" applyAlignment="1" applyProtection="1">
      <alignment horizontal="center"/>
      <protection hidden="1"/>
    </xf>
    <xf numFmtId="2" fontId="12" fillId="14" borderId="23" xfId="0" applyNumberFormat="1" applyFont="1" applyFill="1" applyBorder="1" applyAlignment="1" applyProtection="1">
      <alignment horizontal="right" vertical="center"/>
      <protection hidden="1"/>
    </xf>
    <xf numFmtId="0" fontId="18" fillId="14" borderId="23" xfId="0" applyFont="1" applyFill="1" applyBorder="1" applyAlignment="1" applyProtection="1">
      <alignment horizontal="center" vertical="center"/>
      <protection hidden="1"/>
    </xf>
    <xf numFmtId="2" fontId="46" fillId="13" borderId="59" xfId="0" applyNumberFormat="1" applyFont="1" applyFill="1" applyBorder="1" applyAlignment="1" applyProtection="1">
      <alignment horizontal="right" vertical="center"/>
      <protection hidden="1"/>
    </xf>
    <xf numFmtId="0" fontId="10" fillId="14" borderId="59" xfId="0" applyFont="1" applyFill="1" applyBorder="1" applyAlignment="1" applyProtection="1">
      <alignment horizontal="center" vertical="center"/>
      <protection hidden="1"/>
    </xf>
    <xf numFmtId="2" fontId="46" fillId="4" borderId="59" xfId="0" applyNumberFormat="1" applyFont="1" applyFill="1" applyBorder="1" applyAlignment="1" applyProtection="1">
      <alignment horizontal="right" vertical="center"/>
      <protection hidden="1"/>
    </xf>
    <xf numFmtId="2" fontId="46" fillId="13" borderId="18" xfId="0" applyNumberFormat="1" applyFont="1" applyFill="1" applyBorder="1" applyAlignment="1" applyProtection="1">
      <alignment horizontal="right" vertical="center"/>
      <protection hidden="1"/>
    </xf>
    <xf numFmtId="0" fontId="10" fillId="14" borderId="18" xfId="0" applyFont="1" applyFill="1" applyBorder="1" applyAlignment="1" applyProtection="1">
      <alignment horizontal="center" vertical="center"/>
      <protection hidden="1"/>
    </xf>
    <xf numFmtId="2" fontId="46" fillId="4" borderId="18" xfId="0" applyNumberFormat="1" applyFont="1" applyFill="1" applyBorder="1" applyAlignment="1" applyProtection="1">
      <alignment horizontal="right" vertical="center"/>
      <protection hidden="1"/>
    </xf>
    <xf numFmtId="0" fontId="22" fillId="14" borderId="18" xfId="0" applyFont="1" applyFill="1" applyBorder="1" applyAlignment="1" applyProtection="1">
      <alignment horizontal="center" vertical="center"/>
      <protection hidden="1"/>
    </xf>
    <xf numFmtId="2" fontId="46" fillId="4" borderId="60" xfId="0" applyNumberFormat="1" applyFont="1" applyFill="1" applyBorder="1" applyAlignment="1" applyProtection="1">
      <alignment horizontal="right" vertical="center"/>
      <protection hidden="1"/>
    </xf>
    <xf numFmtId="0" fontId="10" fillId="14" borderId="60" xfId="0" applyFont="1" applyFill="1" applyBorder="1" applyAlignment="1" applyProtection="1">
      <alignment horizontal="center" vertical="center"/>
      <protection hidden="1"/>
    </xf>
    <xf numFmtId="2" fontId="46" fillId="13" borderId="60" xfId="0" applyNumberFormat="1" applyFont="1" applyFill="1" applyBorder="1" applyAlignment="1" applyProtection="1">
      <alignment horizontal="right" vertical="center"/>
      <protection hidden="1"/>
    </xf>
    <xf numFmtId="2" fontId="12" fillId="14" borderId="24" xfId="0" applyNumberFormat="1" applyFont="1" applyFill="1" applyBorder="1" applyAlignment="1" applyProtection="1">
      <alignment horizontal="right" vertical="center"/>
      <protection hidden="1"/>
    </xf>
    <xf numFmtId="0" fontId="18" fillId="14" borderId="24" xfId="0" applyFont="1" applyFill="1" applyBorder="1" applyAlignment="1" applyProtection="1">
      <alignment horizontal="center" vertical="center"/>
      <protection hidden="1"/>
    </xf>
    <xf numFmtId="0" fontId="3" fillId="7" borderId="0" xfId="0" applyFont="1" applyFill="1" applyAlignment="1" applyProtection="1">
      <alignment horizontal="center" vertical="center"/>
      <protection hidden="1"/>
    </xf>
    <xf numFmtId="0" fontId="3" fillId="7" borderId="0" xfId="0" applyFont="1" applyFill="1" applyAlignment="1" applyProtection="1">
      <alignment horizontal="center" vertical="center"/>
      <protection locked="0" hidden="1"/>
    </xf>
    <xf numFmtId="0" fontId="3" fillId="6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16" borderId="0" xfId="0" applyFill="1"/>
    <xf numFmtId="168" fontId="0" fillId="0" borderId="0" xfId="0" applyNumberFormat="1"/>
    <xf numFmtId="0" fontId="44" fillId="6" borderId="18" xfId="0" applyFont="1" applyFill="1" applyBorder="1" applyAlignment="1" applyProtection="1">
      <alignment horizontal="center" vertical="top"/>
      <protection hidden="1"/>
    </xf>
    <xf numFmtId="2" fontId="25" fillId="6" borderId="31" xfId="0" applyNumberFormat="1" applyFont="1" applyFill="1" applyBorder="1" applyAlignment="1" applyProtection="1">
      <alignment horizontal="left" vertical="center"/>
      <protection hidden="1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51" fillId="6" borderId="62" xfId="0" applyFont="1" applyFill="1" applyBorder="1" applyAlignment="1" applyProtection="1">
      <alignment horizontal="center" vertical="center"/>
      <protection hidden="1"/>
    </xf>
    <xf numFmtId="3" fontId="51" fillId="6" borderId="62" xfId="0" applyNumberFormat="1" applyFont="1" applyFill="1" applyBorder="1" applyAlignment="1" applyProtection="1">
      <alignment horizontal="right" vertical="center"/>
      <protection hidden="1"/>
    </xf>
    <xf numFmtId="0" fontId="52" fillId="6" borderId="62" xfId="0" applyFont="1" applyFill="1" applyBorder="1" applyAlignment="1" applyProtection="1">
      <alignment horizontal="center" vertical="center"/>
      <protection hidden="1"/>
    </xf>
    <xf numFmtId="0" fontId="53" fillId="6" borderId="0" xfId="0" applyFont="1" applyFill="1"/>
    <xf numFmtId="0" fontId="3" fillId="6" borderId="0" xfId="0" applyFont="1" applyFill="1" applyBorder="1" applyAlignment="1" applyProtection="1">
      <alignment horizontal="center" vertical="center"/>
      <protection hidden="1"/>
    </xf>
    <xf numFmtId="2" fontId="12" fillId="13" borderId="18" xfId="0" applyNumberFormat="1" applyFont="1" applyFill="1" applyBorder="1" applyAlignment="1" applyProtection="1">
      <alignment horizontal="right" vertical="center"/>
      <protection hidden="1"/>
    </xf>
    <xf numFmtId="4" fontId="12" fillId="13" borderId="18" xfId="0" applyNumberFormat="1" applyFont="1" applyFill="1" applyBorder="1" applyAlignment="1" applyProtection="1">
      <alignment horizontal="right" vertical="center"/>
      <protection hidden="1"/>
    </xf>
    <xf numFmtId="4" fontId="12" fillId="4" borderId="18" xfId="0" applyNumberFormat="1" applyFont="1" applyFill="1" applyBorder="1" applyAlignment="1" applyProtection="1">
      <alignment horizontal="right" vertical="center"/>
      <protection hidden="1"/>
    </xf>
    <xf numFmtId="2" fontId="12" fillId="4" borderId="18" xfId="0" applyNumberFormat="1" applyFont="1" applyFill="1" applyBorder="1" applyAlignment="1" applyProtection="1">
      <alignment horizontal="right" vertical="center"/>
      <protection hidden="1"/>
    </xf>
    <xf numFmtId="0" fontId="21" fillId="14" borderId="18" xfId="0" applyFont="1" applyFill="1" applyBorder="1" applyAlignment="1" applyProtection="1">
      <alignment horizontal="center" vertical="center"/>
      <protection hidden="1"/>
    </xf>
    <xf numFmtId="2" fontId="3" fillId="15" borderId="18" xfId="0" applyNumberFormat="1" applyFont="1" applyFill="1" applyBorder="1" applyAlignment="1" applyProtection="1">
      <alignment horizontal="right" vertical="center"/>
      <protection hidden="1"/>
    </xf>
    <xf numFmtId="0" fontId="4" fillId="17" borderId="10" xfId="0" applyFont="1" applyFill="1" applyBorder="1" applyProtection="1">
      <protection hidden="1"/>
    </xf>
    <xf numFmtId="0" fontId="4" fillId="17" borderId="11" xfId="0" applyFont="1" applyFill="1" applyBorder="1" applyProtection="1">
      <protection hidden="1"/>
    </xf>
    <xf numFmtId="0" fontId="54" fillId="17" borderId="13" xfId="0" applyFont="1" applyFill="1" applyBorder="1" applyAlignment="1" applyProtection="1">
      <alignment horizontal="left" vertical="center"/>
      <protection hidden="1"/>
    </xf>
    <xf numFmtId="0" fontId="8" fillId="17" borderId="0" xfId="0" applyFont="1" applyFill="1" applyBorder="1" applyAlignment="1" applyProtection="1">
      <alignment horizontal="center"/>
      <protection hidden="1"/>
    </xf>
    <xf numFmtId="0" fontId="10" fillId="17" borderId="0" xfId="0" applyFont="1" applyFill="1" applyBorder="1" applyAlignment="1" applyProtection="1">
      <alignment horizontal="right"/>
      <protection hidden="1"/>
    </xf>
    <xf numFmtId="0" fontId="54" fillId="17" borderId="17" xfId="0" applyFont="1" applyFill="1" applyBorder="1" applyAlignment="1" applyProtection="1">
      <alignment horizontal="left"/>
      <protection hidden="1"/>
    </xf>
    <xf numFmtId="164" fontId="6" fillId="17" borderId="65" xfId="0" applyNumberFormat="1" applyFont="1" applyFill="1" applyBorder="1" applyAlignment="1" applyProtection="1">
      <alignment horizontal="left" vertical="center"/>
      <protection hidden="1"/>
    </xf>
    <xf numFmtId="0" fontId="4" fillId="7" borderId="39" xfId="0" applyFont="1" applyFill="1" applyBorder="1" applyProtection="1">
      <protection hidden="1"/>
    </xf>
    <xf numFmtId="0" fontId="0" fillId="14" borderId="0" xfId="0" applyFill="1"/>
    <xf numFmtId="0" fontId="0" fillId="2" borderId="0" xfId="0" applyFill="1"/>
    <xf numFmtId="0" fontId="0" fillId="14" borderId="0" xfId="0" applyFill="1" applyAlignment="1">
      <alignment horizontal="center" vertical="center" wrapText="1"/>
    </xf>
    <xf numFmtId="0" fontId="57" fillId="0" borderId="0" xfId="0" applyNumberFormat="1" applyFont="1" applyFill="1" applyAlignment="1"/>
    <xf numFmtId="0" fontId="30" fillId="14" borderId="0" xfId="0" applyFont="1" applyFill="1" applyAlignment="1">
      <alignment horizontal="center" vertical="center" wrapText="1"/>
    </xf>
    <xf numFmtId="0" fontId="30" fillId="14" borderId="0" xfId="0" applyFont="1" applyFill="1"/>
    <xf numFmtId="2" fontId="30" fillId="14" borderId="0" xfId="0" applyNumberFormat="1" applyFont="1" applyFill="1"/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0" fillId="19" borderId="5" xfId="0" applyFill="1" applyBorder="1"/>
    <xf numFmtId="0" fontId="0" fillId="19" borderId="5" xfId="0" applyFill="1" applyBorder="1" applyAlignment="1">
      <alignment vertical="top"/>
    </xf>
    <xf numFmtId="0" fontId="0" fillId="19" borderId="6" xfId="0" applyFill="1" applyBorder="1" applyAlignment="1">
      <alignment vertical="top"/>
    </xf>
    <xf numFmtId="0" fontId="0" fillId="18" borderId="5" xfId="0" applyFill="1" applyBorder="1"/>
    <xf numFmtId="0" fontId="0" fillId="18" borderId="5" xfId="0" applyFill="1" applyBorder="1" applyAlignment="1">
      <alignment vertical="top"/>
    </xf>
    <xf numFmtId="0" fontId="1" fillId="18" borderId="5" xfId="0" applyFont="1" applyFill="1" applyBorder="1"/>
    <xf numFmtId="0" fontId="1" fillId="18" borderId="5" xfId="0" applyFont="1" applyFill="1" applyBorder="1" applyAlignment="1">
      <alignment vertical="top"/>
    </xf>
    <xf numFmtId="0" fontId="1" fillId="18" borderId="5" xfId="0" applyFont="1" applyFill="1" applyBorder="1" applyAlignment="1">
      <alignment vertical="top" wrapText="1"/>
    </xf>
    <xf numFmtId="9" fontId="12" fillId="8" borderId="19" xfId="9" applyFont="1" applyFill="1" applyBorder="1" applyAlignment="1" applyProtection="1">
      <alignment horizontal="center" vertical="center"/>
      <protection hidden="1"/>
    </xf>
    <xf numFmtId="0" fontId="12" fillId="8" borderId="19" xfId="9" applyNumberFormat="1" applyFont="1" applyFill="1" applyBorder="1" applyAlignment="1" applyProtection="1">
      <alignment horizontal="center" vertical="center"/>
      <protection hidden="1"/>
    </xf>
    <xf numFmtId="9" fontId="12" fillId="8" borderId="21" xfId="9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wrapText="1"/>
    </xf>
    <xf numFmtId="14" fontId="0" fillId="16" borderId="0" xfId="0" applyNumberFormat="1" applyFill="1"/>
    <xf numFmtId="16" fontId="0" fillId="0" borderId="0" xfId="0" applyNumberFormat="1"/>
    <xf numFmtId="0" fontId="60" fillId="0" borderId="0" xfId="0" applyFont="1"/>
    <xf numFmtId="0" fontId="61" fillId="0" borderId="0" xfId="0" applyFont="1" applyAlignment="1">
      <alignment wrapText="1"/>
    </xf>
    <xf numFmtId="0" fontId="0" fillId="5" borderId="0" xfId="0" applyFill="1"/>
    <xf numFmtId="0" fontId="0" fillId="20" borderId="0" xfId="0" applyFill="1"/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10" fillId="8" borderId="68" xfId="0" applyFont="1" applyFill="1" applyBorder="1" applyAlignment="1" applyProtection="1">
      <alignment horizontal="center" vertical="center"/>
      <protection hidden="1"/>
    </xf>
    <xf numFmtId="10" fontId="12" fillId="8" borderId="18" xfId="9" applyNumberFormat="1" applyFont="1" applyFill="1" applyBorder="1" applyAlignment="1" applyProtection="1">
      <alignment horizontal="center" vertical="center"/>
      <protection hidden="1"/>
    </xf>
    <xf numFmtId="168" fontId="12" fillId="5" borderId="75" xfId="0" applyNumberFormat="1" applyFont="1" applyFill="1" applyBorder="1" applyAlignment="1" applyProtection="1">
      <alignment horizontal="center" vertical="center"/>
      <protection locked="0"/>
    </xf>
    <xf numFmtId="2" fontId="12" fillId="5" borderId="9" xfId="0" applyNumberFormat="1" applyFont="1" applyFill="1" applyBorder="1" applyAlignment="1" applyProtection="1">
      <alignment horizontal="center" vertical="center"/>
      <protection locked="0"/>
    </xf>
    <xf numFmtId="10" fontId="12" fillId="8" borderId="32" xfId="9" applyNumberFormat="1" applyFont="1" applyFill="1" applyBorder="1" applyAlignment="1" applyProtection="1">
      <alignment horizontal="center" vertical="center"/>
      <protection hidden="1"/>
    </xf>
    <xf numFmtId="0" fontId="10" fillId="6" borderId="18" xfId="0" applyFont="1" applyFill="1" applyBorder="1" applyAlignment="1" applyProtection="1">
      <alignment vertical="center"/>
      <protection hidden="1"/>
    </xf>
    <xf numFmtId="0" fontId="0" fillId="6" borderId="78" xfId="0" applyFill="1" applyBorder="1" applyProtection="1">
      <protection hidden="1"/>
    </xf>
    <xf numFmtId="0" fontId="10" fillId="6" borderId="23" xfId="0" applyFont="1" applyFill="1" applyBorder="1" applyAlignment="1" applyProtection="1">
      <alignment vertical="center"/>
      <protection hidden="1"/>
    </xf>
    <xf numFmtId="0" fontId="4" fillId="7" borderId="31" xfId="0" applyFont="1" applyFill="1" applyBorder="1" applyProtection="1">
      <protection hidden="1"/>
    </xf>
    <xf numFmtId="0" fontId="4" fillId="7" borderId="81" xfId="0" applyFont="1" applyFill="1" applyBorder="1" applyProtection="1">
      <protection hidden="1"/>
    </xf>
    <xf numFmtId="0" fontId="0" fillId="7" borderId="31" xfId="0" applyFill="1" applyBorder="1" applyProtection="1">
      <protection hidden="1"/>
    </xf>
    <xf numFmtId="0" fontId="4" fillId="7" borderId="12" xfId="0" applyFont="1" applyFill="1" applyBorder="1" applyProtection="1">
      <protection hidden="1"/>
    </xf>
    <xf numFmtId="0" fontId="4" fillId="7" borderId="82" xfId="0" applyFont="1" applyFill="1" applyBorder="1" applyProtection="1">
      <protection hidden="1"/>
    </xf>
    <xf numFmtId="0" fontId="12" fillId="9" borderId="31" xfId="0" applyFont="1" applyFill="1" applyBorder="1" applyAlignment="1" applyProtection="1">
      <alignment horizontal="center" vertical="center"/>
      <protection hidden="1"/>
    </xf>
    <xf numFmtId="0" fontId="12" fillId="9" borderId="86" xfId="0" applyFont="1" applyFill="1" applyBorder="1" applyAlignment="1" applyProtection="1">
      <alignment horizontal="center" vertical="center"/>
      <protection hidden="1"/>
    </xf>
    <xf numFmtId="4" fontId="12" fillId="9" borderId="87" xfId="0" applyNumberFormat="1" applyFont="1" applyFill="1" applyBorder="1" applyAlignment="1" applyProtection="1">
      <alignment horizontal="center" vertical="center"/>
      <protection hidden="1"/>
    </xf>
    <xf numFmtId="0" fontId="4" fillId="7" borderId="71" xfId="0" applyFont="1" applyFill="1" applyBorder="1" applyProtection="1">
      <protection hidden="1"/>
    </xf>
    <xf numFmtId="4" fontId="12" fillId="9" borderId="18" xfId="0" applyNumberFormat="1" applyFont="1" applyFill="1" applyBorder="1" applyAlignment="1" applyProtection="1">
      <alignment horizontal="center" vertical="center"/>
      <protection hidden="1"/>
    </xf>
    <xf numFmtId="0" fontId="12" fillId="9" borderId="32" xfId="0" applyFont="1" applyFill="1" applyBorder="1" applyAlignment="1" applyProtection="1">
      <alignment horizontal="center" vertical="center"/>
      <protection hidden="1"/>
    </xf>
    <xf numFmtId="4" fontId="12" fillId="9" borderId="31" xfId="0" applyNumberFormat="1" applyFont="1" applyFill="1" applyBorder="1" applyAlignment="1" applyProtection="1">
      <alignment horizontal="right"/>
      <protection hidden="1"/>
    </xf>
    <xf numFmtId="4" fontId="12" fillId="9" borderId="32" xfId="0" applyNumberFormat="1" applyFont="1" applyFill="1" applyBorder="1" applyAlignment="1" applyProtection="1">
      <alignment horizontal="right"/>
      <protection hidden="1"/>
    </xf>
    <xf numFmtId="0" fontId="14" fillId="6" borderId="30" xfId="0" applyFont="1" applyFill="1" applyBorder="1" applyAlignment="1" applyProtection="1">
      <alignment horizontal="center" vertical="center"/>
      <protection hidden="1"/>
    </xf>
    <xf numFmtId="0" fontId="14" fillId="6" borderId="18" xfId="0" applyFont="1" applyFill="1" applyBorder="1" applyAlignment="1" applyProtection="1">
      <alignment horizontal="center" vertical="center"/>
      <protection hidden="1"/>
    </xf>
    <xf numFmtId="0" fontId="14" fillId="6" borderId="94" xfId="0" applyFont="1" applyFill="1" applyBorder="1" applyAlignment="1" applyProtection="1">
      <alignment horizontal="center" vertical="center"/>
      <protection hidden="1"/>
    </xf>
    <xf numFmtId="0" fontId="14" fillId="6" borderId="95" xfId="0" applyFont="1" applyFill="1" applyBorder="1" applyAlignment="1" applyProtection="1">
      <alignment horizontal="center" vertical="center"/>
      <protection hidden="1"/>
    </xf>
    <xf numFmtId="0" fontId="14" fillId="6" borderId="96" xfId="0" applyFont="1" applyFill="1" applyBorder="1" applyAlignment="1" applyProtection="1">
      <alignment horizontal="center" vertical="center"/>
      <protection hidden="1"/>
    </xf>
    <xf numFmtId="9" fontId="12" fillId="8" borderId="97" xfId="9" applyFont="1" applyFill="1" applyBorder="1" applyAlignment="1" applyProtection="1">
      <alignment horizontal="center" vertical="center"/>
      <protection hidden="1"/>
    </xf>
    <xf numFmtId="0" fontId="14" fillId="6" borderId="98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14" fontId="7" fillId="0" borderId="0" xfId="0" applyNumberFormat="1" applyFont="1" applyFill="1" applyBorder="1" applyAlignment="1">
      <alignment horizontal="center" vertical="center"/>
    </xf>
    <xf numFmtId="2" fontId="32" fillId="0" borderId="0" xfId="0" applyNumberFormat="1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46" fillId="5" borderId="102" xfId="0" applyNumberFormat="1" applyFont="1" applyFill="1" applyBorder="1"/>
    <xf numFmtId="0" fontId="46" fillId="5" borderId="103" xfId="0" applyNumberFormat="1" applyFont="1" applyFill="1" applyBorder="1"/>
    <xf numFmtId="0" fontId="46" fillId="5" borderId="103" xfId="0" applyFont="1" applyFill="1" applyBorder="1"/>
    <xf numFmtId="0" fontId="46" fillId="5" borderId="103" xfId="0" applyNumberFormat="1" applyFont="1" applyFill="1" applyBorder="1" applyAlignment="1">
      <alignment horizontal="center" vertical="center"/>
    </xf>
    <xf numFmtId="2" fontId="46" fillId="5" borderId="103" xfId="0" applyNumberFormat="1" applyFont="1" applyFill="1" applyBorder="1" applyAlignment="1">
      <alignment horizontal="center" vertical="center"/>
    </xf>
    <xf numFmtId="3" fontId="46" fillId="5" borderId="103" xfId="0" applyNumberFormat="1" applyFont="1" applyFill="1" applyBorder="1"/>
    <xf numFmtId="2" fontId="46" fillId="5" borderId="103" xfId="0" applyNumberFormat="1" applyFont="1" applyFill="1" applyBorder="1"/>
    <xf numFmtId="0" fontId="46" fillId="5" borderId="104" xfId="0" applyFont="1" applyFill="1" applyBorder="1"/>
    <xf numFmtId="0" fontId="12" fillId="21" borderId="99" xfId="0" applyFont="1" applyFill="1" applyBorder="1"/>
    <xf numFmtId="0" fontId="12" fillId="21" borderId="100" xfId="0" applyFont="1" applyFill="1" applyBorder="1"/>
    <xf numFmtId="0" fontId="12" fillId="21" borderId="100" xfId="0" applyFont="1" applyFill="1" applyBorder="1" applyAlignment="1">
      <alignment horizontal="center"/>
    </xf>
    <xf numFmtId="9" fontId="12" fillId="22" borderId="66" xfId="9" applyFont="1" applyFill="1" applyBorder="1" applyAlignment="1">
      <alignment horizontal="center" vertical="center"/>
    </xf>
    <xf numFmtId="2" fontId="12" fillId="22" borderId="5" xfId="0" applyNumberFormat="1" applyFont="1" applyFill="1" applyBorder="1" applyAlignment="1">
      <alignment horizontal="center" vertical="center"/>
    </xf>
    <xf numFmtId="0" fontId="12" fillId="22" borderId="5" xfId="0" applyFont="1" applyFill="1" applyBorder="1" applyAlignment="1">
      <alignment horizontal="center" vertical="center"/>
    </xf>
    <xf numFmtId="0" fontId="62" fillId="23" borderId="5" xfId="0" applyFont="1" applyFill="1" applyBorder="1"/>
    <xf numFmtId="10" fontId="62" fillId="23" borderId="67" xfId="9" applyNumberFormat="1" applyFont="1" applyFill="1" applyBorder="1"/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07" xfId="0" applyFont="1" applyFill="1" applyBorder="1" applyAlignment="1" applyProtection="1">
      <alignment horizontal="center" vertical="center"/>
      <protection hidden="1"/>
    </xf>
    <xf numFmtId="0" fontId="3" fillId="6" borderId="108" xfId="0" applyFont="1" applyFill="1" applyBorder="1" applyAlignment="1" applyProtection="1">
      <alignment horizontal="center" vertical="center"/>
      <protection hidden="1"/>
    </xf>
    <xf numFmtId="0" fontId="3" fillId="6" borderId="109" xfId="0" applyFont="1" applyFill="1" applyBorder="1" applyAlignment="1" applyProtection="1">
      <alignment horizontal="center" vertical="center"/>
      <protection hidden="1"/>
    </xf>
    <xf numFmtId="0" fontId="3" fillId="6" borderId="110" xfId="0" applyFont="1" applyFill="1" applyBorder="1" applyAlignment="1" applyProtection="1">
      <alignment horizontal="center" vertical="center"/>
      <protection hidden="1"/>
    </xf>
    <xf numFmtId="0" fontId="3" fillId="6" borderId="111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63" fillId="14" borderId="0" xfId="0" applyFont="1" applyFill="1"/>
    <xf numFmtId="0" fontId="64" fillId="0" borderId="0" xfId="0" applyFont="1"/>
    <xf numFmtId="0" fontId="1" fillId="18" borderId="8" xfId="0" applyFont="1" applyFill="1" applyBorder="1"/>
    <xf numFmtId="0" fontId="0" fillId="19" borderId="8" xfId="0" applyFill="1" applyBorder="1"/>
    <xf numFmtId="0" fontId="0" fillId="0" borderId="5" xfId="0" applyBorder="1" applyAlignment="1">
      <alignment horizontal="left"/>
    </xf>
    <xf numFmtId="0" fontId="0" fillId="0" borderId="0" xfId="0" applyBorder="1" applyAlignment="1" applyProtection="1">
      <alignment horizontal="center" vertical="center"/>
      <protection hidden="1"/>
    </xf>
    <xf numFmtId="0" fontId="15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Border="1" applyAlignment="1" applyProtection="1">
      <alignment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2" fontId="3" fillId="6" borderId="22" xfId="0" applyNumberFormat="1" applyFont="1" applyFill="1" applyBorder="1" applyAlignment="1" applyProtection="1">
      <alignment horizontal="center" vertical="center"/>
      <protection hidden="1"/>
    </xf>
    <xf numFmtId="10" fontId="12" fillId="8" borderId="42" xfId="0" applyNumberFormat="1" applyFont="1" applyFill="1" applyBorder="1" applyAlignment="1" applyProtection="1">
      <alignment horizontal="center" vertical="center"/>
      <protection hidden="1"/>
    </xf>
    <xf numFmtId="10" fontId="12" fillId="8" borderId="21" xfId="0" applyNumberFormat="1" applyFont="1" applyFill="1" applyBorder="1" applyAlignment="1" applyProtection="1">
      <alignment horizontal="center" vertical="center"/>
      <protection hidden="1"/>
    </xf>
    <xf numFmtId="2" fontId="15" fillId="6" borderId="19" xfId="0" applyNumberFormat="1" applyFont="1" applyFill="1" applyBorder="1" applyAlignment="1" applyProtection="1">
      <alignment horizontal="center" vertical="center"/>
      <protection hidden="1"/>
    </xf>
    <xf numFmtId="171" fontId="46" fillId="5" borderId="103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2" fontId="1" fillId="0" borderId="0" xfId="0" applyNumberFormat="1" applyFont="1" applyFill="1" applyBorder="1" applyAlignment="1">
      <alignment horizontal="center" vertical="center"/>
    </xf>
    <xf numFmtId="2" fontId="10" fillId="24" borderId="103" xfId="0" applyNumberFormat="1" applyFont="1" applyFill="1" applyBorder="1"/>
    <xf numFmtId="2" fontId="10" fillId="6" borderId="18" xfId="0" applyNumberFormat="1" applyFont="1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2" fontId="4" fillId="6" borderId="0" xfId="0" applyNumberFormat="1" applyFont="1" applyFill="1" applyBorder="1" applyAlignment="1" applyProtection="1">
      <alignment vertical="center"/>
      <protection hidden="1"/>
    </xf>
    <xf numFmtId="0" fontId="3" fillId="7" borderId="14" xfId="0" applyNumberFormat="1" applyFont="1" applyFill="1" applyBorder="1" applyAlignment="1" applyProtection="1">
      <alignment vertical="center"/>
      <protection hidden="1"/>
    </xf>
    <xf numFmtId="0" fontId="3" fillId="7" borderId="39" xfId="0" applyNumberFormat="1" applyFont="1" applyFill="1" applyBorder="1" applyAlignment="1" applyProtection="1">
      <alignment vertical="center"/>
      <protection hidden="1"/>
    </xf>
    <xf numFmtId="164" fontId="3" fillId="7" borderId="29" xfId="0" applyNumberFormat="1" applyFont="1" applyFill="1" applyBorder="1" applyAlignment="1" applyProtection="1">
      <alignment vertical="center"/>
      <protection hidden="1"/>
    </xf>
    <xf numFmtId="164" fontId="3" fillId="7" borderId="33" xfId="0" applyNumberFormat="1" applyFont="1" applyFill="1" applyBorder="1" applyAlignment="1" applyProtection="1">
      <alignment vertical="center"/>
      <protection hidden="1"/>
    </xf>
    <xf numFmtId="0" fontId="12" fillId="7" borderId="14" xfId="0" applyFont="1" applyFill="1" applyBorder="1" applyAlignment="1" applyProtection="1">
      <alignment vertical="center"/>
      <protection hidden="1"/>
    </xf>
    <xf numFmtId="0" fontId="12" fillId="7" borderId="39" xfId="0" applyFont="1" applyFill="1" applyBorder="1" applyAlignment="1" applyProtection="1">
      <alignment vertical="center"/>
      <protection hidden="1"/>
    </xf>
    <xf numFmtId="0" fontId="3" fillId="6" borderId="14" xfId="0" applyFont="1" applyFill="1" applyBorder="1" applyAlignment="1" applyProtection="1">
      <alignment vertical="center"/>
      <protection hidden="1"/>
    </xf>
    <xf numFmtId="0" fontId="12" fillId="7" borderId="14" xfId="0" applyFont="1" applyFill="1" applyBorder="1" applyAlignment="1" applyProtection="1">
      <alignment horizontal="left" vertical="center"/>
      <protection hidden="1"/>
    </xf>
    <xf numFmtId="0" fontId="12" fillId="7" borderId="39" xfId="0" applyFont="1" applyFill="1" applyBorder="1" applyAlignment="1" applyProtection="1">
      <alignment horizontal="left" vertical="center"/>
      <protection hidden="1"/>
    </xf>
    <xf numFmtId="0" fontId="3" fillId="6" borderId="31" xfId="0" applyFont="1" applyFill="1" applyBorder="1" applyAlignment="1" applyProtection="1">
      <alignment vertical="center"/>
      <protection hidden="1"/>
    </xf>
    <xf numFmtId="2" fontId="12" fillId="8" borderId="18" xfId="0" applyNumberFormat="1" applyFont="1" applyFill="1" applyBorder="1" applyAlignment="1" applyProtection="1">
      <alignment horizontal="center" vertical="center"/>
      <protection hidden="1"/>
    </xf>
    <xf numFmtId="1" fontId="12" fillId="8" borderId="18" xfId="0" applyNumberFormat="1" applyFont="1" applyFill="1" applyBorder="1" applyAlignment="1" applyProtection="1">
      <alignment horizontal="center" vertical="center"/>
      <protection hidden="1"/>
    </xf>
    <xf numFmtId="169" fontId="10" fillId="8" borderId="77" xfId="0" applyNumberFormat="1" applyFont="1" applyFill="1" applyBorder="1" applyAlignment="1" applyProtection="1">
      <alignment vertical="center"/>
      <protection hidden="1"/>
    </xf>
    <xf numFmtId="169" fontId="10" fillId="8" borderId="77" xfId="0" applyNumberFormat="1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15" fontId="0" fillId="25" borderId="5" xfId="0" applyNumberFormat="1" applyFill="1" applyBorder="1" applyAlignment="1">
      <alignment wrapText="1"/>
    </xf>
    <xf numFmtId="0" fontId="0" fillId="25" borderId="5" xfId="0" applyFill="1" applyBorder="1" applyAlignment="1">
      <alignment wrapText="1"/>
    </xf>
    <xf numFmtId="15" fontId="0" fillId="5" borderId="5" xfId="0" applyNumberFormat="1" applyFill="1" applyBorder="1" applyAlignment="1">
      <alignment wrapText="1"/>
    </xf>
    <xf numFmtId="0" fontId="1" fillId="16" borderId="5" xfId="0" applyFont="1" applyFill="1" applyBorder="1"/>
    <xf numFmtId="0" fontId="0" fillId="26" borderId="5" xfId="0" applyFill="1" applyBorder="1" applyAlignment="1">
      <alignment wrapText="1"/>
    </xf>
    <xf numFmtId="0" fontId="1" fillId="27" borderId="5" xfId="0" applyFont="1" applyFill="1" applyBorder="1"/>
    <xf numFmtId="0" fontId="12" fillId="21" borderId="9" xfId="0" applyFont="1" applyFill="1" applyBorder="1"/>
    <xf numFmtId="2" fontId="62" fillId="23" borderId="5" xfId="0" applyNumberFormat="1" applyFont="1" applyFill="1" applyBorder="1"/>
    <xf numFmtId="0" fontId="3" fillId="27" borderId="5" xfId="0" applyFont="1" applyFill="1" applyBorder="1" applyAlignment="1">
      <alignment wrapText="1"/>
    </xf>
    <xf numFmtId="2" fontId="3" fillId="27" borderId="5" xfId="0" applyNumberFormat="1" applyFont="1" applyFill="1" applyBorder="1" applyAlignment="1">
      <alignment wrapText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12" fillId="28" borderId="5" xfId="0" applyNumberFormat="1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169" fontId="66" fillId="16" borderId="8" xfId="0" applyNumberFormat="1" applyFont="1" applyFill="1" applyBorder="1" applyAlignment="1">
      <alignment horizontal="center" vertical="center"/>
    </xf>
    <xf numFmtId="169" fontId="66" fillId="16" borderId="5" xfId="0" applyNumberFormat="1" applyFont="1" applyFill="1" applyBorder="1" applyAlignment="1">
      <alignment horizontal="center" vertical="center"/>
    </xf>
    <xf numFmtId="169" fontId="66" fillId="16" borderId="5" xfId="0" applyNumberFormat="1" applyFont="1" applyFill="1" applyBorder="1"/>
    <xf numFmtId="2" fontId="66" fillId="16" borderId="5" xfId="0" applyNumberFormat="1" applyFont="1" applyFill="1" applyBorder="1" applyAlignment="1">
      <alignment horizontal="center" vertical="center"/>
    </xf>
    <xf numFmtId="0" fontId="66" fillId="16" borderId="5" xfId="0" applyFont="1" applyFill="1" applyBorder="1" applyAlignment="1">
      <alignment horizontal="center" vertical="center"/>
    </xf>
    <xf numFmtId="170" fontId="66" fillId="16" borderId="5" xfId="0" applyNumberFormat="1" applyFont="1" applyFill="1" applyBorder="1"/>
    <xf numFmtId="169" fontId="66" fillId="16" borderId="6" xfId="0" applyNumberFormat="1" applyFont="1" applyFill="1" applyBorder="1" applyAlignment="1">
      <alignment horizontal="center" vertical="center"/>
    </xf>
    <xf numFmtId="0" fontId="12" fillId="21" borderId="112" xfId="0" applyFont="1" applyFill="1" applyBorder="1"/>
    <xf numFmtId="0" fontId="12" fillId="29" borderId="100" xfId="0" applyFont="1" applyFill="1" applyBorder="1"/>
    <xf numFmtId="0" fontId="12" fillId="29" borderId="113" xfId="0" applyFont="1" applyFill="1" applyBorder="1"/>
    <xf numFmtId="0" fontId="12" fillId="29" borderId="101" xfId="0" applyFont="1" applyFill="1" applyBorder="1"/>
    <xf numFmtId="0" fontId="12" fillId="29" borderId="0" xfId="0" applyFont="1" applyFill="1" applyBorder="1"/>
    <xf numFmtId="0" fontId="12" fillId="30" borderId="5" xfId="0" applyFont="1" applyFill="1" applyBorder="1" applyAlignment="1">
      <alignment horizontal="center" vertical="center"/>
    </xf>
    <xf numFmtId="2" fontId="12" fillId="30" borderId="5" xfId="0" applyNumberFormat="1" applyFont="1" applyFill="1" applyBorder="1" applyAlignment="1">
      <alignment horizontal="center" vertical="center"/>
    </xf>
    <xf numFmtId="169" fontId="12" fillId="30" borderId="5" xfId="0" applyNumberFormat="1" applyFont="1" applyFill="1" applyBorder="1" applyAlignment="1">
      <alignment horizontal="center" vertical="center"/>
    </xf>
    <xf numFmtId="169" fontId="12" fillId="30" borderId="5" xfId="0" applyNumberFormat="1" applyFont="1" applyFill="1" applyBorder="1"/>
    <xf numFmtId="170" fontId="12" fillId="30" borderId="5" xfId="0" applyNumberFormat="1" applyFont="1" applyFill="1" applyBorder="1"/>
    <xf numFmtId="169" fontId="12" fillId="30" borderId="6" xfId="0" applyNumberFormat="1" applyFont="1" applyFill="1" applyBorder="1" applyAlignment="1">
      <alignment horizontal="center" vertical="center"/>
    </xf>
    <xf numFmtId="0" fontId="12" fillId="22" borderId="99" xfId="0" applyFont="1" applyFill="1" applyBorder="1"/>
    <xf numFmtId="0" fontId="12" fillId="22" borderId="9" xfId="0" applyFont="1" applyFill="1" applyBorder="1"/>
    <xf numFmtId="0" fontId="12" fillId="22" borderId="100" xfId="0" applyFont="1" applyFill="1" applyBorder="1"/>
    <xf numFmtId="0" fontId="12" fillId="22" borderId="112" xfId="0" applyFont="1" applyFill="1" applyBorder="1"/>
    <xf numFmtId="0" fontId="12" fillId="22" borderId="100" xfId="0" applyFont="1" applyFill="1" applyBorder="1" applyAlignment="1">
      <alignment horizontal="center"/>
    </xf>
    <xf numFmtId="0" fontId="12" fillId="31" borderId="100" xfId="0" applyFont="1" applyFill="1" applyBorder="1"/>
    <xf numFmtId="0" fontId="12" fillId="31" borderId="113" xfId="0" applyFont="1" applyFill="1" applyBorder="1"/>
    <xf numFmtId="0" fontId="12" fillId="31" borderId="101" xfId="0" applyFont="1" applyFill="1" applyBorder="1"/>
    <xf numFmtId="169" fontId="67" fillId="32" borderId="8" xfId="0" applyNumberFormat="1" applyFont="1" applyFill="1" applyBorder="1" applyAlignment="1">
      <alignment horizontal="center" vertical="center"/>
    </xf>
    <xf numFmtId="169" fontId="67" fillId="32" borderId="5" xfId="0" applyNumberFormat="1" applyFont="1" applyFill="1" applyBorder="1" applyAlignment="1">
      <alignment horizontal="center" vertical="center"/>
    </xf>
    <xf numFmtId="169" fontId="67" fillId="32" borderId="5" xfId="0" applyNumberFormat="1" applyFont="1" applyFill="1" applyBorder="1"/>
    <xf numFmtId="2" fontId="67" fillId="32" borderId="5" xfId="0" applyNumberFormat="1" applyFont="1" applyFill="1" applyBorder="1" applyAlignment="1">
      <alignment horizontal="center" vertical="center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12" fillId="6" borderId="43" xfId="0" applyFont="1" applyFill="1" applyBorder="1" applyAlignment="1" applyProtection="1">
      <alignment horizontal="center" vertical="center"/>
      <protection hidden="1"/>
    </xf>
    <xf numFmtId="0" fontId="12" fillId="6" borderId="114" xfId="0" applyFont="1" applyFill="1" applyBorder="1" applyAlignment="1" applyProtection="1">
      <alignment horizontal="center" vertical="center"/>
      <protection hidden="1"/>
    </xf>
    <xf numFmtId="0" fontId="12" fillId="6" borderId="105" xfId="0" applyFont="1" applyFill="1" applyBorder="1" applyAlignment="1" applyProtection="1">
      <alignment horizontal="center" vertical="center"/>
      <protection hidden="1"/>
    </xf>
    <xf numFmtId="0" fontId="12" fillId="6" borderId="106" xfId="0" applyFont="1" applyFill="1" applyBorder="1" applyAlignment="1" applyProtection="1">
      <alignment horizontal="center" vertical="center"/>
      <protection hidden="1"/>
    </xf>
    <xf numFmtId="0" fontId="12" fillId="6" borderId="70" xfId="0" applyFont="1" applyFill="1" applyBorder="1" applyAlignment="1" applyProtection="1">
      <alignment horizontal="center" vertical="center"/>
      <protection hidden="1"/>
    </xf>
    <xf numFmtId="0" fontId="12" fillId="6" borderId="31" xfId="0" applyFont="1" applyFill="1" applyBorder="1" applyAlignment="1" applyProtection="1">
      <alignment horizontal="center" vertical="center"/>
      <protection hidden="1"/>
    </xf>
    <xf numFmtId="0" fontId="10" fillId="8" borderId="13" xfId="0" applyFont="1" applyFill="1" applyBorder="1" applyAlignment="1" applyProtection="1">
      <alignment horizontal="center" vertical="center"/>
      <protection hidden="1"/>
    </xf>
    <xf numFmtId="0" fontId="10" fillId="8" borderId="14" xfId="0" applyFont="1" applyFill="1" applyBorder="1" applyAlignment="1" applyProtection="1">
      <alignment horizontal="center" vertical="center"/>
      <protection hidden="1"/>
    </xf>
    <xf numFmtId="0" fontId="10" fillId="8" borderId="69" xfId="0" applyFont="1" applyFill="1" applyBorder="1" applyAlignment="1" applyProtection="1">
      <alignment horizontal="center" vertical="center"/>
      <protection hidden="1"/>
    </xf>
    <xf numFmtId="0" fontId="12" fillId="6" borderId="30" xfId="0" applyFont="1" applyFill="1" applyBorder="1" applyAlignment="1" applyProtection="1">
      <alignment horizontal="center" vertical="center"/>
      <protection hidden="1"/>
    </xf>
    <xf numFmtId="0" fontId="12" fillId="6" borderId="72" xfId="0" applyFont="1" applyFill="1" applyBorder="1" applyAlignment="1" applyProtection="1">
      <alignment horizontal="center" vertical="center"/>
      <protection hidden="1"/>
    </xf>
    <xf numFmtId="0" fontId="12" fillId="6" borderId="29" xfId="0" applyFont="1" applyFill="1" applyBorder="1" applyAlignment="1" applyProtection="1">
      <alignment horizontal="center" vertical="center"/>
      <protection hidden="1"/>
    </xf>
    <xf numFmtId="0" fontId="12" fillId="6" borderId="14" xfId="0" applyFont="1" applyFill="1" applyBorder="1" applyAlignment="1" applyProtection="1">
      <alignment horizontal="center" vertical="center"/>
      <protection hidden="1"/>
    </xf>
    <xf numFmtId="0" fontId="12" fillId="6" borderId="69" xfId="0" applyFont="1" applyFill="1" applyBorder="1" applyAlignment="1" applyProtection="1">
      <alignment horizontal="center" vertical="center"/>
      <protection hidden="1"/>
    </xf>
    <xf numFmtId="2" fontId="12" fillId="5" borderId="74" xfId="0" applyNumberFormat="1" applyFont="1" applyFill="1" applyBorder="1" applyAlignment="1" applyProtection="1">
      <alignment horizontal="center" vertical="center"/>
      <protection locked="0"/>
    </xf>
    <xf numFmtId="2" fontId="12" fillId="5" borderId="76" xfId="0" applyNumberFormat="1" applyFont="1" applyFill="1" applyBorder="1" applyAlignment="1" applyProtection="1">
      <alignment horizontal="center" vertical="center"/>
      <protection locked="0"/>
    </xf>
    <xf numFmtId="2" fontId="10" fillId="5" borderId="80" xfId="0" applyNumberFormat="1" applyFont="1" applyFill="1" applyBorder="1" applyAlignment="1" applyProtection="1">
      <alignment horizontal="center" vertical="center"/>
      <protection locked="0"/>
    </xf>
    <xf numFmtId="2" fontId="10" fillId="5" borderId="79" xfId="0" applyNumberFormat="1" applyFont="1" applyFill="1" applyBorder="1" applyAlignment="1" applyProtection="1">
      <alignment horizontal="center" vertical="center"/>
      <protection locked="0"/>
    </xf>
    <xf numFmtId="2" fontId="48" fillId="9" borderId="29" xfId="0" applyNumberFormat="1" applyFont="1" applyFill="1" applyBorder="1" applyAlignment="1" applyProtection="1">
      <alignment horizontal="center" vertical="center"/>
      <protection hidden="1"/>
    </xf>
    <xf numFmtId="2" fontId="48" fillId="9" borderId="14" xfId="0" applyNumberFormat="1" applyFont="1" applyFill="1" applyBorder="1" applyAlignment="1" applyProtection="1">
      <alignment horizontal="center" vertical="center"/>
      <protection hidden="1"/>
    </xf>
    <xf numFmtId="2" fontId="48" fillId="9" borderId="33" xfId="0" applyNumberFormat="1" applyFont="1" applyFill="1" applyBorder="1" applyAlignment="1" applyProtection="1">
      <alignment horizontal="center" vertical="center"/>
      <protection hidden="1"/>
    </xf>
    <xf numFmtId="2" fontId="48" fillId="9" borderId="39" xfId="0" applyNumberFormat="1" applyFont="1" applyFill="1" applyBorder="1" applyAlignment="1" applyProtection="1">
      <alignment horizontal="center" vertical="center"/>
      <protection hidden="1"/>
    </xf>
    <xf numFmtId="0" fontId="12" fillId="6" borderId="13" xfId="0" applyFont="1" applyFill="1" applyBorder="1" applyAlignment="1" applyProtection="1">
      <alignment horizontal="center" vertical="center"/>
      <protection hidden="1"/>
    </xf>
    <xf numFmtId="0" fontId="12" fillId="6" borderId="71" xfId="0" applyFont="1" applyFill="1" applyBorder="1" applyAlignment="1" applyProtection="1">
      <alignment horizontal="center" vertical="center"/>
      <protection hidden="1"/>
    </xf>
    <xf numFmtId="4" fontId="12" fillId="9" borderId="83" xfId="0" applyNumberFormat="1" applyFont="1" applyFill="1" applyBorder="1" applyAlignment="1" applyProtection="1">
      <alignment horizontal="center" vertical="center"/>
      <protection hidden="1"/>
    </xf>
    <xf numFmtId="4" fontId="12" fillId="9" borderId="85" xfId="0" applyNumberFormat="1" applyFont="1" applyFill="1" applyBorder="1" applyAlignment="1" applyProtection="1">
      <alignment horizontal="center" vertical="center"/>
      <protection hidden="1"/>
    </xf>
    <xf numFmtId="0" fontId="12" fillId="9" borderId="83" xfId="0" applyFont="1" applyFill="1" applyBorder="1" applyAlignment="1" applyProtection="1">
      <alignment horizontal="center" vertical="center"/>
      <protection hidden="1"/>
    </xf>
    <xf numFmtId="0" fontId="12" fillId="9" borderId="85" xfId="0" applyFont="1" applyFill="1" applyBorder="1" applyAlignment="1" applyProtection="1">
      <alignment horizontal="center" vertical="center"/>
      <protection hidden="1"/>
    </xf>
    <xf numFmtId="3" fontId="12" fillId="9" borderId="89" xfId="0" applyNumberFormat="1" applyFont="1" applyFill="1" applyBorder="1" applyAlignment="1" applyProtection="1">
      <alignment horizontal="center" vertical="center"/>
      <protection hidden="1"/>
    </xf>
    <xf numFmtId="3" fontId="12" fillId="9" borderId="88" xfId="0" applyNumberFormat="1" applyFont="1" applyFill="1" applyBorder="1" applyAlignment="1" applyProtection="1">
      <alignment horizontal="center" vertical="center"/>
      <protection hidden="1"/>
    </xf>
    <xf numFmtId="0" fontId="12" fillId="6" borderId="32" xfId="0" applyFont="1" applyFill="1" applyBorder="1" applyAlignment="1" applyProtection="1">
      <alignment horizontal="center" vertical="center"/>
      <protection hidden="1"/>
    </xf>
    <xf numFmtId="0" fontId="10" fillId="6" borderId="30" xfId="0" applyFont="1" applyFill="1" applyBorder="1" applyAlignment="1" applyProtection="1">
      <alignment horizontal="center" vertical="center"/>
      <protection hidden="1"/>
    </xf>
    <xf numFmtId="0" fontId="10" fillId="6" borderId="31" xfId="0" applyFont="1" applyFill="1" applyBorder="1" applyAlignment="1" applyProtection="1">
      <alignment horizontal="center" vertical="center"/>
      <protection hidden="1"/>
    </xf>
    <xf numFmtId="0" fontId="10" fillId="6" borderId="32" xfId="0" applyFont="1" applyFill="1" applyBorder="1" applyAlignment="1" applyProtection="1">
      <alignment horizontal="center" vertical="center"/>
      <protection hidden="1"/>
    </xf>
    <xf numFmtId="10" fontId="12" fillId="5" borderId="73" xfId="9" applyNumberFormat="1" applyFont="1" applyFill="1" applyBorder="1" applyAlignment="1" applyProtection="1">
      <alignment horizontal="center" vertical="center"/>
      <protection locked="0"/>
    </xf>
    <xf numFmtId="10" fontId="12" fillId="5" borderId="75" xfId="9" applyNumberFormat="1" applyFont="1" applyFill="1" applyBorder="1" applyAlignment="1" applyProtection="1">
      <alignment horizontal="center" vertical="center"/>
      <protection locked="0"/>
    </xf>
    <xf numFmtId="168" fontId="12" fillId="5" borderId="74" xfId="0" applyNumberFormat="1" applyFont="1" applyFill="1" applyBorder="1" applyAlignment="1" applyProtection="1">
      <alignment horizontal="center" vertical="center"/>
      <protection locked="0"/>
    </xf>
    <xf numFmtId="168" fontId="12" fillId="5" borderId="76" xfId="0" applyNumberFormat="1" applyFont="1" applyFill="1" applyBorder="1" applyAlignment="1" applyProtection="1">
      <alignment horizontal="center" vertical="center"/>
      <protection locked="0"/>
    </xf>
    <xf numFmtId="0" fontId="12" fillId="5" borderId="73" xfId="0" applyNumberFormat="1" applyFont="1" applyFill="1" applyBorder="1" applyAlignment="1" applyProtection="1">
      <alignment horizontal="center" vertical="center"/>
      <protection locked="0"/>
    </xf>
    <xf numFmtId="0" fontId="12" fillId="5" borderId="75" xfId="0" applyNumberFormat="1" applyFont="1" applyFill="1" applyBorder="1" applyAlignment="1" applyProtection="1">
      <alignment horizontal="center" vertical="center"/>
      <protection locked="0"/>
    </xf>
    <xf numFmtId="0" fontId="12" fillId="6" borderId="34" xfId="0" applyFont="1" applyFill="1" applyBorder="1" applyAlignment="1" applyProtection="1">
      <alignment horizontal="center" vertical="center"/>
      <protection hidden="1"/>
    </xf>
    <xf numFmtId="168" fontId="49" fillId="9" borderId="14" xfId="0" applyNumberFormat="1" applyFont="1" applyFill="1" applyBorder="1" applyAlignment="1" applyProtection="1">
      <alignment horizontal="left" vertical="center"/>
      <protection hidden="1"/>
    </xf>
    <xf numFmtId="168" fontId="49" fillId="9" borderId="25" xfId="0" applyNumberFormat="1" applyFont="1" applyFill="1" applyBorder="1" applyAlignment="1" applyProtection="1">
      <alignment horizontal="left" vertical="center"/>
      <protection hidden="1"/>
    </xf>
    <xf numFmtId="168" fontId="49" fillId="9" borderId="0" xfId="0" applyNumberFormat="1" applyFont="1" applyFill="1" applyBorder="1" applyAlignment="1" applyProtection="1">
      <alignment horizontal="left" vertical="center"/>
      <protection hidden="1"/>
    </xf>
    <xf numFmtId="168" fontId="49" fillId="9" borderId="20" xfId="0" applyNumberFormat="1" applyFont="1" applyFill="1" applyBorder="1" applyAlignment="1" applyProtection="1">
      <alignment horizontal="left" vertical="center"/>
      <protection hidden="1"/>
    </xf>
    <xf numFmtId="0" fontId="12" fillId="6" borderId="30" xfId="0" applyNumberFormat="1" applyFont="1" applyFill="1" applyBorder="1" applyAlignment="1" applyProtection="1">
      <alignment horizontal="center" vertical="top"/>
      <protection hidden="1"/>
    </xf>
    <xf numFmtId="0" fontId="12" fillId="6" borderId="34" xfId="0" applyNumberFormat="1" applyFont="1" applyFill="1" applyBorder="1" applyAlignment="1" applyProtection="1">
      <alignment horizontal="center" vertical="top"/>
      <protection hidden="1"/>
    </xf>
    <xf numFmtId="0" fontId="12" fillId="6" borderId="30" xfId="0" applyFont="1" applyFill="1" applyBorder="1" applyAlignment="1" applyProtection="1">
      <alignment horizontal="center" vertical="top"/>
      <protection hidden="1"/>
    </xf>
    <xf numFmtId="0" fontId="12" fillId="6" borderId="32" xfId="0" applyFont="1" applyFill="1" applyBorder="1" applyAlignment="1" applyProtection="1">
      <alignment horizontal="center" vertical="top"/>
      <protection hidden="1"/>
    </xf>
    <xf numFmtId="3" fontId="12" fillId="8" borderId="18" xfId="0" applyNumberFormat="1" applyFont="1" applyFill="1" applyBorder="1" applyAlignment="1" applyProtection="1">
      <alignment horizontal="center" vertical="center"/>
      <protection hidden="1"/>
    </xf>
    <xf numFmtId="3" fontId="12" fillId="8" borderId="38" xfId="0" applyNumberFormat="1" applyFont="1" applyFill="1" applyBorder="1" applyAlignment="1" applyProtection="1">
      <alignment horizontal="center" vertical="center"/>
      <protection hidden="1"/>
    </xf>
    <xf numFmtId="0" fontId="12" fillId="9" borderId="84" xfId="0" applyFont="1" applyFill="1" applyBorder="1" applyAlignment="1" applyProtection="1">
      <alignment horizontal="center" vertical="center"/>
      <protection hidden="1"/>
    </xf>
    <xf numFmtId="2" fontId="54" fillId="17" borderId="61" xfId="0" applyNumberFormat="1" applyFont="1" applyFill="1" applyBorder="1" applyAlignment="1" applyProtection="1">
      <alignment horizontal="center"/>
      <protection hidden="1"/>
    </xf>
    <xf numFmtId="0" fontId="14" fillId="6" borderId="30" xfId="0" applyFont="1" applyFill="1" applyBorder="1" applyAlignment="1" applyProtection="1">
      <alignment horizontal="center" vertical="center"/>
      <protection hidden="1"/>
    </xf>
    <xf numFmtId="0" fontId="14" fillId="6" borderId="34" xfId="0" applyFont="1" applyFill="1" applyBorder="1" applyAlignment="1" applyProtection="1">
      <alignment horizontal="center" vertical="center"/>
      <protection hidden="1"/>
    </xf>
    <xf numFmtId="3" fontId="8" fillId="17" borderId="11" xfId="0" applyNumberFormat="1" applyFont="1" applyFill="1" applyBorder="1" applyAlignment="1" applyProtection="1">
      <alignment horizontal="center" vertical="center"/>
      <protection hidden="1"/>
    </xf>
    <xf numFmtId="0" fontId="8" fillId="17" borderId="11" xfId="0" applyFont="1" applyFill="1" applyBorder="1" applyAlignment="1" applyProtection="1">
      <alignment horizontal="center" vertical="center"/>
      <protection hidden="1"/>
    </xf>
    <xf numFmtId="0" fontId="8" fillId="17" borderId="0" xfId="0" applyFont="1" applyFill="1" applyBorder="1" applyAlignment="1" applyProtection="1">
      <alignment horizontal="center" vertical="center"/>
      <protection hidden="1"/>
    </xf>
    <xf numFmtId="0" fontId="11" fillId="6" borderId="10" xfId="0" applyFont="1" applyFill="1" applyBorder="1" applyAlignment="1" applyProtection="1">
      <alignment horizontal="center" vertical="center"/>
      <protection hidden="1"/>
    </xf>
    <xf numFmtId="0" fontId="11" fillId="6" borderId="11" xfId="0" applyFont="1" applyFill="1" applyBorder="1" applyAlignment="1" applyProtection="1">
      <alignment horizontal="center" vertical="center"/>
      <protection hidden="1"/>
    </xf>
    <xf numFmtId="0" fontId="40" fillId="6" borderId="12" xfId="0" applyFont="1" applyFill="1" applyBorder="1" applyAlignment="1" applyProtection="1">
      <alignment horizontal="center" vertical="center"/>
      <protection hidden="1"/>
    </xf>
    <xf numFmtId="0" fontId="14" fillId="6" borderId="70" xfId="0" applyFont="1" applyFill="1" applyBorder="1" applyAlignment="1" applyProtection="1">
      <alignment horizontal="center" vertical="center"/>
      <protection hidden="1"/>
    </xf>
    <xf numFmtId="0" fontId="14" fillId="6" borderId="32" xfId="0" applyFont="1" applyFill="1" applyBorder="1" applyAlignment="1" applyProtection="1">
      <alignment horizontal="center" vertical="center"/>
      <protection hidden="1"/>
    </xf>
    <xf numFmtId="0" fontId="25" fillId="17" borderId="63" xfId="0" applyNumberFormat="1" applyFont="1" applyFill="1" applyBorder="1" applyAlignment="1" applyProtection="1">
      <alignment horizontal="right" vertical="center"/>
      <protection hidden="1"/>
    </xf>
    <xf numFmtId="0" fontId="25" fillId="17" borderId="64" xfId="0" applyNumberFormat="1" applyFont="1" applyFill="1" applyBorder="1" applyAlignment="1" applyProtection="1">
      <alignment horizontal="right" vertical="center"/>
      <protection hidden="1"/>
    </xf>
    <xf numFmtId="167" fontId="6" fillId="17" borderId="64" xfId="0" applyNumberFormat="1" applyFont="1" applyFill="1" applyBorder="1" applyAlignment="1" applyProtection="1">
      <alignment horizontal="center" vertical="center"/>
      <protection hidden="1"/>
    </xf>
    <xf numFmtId="0" fontId="54" fillId="17" borderId="26" xfId="0" applyFont="1" applyFill="1" applyBorder="1" applyAlignment="1" applyProtection="1">
      <alignment horizontal="center" vertical="center"/>
      <protection hidden="1"/>
    </xf>
    <xf numFmtId="0" fontId="11" fillId="6" borderId="12" xfId="0" applyFont="1" applyFill="1" applyBorder="1" applyAlignment="1" applyProtection="1">
      <alignment horizontal="center" vertical="center"/>
      <protection hidden="1"/>
    </xf>
    <xf numFmtId="0" fontId="13" fillId="6" borderId="12" xfId="0" applyFont="1" applyFill="1" applyBorder="1" applyAlignment="1" applyProtection="1">
      <alignment horizontal="center" vertical="center"/>
      <protection hidden="1"/>
    </xf>
    <xf numFmtId="0" fontId="14" fillId="6" borderId="31" xfId="0" applyFont="1" applyFill="1" applyBorder="1" applyAlignment="1" applyProtection="1">
      <alignment horizontal="center" vertical="center"/>
      <protection hidden="1"/>
    </xf>
    <xf numFmtId="0" fontId="10" fillId="8" borderId="25" xfId="0" applyFont="1" applyFill="1" applyBorder="1" applyAlignment="1" applyProtection="1">
      <alignment horizontal="center" vertical="center"/>
      <protection hidden="1"/>
    </xf>
    <xf numFmtId="0" fontId="10" fillId="8" borderId="15" xfId="0" applyFont="1" applyFill="1" applyBorder="1" applyAlignment="1" applyProtection="1">
      <alignment horizontal="center" vertical="center"/>
      <protection hidden="1"/>
    </xf>
    <xf numFmtId="0" fontId="10" fillId="8" borderId="20" xfId="0" applyFont="1" applyFill="1" applyBorder="1" applyAlignment="1" applyProtection="1">
      <alignment horizontal="center" vertical="center"/>
      <protection hidden="1"/>
    </xf>
    <xf numFmtId="0" fontId="12" fillId="6" borderId="49" xfId="0" applyFont="1" applyFill="1" applyBorder="1" applyAlignment="1" applyProtection="1">
      <alignment horizontal="center"/>
      <protection hidden="1"/>
    </xf>
    <xf numFmtId="0" fontId="12" fillId="6" borderId="50" xfId="0" applyFont="1" applyFill="1" applyBorder="1" applyAlignment="1" applyProtection="1">
      <alignment horizontal="center"/>
      <protection hidden="1"/>
    </xf>
    <xf numFmtId="0" fontId="10" fillId="9" borderId="90" xfId="0" applyFont="1" applyFill="1" applyBorder="1" applyAlignment="1" applyProtection="1">
      <alignment horizontal="center" vertical="center"/>
      <protection hidden="1"/>
    </xf>
    <xf numFmtId="0" fontId="0" fillId="9" borderId="91" xfId="0" applyFill="1" applyBorder="1" applyAlignment="1" applyProtection="1">
      <alignment horizontal="center" vertical="center"/>
      <protection hidden="1"/>
    </xf>
    <xf numFmtId="0" fontId="0" fillId="9" borderId="92" xfId="0" applyFill="1" applyBorder="1" applyAlignment="1" applyProtection="1">
      <alignment horizontal="center" vertical="center"/>
      <protection hidden="1"/>
    </xf>
    <xf numFmtId="0" fontId="0" fillId="9" borderId="93" xfId="0" applyFill="1" applyBorder="1" applyAlignment="1" applyProtection="1">
      <alignment horizontal="center" vertical="center"/>
      <protection hidden="1"/>
    </xf>
    <xf numFmtId="0" fontId="12" fillId="6" borderId="70" xfId="0" applyFont="1" applyFill="1" applyBorder="1" applyAlignment="1" applyProtection="1">
      <alignment horizontal="center" vertical="top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  <xf numFmtId="0" fontId="16" fillId="5" borderId="5" xfId="0" applyFont="1" applyFill="1" applyBorder="1" applyAlignment="1">
      <alignment horizontal="center"/>
    </xf>
    <xf numFmtId="3" fontId="12" fillId="9" borderId="5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3" fillId="3" borderId="27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" fillId="9" borderId="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9" borderId="7" xfId="0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/>
    </xf>
    <xf numFmtId="0" fontId="16" fillId="5" borderId="5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right" vertical="center"/>
    </xf>
    <xf numFmtId="0" fontId="55" fillId="0" borderId="0" xfId="8" applyFill="1"/>
    <xf numFmtId="0" fontId="0" fillId="0" borderId="0" xfId="0" applyFill="1"/>
    <xf numFmtId="0" fontId="36" fillId="10" borderId="19" xfId="0" applyFont="1" applyFill="1" applyBorder="1" applyAlignment="1" applyProtection="1">
      <alignment horizontal="center" vertical="center"/>
      <protection hidden="1"/>
    </xf>
    <xf numFmtId="4" fontId="12" fillId="0" borderId="0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3" fontId="12" fillId="0" borderId="0" xfId="0" applyNumberFormat="1" applyFont="1" applyFill="1" applyBorder="1" applyAlignment="1" applyProtection="1">
      <alignment horizontal="center" vertical="center"/>
      <protection hidden="1"/>
    </xf>
    <xf numFmtId="2" fontId="10" fillId="6" borderId="43" xfId="0" applyNumberFormat="1" applyFont="1" applyFill="1" applyBorder="1" applyAlignment="1" applyProtection="1">
      <alignment horizontal="center" vertical="center"/>
      <protection locked="0"/>
    </xf>
    <xf numFmtId="2" fontId="10" fillId="6" borderId="44" xfId="0" applyNumberFormat="1" applyFont="1" applyFill="1" applyBorder="1" applyAlignment="1" applyProtection="1">
      <alignment horizontal="center" vertical="center"/>
      <protection locked="0"/>
    </xf>
    <xf numFmtId="2" fontId="10" fillId="6" borderId="45" xfId="0" applyNumberFormat="1" applyFont="1" applyFill="1" applyBorder="1" applyAlignment="1" applyProtection="1">
      <alignment horizontal="center" vertical="center"/>
      <protection locked="0"/>
    </xf>
    <xf numFmtId="2" fontId="10" fillId="6" borderId="46" xfId="0" applyNumberFormat="1" applyFont="1" applyFill="1" applyBorder="1" applyAlignment="1" applyProtection="1">
      <alignment horizontal="center" vertical="center"/>
      <protection locked="0"/>
    </xf>
    <xf numFmtId="0" fontId="3" fillId="6" borderId="48" xfId="0" applyFont="1" applyFill="1" applyBorder="1" applyAlignment="1" applyProtection="1">
      <alignment horizontal="center"/>
      <protection hidden="1"/>
    </xf>
    <xf numFmtId="0" fontId="3" fillId="6" borderId="51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41" xfId="0" applyFont="1" applyFill="1" applyBorder="1" applyAlignment="1">
      <alignment horizontal="center" vertical="center"/>
    </xf>
    <xf numFmtId="0" fontId="3" fillId="6" borderId="41" xfId="0" applyFont="1" applyFill="1" applyBorder="1" applyAlignment="1">
      <alignment horizontal="center"/>
    </xf>
    <xf numFmtId="14" fontId="3" fillId="6" borderId="52" xfId="0" applyNumberFormat="1" applyFont="1" applyFill="1" applyBorder="1" applyAlignment="1" applyProtection="1">
      <alignment horizontal="center" vertical="center"/>
      <protection locked="0"/>
    </xf>
    <xf numFmtId="14" fontId="3" fillId="6" borderId="53" xfId="0" applyNumberFormat="1" applyFont="1" applyFill="1" applyBorder="1" applyAlignment="1" applyProtection="1">
      <alignment horizontal="center" vertical="center"/>
      <protection locked="0"/>
    </xf>
    <xf numFmtId="14" fontId="3" fillId="6" borderId="54" xfId="0" applyNumberFormat="1" applyFont="1" applyFill="1" applyBorder="1" applyAlignment="1" applyProtection="1">
      <alignment horizontal="center" vertical="center"/>
      <protection locked="0"/>
    </xf>
    <xf numFmtId="0" fontId="12" fillId="6" borderId="21" xfId="0" applyFont="1" applyFill="1" applyBorder="1" applyAlignment="1">
      <alignment horizontal="center" vertical="center"/>
    </xf>
    <xf numFmtId="0" fontId="12" fillId="6" borderId="41" xfId="0" applyFont="1" applyFill="1" applyBorder="1" applyAlignment="1">
      <alignment horizontal="center" vertical="center"/>
    </xf>
    <xf numFmtId="3" fontId="37" fillId="5" borderId="11" xfId="0" applyNumberFormat="1" applyFont="1" applyFill="1" applyBorder="1" applyAlignment="1" applyProtection="1">
      <alignment horizontal="center" vertical="center"/>
      <protection hidden="1"/>
    </xf>
    <xf numFmtId="3" fontId="37" fillId="5" borderId="0" xfId="0" applyNumberFormat="1" applyFont="1" applyFill="1" applyBorder="1" applyAlignment="1" applyProtection="1">
      <alignment horizontal="center" vertical="center"/>
      <protection hidden="1"/>
    </xf>
    <xf numFmtId="2" fontId="31" fillId="8" borderId="21" xfId="0" applyNumberFormat="1" applyFont="1" applyFill="1" applyBorder="1" applyAlignment="1" applyProtection="1">
      <alignment horizontal="center" vertical="center"/>
      <protection hidden="1"/>
    </xf>
    <xf numFmtId="2" fontId="31" fillId="8" borderId="41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38" fillId="6" borderId="0" xfId="0" applyFont="1" applyFill="1" applyBorder="1" applyAlignment="1" applyProtection="1">
      <alignment horizontal="center" vertical="center"/>
      <protection hidden="1"/>
    </xf>
    <xf numFmtId="0" fontId="41" fillId="6" borderId="57" xfId="0" applyFont="1" applyFill="1" applyBorder="1" applyAlignment="1" applyProtection="1">
      <alignment horizontal="center" vertical="center"/>
      <protection hidden="1"/>
    </xf>
    <xf numFmtId="0" fontId="41" fillId="6" borderId="0" xfId="0" applyFont="1" applyFill="1" applyBorder="1" applyAlignment="1" applyProtection="1">
      <alignment horizontal="center" vertical="center"/>
      <protection hidden="1"/>
    </xf>
    <xf numFmtId="0" fontId="41" fillId="6" borderId="58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/>
      <protection hidden="1"/>
    </xf>
    <xf numFmtId="0" fontId="23" fillId="6" borderId="0" xfId="0" applyFont="1" applyFill="1" applyAlignment="1" applyProtection="1">
      <alignment horizontal="center" vertical="center"/>
      <protection hidden="1"/>
    </xf>
    <xf numFmtId="3" fontId="21" fillId="6" borderId="0" xfId="0" applyNumberFormat="1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right" vertical="top"/>
      <protection hidden="1"/>
    </xf>
    <xf numFmtId="0" fontId="9" fillId="6" borderId="18" xfId="0" applyFont="1" applyFill="1" applyBorder="1" applyAlignment="1" applyProtection="1">
      <alignment horizontal="center" vertical="center"/>
      <protection hidden="1"/>
    </xf>
    <xf numFmtId="3" fontId="29" fillId="6" borderId="0" xfId="0" applyNumberFormat="1" applyFont="1" applyFill="1" applyAlignment="1" applyProtection="1">
      <alignment horizontal="center"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0" fontId="24" fillId="6" borderId="0" xfId="0" applyFont="1" applyFill="1" applyAlignment="1" applyProtection="1">
      <alignment horizontal="center"/>
      <protection hidden="1"/>
    </xf>
    <xf numFmtId="0" fontId="50" fillId="6" borderId="62" xfId="0" applyFont="1" applyFill="1" applyBorder="1" applyAlignment="1" applyProtection="1">
      <alignment horizontal="center" vertical="center"/>
      <protection hidden="1"/>
    </xf>
    <xf numFmtId="3" fontId="20" fillId="6" borderId="0" xfId="0" applyNumberFormat="1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center" vertical="top"/>
      <protection hidden="1"/>
    </xf>
    <xf numFmtId="3" fontId="29" fillId="6" borderId="0" xfId="0" applyNumberFormat="1" applyFont="1" applyFill="1" applyAlignment="1" applyProtection="1">
      <alignment horizontal="center"/>
      <protection hidden="1"/>
    </xf>
    <xf numFmtId="0" fontId="29" fillId="6" borderId="0" xfId="0" applyFont="1" applyFill="1" applyAlignment="1" applyProtection="1">
      <alignment horizontal="center"/>
      <protection hidden="1"/>
    </xf>
    <xf numFmtId="0" fontId="42" fillId="6" borderId="0" xfId="0" applyFont="1" applyFill="1" applyAlignment="1" applyProtection="1">
      <alignment horizont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0" fontId="21" fillId="6" borderId="20" xfId="0" applyFont="1" applyFill="1" applyBorder="1" applyAlignment="1" applyProtection="1">
      <alignment horizontal="center" vertical="center"/>
      <protection hidden="1"/>
    </xf>
    <xf numFmtId="0" fontId="31" fillId="6" borderId="0" xfId="0" applyFont="1" applyFill="1" applyAlignment="1" applyProtection="1">
      <alignment horizontal="center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3" fontId="43" fillId="6" borderId="31" xfId="0" applyNumberFormat="1" applyFont="1" applyFill="1" applyBorder="1" applyAlignment="1" applyProtection="1">
      <alignment horizontal="center" vertical="center"/>
      <protection hidden="1"/>
    </xf>
    <xf numFmtId="0" fontId="43" fillId="6" borderId="31" xfId="0" applyFont="1" applyFill="1" applyBorder="1" applyAlignment="1" applyProtection="1">
      <alignment horizontal="center" vertical="center"/>
      <protection hidden="1"/>
    </xf>
    <xf numFmtId="0" fontId="36" fillId="6" borderId="30" xfId="0" applyFont="1" applyFill="1" applyBorder="1" applyAlignment="1" applyProtection="1">
      <alignment horizontal="center" vertical="center"/>
      <protection hidden="1"/>
    </xf>
    <xf numFmtId="0" fontId="36" fillId="6" borderId="31" xfId="0" applyFont="1" applyFill="1" applyBorder="1" applyAlignment="1" applyProtection="1">
      <alignment horizontal="center" vertical="center"/>
      <protection hidden="1"/>
    </xf>
    <xf numFmtId="0" fontId="36" fillId="6" borderId="32" xfId="0" applyFont="1" applyFill="1" applyBorder="1" applyAlignment="1" applyProtection="1">
      <alignment horizontal="center" vertical="center"/>
      <protection hidden="1"/>
    </xf>
    <xf numFmtId="3" fontId="46" fillId="4" borderId="18" xfId="0" applyNumberFormat="1" applyFont="1" applyFill="1" applyBorder="1" applyAlignment="1" applyProtection="1">
      <alignment horizontal="center" vertical="center"/>
      <protection hidden="1"/>
    </xf>
    <xf numFmtId="3" fontId="46" fillId="4" borderId="60" xfId="0" applyNumberFormat="1" applyFont="1" applyFill="1" applyBorder="1" applyAlignment="1" applyProtection="1">
      <alignment horizontal="center" vertical="center"/>
      <protection hidden="1"/>
    </xf>
    <xf numFmtId="3" fontId="12" fillId="14" borderId="24" xfId="0" applyNumberFormat="1" applyFont="1" applyFill="1" applyBorder="1" applyAlignment="1" applyProtection="1">
      <alignment horizontal="center" vertical="center"/>
      <protection hidden="1"/>
    </xf>
    <xf numFmtId="3" fontId="12" fillId="14" borderId="18" xfId="0" applyNumberFormat="1" applyFont="1" applyFill="1" applyBorder="1" applyAlignment="1" applyProtection="1">
      <alignment horizontal="center" vertical="center"/>
      <protection hidden="1"/>
    </xf>
    <xf numFmtId="3" fontId="12" fillId="14" borderId="18" xfId="0" applyNumberFormat="1" applyFont="1" applyFill="1" applyBorder="1" applyAlignment="1" applyProtection="1">
      <alignment horizontal="center"/>
      <protection hidden="1"/>
    </xf>
    <xf numFmtId="3" fontId="46" fillId="13" borderId="59" xfId="0" applyNumberFormat="1" applyFont="1" applyFill="1" applyBorder="1" applyAlignment="1" applyProtection="1">
      <alignment horizontal="center" vertical="center"/>
      <protection hidden="1"/>
    </xf>
    <xf numFmtId="3" fontId="46" fillId="13" borderId="18" xfId="0" applyNumberFormat="1" applyFont="1" applyFill="1" applyBorder="1" applyAlignment="1" applyProtection="1">
      <alignment horizontal="center" vertical="center"/>
      <protection hidden="1"/>
    </xf>
    <xf numFmtId="3" fontId="10" fillId="15" borderId="30" xfId="0" applyNumberFormat="1" applyFont="1" applyFill="1" applyBorder="1" applyAlignment="1" applyProtection="1">
      <alignment horizontal="center" vertical="center"/>
      <protection hidden="1"/>
    </xf>
    <xf numFmtId="3" fontId="10" fillId="15" borderId="32" xfId="0" applyNumberFormat="1" applyFont="1" applyFill="1" applyBorder="1" applyAlignment="1" applyProtection="1">
      <alignment horizontal="center" vertical="center"/>
      <protection hidden="1"/>
    </xf>
    <xf numFmtId="3" fontId="12" fillId="14" borderId="23" xfId="0" applyNumberFormat="1" applyFont="1" applyFill="1" applyBorder="1" applyAlignment="1" applyProtection="1">
      <alignment horizontal="center" vertical="center"/>
      <protection hidden="1"/>
    </xf>
    <xf numFmtId="0" fontId="44" fillId="6" borderId="18" xfId="0" applyFont="1" applyFill="1" applyBorder="1" applyAlignment="1" applyProtection="1">
      <alignment horizontal="center" vertical="top"/>
      <protection hidden="1"/>
    </xf>
    <xf numFmtId="3" fontId="12" fillId="14" borderId="23" xfId="0" applyNumberFormat="1" applyFont="1" applyFill="1" applyBorder="1" applyAlignment="1" applyProtection="1">
      <alignment horizontal="center"/>
      <protection hidden="1"/>
    </xf>
    <xf numFmtId="3" fontId="46" fillId="4" borderId="59" xfId="0" applyNumberFormat="1" applyFont="1" applyFill="1" applyBorder="1" applyAlignment="1" applyProtection="1">
      <alignment horizontal="center"/>
      <protection hidden="1"/>
    </xf>
    <xf numFmtId="3" fontId="46" fillId="4" borderId="18" xfId="0" applyNumberFormat="1" applyFont="1" applyFill="1" applyBorder="1" applyAlignment="1" applyProtection="1">
      <alignment horizontal="center"/>
      <protection hidden="1"/>
    </xf>
    <xf numFmtId="3" fontId="46" fillId="13" borderId="18" xfId="0" applyNumberFormat="1" applyFont="1" applyFill="1" applyBorder="1" applyAlignment="1" applyProtection="1">
      <alignment horizontal="center"/>
      <protection hidden="1"/>
    </xf>
    <xf numFmtId="3" fontId="46" fillId="13" borderId="60" xfId="0" applyNumberFormat="1" applyFont="1" applyFill="1" applyBorder="1" applyAlignment="1" applyProtection="1">
      <alignment horizontal="center"/>
      <protection hidden="1"/>
    </xf>
    <xf numFmtId="3" fontId="12" fillId="14" borderId="24" xfId="0" applyNumberFormat="1" applyFont="1" applyFill="1" applyBorder="1" applyAlignment="1" applyProtection="1">
      <alignment horizont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14" fontId="3" fillId="6" borderId="39" xfId="0" applyNumberFormat="1" applyFont="1" applyFill="1" applyBorder="1" applyAlignment="1" applyProtection="1">
      <alignment horizontal="center" vertical="center"/>
      <protection hidden="1"/>
    </xf>
    <xf numFmtId="14" fontId="3" fillId="6" borderId="35" xfId="0" applyNumberFormat="1" applyFont="1" applyFill="1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1" fillId="0" borderId="39" xfId="0" applyFont="1" applyBorder="1" applyAlignment="1" applyProtection="1">
      <alignment horizontal="center" vertical="center"/>
      <protection hidden="1"/>
    </xf>
    <xf numFmtId="0" fontId="4" fillId="6" borderId="31" xfId="0" applyFont="1" applyFill="1" applyBorder="1" applyAlignment="1" applyProtection="1">
      <alignment horizontal="center" vertical="center"/>
      <protection hidden="1"/>
    </xf>
    <xf numFmtId="0" fontId="12" fillId="7" borderId="14" xfId="0" applyFont="1" applyFill="1" applyBorder="1" applyAlignment="1" applyProtection="1">
      <alignment horizontal="center" vertical="center"/>
      <protection hidden="1"/>
    </xf>
    <xf numFmtId="0" fontId="12" fillId="7" borderId="39" xfId="0" applyFont="1" applyFill="1" applyBorder="1" applyAlignment="1" applyProtection="1">
      <alignment horizontal="center" vertical="center"/>
      <protection hidden="1"/>
    </xf>
    <xf numFmtId="164" fontId="3" fillId="7" borderId="29" xfId="0" applyNumberFormat="1" applyFont="1" applyFill="1" applyBorder="1" applyAlignment="1" applyProtection="1">
      <alignment horizontal="center" vertical="center"/>
      <protection hidden="1"/>
    </xf>
    <xf numFmtId="164" fontId="3" fillId="7" borderId="33" xfId="0" applyNumberFormat="1" applyFont="1" applyFill="1" applyBorder="1" applyAlignment="1" applyProtection="1">
      <alignment horizontal="center" vertical="center"/>
      <protection hidden="1"/>
    </xf>
    <xf numFmtId="0" fontId="3" fillId="7" borderId="14" xfId="0" applyNumberFormat="1" applyFont="1" applyFill="1" applyBorder="1" applyAlignment="1" applyProtection="1">
      <alignment horizontal="center" vertical="center"/>
      <protection hidden="1"/>
    </xf>
    <xf numFmtId="0" fontId="3" fillId="7" borderId="39" xfId="0" applyNumberFormat="1" applyFont="1" applyFill="1" applyBorder="1" applyAlignment="1" applyProtection="1">
      <alignment horizontal="center" vertical="center"/>
      <protection hidden="1"/>
    </xf>
    <xf numFmtId="0" fontId="26" fillId="0" borderId="39" xfId="0" applyFont="1" applyBorder="1" applyAlignment="1" applyProtection="1">
      <alignment horizontal="center" vertical="center"/>
      <protection hidden="1"/>
    </xf>
    <xf numFmtId="0" fontId="4" fillId="6" borderId="32" xfId="0" applyFont="1" applyFill="1" applyBorder="1" applyAlignment="1" applyProtection="1">
      <alignment horizontal="center" vertical="center"/>
      <protection hidden="1"/>
    </xf>
    <xf numFmtId="0" fontId="3" fillId="6" borderId="25" xfId="0" applyFont="1" applyFill="1" applyBorder="1" applyAlignment="1" applyProtection="1">
      <alignment horizontal="center" vertical="center"/>
      <protection hidden="1"/>
    </xf>
    <xf numFmtId="0" fontId="3" fillId="6" borderId="35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26" fillId="7" borderId="39" xfId="0" applyFont="1" applyFill="1" applyBorder="1" applyAlignment="1" applyProtection="1">
      <alignment horizontal="center" vertical="center"/>
      <protection hidden="1"/>
    </xf>
  </cellXfs>
  <cellStyles count="10">
    <cellStyle name="Comma 2" xfId="1" xr:uid="{00000000-0005-0000-0000-000000000000}"/>
    <cellStyle name="Comma0" xfId="2" xr:uid="{00000000-0005-0000-0000-000001000000}"/>
    <cellStyle name="Currency0" xfId="3" xr:uid="{00000000-0005-0000-0000-000002000000}"/>
    <cellStyle name="Date" xfId="4" xr:uid="{00000000-0005-0000-0000-000003000000}"/>
    <cellStyle name="Fixed" xfId="5" xr:uid="{00000000-0005-0000-0000-000004000000}"/>
    <cellStyle name="Hyperlink" xfId="8" builtinId="8"/>
    <cellStyle name="Hyperlink 2" xfId="6" xr:uid="{00000000-0005-0000-0000-000006000000}"/>
    <cellStyle name="Normal" xfId="0" builtinId="0"/>
    <cellStyle name="Normal 2" xfId="7" xr:uid="{00000000-0005-0000-0000-000008000000}"/>
    <cellStyle name="Percent" xfId="9" builtinId="5"/>
  </cellStyles>
  <dxfs count="35"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theme="6"/>
          </stop>
          <stop position="1">
            <color theme="6"/>
          </stop>
        </gradientFill>
      </fill>
    </dxf>
    <dxf>
      <fill>
        <gradientFill degree="90">
          <stop position="0">
            <color rgb="FFC00000"/>
          </stop>
          <stop position="1">
            <color rgb="FFC0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C00000"/>
          </stop>
          <stop position="1">
            <color rgb="FFC00000"/>
          </stop>
        </gradientFill>
      </fill>
    </dxf>
    <dxf>
      <fill>
        <gradientFill degree="90">
          <stop position="0">
            <color theme="6"/>
          </stop>
          <stop position="1">
            <color theme="6"/>
          </stop>
        </gradientFill>
      </fill>
    </dxf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 algn="ctr">
              <a:defRPr lang="en-US" u="sng">
                <a:solidFill>
                  <a:srgbClr val="92D050"/>
                </a:solidFill>
              </a:defRPr>
            </a:pPr>
            <a:r>
              <a:rPr lang="en-US" u="sng">
                <a:solidFill>
                  <a:srgbClr val="92D050"/>
                </a:solidFill>
              </a:rPr>
              <a:t>CHGOI</a:t>
            </a:r>
          </a:p>
        </c:rich>
      </c:tx>
      <c:layout>
        <c:manualLayout>
          <c:xMode val="edge"/>
          <c:yMode val="edge"/>
          <c:x val="0.46542610921817867"/>
          <c:y val="1.47334556857137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8156841763884256E-2"/>
          <c:y val="9.8105207200589781E-2"/>
          <c:w val="0.86426924602659982"/>
          <c:h val="0.8447268439905139"/>
        </c:manualLayout>
      </c:layout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CHGOI!$A$3:$A$23</c:f>
              <c:numCache>
                <c:formatCode>#,##0</c:formatCode>
                <c:ptCount val="21"/>
                <c:pt idx="0">
                  <c:v>33150</c:v>
                </c:pt>
                <c:pt idx="1">
                  <c:v>-33600</c:v>
                </c:pt>
                <c:pt idx="2">
                  <c:v>-12600</c:v>
                </c:pt>
                <c:pt idx="3">
                  <c:v>-52725</c:v>
                </c:pt>
                <c:pt idx="4">
                  <c:v>-678675</c:v>
                </c:pt>
                <c:pt idx="5">
                  <c:v>-83325</c:v>
                </c:pt>
                <c:pt idx="6">
                  <c:v>-139575</c:v>
                </c:pt>
                <c:pt idx="7">
                  <c:v>-398850</c:v>
                </c:pt>
                <c:pt idx="8">
                  <c:v>-478575</c:v>
                </c:pt>
                <c:pt idx="9">
                  <c:v>-1697025</c:v>
                </c:pt>
                <c:pt idx="10">
                  <c:v>-2377800</c:v>
                </c:pt>
                <c:pt idx="11">
                  <c:v>-960450</c:v>
                </c:pt>
                <c:pt idx="12">
                  <c:v>-628950</c:v>
                </c:pt>
                <c:pt idx="13">
                  <c:v>-326400</c:v>
                </c:pt>
                <c:pt idx="14">
                  <c:v>-207075</c:v>
                </c:pt>
                <c:pt idx="15">
                  <c:v>-96900</c:v>
                </c:pt>
                <c:pt idx="16">
                  <c:v>-338175</c:v>
                </c:pt>
                <c:pt idx="17">
                  <c:v>-43125</c:v>
                </c:pt>
                <c:pt idx="18">
                  <c:v>-12825</c:v>
                </c:pt>
                <c:pt idx="19">
                  <c:v>-124125</c:v>
                </c:pt>
                <c:pt idx="20">
                  <c:v>-13050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31-4BA1-8898-98DC5F5A0E06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CHGOI!$C$3:$C$23</c:f>
              <c:numCache>
                <c:formatCode>#,##0</c:formatCode>
                <c:ptCount val="21"/>
                <c:pt idx="0">
                  <c:v>-750</c:v>
                </c:pt>
                <c:pt idx="1">
                  <c:v>-600</c:v>
                </c:pt>
                <c:pt idx="2">
                  <c:v>-1200</c:v>
                </c:pt>
                <c:pt idx="3">
                  <c:v>-300</c:v>
                </c:pt>
                <c:pt idx="4">
                  <c:v>-279300</c:v>
                </c:pt>
                <c:pt idx="5">
                  <c:v>-3225</c:v>
                </c:pt>
                <c:pt idx="6">
                  <c:v>-2025</c:v>
                </c:pt>
                <c:pt idx="7">
                  <c:v>-28650</c:v>
                </c:pt>
                <c:pt idx="8">
                  <c:v>-37650</c:v>
                </c:pt>
                <c:pt idx="9">
                  <c:v>-524325</c:v>
                </c:pt>
                <c:pt idx="10">
                  <c:v>1984500</c:v>
                </c:pt>
                <c:pt idx="11">
                  <c:v>759225</c:v>
                </c:pt>
                <c:pt idx="12">
                  <c:v>-390450</c:v>
                </c:pt>
                <c:pt idx="13">
                  <c:v>-320025</c:v>
                </c:pt>
                <c:pt idx="14">
                  <c:v>-277500</c:v>
                </c:pt>
                <c:pt idx="15">
                  <c:v>-107550</c:v>
                </c:pt>
                <c:pt idx="16">
                  <c:v>-100425</c:v>
                </c:pt>
                <c:pt idx="17">
                  <c:v>-119925</c:v>
                </c:pt>
                <c:pt idx="18">
                  <c:v>-85425</c:v>
                </c:pt>
                <c:pt idx="19">
                  <c:v>-87300</c:v>
                </c:pt>
                <c:pt idx="20">
                  <c:v>-35700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31-4BA1-8898-98DC5F5A0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524032"/>
        <c:axId val="80525568"/>
      </c:barChart>
      <c:catAx>
        <c:axId val="80524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25568"/>
        <c:crosses val="autoZero"/>
        <c:auto val="1"/>
        <c:lblAlgn val="ctr"/>
        <c:lblOffset val="100"/>
        <c:noMultiLvlLbl val="0"/>
      </c:catAx>
      <c:valAx>
        <c:axId val="80525568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24032"/>
        <c:crosses val="max"/>
        <c:crossBetween val="between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90176279109951896"/>
          <c:y val="3.199674275937862E-3"/>
          <c:w val="4.2578684287557053E-2"/>
          <c:h val="8.4498132843276896E-2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lang="en-US" u="sng">
                <a:solidFill>
                  <a:srgbClr val="92D050"/>
                </a:solidFill>
              </a:defRPr>
            </a:pPr>
            <a:r>
              <a:rPr lang="en-IN" u="sng">
                <a:solidFill>
                  <a:srgbClr val="92D050"/>
                </a:solidFill>
              </a:rPr>
              <a:t>CHGOI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73987432068924E-2"/>
          <c:y val="0.11682376638683629"/>
          <c:w val="0.92535450496073857"/>
          <c:h val="0.74201576168078864"/>
        </c:manualLayout>
      </c:layout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CHGOI!$I$34:$I$54</c:f>
              <c:numCache>
                <c:formatCode>General</c:formatCode>
                <c:ptCount val="21"/>
                <c:pt idx="0">
                  <c:v>12400</c:v>
                </c:pt>
                <c:pt idx="1">
                  <c:v>12350</c:v>
                </c:pt>
                <c:pt idx="2">
                  <c:v>12300</c:v>
                </c:pt>
                <c:pt idx="3">
                  <c:v>12250</c:v>
                </c:pt>
                <c:pt idx="4">
                  <c:v>12200</c:v>
                </c:pt>
                <c:pt idx="5">
                  <c:v>12150</c:v>
                </c:pt>
                <c:pt idx="6">
                  <c:v>12100</c:v>
                </c:pt>
                <c:pt idx="7">
                  <c:v>12050</c:v>
                </c:pt>
                <c:pt idx="8">
                  <c:v>12000</c:v>
                </c:pt>
                <c:pt idx="9">
                  <c:v>11950</c:v>
                </c:pt>
                <c:pt idx="10">
                  <c:v>11900</c:v>
                </c:pt>
                <c:pt idx="11">
                  <c:v>11850</c:v>
                </c:pt>
                <c:pt idx="12">
                  <c:v>11800</c:v>
                </c:pt>
                <c:pt idx="13">
                  <c:v>11750</c:v>
                </c:pt>
                <c:pt idx="14">
                  <c:v>11700</c:v>
                </c:pt>
                <c:pt idx="15">
                  <c:v>11650</c:v>
                </c:pt>
                <c:pt idx="16">
                  <c:v>11600</c:v>
                </c:pt>
                <c:pt idx="17">
                  <c:v>11550</c:v>
                </c:pt>
                <c:pt idx="18">
                  <c:v>11500</c:v>
                </c:pt>
                <c:pt idx="19">
                  <c:v>11450</c:v>
                </c:pt>
                <c:pt idx="20">
                  <c:v>11400</c:v>
                </c:pt>
              </c:numCache>
            </c:numRef>
          </c:cat>
          <c:val>
            <c:numRef>
              <c:f>CHGOI!$H$34:$H$54</c:f>
              <c:numCache>
                <c:formatCode>#,##0</c:formatCode>
                <c:ptCount val="21"/>
                <c:pt idx="0">
                  <c:v>-83325</c:v>
                </c:pt>
                <c:pt idx="1">
                  <c:v>825</c:v>
                </c:pt>
                <c:pt idx="2">
                  <c:v>-139575</c:v>
                </c:pt>
                <c:pt idx="3">
                  <c:v>-11925</c:v>
                </c:pt>
                <c:pt idx="4">
                  <c:v>-398850</c:v>
                </c:pt>
                <c:pt idx="5">
                  <c:v>-59700</c:v>
                </c:pt>
                <c:pt idx="6">
                  <c:v>-478575</c:v>
                </c:pt>
                <c:pt idx="7">
                  <c:v>202875</c:v>
                </c:pt>
                <c:pt idx="8">
                  <c:v>-1697025</c:v>
                </c:pt>
                <c:pt idx="9">
                  <c:v>-311850</c:v>
                </c:pt>
                <c:pt idx="10">
                  <c:v>-2377800</c:v>
                </c:pt>
                <c:pt idx="11">
                  <c:v>-598725</c:v>
                </c:pt>
                <c:pt idx="12">
                  <c:v>-960450</c:v>
                </c:pt>
                <c:pt idx="13">
                  <c:v>-39375</c:v>
                </c:pt>
                <c:pt idx="14">
                  <c:v>-628950</c:v>
                </c:pt>
                <c:pt idx="15">
                  <c:v>-8850</c:v>
                </c:pt>
                <c:pt idx="16">
                  <c:v>-326400</c:v>
                </c:pt>
                <c:pt idx="17">
                  <c:v>-2400</c:v>
                </c:pt>
                <c:pt idx="18">
                  <c:v>-207075</c:v>
                </c:pt>
                <c:pt idx="19">
                  <c:v>-450</c:v>
                </c:pt>
                <c:pt idx="20">
                  <c:v>-96900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F-4978-BFCC-B65F7C5BED39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 w="9525"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CHGOI!$I$34:$I$54</c:f>
              <c:numCache>
                <c:formatCode>General</c:formatCode>
                <c:ptCount val="21"/>
                <c:pt idx="0">
                  <c:v>12400</c:v>
                </c:pt>
                <c:pt idx="1">
                  <c:v>12350</c:v>
                </c:pt>
                <c:pt idx="2">
                  <c:v>12300</c:v>
                </c:pt>
                <c:pt idx="3">
                  <c:v>12250</c:v>
                </c:pt>
                <c:pt idx="4">
                  <c:v>12200</c:v>
                </c:pt>
                <c:pt idx="5">
                  <c:v>12150</c:v>
                </c:pt>
                <c:pt idx="6">
                  <c:v>12100</c:v>
                </c:pt>
                <c:pt idx="7">
                  <c:v>12050</c:v>
                </c:pt>
                <c:pt idx="8">
                  <c:v>12000</c:v>
                </c:pt>
                <c:pt idx="9">
                  <c:v>11950</c:v>
                </c:pt>
                <c:pt idx="10">
                  <c:v>11900</c:v>
                </c:pt>
                <c:pt idx="11">
                  <c:v>11850</c:v>
                </c:pt>
                <c:pt idx="12">
                  <c:v>11800</c:v>
                </c:pt>
                <c:pt idx="13">
                  <c:v>11750</c:v>
                </c:pt>
                <c:pt idx="14">
                  <c:v>11700</c:v>
                </c:pt>
                <c:pt idx="15">
                  <c:v>11650</c:v>
                </c:pt>
                <c:pt idx="16">
                  <c:v>11600</c:v>
                </c:pt>
                <c:pt idx="17">
                  <c:v>11550</c:v>
                </c:pt>
                <c:pt idx="18">
                  <c:v>11500</c:v>
                </c:pt>
                <c:pt idx="19">
                  <c:v>11450</c:v>
                </c:pt>
                <c:pt idx="20">
                  <c:v>11400</c:v>
                </c:pt>
              </c:numCache>
            </c:numRef>
          </c:cat>
          <c:val>
            <c:numRef>
              <c:f>CHGOI!$J$34:$J$54</c:f>
              <c:numCache>
                <c:formatCode>#,##0</c:formatCode>
                <c:ptCount val="21"/>
                <c:pt idx="0">
                  <c:v>-3225</c:v>
                </c:pt>
                <c:pt idx="1">
                  <c:v>0</c:v>
                </c:pt>
                <c:pt idx="2">
                  <c:v>-2025</c:v>
                </c:pt>
                <c:pt idx="3">
                  <c:v>0</c:v>
                </c:pt>
                <c:pt idx="4">
                  <c:v>-28650</c:v>
                </c:pt>
                <c:pt idx="5">
                  <c:v>-900</c:v>
                </c:pt>
                <c:pt idx="6">
                  <c:v>-37650</c:v>
                </c:pt>
                <c:pt idx="7">
                  <c:v>1125</c:v>
                </c:pt>
                <c:pt idx="8">
                  <c:v>-524325</c:v>
                </c:pt>
                <c:pt idx="9">
                  <c:v>331725</c:v>
                </c:pt>
                <c:pt idx="10">
                  <c:v>1984500</c:v>
                </c:pt>
                <c:pt idx="11">
                  <c:v>1151850</c:v>
                </c:pt>
                <c:pt idx="12">
                  <c:v>759225</c:v>
                </c:pt>
                <c:pt idx="13">
                  <c:v>90075</c:v>
                </c:pt>
                <c:pt idx="14">
                  <c:v>-390450</c:v>
                </c:pt>
                <c:pt idx="15">
                  <c:v>-29325</c:v>
                </c:pt>
                <c:pt idx="16">
                  <c:v>-320025</c:v>
                </c:pt>
                <c:pt idx="17">
                  <c:v>-1875</c:v>
                </c:pt>
                <c:pt idx="18">
                  <c:v>-277500</c:v>
                </c:pt>
                <c:pt idx="19">
                  <c:v>3075</c:v>
                </c:pt>
                <c:pt idx="20">
                  <c:v>-107550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DF-4978-BFCC-B65F7C5BE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546816"/>
        <c:axId val="80560896"/>
      </c:barChart>
      <c:catAx>
        <c:axId val="8054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60896"/>
        <c:crosses val="autoZero"/>
        <c:auto val="1"/>
        <c:lblAlgn val="ctr"/>
        <c:lblOffset val="100"/>
        <c:noMultiLvlLbl val="0"/>
      </c:catAx>
      <c:valAx>
        <c:axId val="80560896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4681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n-US" sz="800" kern="1200" baseline="0"/>
            </a:pPr>
            <a:endParaRPr lang="en-US"/>
          </a:p>
        </c:txPr>
      </c:dTable>
      <c:spPr>
        <a:solidFill>
          <a:schemeClr val="tx1"/>
        </a:solidFill>
        <a:scene3d>
          <a:camera prst="orthographicFront"/>
          <a:lightRig rig="morning" dir="t"/>
        </a:scene3d>
        <a:sp3d prstMaterial="matte"/>
      </c:spPr>
    </c:plotArea>
    <c:plotVisOnly val="1"/>
    <c:dispBlanksAs val="gap"/>
    <c:showDLblsOverMax val="0"/>
  </c:chart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 algn="ctr">
              <a:defRPr lang="en-US" b="1" u="sng">
                <a:solidFill>
                  <a:srgbClr val="92D050"/>
                </a:solidFill>
              </a:defRPr>
            </a:pPr>
            <a:r>
              <a:rPr lang="en-US" b="1" u="sng">
                <a:solidFill>
                  <a:srgbClr val="92D050"/>
                </a:solidFill>
              </a:rPr>
              <a:t>OI</a:t>
            </a:r>
          </a:p>
        </c:rich>
      </c:tx>
      <c:layout>
        <c:manualLayout>
          <c:xMode val="edge"/>
          <c:yMode val="edge"/>
          <c:x val="0.47223918656509373"/>
          <c:y val="1.680672268907606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OI!$A$3:$A$23</c:f>
              <c:numCache>
                <c:formatCode>#,##0</c:formatCode>
                <c:ptCount val="21"/>
                <c:pt idx="0">
                  <c:v>338325</c:v>
                </c:pt>
                <c:pt idx="1">
                  <c:v>573225</c:v>
                </c:pt>
                <c:pt idx="2">
                  <c:v>493950</c:v>
                </c:pt>
                <c:pt idx="3">
                  <c:v>719700</c:v>
                </c:pt>
                <c:pt idx="4">
                  <c:v>2739825</c:v>
                </c:pt>
                <c:pt idx="5">
                  <c:v>1354500</c:v>
                </c:pt>
                <c:pt idx="6">
                  <c:v>1590600</c:v>
                </c:pt>
                <c:pt idx="7">
                  <c:v>1859175</c:v>
                </c:pt>
                <c:pt idx="8">
                  <c:v>1329525</c:v>
                </c:pt>
                <c:pt idx="9">
                  <c:v>3645450</c:v>
                </c:pt>
                <c:pt idx="10">
                  <c:v>261300</c:v>
                </c:pt>
                <c:pt idx="11">
                  <c:v>143475</c:v>
                </c:pt>
                <c:pt idx="12">
                  <c:v>212025</c:v>
                </c:pt>
                <c:pt idx="13">
                  <c:v>85500</c:v>
                </c:pt>
                <c:pt idx="14">
                  <c:v>112425</c:v>
                </c:pt>
                <c:pt idx="15">
                  <c:v>28875</c:v>
                </c:pt>
                <c:pt idx="16">
                  <c:v>33825</c:v>
                </c:pt>
                <c:pt idx="17">
                  <c:v>25050</c:v>
                </c:pt>
                <c:pt idx="18">
                  <c:v>1725</c:v>
                </c:pt>
                <c:pt idx="19">
                  <c:v>24000</c:v>
                </c:pt>
                <c:pt idx="20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65-49D2-B698-61F0E9C3C273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OI!$C$3:$C$23</c:f>
              <c:numCache>
                <c:formatCode>#,##0</c:formatCode>
                <c:ptCount val="21"/>
                <c:pt idx="0">
                  <c:v>300</c:v>
                </c:pt>
                <c:pt idx="1">
                  <c:v>225</c:v>
                </c:pt>
                <c:pt idx="2">
                  <c:v>75</c:v>
                </c:pt>
                <c:pt idx="3">
                  <c:v>375</c:v>
                </c:pt>
                <c:pt idx="4">
                  <c:v>30600</c:v>
                </c:pt>
                <c:pt idx="5">
                  <c:v>150</c:v>
                </c:pt>
                <c:pt idx="6">
                  <c:v>375</c:v>
                </c:pt>
                <c:pt idx="7">
                  <c:v>1200</c:v>
                </c:pt>
                <c:pt idx="8">
                  <c:v>2625</c:v>
                </c:pt>
                <c:pt idx="9">
                  <c:v>57300</c:v>
                </c:pt>
                <c:pt idx="10">
                  <c:v>3175200</c:v>
                </c:pt>
                <c:pt idx="11">
                  <c:v>2846775</c:v>
                </c:pt>
                <c:pt idx="12">
                  <c:v>1857975</c:v>
                </c:pt>
                <c:pt idx="13">
                  <c:v>1262625</c:v>
                </c:pt>
                <c:pt idx="14">
                  <c:v>1674750</c:v>
                </c:pt>
                <c:pt idx="15">
                  <c:v>687375</c:v>
                </c:pt>
                <c:pt idx="16">
                  <c:v>711000</c:v>
                </c:pt>
                <c:pt idx="17">
                  <c:v>1249125</c:v>
                </c:pt>
                <c:pt idx="18">
                  <c:v>445050</c:v>
                </c:pt>
                <c:pt idx="19">
                  <c:v>3292500</c:v>
                </c:pt>
                <c:pt idx="20">
                  <c:v>482100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65-49D2-B698-61F0E9C3C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647296"/>
        <c:axId val="80648832"/>
      </c:barChart>
      <c:catAx>
        <c:axId val="80647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648832"/>
        <c:crosses val="autoZero"/>
        <c:auto val="1"/>
        <c:lblAlgn val="ctr"/>
        <c:lblOffset val="100"/>
        <c:noMultiLvlLbl val="0"/>
      </c:catAx>
      <c:valAx>
        <c:axId val="80648832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647296"/>
        <c:crosses val="max"/>
        <c:crossBetween val="between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88219147252951169"/>
          <c:y val="1.1492577950577785E-2"/>
          <c:w val="3.6855728399803694E-2"/>
          <c:h val="0.10130483689538591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393769672885162E-2"/>
          <c:y val="3.7978326595532706E-2"/>
          <c:w val="0.80314275625804765"/>
          <c:h val="0.89520527107275349"/>
        </c:manualLayout>
      </c:layout>
      <c:barChart>
        <c:barDir val="col"/>
        <c:grouping val="clustered"/>
        <c:varyColors val="0"/>
        <c:ser>
          <c:idx val="0"/>
          <c:order val="0"/>
          <c:tx>
            <c:v>Buy Win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Lit>
              <c:ptCount val="1"/>
              <c:pt idx="0">
                <c:v>Buy - Sell</c:v>
              </c:pt>
            </c:strLit>
          </c:cat>
          <c:val>
            <c:numRef>
              <c:f>Price!$F$2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7-4BA7-BAC7-686F099D25DC}"/>
            </c:ext>
          </c:extLst>
        </c:ser>
        <c:ser>
          <c:idx val="1"/>
          <c:order val="1"/>
          <c:tx>
            <c:v>SELL Win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Lit>
              <c:ptCount val="1"/>
              <c:pt idx="0">
                <c:v>Buy - Sell</c:v>
              </c:pt>
            </c:strLit>
          </c:cat>
          <c:val>
            <c:numRef>
              <c:f>Price!$M$2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7-4BA7-BAC7-686F099D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83236736"/>
        <c:axId val="83238272"/>
      </c:barChart>
      <c:catAx>
        <c:axId val="832367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3238272"/>
        <c:crosses val="autoZero"/>
        <c:auto val="1"/>
        <c:lblAlgn val="ctr"/>
        <c:lblOffset val="100"/>
        <c:noMultiLvlLbl val="0"/>
      </c:catAx>
      <c:valAx>
        <c:axId val="83238272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</c:min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83236736"/>
        <c:crosses val="autoZero"/>
        <c:crossBetween val="between"/>
      </c:valAx>
      <c:spPr>
        <a:solidFill>
          <a:schemeClr val="tx1"/>
        </a:solidFill>
        <a:ln>
          <a:noFill/>
        </a:ln>
        <a:effectLst>
          <a:outerShdw blurRad="50800" dist="50800" dir="5400000" algn="ctr" rotWithShape="0">
            <a:schemeClr val="tx1"/>
          </a:outerShdw>
        </a:effectLst>
      </c:spPr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2</xdr:col>
          <xdr:colOff>107950</xdr:colOff>
          <xdr:row>1</xdr:row>
          <xdr:rowOff>19050</xdr:rowOff>
        </xdr:to>
        <xdr:sp macro="" textlink="">
          <xdr:nvSpPr>
            <xdr:cNvPr id="4104" name="btn_Refresh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196850</xdr:colOff>
          <xdr:row>0</xdr:row>
          <xdr:rowOff>19050</xdr:rowOff>
        </xdr:from>
        <xdr:to>
          <xdr:col>3</xdr:col>
          <xdr:colOff>527050</xdr:colOff>
          <xdr:row>1</xdr:row>
          <xdr:rowOff>31750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47626</xdr:colOff>
      <xdr:row>1</xdr:row>
      <xdr:rowOff>200026</xdr:rowOff>
    </xdr:from>
    <xdr:to>
      <xdr:col>21</xdr:col>
      <xdr:colOff>127000</xdr:colOff>
      <xdr:row>23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57149</xdr:colOff>
      <xdr:row>27</xdr:row>
      <xdr:rowOff>28575</xdr:rowOff>
    </xdr:from>
    <xdr:to>
      <xdr:col>17</xdr:col>
      <xdr:colOff>314325</xdr:colOff>
      <xdr:row>49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85724</xdr:colOff>
      <xdr:row>2</xdr:row>
      <xdr:rowOff>19050</xdr:rowOff>
    </xdr:from>
    <xdr:to>
      <xdr:col>18</xdr:col>
      <xdr:colOff>9524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3</xdr:row>
      <xdr:rowOff>0</xdr:rowOff>
    </xdr:from>
    <xdr:to>
      <xdr:col>13</xdr:col>
      <xdr:colOff>523875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rockiaraj_c\AppData\Roaming\Microsoft\Excel\Users\Arockiaraj\AppData\Roaming\Microsoft\Excel\WINDOWS\Desktop\STO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uthusathyasudhan\AppData\Roaming\Microsoft\Excel\RAJ%20OAT%20OptionsChain%20Analyzer%20for%20NSE%20Index%20and%20Stock%20v1.2F(Only%20Nifty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Option_Expiry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IDXOPTDATALIVE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ck"/>
      <sheetName val="mape"/>
      <sheetName val="adx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AT"/>
      <sheetName val="SOData"/>
      <sheetName val="SFData"/>
      <sheetName val="Zerodha Charge"/>
      <sheetName val="NSE"/>
      <sheetName val="FOVOLT"/>
      <sheetName val="Tracking"/>
      <sheetName val="TradeAnalyser"/>
      <sheetName val="NO"/>
      <sheetName val="SO"/>
      <sheetName val="Magic"/>
      <sheetName val="Strat"/>
      <sheetName val="faooi"/>
      <sheetName val="faovol"/>
      <sheetName val="Data"/>
      <sheetName val="FData"/>
      <sheetName val="CData"/>
      <sheetName val="STOCKFLOW"/>
      <sheetName val="STOCKRENKO"/>
      <sheetName val="ANALYZESTOCK"/>
      <sheetName val="5MINData"/>
      <sheetName val="XMinData"/>
      <sheetName val="NSEData"/>
      <sheetName val="E"/>
      <sheetName val="FLOW"/>
      <sheetName val="INTRADAY"/>
      <sheetName val="Mind"/>
      <sheetName val="Indices"/>
      <sheetName val="Sheet3"/>
      <sheetName val="Sheet4"/>
      <sheetName val="Sheet1"/>
    </sheetNames>
    <sheetDataSet>
      <sheetData sheetId="0">
        <row r="2">
          <cell r="C2" t="str">
            <v>NSE</v>
          </cell>
        </row>
        <row r="4">
          <cell r="C4" t="str">
            <v>NIFTY</v>
          </cell>
        </row>
        <row r="13">
          <cell r="F13">
            <v>8386</v>
          </cell>
        </row>
        <row r="19">
          <cell r="E19">
            <v>8265.331569406575</v>
          </cell>
          <cell r="H19">
            <v>8257.6415186406521</v>
          </cell>
        </row>
        <row r="79">
          <cell r="M79">
            <v>20</v>
          </cell>
        </row>
        <row r="80">
          <cell r="M80">
            <v>60</v>
          </cell>
        </row>
      </sheetData>
      <sheetData sheetId="1">
        <row r="1">
          <cell r="K1">
            <v>100</v>
          </cell>
        </row>
        <row r="15">
          <cell r="L15">
            <v>6450</v>
          </cell>
        </row>
        <row r="16">
          <cell r="L16">
            <v>6500</v>
          </cell>
        </row>
        <row r="17">
          <cell r="L17">
            <v>6550</v>
          </cell>
        </row>
        <row r="18">
          <cell r="L18">
            <v>6600</v>
          </cell>
        </row>
        <row r="19">
          <cell r="L19">
            <v>6650</v>
          </cell>
        </row>
        <row r="20">
          <cell r="L20">
            <v>6700</v>
          </cell>
          <cell r="AP20">
            <v>42215</v>
          </cell>
        </row>
        <row r="21">
          <cell r="L21">
            <v>6750</v>
          </cell>
          <cell r="AP21">
            <v>42243</v>
          </cell>
        </row>
        <row r="22">
          <cell r="L22">
            <v>6800</v>
          </cell>
          <cell r="AP22">
            <v>42271</v>
          </cell>
        </row>
        <row r="23">
          <cell r="L23">
            <v>6850</v>
          </cell>
        </row>
        <row r="24">
          <cell r="L24">
            <v>6900</v>
          </cell>
          <cell r="BI24">
            <v>8400</v>
          </cell>
        </row>
        <row r="25">
          <cell r="L25">
            <v>6950</v>
          </cell>
        </row>
        <row r="26">
          <cell r="L26">
            <v>7000</v>
          </cell>
        </row>
        <row r="27">
          <cell r="L27">
            <v>7050</v>
          </cell>
        </row>
        <row r="28">
          <cell r="L28">
            <v>7100</v>
          </cell>
        </row>
        <row r="29">
          <cell r="L29">
            <v>7150</v>
          </cell>
        </row>
        <row r="30">
          <cell r="L30">
            <v>7200</v>
          </cell>
        </row>
        <row r="31">
          <cell r="L31">
            <v>7250</v>
          </cell>
        </row>
        <row r="32">
          <cell r="L32">
            <v>7300</v>
          </cell>
        </row>
        <row r="33">
          <cell r="L33">
            <v>7350</v>
          </cell>
        </row>
        <row r="34">
          <cell r="L34">
            <v>7400</v>
          </cell>
        </row>
        <row r="35">
          <cell r="L35">
            <v>7450</v>
          </cell>
        </row>
        <row r="36">
          <cell r="L36">
            <v>7500</v>
          </cell>
        </row>
        <row r="37">
          <cell r="L37">
            <v>7550</v>
          </cell>
        </row>
        <row r="38">
          <cell r="L38">
            <v>7600</v>
          </cell>
        </row>
        <row r="39">
          <cell r="L39">
            <v>7650</v>
          </cell>
        </row>
        <row r="40">
          <cell r="L40">
            <v>7700</v>
          </cell>
        </row>
        <row r="41">
          <cell r="L41">
            <v>7750</v>
          </cell>
        </row>
        <row r="42">
          <cell r="L42">
            <v>7800</v>
          </cell>
        </row>
        <row r="43">
          <cell r="L43">
            <v>7850</v>
          </cell>
        </row>
        <row r="44">
          <cell r="L44">
            <v>7900</v>
          </cell>
        </row>
        <row r="45">
          <cell r="L45">
            <v>7950</v>
          </cell>
        </row>
        <row r="46">
          <cell r="L46">
            <v>8000</v>
          </cell>
        </row>
        <row r="47">
          <cell r="L47">
            <v>8050</v>
          </cell>
        </row>
        <row r="48">
          <cell r="L48">
            <v>8100</v>
          </cell>
        </row>
        <row r="49">
          <cell r="L49">
            <v>8150</v>
          </cell>
        </row>
        <row r="50">
          <cell r="L50">
            <v>8200</v>
          </cell>
        </row>
        <row r="51">
          <cell r="L51">
            <v>8250</v>
          </cell>
        </row>
        <row r="52">
          <cell r="L52">
            <v>8300</v>
          </cell>
        </row>
        <row r="53">
          <cell r="L53">
            <v>8350</v>
          </cell>
        </row>
        <row r="54">
          <cell r="L54">
            <v>8400</v>
          </cell>
        </row>
        <row r="55">
          <cell r="L55">
            <v>8450</v>
          </cell>
        </row>
        <row r="56">
          <cell r="L56">
            <v>8500</v>
          </cell>
        </row>
        <row r="57">
          <cell r="L57">
            <v>8550</v>
          </cell>
        </row>
        <row r="58">
          <cell r="L58">
            <v>8600</v>
          </cell>
        </row>
        <row r="59">
          <cell r="L59">
            <v>8650</v>
          </cell>
        </row>
        <row r="60">
          <cell r="L60">
            <v>8700</v>
          </cell>
        </row>
        <row r="61">
          <cell r="L61">
            <v>8750</v>
          </cell>
        </row>
        <row r="62">
          <cell r="L62">
            <v>8800</v>
          </cell>
        </row>
        <row r="63">
          <cell r="L63">
            <v>8850</v>
          </cell>
        </row>
        <row r="64">
          <cell r="L64">
            <v>8900</v>
          </cell>
        </row>
        <row r="65">
          <cell r="L65">
            <v>8950</v>
          </cell>
        </row>
        <row r="66">
          <cell r="L66">
            <v>9000</v>
          </cell>
        </row>
        <row r="67">
          <cell r="L67">
            <v>9050</v>
          </cell>
          <cell r="AF67">
            <v>0.05</v>
          </cell>
        </row>
        <row r="68">
          <cell r="L68">
            <v>9100</v>
          </cell>
        </row>
        <row r="69">
          <cell r="L69">
            <v>9150</v>
          </cell>
        </row>
        <row r="70">
          <cell r="L70">
            <v>9200</v>
          </cell>
        </row>
        <row r="71">
          <cell r="L71">
            <v>9250</v>
          </cell>
        </row>
        <row r="72">
          <cell r="L72">
            <v>9300</v>
          </cell>
        </row>
        <row r="73">
          <cell r="L73">
            <v>9350</v>
          </cell>
        </row>
        <row r="74">
          <cell r="L74">
            <v>9400</v>
          </cell>
        </row>
        <row r="75">
          <cell r="L75">
            <v>9450</v>
          </cell>
        </row>
        <row r="76">
          <cell r="L76">
            <v>9500</v>
          </cell>
        </row>
        <row r="77">
          <cell r="L77">
            <v>9550</v>
          </cell>
        </row>
        <row r="78">
          <cell r="L78">
            <v>9600</v>
          </cell>
        </row>
        <row r="79">
          <cell r="L79">
            <v>9650</v>
          </cell>
        </row>
        <row r="80">
          <cell r="L80">
            <v>9700</v>
          </cell>
        </row>
        <row r="81">
          <cell r="L81">
            <v>9750</v>
          </cell>
        </row>
        <row r="82">
          <cell r="L82">
            <v>9800</v>
          </cell>
        </row>
        <row r="83">
          <cell r="L83">
            <v>9850</v>
          </cell>
        </row>
        <row r="84">
          <cell r="L84">
            <v>9900</v>
          </cell>
        </row>
        <row r="85">
          <cell r="L85">
            <v>9950</v>
          </cell>
        </row>
        <row r="86">
          <cell r="L86">
            <v>10000</v>
          </cell>
        </row>
        <row r="87">
          <cell r="L87">
            <v>10050</v>
          </cell>
        </row>
        <row r="88">
          <cell r="L88">
            <v>10100</v>
          </cell>
        </row>
        <row r="89">
          <cell r="L89">
            <v>10150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>
            <v>-1</v>
          </cell>
          <cell r="N1">
            <v>-1</v>
          </cell>
        </row>
        <row r="2">
          <cell r="H2">
            <v>5500</v>
          </cell>
          <cell r="K2" t="str">
            <v>Call</v>
          </cell>
          <cell r="N2" t="str">
            <v>Put</v>
          </cell>
        </row>
        <row r="3">
          <cell r="H3">
            <v>25</v>
          </cell>
        </row>
        <row r="11">
          <cell r="B11">
            <v>50</v>
          </cell>
          <cell r="E11">
            <v>50</v>
          </cell>
        </row>
        <row r="12">
          <cell r="B12">
            <v>-3150</v>
          </cell>
          <cell r="E12">
            <v>-2750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">
          <cell r="B1" t="e">
            <v>#VALUE!</v>
          </cell>
          <cell r="F1">
            <v>300</v>
          </cell>
        </row>
      </sheetData>
      <sheetData sheetId="16" refreshError="1"/>
      <sheetData sheetId="17" refreshError="1"/>
      <sheetData sheetId="18" refreshError="1"/>
      <sheetData sheetId="19">
        <row r="2">
          <cell r="AH2">
            <v>0.5</v>
          </cell>
          <cell r="AI2">
            <v>0.875</v>
          </cell>
          <cell r="AJ2">
            <v>0.96078431372549022</v>
          </cell>
        </row>
        <row r="17">
          <cell r="AZ17" t="str">
            <v>PivotHigh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3">
          <cell r="B3" t="str">
            <v>CURRENCY</v>
          </cell>
          <cell r="C3">
            <v>10</v>
          </cell>
          <cell r="D3">
            <v>1430</v>
          </cell>
        </row>
        <row r="4">
          <cell r="B4" t="str">
            <v>INDEXBOM</v>
          </cell>
          <cell r="C4">
            <v>595</v>
          </cell>
          <cell r="D4">
            <v>930</v>
          </cell>
        </row>
        <row r="5">
          <cell r="B5" t="str">
            <v>INDEXDB</v>
          </cell>
          <cell r="C5">
            <v>540</v>
          </cell>
          <cell r="D5">
            <v>1200</v>
          </cell>
        </row>
        <row r="6">
          <cell r="B6" t="str">
            <v>INDEXDJX</v>
          </cell>
          <cell r="C6">
            <v>570</v>
          </cell>
          <cell r="D6">
            <v>960</v>
          </cell>
        </row>
        <row r="7">
          <cell r="B7" t="str">
            <v>INDEXFTSE</v>
          </cell>
          <cell r="C7">
            <v>480</v>
          </cell>
          <cell r="D7">
            <v>990</v>
          </cell>
        </row>
        <row r="8">
          <cell r="B8" t="str">
            <v>INDEXHANGSENG</v>
          </cell>
          <cell r="C8">
            <v>570</v>
          </cell>
          <cell r="D8">
            <v>960</v>
          </cell>
        </row>
        <row r="9">
          <cell r="B9" t="str">
            <v>INDEXNASDAQ</v>
          </cell>
          <cell r="C9">
            <v>570</v>
          </cell>
          <cell r="D9">
            <v>960</v>
          </cell>
        </row>
        <row r="10">
          <cell r="B10" t="str">
            <v>INDEXNIKKEI</v>
          </cell>
          <cell r="C10">
            <v>540</v>
          </cell>
          <cell r="D10">
            <v>900</v>
          </cell>
        </row>
        <row r="11">
          <cell r="B11" t="str">
            <v>INDEXSP</v>
          </cell>
          <cell r="C11">
            <v>570</v>
          </cell>
          <cell r="D11">
            <v>960</v>
          </cell>
        </row>
        <row r="12">
          <cell r="B12" t="str">
            <v>NSE</v>
          </cell>
          <cell r="C12">
            <v>555</v>
          </cell>
          <cell r="D12">
            <v>930</v>
          </cell>
        </row>
      </sheetData>
      <sheetData sheetId="28" refreshError="1"/>
      <sheetData sheetId="29" refreshError="1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Sheet51"/>
      <sheetName val="Data"/>
      <sheetName val="Pivot"/>
      <sheetName val="CHGOI"/>
      <sheetName val="OI"/>
      <sheetName val="Price"/>
      <sheetName val="Option Trend Table"/>
      <sheetName val="Auto"/>
      <sheetName val="0414"/>
      <sheetName val="Sheet2"/>
      <sheetName val="0413"/>
      <sheetName val="Strategy"/>
      <sheetName val="Changes"/>
      <sheetName val="04-08"/>
      <sheetName val="0411"/>
    </sheetNames>
    <sheetDataSet>
      <sheetData sheetId="0">
        <row r="5">
          <cell r="E5">
            <v>-1112925</v>
          </cell>
          <cell r="F5">
            <v>180627</v>
          </cell>
        </row>
        <row r="6">
          <cell r="F6">
            <v>226557</v>
          </cell>
        </row>
        <row r="7">
          <cell r="E7" t="str">
            <v>SELL</v>
          </cell>
        </row>
        <row r="14">
          <cell r="I14">
            <v>43573</v>
          </cell>
        </row>
      </sheetData>
      <sheetData sheetId="1"/>
      <sheetData sheetId="2">
        <row r="2">
          <cell r="D2">
            <v>43580</v>
          </cell>
        </row>
        <row r="3">
          <cell r="D3">
            <v>43573</v>
          </cell>
        </row>
        <row r="4">
          <cell r="D4">
            <v>43580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DataIV"/>
      <sheetName val="Greeks"/>
      <sheetName val="OptionProbability"/>
      <sheetName val="DataNifty"/>
      <sheetName val="OIAnalysisNifty"/>
      <sheetName val="HistoryD"/>
      <sheetName val="Greeks Stocks"/>
      <sheetName val="Data Nifty Stocks"/>
      <sheetName val="OI Data"/>
      <sheetName val="OIAnalysis"/>
      <sheetName val="Strategy"/>
      <sheetName val="StockList"/>
      <sheetName val="NiftyOC"/>
      <sheetName val="F&amp;OLiveData"/>
      <sheetName val="HistricDataAll"/>
      <sheetName val="HistoricDataFut"/>
      <sheetName val="Nifty Options"/>
      <sheetName val="Nifty Futures "/>
      <sheetName val="NiftyStocks"/>
      <sheetName val="Consolidated"/>
    </sheetNames>
    <sheetDataSet>
      <sheetData sheetId="0"/>
      <sheetData sheetId="1"/>
      <sheetData sheetId="2"/>
      <sheetData sheetId="3"/>
      <sheetData sheetId="4">
        <row r="2">
          <cell r="K2" t="str">
            <v>4APR2019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IFTY_OptionsChain_5" backgroundRefresh="0" growShrinkType="overwriteClear" removeDataOnSave="1" adjustColumnWidth="0" connectionId="149" xr16:uid="{59E3AE81-FA98-4746-86D3-92E1EFD7AAA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://www.nseindia.com/products/content/equities/indices/historical_index_data.htm" TargetMode="Externa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58"/>
  <sheetViews>
    <sheetView tabSelected="1" topLeftCell="A4" zoomScale="70" zoomScaleNormal="70" workbookViewId="0">
      <selection activeCell="C7" sqref="C7"/>
    </sheetView>
  </sheetViews>
  <sheetFormatPr defaultRowHeight="14.5" x14ac:dyDescent="0.35"/>
  <cols>
    <col min="1" max="1" width="6.54296875" customWidth="1"/>
    <col min="2" max="2" width="8.7265625" customWidth="1"/>
    <col min="3" max="3" width="10.453125" customWidth="1"/>
    <col min="4" max="4" width="12.1796875" customWidth="1"/>
    <col min="5" max="5" width="12.26953125" customWidth="1"/>
    <col min="6" max="6" width="10.90625" bestFit="1" customWidth="1"/>
    <col min="7" max="7" width="9.36328125" customWidth="1"/>
    <col min="8" max="8" width="12.6328125" bestFit="1" customWidth="1"/>
    <col min="9" max="9" width="11.36328125" customWidth="1"/>
    <col min="10" max="10" width="11.08984375" customWidth="1"/>
    <col min="11" max="11" width="11.1796875" customWidth="1"/>
    <col min="12" max="12" width="15.81640625" customWidth="1"/>
    <col min="13" max="13" width="11" customWidth="1"/>
    <col min="14" max="14" width="10.54296875" customWidth="1"/>
    <col min="15" max="15" width="11.36328125" customWidth="1"/>
    <col min="16" max="16" width="8.7265625" customWidth="1"/>
    <col min="17" max="17" width="8.54296875" customWidth="1"/>
    <col min="18" max="18" width="9" customWidth="1"/>
    <col min="19" max="19" width="12.81640625" bestFit="1" customWidth="1"/>
    <col min="20" max="20" width="14.54296875" customWidth="1"/>
    <col min="21" max="21" width="10.6328125" customWidth="1"/>
    <col min="27" max="27" width="8.08984375" bestFit="1" customWidth="1"/>
  </cols>
  <sheetData>
    <row r="1" spans="1:49" ht="19" customHeight="1" thickTop="1" thickBot="1" x14ac:dyDescent="0.4">
      <c r="A1" s="293"/>
      <c r="B1" s="294"/>
      <c r="C1" s="294"/>
      <c r="D1" s="693" t="str">
        <f>Sheet51!G1</f>
        <v>-</v>
      </c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701" t="s">
        <v>29</v>
      </c>
      <c r="P1" s="702"/>
      <c r="Q1" s="703">
        <f ca="1">NOW()</f>
        <v>43615.786170601852</v>
      </c>
      <c r="R1" s="703"/>
      <c r="S1" s="299">
        <f ca="1">NOW()</f>
        <v>43615.786170601852</v>
      </c>
      <c r="X1" s="327"/>
      <c r="Y1" s="327"/>
      <c r="AL1" s="505" t="s">
        <v>503</v>
      </c>
      <c r="AM1" s="275">
        <v>0.39583333333333331</v>
      </c>
      <c r="AN1" s="89">
        <f ca="1">NOW()</f>
        <v>43615.786170601852</v>
      </c>
      <c r="AO1" s="505" t="str">
        <f>IF(AND(HOUR(AM1)=(HOUR($AM$1)),(HOUR(AM2)=(HOUR($AM$1)))),IF(AND(MINUTE($AM$1)-MINUTE(AM1)&gt;=0,(MINUTE(AM2)-MINUTE($AM$1)&gt;0)),"Mincorrect","MinFalse"),"Hour False")</f>
        <v>Mincorrect</v>
      </c>
      <c r="AS1" s="505"/>
      <c r="AT1" s="271" t="s">
        <v>97</v>
      </c>
      <c r="AU1" s="272" t="s">
        <v>98</v>
      </c>
      <c r="AV1" s="505"/>
      <c r="AW1" s="504"/>
    </row>
    <row r="2" spans="1:49" ht="22" thickTop="1" thickBot="1" x14ac:dyDescent="0.55000000000000004">
      <c r="A2" s="295" t="s">
        <v>30</v>
      </c>
      <c r="B2" s="690">
        <f>Sheet51!B1</f>
        <v>11945.9</v>
      </c>
      <c r="C2" s="690"/>
      <c r="D2" s="695"/>
      <c r="E2" s="695"/>
      <c r="F2" s="695"/>
      <c r="G2" s="695"/>
      <c r="H2" s="695"/>
      <c r="I2" s="695"/>
      <c r="J2" s="695"/>
      <c r="K2" s="695"/>
      <c r="L2" s="695"/>
      <c r="M2" s="695"/>
      <c r="N2" s="695"/>
      <c r="O2" s="296"/>
      <c r="P2" s="297"/>
      <c r="Q2" s="704" t="s">
        <v>31</v>
      </c>
      <c r="R2" s="704"/>
      <c r="S2" s="298">
        <f ca="1">Sheet51!G71</f>
        <v>11900</v>
      </c>
      <c r="T2" s="75"/>
      <c r="U2" s="108"/>
      <c r="AL2" s="505" t="s">
        <v>172</v>
      </c>
      <c r="AM2" s="275">
        <v>0.39861111111111108</v>
      </c>
      <c r="AN2" s="505"/>
      <c r="AO2" s="505"/>
      <c r="AS2" s="505"/>
      <c r="AT2" s="505"/>
      <c r="AU2" s="505"/>
      <c r="AV2" s="505"/>
      <c r="AW2" s="504"/>
    </row>
    <row r="3" spans="1:49" ht="22" thickTop="1" thickBot="1" x14ac:dyDescent="0.4">
      <c r="A3" s="696" t="s">
        <v>32</v>
      </c>
      <c r="B3" s="697"/>
      <c r="C3" s="697"/>
      <c r="D3" s="697"/>
      <c r="E3" s="697"/>
      <c r="F3" s="697"/>
      <c r="G3" s="25"/>
      <c r="H3" s="698" t="str">
        <f ca="1">Sheet51!F180</f>
        <v>WEAK BULL</v>
      </c>
      <c r="I3" s="698"/>
      <c r="J3" s="698"/>
      <c r="K3" s="26"/>
      <c r="L3" s="705" t="s">
        <v>33</v>
      </c>
      <c r="M3" s="706"/>
      <c r="N3" s="706"/>
      <c r="O3" s="706"/>
      <c r="P3" s="706"/>
      <c r="Q3" s="706"/>
      <c r="R3" s="26"/>
      <c r="S3" s="79"/>
      <c r="T3" s="75"/>
      <c r="U3" s="108"/>
      <c r="AL3" s="504"/>
      <c r="AM3" s="275">
        <v>0.40625</v>
      </c>
      <c r="AN3" s="505"/>
      <c r="AO3" s="505" t="str">
        <f>IF(AND(HOUR(AM3)=(HOUR($AM$1)),(HOUR(AM4)=(HOUR($AM$1)))),IF(AND(MINUTE($AM$1)-MINUTE(AM3)&gt;=0,(MINUTE(AM4)-MINUTE($AM$1)&gt;0)),"Mincorrect","MinFalse"),"Hour False")</f>
        <v>MinFalse</v>
      </c>
      <c r="AS3" s="505"/>
      <c r="AT3" s="505"/>
      <c r="AU3" s="505"/>
      <c r="AV3" s="505"/>
      <c r="AW3" s="504"/>
    </row>
    <row r="4" spans="1:49" ht="16" thickBot="1" x14ac:dyDescent="0.4">
      <c r="A4" s="699" t="s">
        <v>35</v>
      </c>
      <c r="B4" s="700"/>
      <c r="C4" s="361" t="s">
        <v>36</v>
      </c>
      <c r="D4" s="361" t="s">
        <v>6</v>
      </c>
      <c r="E4" s="360" t="s">
        <v>35</v>
      </c>
      <c r="F4" s="361" t="s">
        <v>37</v>
      </c>
      <c r="G4" s="363" t="s">
        <v>245</v>
      </c>
      <c r="H4" s="362" t="s">
        <v>3</v>
      </c>
      <c r="I4" s="27"/>
      <c r="J4" s="366" t="s">
        <v>38</v>
      </c>
      <c r="K4" s="364" t="s">
        <v>246</v>
      </c>
      <c r="L4" s="361" t="s">
        <v>36</v>
      </c>
      <c r="M4" s="76" t="s">
        <v>6</v>
      </c>
      <c r="N4" s="691" t="s">
        <v>0</v>
      </c>
      <c r="O4" s="707"/>
      <c r="P4" s="691" t="s">
        <v>39</v>
      </c>
      <c r="Q4" s="707"/>
      <c r="R4" s="691" t="s">
        <v>40</v>
      </c>
      <c r="S4" s="692"/>
      <c r="T4" s="75"/>
      <c r="U4" s="108"/>
      <c r="AL4" s="504"/>
      <c r="AM4" s="275">
        <v>0.40902777777777777</v>
      </c>
      <c r="AN4" s="505"/>
      <c r="AO4" s="505"/>
      <c r="AS4" s="505"/>
      <c r="AT4" s="505"/>
      <c r="AU4" s="505"/>
      <c r="AV4" s="505"/>
      <c r="AW4" s="504"/>
    </row>
    <row r="5" spans="1:49" ht="16.5" customHeight="1" thickBot="1" x14ac:dyDescent="0.4">
      <c r="A5" s="644" t="s">
        <v>41</v>
      </c>
      <c r="B5" s="708"/>
      <c r="C5" s="29">
        <f ca="1">IF(Sheet51!$P$18="yes",IF(Sheet51!$P$17="yes",SUMIF(Sheet51!C6:'Sheet51'!C67,E5,Sheet51!H6:'Sheet51'!H67),""),"")</f>
        <v>11900</v>
      </c>
      <c r="D5" s="29">
        <f ca="1">IF(Sheet51!$P$18="yes",IF(Sheet51!$P$17="yes",SUMIF(Sheet51!$H$6:'Sheet51'!$H$67,C5,Sheet51!$F$6:'Sheet51'!$F$67),""),"")</f>
        <v>37</v>
      </c>
      <c r="E5" s="77">
        <f ca="1">IF(Sheet51!$P$18="yes",IF(Sheet51!$P$17="yes",Sheet51!M85,""),"")</f>
        <v>-2377800</v>
      </c>
      <c r="F5" s="77">
        <f ca="1">IF(Sheet51!$P$18="yes",IF(Sheet51!$P$17="yes",SUMIF(Sheet51!C6:'Sheet51'!C67,E5,Sheet51!D6:'Sheet51'!D67),""),"")</f>
        <v>664908</v>
      </c>
      <c r="G5" s="324" t="e">
        <f ca="1">1-NORMSDIST(LN($C$5/$B$2)/($H$6%*SQRT($I$15/365)))</f>
        <v>#DIV/0!</v>
      </c>
      <c r="H5" s="325">
        <f ca="1">IF(Sheet51!$P$18="yes",IF(Sheet51!$P$17="yes",IF(A5="CE",SUMIF(Sheet51!H$6:'Sheet51'!H$67,C5,Sheet51!E$6:'Sheet51'!E$67),SUMIF(Sheet51!H$6:'Sheet51'!H$67,C5,Sheet51!L$6:'Sheet51'!L$67)),""),"")</f>
        <v>0</v>
      </c>
      <c r="I5" s="30" t="s">
        <v>41</v>
      </c>
      <c r="J5" s="446">
        <f ca="1">IF(Sheet51!$P$18="yes",IF(Sheet51!$P$17="yes",Sheet51!L71,""),"")</f>
        <v>0</v>
      </c>
      <c r="K5" s="365" t="e">
        <f ca="1">1-NORMSDIST(LN($L$5/$B$2)/($H$6%*SQRT($I$15/365)))</f>
        <v>#DIV/0!</v>
      </c>
      <c r="L5" s="29">
        <f ca="1">IF(Sheet51!$P$18="yes",IF(Sheet51!$P$17="yes",SUMIF(Sheet51!B6:B67,N5,Sheet51!H6:H67),""),"")</f>
        <v>12000</v>
      </c>
      <c r="M5" s="29">
        <f ca="1">IF(Sheet51!$P$18="yes",IF(Sheet51!$P$17="yes",SUMIF(Sheet51!H6:H67,L5,Sheet51!F6:F67),""),"")</f>
        <v>0.05</v>
      </c>
      <c r="N5" s="687">
        <f ca="1">IF(Sheet51!$P$18="yes",IF(Sheet51!$P$17="yes",Sheet51!M88,""),"")</f>
        <v>3645450</v>
      </c>
      <c r="O5" s="687"/>
      <c r="P5" s="687">
        <f ca="1">IF(Sheet51!$P$18="yes",IF(Sheet51!$P$17="yes",Sheet51!$M$91,""),"")</f>
        <v>21175875</v>
      </c>
      <c r="Q5" s="687"/>
      <c r="R5" s="687">
        <f ca="1">IF(Sheet51!$P$18="yes",IF(Sheet51!$P$17="yes",Sheet51!K104,""),"")</f>
        <v>-6868050</v>
      </c>
      <c r="S5" s="688"/>
      <c r="T5" s="75"/>
      <c r="U5" s="108"/>
      <c r="AL5" s="504"/>
      <c r="AM5" s="275">
        <v>0.41666666666666669</v>
      </c>
      <c r="AN5" s="505"/>
      <c r="AO5" s="505" t="str">
        <f>IF(AND(HOUR(AM5)=(HOUR($AM$1)),(HOUR(AM6)=(HOUR($AM$1)))),IF(AND(MINUTE($AM$1)-MINUTE(AM5)&gt;=0,(MINUTE(AM6)-MINUTE($AM$1)&gt;0)),"Mincorrect","MinFalse"),"Hour False")</f>
        <v>Hour False</v>
      </c>
      <c r="AS5" s="505"/>
      <c r="AT5" s="505"/>
      <c r="AU5" s="505"/>
      <c r="AV5" s="505"/>
      <c r="AW5" s="504"/>
    </row>
    <row r="6" spans="1:49" ht="16.5" customHeight="1" thickBot="1" x14ac:dyDescent="0.4">
      <c r="A6" s="709" t="s">
        <v>42</v>
      </c>
      <c r="B6" s="710"/>
      <c r="C6" s="29">
        <f ca="1">IF(Sheet51!$P$18="yes",IF(Sheet51!$P$17="yes",SUMIF(Sheet51!J6:'Sheet51'!J67,E6,Sheet51!H6:'Sheet51'!H67),""),"")</f>
        <v>11900</v>
      </c>
      <c r="D6" s="29">
        <f ca="1">IF(Sheet51!$P$18="yes",IF(Sheet51!$P$17="yes",SUMIF(Sheet51!$H$6:'Sheet51'!$H$67,C6,Sheet51!$M$6:'Sheet51'!$M$67),""),"")</f>
        <v>0.05</v>
      </c>
      <c r="E6" s="77">
        <f ca="1">IF(Sheet51!$P$18="yes",IF(Sheet51!$P$17="yes",Sheet51!M86,""),"")</f>
        <v>1984500</v>
      </c>
      <c r="F6" s="77">
        <f ca="1">IF(Sheet51!$P$18="yes",IF(Sheet51!$P$17="yes",SUMIF(Sheet51!J6:'Sheet51'!J67,E6,Sheet51!K6:'Sheet51'!K67),""),"")</f>
        <v>930737</v>
      </c>
      <c r="G6" s="326" t="e">
        <f ca="1">NORMSDIST(LN($C$6/$B$2)/($H$5%*SQRT($I$15/365)))</f>
        <v>#DIV/0!</v>
      </c>
      <c r="H6" s="31">
        <f ca="1">IF(Sheet51!$P$18="yes",IF(Sheet51!$P$17="yes",IF(A6="CE",SUMIF(Sheet51!H$6:'Sheet51'!H$67,C6,Sheet51!E$6:'Sheet51'!E$67),SUMIF(Sheet51!H$6:'Sheet51'!H$67,C6,Sheet51!L$6:'Sheet51'!L$67)),""),"")</f>
        <v>0</v>
      </c>
      <c r="I6" s="31" t="s">
        <v>42</v>
      </c>
      <c r="J6" s="447">
        <f ca="1">IF(Sheet51!$P$18="yes",IF(Sheet51!$P$17="yes",Sheet51!M71,""),"")</f>
        <v>0</v>
      </c>
      <c r="K6" s="326" t="e">
        <f ca="1">NORMSDIST(LN($L$6/$B$2)/($H$5%*SQRT($I$15/365)))</f>
        <v>#DIV/0!</v>
      </c>
      <c r="L6" s="29">
        <f ca="1">IF(Sheet51!$P$18="yes",IF(Sheet51!$P$17="yes",SUMIF(Sheet51!I6:I67,N6,Sheet51!H6:H67),""),"")</f>
        <v>11000</v>
      </c>
      <c r="M6" s="29">
        <f ca="1">IF(Sheet51!$P$18="yes",IF(Sheet51!$P$17="yes",SUMIF(Sheet51!H6:H67,L6,Sheet51!M6:M67),""),"")</f>
        <v>0.05</v>
      </c>
      <c r="N6" s="687">
        <f ca="1">IF(Sheet51!$P$18="yes",IF(Sheet51!$P$17="yes",Sheet51!M89,""),"")</f>
        <v>3292500</v>
      </c>
      <c r="O6" s="687"/>
      <c r="P6" s="687">
        <f ca="1">IF(Sheet51!$P$18="yes",IF(Sheet51!$P$17="yes",Sheet51!$M$92,""),"")</f>
        <v>25524525</v>
      </c>
      <c r="Q6" s="687"/>
      <c r="R6" s="687">
        <f ca="1">IF(Sheet51!$P$18="yes",IF(Sheet51!$P$17="yes",Sheet51!M104,""),"")</f>
        <v>1442625</v>
      </c>
      <c r="S6" s="688"/>
      <c r="T6" s="75"/>
      <c r="U6" s="108"/>
      <c r="AL6" s="504"/>
      <c r="AM6" s="275">
        <v>0.41944444444444445</v>
      </c>
      <c r="AN6" s="505"/>
      <c r="AO6" s="505"/>
      <c r="AS6" s="505"/>
      <c r="AT6" s="505"/>
      <c r="AU6" s="505"/>
      <c r="AV6" s="505"/>
      <c r="AW6" s="504"/>
    </row>
    <row r="7" spans="1:49" ht="16" thickBot="1" x14ac:dyDescent="0.4">
      <c r="A7" s="717" t="s">
        <v>43</v>
      </c>
      <c r="B7" s="686"/>
      <c r="C7" s="33">
        <v>3</v>
      </c>
      <c r="D7" s="32">
        <f ca="1">IF(Sheet51!$P$18="yes",IF(Sheet51!$P$17="yes",D5-D6,""),"")</f>
        <v>36.950000000000003</v>
      </c>
      <c r="E7" s="32" t="str">
        <f ca="1">IF(Sheet51!$P$18="yes",IF(Sheet51!$P$17="yes",IF(ABS(MAX(E6))&gt;ABS(MAX(E5)),"BUY","SELL"),""),"")</f>
        <v>SELL</v>
      </c>
      <c r="F7" s="32" t="str">
        <f ca="1">IF(Sheet51!$P$18="yes",IF(Sheet51!$P$17="yes",IF(AND(E7="BUY",F5&gt;E5),"BUY",IF(AND(E7="SELL",F6&gt;E6),"SELL","FLAT")),""),"")</f>
        <v>FLAT</v>
      </c>
      <c r="G7" s="32" t="e">
        <f ca="1">IF(Sheet51!$P$18="yes",IF(Sheet51!$P$17="yes",IF(G5&gt;G6,"BUY","SELL"),""),"")</f>
        <v>#DIV/0!</v>
      </c>
      <c r="H7" s="448">
        <f>$H$27</f>
        <v>-0.86666666666666681</v>
      </c>
      <c r="I7" s="34" t="s">
        <v>44</v>
      </c>
      <c r="J7" s="445" t="e">
        <f>$K$27</f>
        <v>#DIV/0!</v>
      </c>
      <c r="K7" s="345"/>
      <c r="L7" s="72"/>
      <c r="M7" s="73">
        <f ca="1">IF(Sheet51!$P$18="yes",IF(Sheet51!$P$17="yes",M5+M6,""),"")</f>
        <v>0.1</v>
      </c>
      <c r="N7" s="685" t="str">
        <f ca="1">IF(Sheet51!$P$18="yes",IF(Sheet51!$P$17="yes",IF(N6&gt;N5,"BUY","SELL"),""),"")</f>
        <v>SELL</v>
      </c>
      <c r="O7" s="686"/>
      <c r="P7" s="683" t="str">
        <f ca="1">IF(Sheet51!$P$18="yes",IF(Sheet51!$P$17="yes",IF(P6&gt;P5,"BUY","SELL"),""),"")</f>
        <v>BUY</v>
      </c>
      <c r="Q7" s="684"/>
      <c r="R7" s="711" t="str">
        <f ca="1">IF(Sheet51!$P$18="yes",IF(Sheet51!$P$17="yes",IF(AND(S5&lt;0,S6&lt;0),"FLAT",IF(S5&lt;0,"BUY",IF(S6&lt;0,"SELL",IF(S6&gt;S5,"BUY","SELL")))),""),"")</f>
        <v>SELL</v>
      </c>
      <c r="S7" s="712"/>
      <c r="T7" s="75"/>
      <c r="U7" s="108"/>
      <c r="AL7" s="504"/>
      <c r="AM7" s="275">
        <v>0.42708333333333331</v>
      </c>
      <c r="AN7" s="505"/>
      <c r="AO7" s="505" t="str">
        <f>IF(AND(HOUR(AM7)=(HOUR($AM$1)),(HOUR(AM8)=(HOUR($AM$1)))),IF(AND(MINUTE($AM$1)-MINUTE(AM7)&gt;=0,(MINUTE(AM8)-MINUTE($AM$1)&gt;0)),"Mincorrect","MinFalse"),"Hour False")</f>
        <v>Hour False</v>
      </c>
      <c r="AS7" s="505"/>
      <c r="AT7" s="505"/>
      <c r="AU7" s="505"/>
      <c r="AV7" s="505"/>
      <c r="AW7" s="504"/>
    </row>
    <row r="8" spans="1:49" ht="15.5" thickTop="1" thickBot="1" x14ac:dyDescent="0.4">
      <c r="A8" s="35"/>
      <c r="B8" s="36"/>
      <c r="C8" s="36"/>
      <c r="D8" s="36"/>
      <c r="E8" s="36"/>
      <c r="F8" s="347"/>
      <c r="G8" s="37"/>
      <c r="H8" s="36"/>
      <c r="I8" s="36"/>
      <c r="J8" s="348"/>
      <c r="K8" s="349"/>
      <c r="L8" s="36"/>
      <c r="M8" s="37"/>
      <c r="N8" s="36"/>
      <c r="O8" s="37"/>
      <c r="P8" s="37"/>
      <c r="Q8" s="347"/>
      <c r="R8" s="350"/>
      <c r="S8" s="351"/>
      <c r="T8" s="75"/>
      <c r="U8" s="108"/>
      <c r="AL8" s="504"/>
      <c r="AM8" s="275">
        <v>0.42986111111111108</v>
      </c>
      <c r="AN8" s="505"/>
      <c r="AO8" s="505"/>
      <c r="AS8" s="505"/>
      <c r="AT8" s="718" t="s">
        <v>165</v>
      </c>
      <c r="AU8" s="719"/>
      <c r="AV8" s="719"/>
      <c r="AW8" s="504"/>
    </row>
    <row r="9" spans="1:49" ht="16.5" customHeight="1" thickBot="1" x14ac:dyDescent="0.4">
      <c r="A9" s="713" t="s">
        <v>45</v>
      </c>
      <c r="B9" s="714"/>
      <c r="C9" s="357" t="s">
        <v>46</v>
      </c>
      <c r="D9" s="357" t="s">
        <v>47</v>
      </c>
      <c r="E9" s="357" t="s">
        <v>48</v>
      </c>
      <c r="F9" s="352" t="s">
        <v>49</v>
      </c>
      <c r="G9" s="656" t="e">
        <f ca="1">_xlfn.CONCAT(I12," ", "IV"," ",ROUND(J49,0)," Avg ",ROUND(AVERAGE(I27,L27),0))</f>
        <v>#DIV/0!</v>
      </c>
      <c r="H9" s="657"/>
      <c r="I9" s="657"/>
      <c r="J9" s="679">
        <f>EXPIRYDATE</f>
        <v>43615</v>
      </c>
      <c r="K9" s="680"/>
      <c r="L9" s="352" t="s">
        <v>50</v>
      </c>
      <c r="M9" s="664" t="s">
        <v>51</v>
      </c>
      <c r="N9" s="689"/>
      <c r="O9" s="664" t="s">
        <v>2</v>
      </c>
      <c r="P9" s="665"/>
      <c r="Q9" s="664" t="s">
        <v>52</v>
      </c>
      <c r="R9" s="665"/>
      <c r="S9" s="353" t="s">
        <v>53</v>
      </c>
      <c r="T9" s="75"/>
      <c r="U9" s="108"/>
      <c r="AL9" s="504"/>
      <c r="AM9" s="275">
        <v>0.4375</v>
      </c>
      <c r="AN9" s="505"/>
      <c r="AO9" s="505" t="str">
        <f>IF(AND(HOUR(AM9)=(HOUR($AM$1)),(HOUR(AM10)=(HOUR($AM$1)))),IF(AND(MINUTE($AM$1)-MINUTE(AM9)&gt;=0,(MINUTE(AM10)-MINUTE($AM$1)&gt;0)),"Mincorrect","MinFalse"),"Hour False")</f>
        <v>Hour False</v>
      </c>
      <c r="AS9" s="505"/>
      <c r="AT9" s="718" t="s">
        <v>166</v>
      </c>
      <c r="AU9" s="719"/>
      <c r="AV9" s="719"/>
      <c r="AW9" s="504"/>
    </row>
    <row r="10" spans="1:49" ht="16.5" customHeight="1" thickBot="1" x14ac:dyDescent="0.4">
      <c r="A10" s="715"/>
      <c r="B10" s="716"/>
      <c r="C10" s="359" t="str">
        <f>IFERROR(INDEX(Data!$AM$6:$AM$8,MATCH(J14,Data!$AJ$6:$AJ$8,0)),"")</f>
        <v/>
      </c>
      <c r="D10" s="359" t="str">
        <f>IFERROR(INDEX(Data!$AN$6:$AN$8,MATCH(J14,Data!$AJ$6:$AJ$8,0)),"")</f>
        <v/>
      </c>
      <c r="E10" s="359" t="str">
        <f>IFERROR(INDEX(Data!$AO$6:$AO$8,MATCH(J14,Data!$AJ$6:$AJ$8,0)),"")</f>
        <v/>
      </c>
      <c r="F10" s="358" t="str">
        <f>IFERROR(INDEX(Data!$AQ$6:$AQ$8,MATCH(J14,Data!$AJ$6:$AJ$8,0)),"")</f>
        <v/>
      </c>
      <c r="G10" s="658"/>
      <c r="H10" s="659"/>
      <c r="I10" s="659"/>
      <c r="J10" s="681"/>
      <c r="K10" s="682"/>
      <c r="L10" s="356" t="str">
        <f>IFERROR(INDEX(Data!$AP$6:$AP$8,MATCH(J14,Data!$AJ$6:$AJ$8,0)),"")</f>
        <v/>
      </c>
      <c r="M10" s="664" t="str">
        <f>IFERROR(INDEX(Data!$AT$6:$AT$8,MATCH(J14,Data!$AJ$6:$AJ$8,0)),"")</f>
        <v/>
      </c>
      <c r="N10" s="665"/>
      <c r="O10" s="666" t="str">
        <f>IFERROR(INDEX(Data!$AR$6:$AR$8,MATCH(J14,Data!$AJ$6:$AJ$8,0)),"")</f>
        <v/>
      </c>
      <c r="P10" s="667"/>
      <c r="Q10" s="662" t="str">
        <f>IFERROR(INDEX(Data!$AS$6:$AS$8,MATCH(J14,Data!$AJ$6:$AJ$8,0)),"")</f>
        <v/>
      </c>
      <c r="R10" s="663"/>
      <c r="S10" s="354" t="str">
        <f>IFERROR(INDEX(Data!$AV$6:$AV$8,MATCH(J14,Data!$AJ$6:$AJ$8,0)),"")</f>
        <v/>
      </c>
      <c r="T10" s="75"/>
      <c r="U10" s="108"/>
      <c r="AL10" s="504"/>
      <c r="AM10" s="275">
        <v>0.44027777777777777</v>
      </c>
      <c r="AN10" s="505"/>
      <c r="AO10" s="505"/>
      <c r="AS10" s="505"/>
      <c r="AT10" s="718" t="s">
        <v>169</v>
      </c>
      <c r="AU10" s="718"/>
      <c r="AV10" s="718"/>
      <c r="AW10" s="504"/>
    </row>
    <row r="11" spans="1:49" ht="15" thickBot="1" x14ac:dyDescent="0.4">
      <c r="A11" s="35"/>
      <c r="B11" s="300"/>
      <c r="C11" s="36"/>
      <c r="D11" s="347" t="s">
        <v>319</v>
      </c>
      <c r="E11" s="347"/>
      <c r="F11" s="347"/>
      <c r="G11" s="347"/>
      <c r="H11" s="347"/>
      <c r="I11" s="347"/>
      <c r="J11" s="347"/>
      <c r="K11" s="349"/>
      <c r="L11" s="36"/>
      <c r="M11" s="36"/>
      <c r="N11" s="300"/>
      <c r="O11" s="347" t="s">
        <v>318</v>
      </c>
      <c r="P11" s="347"/>
      <c r="Q11" s="36"/>
      <c r="R11" s="300"/>
      <c r="S11" s="355"/>
      <c r="T11" s="75"/>
      <c r="U11" s="108"/>
      <c r="AL11" s="504"/>
      <c r="AM11" s="275">
        <v>0.44791666666666669</v>
      </c>
      <c r="AN11" s="505"/>
      <c r="AO11" s="505" t="str">
        <f>IF(AND(HOUR(AM11)=(HOUR($AM$1)),(HOUR(AM12)=(HOUR($AM$1)))),IF(AND(MINUTE($AM$1)-MINUTE(AM11)&gt;=0,(MINUTE(AM12)-MINUTE($AM$1)&gt;0)),"Mincorrect","MinFalse"),"Hour False")</f>
        <v>Hour False</v>
      </c>
      <c r="AS11" s="505"/>
      <c r="AT11" s="718" t="s">
        <v>167</v>
      </c>
      <c r="AU11" s="718"/>
      <c r="AV11" s="718"/>
      <c r="AW11" s="504"/>
    </row>
    <row r="12" spans="1:49" ht="18.75" customHeight="1" thickBot="1" x14ac:dyDescent="0.4">
      <c r="A12" s="306"/>
      <c r="B12" s="642" t="s">
        <v>316</v>
      </c>
      <c r="C12" s="678"/>
      <c r="D12" s="642" t="s">
        <v>317</v>
      </c>
      <c r="E12" s="643"/>
      <c r="F12" s="647" t="s">
        <v>179</v>
      </c>
      <c r="G12" s="643"/>
      <c r="H12" s="648"/>
      <c r="I12" s="654" t="s">
        <v>180</v>
      </c>
      <c r="J12" s="654"/>
      <c r="K12" s="655"/>
      <c r="L12" s="344" t="s">
        <v>500</v>
      </c>
      <c r="M12" s="647" t="s">
        <v>316</v>
      </c>
      <c r="N12" s="678"/>
      <c r="O12" s="642" t="s">
        <v>317</v>
      </c>
      <c r="P12" s="668"/>
      <c r="Q12" s="344" t="s">
        <v>517</v>
      </c>
      <c r="R12" s="344" t="s">
        <v>233</v>
      </c>
      <c r="S12" s="344" t="s">
        <v>234</v>
      </c>
      <c r="T12" s="75"/>
      <c r="U12" s="108"/>
      <c r="AL12" s="504"/>
      <c r="AM12" s="275">
        <v>0.45069444444444445</v>
      </c>
      <c r="AN12" s="505"/>
      <c r="AO12" s="505"/>
      <c r="AS12" s="505"/>
      <c r="AT12" s="718" t="s">
        <v>168</v>
      </c>
      <c r="AU12" s="718"/>
      <c r="AV12" s="718"/>
      <c r="AW12" s="504"/>
    </row>
    <row r="13" spans="1:49" ht="18.75" customHeight="1" thickBot="1" x14ac:dyDescent="0.4">
      <c r="A13" s="306"/>
      <c r="B13" s="340">
        <v>0.23599999999999999</v>
      </c>
      <c r="C13" s="29">
        <f>$J$21-(($J$21-$K$21)*B13)</f>
        <v>11764</v>
      </c>
      <c r="D13" s="340">
        <v>1.786</v>
      </c>
      <c r="E13" s="29">
        <f>$J$21+(($J$21-$K$21)*D13)</f>
        <v>13786</v>
      </c>
      <c r="F13" s="647" t="s">
        <v>174</v>
      </c>
      <c r="G13" s="643"/>
      <c r="H13" s="648"/>
      <c r="I13" s="342">
        <v>3</v>
      </c>
      <c r="J13" s="652" t="s">
        <v>501</v>
      </c>
      <c r="K13" s="653"/>
      <c r="L13" s="508">
        <f ca="1" xml:space="preserve"> Sheet51!H68</f>
        <v>202.2346774193544</v>
      </c>
      <c r="M13" s="343">
        <v>0.78600000000000003</v>
      </c>
      <c r="N13" s="29">
        <f ca="1">$L$5+(($L$5-$L$6)*M13)</f>
        <v>12786</v>
      </c>
      <c r="O13" s="340">
        <v>1.3819999999999999</v>
      </c>
      <c r="P13" s="29">
        <f ca="1">$L$5-(($L$5-$L$6)*M13)</f>
        <v>11214</v>
      </c>
      <c r="Q13" s="29" t="s">
        <v>0</v>
      </c>
      <c r="R13" s="29">
        <f ca="1">Sheet51!C68</f>
        <v>-155236.69354838709</v>
      </c>
      <c r="S13" s="539">
        <f ca="1">Sheet51!J68</f>
        <v>28224.193548387098</v>
      </c>
      <c r="T13" s="75"/>
      <c r="U13" s="108"/>
      <c r="AL13" s="504"/>
      <c r="AM13" s="275">
        <v>0.45833333333333331</v>
      </c>
      <c r="AN13" s="505"/>
      <c r="AO13" s="505" t="str">
        <f>IF(AND(HOUR(AM13)=(HOUR($AM$1)),(HOUR(AM14)=(HOUR($AM$1)))),IF(AND(MINUTE($AM$1)-MINUTE(AM13)&gt;=0,(MINUTE(AM14)-MINUTE($AM$1)&gt;0)),"Mincorrect","MinFalse"),"Hour False")</f>
        <v>Hour False</v>
      </c>
    </row>
    <row r="14" spans="1:49" ht="19" customHeight="1" thickBot="1" x14ac:dyDescent="0.4">
      <c r="A14" s="306"/>
      <c r="B14" s="340">
        <v>0.38200000000000001</v>
      </c>
      <c r="C14" s="29">
        <f>$J$21-(($J$21-$K$21)*B14)</f>
        <v>11618</v>
      </c>
      <c r="D14" s="340">
        <v>1.764</v>
      </c>
      <c r="E14" s="29">
        <f>$J$21+(($J$21-$K$21)*D14)</f>
        <v>13764</v>
      </c>
      <c r="F14" s="647" t="s">
        <v>56</v>
      </c>
      <c r="G14" s="643"/>
      <c r="H14" s="648"/>
      <c r="I14" s="341">
        <v>43615</v>
      </c>
      <c r="J14" s="674" t="s">
        <v>529</v>
      </c>
      <c r="K14" s="675"/>
      <c r="L14" s="508">
        <f>H27-M27</f>
        <v>-0.91666666666666685</v>
      </c>
      <c r="M14" s="343">
        <v>0.61799999999999999</v>
      </c>
      <c r="N14" s="29">
        <f ca="1">$L$5+(($L$5-$L$6)*M14)</f>
        <v>12618</v>
      </c>
      <c r="O14" s="340">
        <v>1.5</v>
      </c>
      <c r="P14" s="29">
        <f ca="1">$L$5-(($L$5-$L$6)*M14)</f>
        <v>11382</v>
      </c>
      <c r="Q14" s="29" t="s">
        <v>518</v>
      </c>
      <c r="R14" s="29">
        <f ca="1">Sheet51!D68</f>
        <v>51061.758064516129</v>
      </c>
      <c r="S14" s="539">
        <f ca="1">Sheet51!K68</f>
        <v>46715.129032258068</v>
      </c>
      <c r="T14" s="75"/>
      <c r="U14" s="108"/>
      <c r="AL14" s="504"/>
      <c r="AM14" s="275">
        <v>0.46111111111111108</v>
      </c>
      <c r="AN14" s="505"/>
      <c r="AO14" s="505"/>
    </row>
    <row r="15" spans="1:49" ht="19" customHeight="1" thickBot="1" x14ac:dyDescent="0.4">
      <c r="A15" s="306"/>
      <c r="B15" s="340">
        <v>0.5</v>
      </c>
      <c r="C15" s="29">
        <f>$J$21-(($J$21-$K$21)*B15)</f>
        <v>11500</v>
      </c>
      <c r="D15" s="340">
        <v>1.6180000000000001</v>
      </c>
      <c r="E15" s="29">
        <f>$J$21+(($J$21-$K$21)*D15)</f>
        <v>13618</v>
      </c>
      <c r="F15" s="647" t="s">
        <v>183</v>
      </c>
      <c r="G15" s="643"/>
      <c r="H15" s="648"/>
      <c r="I15" s="676">
        <v>3</v>
      </c>
      <c r="J15" s="676"/>
      <c r="K15" s="677"/>
      <c r="L15" s="344"/>
      <c r="M15" s="343">
        <v>0.5</v>
      </c>
      <c r="N15" s="29">
        <f ca="1">$L$5+(($L$5-$L$6)*M15)</f>
        <v>12500</v>
      </c>
      <c r="O15" s="340">
        <v>1.6180000000000001</v>
      </c>
      <c r="P15" s="29">
        <f ca="1">$L$5-(($L$5-$L$6)*M15)</f>
        <v>11500</v>
      </c>
      <c r="Q15" s="29" t="s">
        <v>519</v>
      </c>
      <c r="R15" s="538">
        <f ca="1">CORREL(Sheet51!C6:C67,Sheet51!D6:D67)</f>
        <v>-0.72826137470413188</v>
      </c>
      <c r="S15" s="538">
        <f ca="1">CORREL(Sheet51!J6:J67,Sheet51!K6:K67)</f>
        <v>0.86126923018505264</v>
      </c>
      <c r="T15" s="75"/>
      <c r="U15" s="108"/>
      <c r="AL15" s="504"/>
      <c r="AM15" s="275">
        <v>0.46875</v>
      </c>
      <c r="AN15" s="505"/>
      <c r="AO15" s="505" t="str">
        <f>IF(AND(HOUR(AM15)=(HOUR($AM$1)),(HOUR(AM16)=(HOUR($AM$1)))),IF(AND(MINUTE($AM$1)-MINUTE(AM15)&gt;=0,(MINUTE(AM16)-MINUTE($AM$1)&gt;0)),"Mincorrect","MinFalse"),"Hour False")</f>
        <v>Hour False</v>
      </c>
    </row>
    <row r="16" spans="1:49" ht="19" customHeight="1" thickBot="1" x14ac:dyDescent="0.4">
      <c r="A16" s="306"/>
      <c r="B16" s="340">
        <v>0.61799999999999999</v>
      </c>
      <c r="C16" s="29">
        <f>$J$21-(($J$21-$K$21)*B16)</f>
        <v>11382</v>
      </c>
      <c r="D16" s="340">
        <v>1.5</v>
      </c>
      <c r="E16" s="29">
        <f>$J$21+(($J$21-$K$21)*D16)</f>
        <v>13500</v>
      </c>
      <c r="F16" s="649" t="s">
        <v>182</v>
      </c>
      <c r="G16" s="650"/>
      <c r="H16" s="651"/>
      <c r="I16" s="672">
        <v>6.3148999999999997E-2</v>
      </c>
      <c r="J16" s="672"/>
      <c r="K16" s="673"/>
      <c r="L16" s="346"/>
      <c r="M16" s="343">
        <v>0.38200000000000001</v>
      </c>
      <c r="N16" s="29">
        <f ca="1">$L$5+(($L$5-$L$6)*M16)</f>
        <v>12382</v>
      </c>
      <c r="O16" s="340">
        <v>1.764</v>
      </c>
      <c r="P16" s="29">
        <f ca="1">$L$5-(($L$5-$L$6)*M16)</f>
        <v>11618</v>
      </c>
      <c r="Q16" s="29" t="s">
        <v>520</v>
      </c>
      <c r="R16" s="540" t="e">
        <f ca="1">CORREL(Sheet51!E6:E67,Sheet51!F6:F67)</f>
        <v>#DIV/0!</v>
      </c>
      <c r="S16" s="541" t="e">
        <f ca="1">CORREL(Sheet51!L6:L67,Sheet51!M6:M67)</f>
        <v>#DIV/0!</v>
      </c>
      <c r="T16" s="75"/>
      <c r="U16" s="108"/>
      <c r="AL16" s="504"/>
      <c r="AM16" s="275">
        <v>0.47152777777777777</v>
      </c>
      <c r="AN16" s="505"/>
      <c r="AO16" s="505"/>
    </row>
    <row r="17" spans="1:55" ht="19" thickBot="1" x14ac:dyDescent="0.4">
      <c r="A17" s="306"/>
      <c r="B17" s="340">
        <v>0.78600000000000003</v>
      </c>
      <c r="C17" s="29">
        <f>$J$21-(($J$21-$K$21)*B17)</f>
        <v>11214</v>
      </c>
      <c r="D17" s="340">
        <v>1.272</v>
      </c>
      <c r="E17" s="29">
        <f>$J$21+(($J$21-$K$21)*D17)</f>
        <v>13272</v>
      </c>
      <c r="F17" s="669"/>
      <c r="G17" s="670"/>
      <c r="H17" s="670"/>
      <c r="I17" s="670"/>
      <c r="J17" s="670"/>
      <c r="K17" s="670"/>
      <c r="L17" s="671"/>
      <c r="M17" s="343">
        <v>0.23599999999999999</v>
      </c>
      <c r="N17" s="29">
        <f ca="1">$L$5+(($L$5-$L$6)*M17)</f>
        <v>12236</v>
      </c>
      <c r="O17" s="340">
        <v>1.786</v>
      </c>
      <c r="P17" s="29">
        <f ca="1">$L$5-(($L$5-$L$6)*M17)</f>
        <v>11764</v>
      </c>
      <c r="Q17" s="339"/>
      <c r="R17" s="339"/>
      <c r="S17" s="339"/>
      <c r="T17" s="75"/>
      <c r="U17" s="108"/>
      <c r="AM17" s="275">
        <v>0.47916666666666669</v>
      </c>
      <c r="AN17" s="505"/>
      <c r="AO17" s="505" t="str">
        <f>IF(AND(HOUR(AM17)=(HOUR($AM$1)),(HOUR(AM18)=(HOUR($AM$1)))),IF(AND(MINUTE($AM$1)-MINUTE(AM17)&gt;=0,(MINUTE(AM18)-MINUTE($AM$1)&gt;0)),"Mincorrect","MinFalse"),"Hour False")</f>
        <v>Hour False</v>
      </c>
    </row>
    <row r="18" spans="1:55" ht="19" thickBot="1" x14ac:dyDescent="0.4">
      <c r="A18" s="306"/>
      <c r="B18" s="642" t="str">
        <f>Data!A18</f>
        <v>Graph</v>
      </c>
      <c r="C18" s="643"/>
      <c r="D18" s="643"/>
      <c r="E18" s="643"/>
      <c r="F18" s="644" t="s">
        <v>619</v>
      </c>
      <c r="G18" s="645"/>
      <c r="H18" s="645"/>
      <c r="I18" s="645"/>
      <c r="J18" s="645"/>
      <c r="K18" s="645"/>
      <c r="L18" s="646"/>
      <c r="M18" s="660" t="str">
        <f>Data!M18</f>
        <v>-</v>
      </c>
      <c r="N18" s="650"/>
      <c r="O18" s="650"/>
      <c r="P18" s="661"/>
      <c r="Q18" s="346"/>
      <c r="R18" s="346"/>
      <c r="S18" s="301"/>
      <c r="T18" s="75"/>
      <c r="U18" s="108"/>
      <c r="AM18" s="275">
        <v>0.48194444444444445</v>
      </c>
      <c r="AN18" s="505"/>
      <c r="AO18" s="505"/>
    </row>
    <row r="19" spans="1:55" ht="16" thickBot="1" x14ac:dyDescent="0.4">
      <c r="A19" s="306"/>
      <c r="B19" s="640" t="s">
        <v>247</v>
      </c>
      <c r="C19" s="641"/>
      <c r="D19" s="641"/>
      <c r="E19" s="641"/>
      <c r="F19" s="641"/>
      <c r="G19" s="641"/>
      <c r="H19" s="641"/>
      <c r="I19" s="641"/>
      <c r="J19" s="641"/>
      <c r="K19" s="638" t="s">
        <v>355</v>
      </c>
      <c r="L19" s="639"/>
      <c r="M19" s="639"/>
      <c r="N19" s="639"/>
      <c r="O19" s="639"/>
      <c r="P19" s="639"/>
      <c r="Q19" s="639"/>
      <c r="R19" s="639"/>
      <c r="S19" s="639"/>
      <c r="T19" s="75"/>
      <c r="U19" s="108"/>
      <c r="AM19" s="275">
        <v>0.48958333333333331</v>
      </c>
      <c r="AN19" s="505"/>
      <c r="AO19" s="505" t="str">
        <f>IF(AND(HOUR(AM19)=(HOUR($AM$1)),(HOUR(AM20)=(HOUR($AM$1)))),IF(AND(MINUTE($AM$1)-MINUTE(AM19)&gt;=0,(MINUTE(AM20)-MINUTE($AM$1)&gt;0)),"Mincorrect","MinFalse"),"Hour False")</f>
        <v>Hour False</v>
      </c>
    </row>
    <row r="20" spans="1:55" ht="15.5" x14ac:dyDescent="0.35">
      <c r="A20" s="306"/>
      <c r="B20" s="396" t="s">
        <v>371</v>
      </c>
      <c r="C20" s="575" t="s">
        <v>564</v>
      </c>
      <c r="D20" s="397" t="s">
        <v>0</v>
      </c>
      <c r="E20" s="397" t="s">
        <v>35</v>
      </c>
      <c r="F20" s="397" t="s">
        <v>2</v>
      </c>
      <c r="G20" s="597" t="s">
        <v>566</v>
      </c>
      <c r="H20" s="397" t="s">
        <v>4</v>
      </c>
      <c r="I20" s="397" t="s">
        <v>369</v>
      </c>
      <c r="J20" s="398" t="s">
        <v>7</v>
      </c>
      <c r="K20" s="598" t="s">
        <v>7</v>
      </c>
      <c r="L20" s="598" t="s">
        <v>370</v>
      </c>
      <c r="M20" s="598" t="s">
        <v>4</v>
      </c>
      <c r="N20" s="599" t="s">
        <v>566</v>
      </c>
      <c r="O20" s="598" t="s">
        <v>2</v>
      </c>
      <c r="P20" s="598" t="s">
        <v>35</v>
      </c>
      <c r="Q20" s="598" t="s">
        <v>0</v>
      </c>
      <c r="R20" s="600" t="s">
        <v>372</v>
      </c>
      <c r="S20" s="601" t="s">
        <v>565</v>
      </c>
      <c r="T20" s="75"/>
      <c r="U20" s="108"/>
      <c r="AM20" s="275">
        <v>0.49236111111111108</v>
      </c>
      <c r="AN20" s="505"/>
      <c r="AO20" s="505"/>
    </row>
    <row r="21" spans="1:55" ht="15.5" x14ac:dyDescent="0.35">
      <c r="A21" s="306"/>
      <c r="B21" s="399" t="e">
        <f t="shared" ref="B21:B26" si="0">1-NORMSDIST(LN($J21/$B$2)/($L21%*SQRT($I$15/365)))</f>
        <v>#VALUE!</v>
      </c>
      <c r="C21" s="400">
        <f>ABS(E21/F21)</f>
        <v>1.7092306158276251</v>
      </c>
      <c r="D21" s="400">
        <f>INDEX(Data!$A$21:$W$101,MATCH(MAX(Data!$B$21:$B$101),Data!$B$21:$B$101,0),2)/100000</f>
        <v>211.87049999999999</v>
      </c>
      <c r="E21" s="400">
        <f>INDEX(Data!$A$21:$W$103,MATCH(LARGE(Data!$B$21:$B$103,2),Data!$B$21:$B$103,0),3)/100000</f>
        <v>-16.97025</v>
      </c>
      <c r="F21" s="401">
        <f>INDEX(Data!$A$21:$W$103,MATCH(LARGE(Data!$B$21:$B$103,2),Data!$B$21:$B$103,0),4)/100000</f>
        <v>9.9285899999999998</v>
      </c>
      <c r="G21" s="401">
        <f>INDEX(Data!$A$21:$W$103,MATCH(LARGE(Data!$B$21:$B$103,2),Data!$B$21:$B$103,0),7)</f>
        <v>-5.45</v>
      </c>
      <c r="H21" s="401">
        <f>G21</f>
        <v>-5.45</v>
      </c>
      <c r="I21" s="401" t="str">
        <f>INDEX(Data!$A$21:$W$103,MATCH(LARGE(Data!$B$21:$B$103,2),Data!$B$21:$B$103,0),5)</f>
        <v>-</v>
      </c>
      <c r="J21" s="401">
        <f>INDEX(Data!$A$21:$W$103,MATCH(LARGE(Data!$B$21:$B$103,2),Data!$B$21:$B$103,0),12)</f>
        <v>12000</v>
      </c>
      <c r="K21" s="402">
        <f>INDEX(Data!$A$21:$W$103,MATCH(LARGE(Data!$V$21:$V$103,2),Data!$V$21:$V$103,0),12)</f>
        <v>11000</v>
      </c>
      <c r="L21" s="402" t="str">
        <f>INDEX(Data!$A$21:$W$103,MATCH(LARGE(Data!$V$21:$V$103,2),Data!$V$21:$V$103,0),19)</f>
        <v>-</v>
      </c>
      <c r="M21" s="402">
        <f>INDEX(Data!$A$21:$W$103,MATCH(LARGE(Data!$V$21:$V$103,2),Data!$V$21:$V$103,0),18)</f>
        <v>0.05</v>
      </c>
      <c r="N21" s="402">
        <f>INDEX(Data!$A$21:$W$103,MATCH(LARGE(Data!$V$21:$V$103,2),Data!$V$21:$V$103,0),17)</f>
        <v>-0.85</v>
      </c>
      <c r="O21" s="402">
        <f>INDEX(Data!$A$21:$W$103,MATCH(LARGE(Data!$V$21:$V$103,2),Data!$V$21:$V$103,0),20)/100000</f>
        <v>0.1207</v>
      </c>
      <c r="P21" s="402">
        <f>INDEX(Data!$A$21:$W$103,MATCH(LARGE(Data!$V$21:$V$103,2),Data!$V$21:$V$103,0),21)/100000</f>
        <v>-0.873</v>
      </c>
      <c r="Q21" s="402">
        <f>INDEX(Data!$A$21:$W$103,MATCH(LARGE(Data!$V$21:$V$103,2),Data!$V$21:$V$103,0),22)/100000</f>
        <v>32.924999999999997</v>
      </c>
      <c r="R21" s="403" t="e">
        <f t="shared" ref="R21:R26" si="1">NORMSDIST(LN($K21/$B$2)/($I21%*SQRT($I$15/365)))</f>
        <v>#VALUE!</v>
      </c>
      <c r="S21" s="576">
        <f>ABS(P21/O21)</f>
        <v>7.2328086164043084</v>
      </c>
      <c r="T21" s="75"/>
      <c r="U21" s="108"/>
      <c r="AL21" s="504"/>
      <c r="AM21" s="275">
        <v>0.5</v>
      </c>
      <c r="AN21" s="505"/>
      <c r="AO21" s="505" t="str">
        <f>IF(AND(HOUR(AM21)=(HOUR($AM$1)),(HOUR(AM22)=(HOUR($AM$1)))),IF(AND(MINUTE($AM$1)-MINUTE(AM21)&gt;=0,(MINUTE(AM22)-MINUTE($AM$1)&gt;0)),"Mincorrect","MinFalse"),"Hour False")</f>
        <v>Hour False</v>
      </c>
    </row>
    <row r="22" spans="1:55" ht="15.5" x14ac:dyDescent="0.35">
      <c r="A22" s="306"/>
      <c r="B22" s="399" t="e">
        <f t="shared" si="0"/>
        <v>#VALUE!</v>
      </c>
      <c r="C22" s="400">
        <f t="shared" ref="C22:C26" si="2">ABS(E22/F22)</f>
        <v>39.861094796194052</v>
      </c>
      <c r="D22" s="400">
        <f>INDEX(Data!$A$21:$W$101,MATCH(LARGE(Data!$B$21:$B$101,2),Data!$B$21:$B$101,0),2)/100000</f>
        <v>36.454500000000003</v>
      </c>
      <c r="E22" s="400">
        <f>INDEX(Data!$A$21:$W$103,MATCH(LARGE(Data!$B$21:$B$103,3),Data!$B$21:$B$103,0),3)/100000</f>
        <v>-6.7867499999999996</v>
      </c>
      <c r="F22" s="401">
        <f>INDEX(Data!$A$21:$W$103,MATCH(LARGE(Data!$B$21:$B$103,3),Data!$B$21:$B$103,0),4)/100000</f>
        <v>0.17025999999999999</v>
      </c>
      <c r="G22" s="401">
        <f>INDEX(Data!$A$21:$W$103,MATCH(LARGE(Data!$B$21:$B$103,3),Data!$B$21:$B$103,0),7)</f>
        <v>-0.5</v>
      </c>
      <c r="H22" s="401">
        <f>INDEX(Data!$A$21:$W$103,MATCH(LARGE(Data!$B$21:$B$103,3),Data!$B$21:$B$103,0),6)</f>
        <v>0.05</v>
      </c>
      <c r="I22" s="401" t="str">
        <f>INDEX(Data!$A$21:$W$103,MATCH(LARGE(Data!$B$21:$B$103,3),Data!$B$21:$B$103,0),5)</f>
        <v>-</v>
      </c>
      <c r="J22" s="401">
        <f>INDEX(Data!$A$21:$W$103,MATCH(LARGE(Data!$B$21:$B$103,3),Data!$B$21:$B$103,0),12)</f>
        <v>12500</v>
      </c>
      <c r="K22" s="402">
        <f>INDEX(Data!$A$21:$W$103,MATCH(LARGE(Data!$V$21:$V$103,3),Data!$V$21:$V$103,0),12)</f>
        <v>11900</v>
      </c>
      <c r="L22" s="402" t="str">
        <f>INDEX(Data!$A$21:$W$101,MATCH(LARGE(Data!$V$21:$V$101,3),Data!$V$21:$V$101,0),19)</f>
        <v>-</v>
      </c>
      <c r="M22" s="402">
        <f>INDEX(Data!$A$21:$W$103,MATCH(LARGE(Data!$V$21:$V$103,3),Data!$V$21:$V$103,0),18)</f>
        <v>0.05</v>
      </c>
      <c r="N22" s="402">
        <f>INDEX(Data!$A$21:$W$103,MATCH(LARGE(Data!$V$21:$V$103,3),Data!$V$21:$V$103,0),17)</f>
        <v>-55.95</v>
      </c>
      <c r="O22" s="402">
        <f>INDEX(Data!$A$21:$W$103,MATCH(LARGE(Data!$V$21:$V$103,3),Data!$V$21:$V$103,0),20)/100000</f>
        <v>9.3073700000000006</v>
      </c>
      <c r="P22" s="402">
        <f>INDEX(Data!$A$21:$W$103,MATCH(LARGE(Data!$V$21:$V$103,3),Data!$V$21:$V$103,0),21)/100000</f>
        <v>19.844999999999999</v>
      </c>
      <c r="Q22" s="402">
        <f>INDEX(Data!$A$21:$W$103,MATCH(LARGE(Data!$V$21:$V$103,3),Data!$V$21:$V$103,0),22)/100000</f>
        <v>31.751999999999999</v>
      </c>
      <c r="R22" s="403" t="e">
        <f t="shared" si="1"/>
        <v>#VALUE!</v>
      </c>
      <c r="S22" s="576">
        <f t="shared" ref="S22:S26" si="3">ABS(P22/O22)</f>
        <v>2.1321812714010506</v>
      </c>
      <c r="T22" s="75"/>
      <c r="U22" s="108"/>
      <c r="AL22" s="504"/>
      <c r="AM22" s="275">
        <v>0.50277777777777777</v>
      </c>
      <c r="AN22" s="505"/>
      <c r="AO22" s="505"/>
    </row>
    <row r="23" spans="1:55" ht="15.5" x14ac:dyDescent="0.35">
      <c r="A23" s="306"/>
      <c r="B23" s="399" t="e">
        <f t="shared" si="0"/>
        <v>#VALUE!</v>
      </c>
      <c r="C23" s="400">
        <f t="shared" si="2"/>
        <v>3.1201657458563536</v>
      </c>
      <c r="D23" s="400">
        <f>INDEX(Data!$A$21:$W$101,MATCH(LARGE(Data!$B$21:$B$101,3),Data!$B$21:$B$101,0),2)/100000</f>
        <v>27.398250000000001</v>
      </c>
      <c r="E23" s="400">
        <f>INDEX(Data!$A$21:$W$103,MATCH(LARGE(Data!$B$21:$B$103,4),Data!$B$21:$B$103,0),3)/100000</f>
        <v>-0.56474999999999997</v>
      </c>
      <c r="F23" s="401">
        <f>INDEX(Data!$A$21:$W$103,MATCH(LARGE(Data!$B$21:$B$103,4),Data!$B$21:$B$103,0),4)/100000</f>
        <v>0.18099999999999999</v>
      </c>
      <c r="G23" s="401">
        <f>INDEX(Data!$A$21:$W$103,MATCH(LARGE(Data!$B$21:$B$103,4),Data!$B$21:$B$103,0),7)</f>
        <v>-0.45</v>
      </c>
      <c r="H23" s="401">
        <f>INDEX(Data!$A$21:$W$103,MATCH(LARGE(Data!$B$21:$B$103,4),Data!$B$21:$B$103,0),6)</f>
        <v>0.05</v>
      </c>
      <c r="I23" s="401" t="str">
        <f>INDEX(Data!$A$21:$W$103,MATCH(LARGE(Data!$B$21:$B$103,4),Data!$B$21:$B$103,0),5)</f>
        <v>-</v>
      </c>
      <c r="J23" s="401">
        <f>INDEX(Data!$A$21:$W$103,MATCH(LARGE(Data!$B$21:$B$103,4),Data!$B$21:$B$103,0),12)</f>
        <v>13000</v>
      </c>
      <c r="K23" s="402">
        <f>INDEX(Data!$A$21:$W$103,MATCH(LARGE(Data!$V$21:$V$103,4),Data!$V$21:$V$103,0),12)</f>
        <v>11800</v>
      </c>
      <c r="L23" s="402" t="str">
        <f>INDEX(Data!$A$21:$W$103,MATCH(LARGE(Data!$V$21:$V$103,4),Data!$V$21:$V$103,0),19)</f>
        <v>-</v>
      </c>
      <c r="M23" s="402">
        <f>INDEX(Data!$A$21:$W$103,MATCH(LARGE(Data!$V$21:$V$103,4),Data!$V$21:$V$103,0),18)</f>
        <v>0.05</v>
      </c>
      <c r="N23" s="402">
        <f>INDEX(Data!$A$21:$W$103,MATCH(LARGE(Data!$V$21:$V$103,4),Data!$V$21:$V$103,0),17)</f>
        <v>-15.45</v>
      </c>
      <c r="O23" s="402">
        <f>INDEX(Data!$A$21:$W$101,MATCH(LARGE(Data!$V$21:$V$101,4),Data!$V$21:$V$101,0),20)/100000</f>
        <v>5.1061100000000001</v>
      </c>
      <c r="P23" s="402">
        <f>INDEX(Data!$A$21:$W$101,MATCH(LARGE(Data!$V$21:$V$101,4),Data!$V$21:$V$101,0),21)/100000</f>
        <v>7.5922499999999999</v>
      </c>
      <c r="Q23" s="402">
        <f>INDEX(Data!$A$21:$W$101,MATCH(LARGE(Data!$V$21:$V$101,4),Data!$V$21:$V$101,0),22)/100000</f>
        <v>28.467749999999999</v>
      </c>
      <c r="R23" s="403" t="e">
        <f t="shared" si="1"/>
        <v>#VALUE!</v>
      </c>
      <c r="S23" s="576">
        <f t="shared" si="3"/>
        <v>1.4868951119345255</v>
      </c>
      <c r="T23" s="75"/>
      <c r="U23" s="108"/>
      <c r="AL23" s="504"/>
      <c r="AM23" s="275">
        <v>0.51041666666666663</v>
      </c>
      <c r="AN23" s="505"/>
      <c r="AO23" s="505" t="str">
        <f>IF(AND(HOUR(AM23)=(HOUR($AM$1)),(HOUR(AM24)=(HOUR($AM$1)))),IF(AND(MINUTE($AM$1)-MINUTE(AM23)&gt;=0,(MINUTE(AM24)-MINUTE($AM$1)&gt;0)),"Mincorrect","MinFalse"),"Hour False")</f>
        <v>Hour False</v>
      </c>
    </row>
    <row r="24" spans="1:55" ht="15.5" x14ac:dyDescent="0.35">
      <c r="A24" s="306"/>
      <c r="B24" s="399" t="e">
        <f t="shared" si="0"/>
        <v>#VALUE!</v>
      </c>
      <c r="C24" s="400">
        <f t="shared" si="2"/>
        <v>8.0324237236934852</v>
      </c>
      <c r="D24" s="400">
        <f>INDEX(Data!$A$21:$W$101,MATCH(LARGE(Data!$B$21:$B$101,4),Data!$B$21:$B$101,0),2)/100000</f>
        <v>20.172750000000001</v>
      </c>
      <c r="E24" s="400">
        <f>INDEX(Data!$A$21:$W$103,MATCH(LARGE(Data!$B$21:$B$103,5),Data!$B$21:$B$103,0),3)/100000</f>
        <v>-3.9885000000000002</v>
      </c>
      <c r="F24" s="401">
        <f>INDEX(Data!$A$21:$W$103,MATCH(LARGE(Data!$B$21:$B$103,5),Data!$B$21:$B$103,0),4)/100000</f>
        <v>0.49654999999999999</v>
      </c>
      <c r="G24" s="401">
        <f>INDEX(Data!$A$21:$W$103,MATCH(LARGE(Data!$B$21:$B$103,5),Data!$B$21:$B$103,0),7)</f>
        <v>-1.05</v>
      </c>
      <c r="H24" s="401">
        <f>INDEX(Data!$A$21:$W$103,MATCH(LARGE(Data!$B$21:$B$103,5),Data!$B$21:$B$103,0),6)</f>
        <v>0.05</v>
      </c>
      <c r="I24" s="401" t="str">
        <f>INDEX(Data!$A$21:$W$103,MATCH(LARGE(Data!$B$21:$B$103,5),Data!$B$21:$B$103,0),5)</f>
        <v>-</v>
      </c>
      <c r="J24" s="401">
        <f>INDEX(Data!$A$21:$W$103,MATCH(LARGE(Data!$B$21:$B$103,5),Data!$B$21:$B$103,0),12)</f>
        <v>12200</v>
      </c>
      <c r="K24" s="402">
        <f>INDEX(Data!$A$21:$W$103,MATCH(LARGE(Data!$V$21:$V$103,5),Data!$V$21:$V$103,0),12)</f>
        <v>11850</v>
      </c>
      <c r="L24" s="402" t="str">
        <f>INDEX(Data!$A$21:$W$103,MATCH(LARGE(Data!$V$21:$V$103,5),Data!$V$21:$V$103,0),19)</f>
        <v>-</v>
      </c>
      <c r="M24" s="402">
        <f>INDEX(Data!$A$21:$W$103,MATCH(LARGE(Data!$V$21:$V$103,5),Data!$V$21:$V$103,0),18)</f>
        <v>0.05</v>
      </c>
      <c r="N24" s="402">
        <f>INDEX(Data!$A$21:$W$103,MATCH(LARGE(Data!$V$21:$V$103,5),Data!$V$21:$V$103,0),17)</f>
        <v>-30.25</v>
      </c>
      <c r="O24" s="402">
        <f>INDEX(Data!$A$21:$W$101,MATCH(LARGE(Data!$V$21:$V$101,5),Data!$V$21:$V$101,0),20)/100000</f>
        <v>4.8117999999999999</v>
      </c>
      <c r="P24" s="402">
        <f>INDEX(Data!$A$21:$W$101,MATCH(LARGE(Data!$V$21:$V$101,5),Data!$V$21:$V$101,0),21)/100000</f>
        <v>11.5185</v>
      </c>
      <c r="Q24" s="402">
        <f>INDEX(Data!$A$21:$W$101,MATCH(LARGE(Data!$V$21:$V$101,5),Data!$V$21:$V$101,0),22)/100000</f>
        <v>19.286999999999999</v>
      </c>
      <c r="R24" s="403" t="e">
        <f t="shared" si="1"/>
        <v>#VALUE!</v>
      </c>
      <c r="S24" s="576">
        <f t="shared" si="3"/>
        <v>2.3938027349432645</v>
      </c>
      <c r="T24" s="75"/>
      <c r="U24" s="108"/>
      <c r="AL24" s="504"/>
      <c r="AM24" s="275">
        <v>0.5131944444444444</v>
      </c>
      <c r="AN24" s="505"/>
      <c r="AO24" s="505"/>
    </row>
    <row r="25" spans="1:55" ht="15.5" x14ac:dyDescent="0.35">
      <c r="A25" s="306"/>
      <c r="B25" s="399" t="e">
        <f t="shared" si="0"/>
        <v>#VALUE!</v>
      </c>
      <c r="C25" s="400">
        <f t="shared" si="2"/>
        <v>9.5383721724868451</v>
      </c>
      <c r="D25" s="400">
        <f>INDEX(Data!$A$21:$W$101,MATCH(LARGE(Data!$B$21:$B$101,5),Data!$B$21:$B$101,0),2)/100000</f>
        <v>18.591750000000001</v>
      </c>
      <c r="E25" s="400">
        <f>INDEX(Data!$A$21:$W$103,MATCH(LARGE(Data!$B$21:$B$103,6),Data!$B$21:$B$103,0),3)/100000</f>
        <v>-1.39575</v>
      </c>
      <c r="F25" s="401">
        <f>INDEX(Data!$A$21:$W$103,MATCH(LARGE(Data!$B$21:$B$103,6),Data!$B$21:$B$103,0),4)/100000</f>
        <v>0.14632999999999999</v>
      </c>
      <c r="G25" s="401">
        <f>INDEX(Data!$A$21:$W$103,MATCH(LARGE(Data!$B$21:$B$103,6),Data!$B$21:$B$103,0),7)</f>
        <v>-0.9</v>
      </c>
      <c r="H25" s="401">
        <f>INDEX(Data!$A$21:$W$103,MATCH(LARGE(Data!$B$21:$B$103,6),Data!$B$21:$B$103,0),6)</f>
        <v>0.05</v>
      </c>
      <c r="I25" s="401" t="str">
        <f>INDEX(Data!$A$21:$W$103,MATCH(LARGE(Data!$B$21:$B$103,6),Data!$B$21:$B$103,0),5)</f>
        <v>-</v>
      </c>
      <c r="J25" s="401">
        <f>INDEX(Data!$A$21:$W$103,MATCH(LARGE(Data!$B$21:$B$103,6),Data!$B$21:$B$103,0),12)</f>
        <v>12300</v>
      </c>
      <c r="K25" s="402">
        <f>INDEX(Data!$A$21:$W$103,MATCH(LARGE(Data!$V$21:$V$103,6),Data!$V$21:$V$103,0),12)</f>
        <v>11700</v>
      </c>
      <c r="L25" s="402" t="str">
        <f>INDEX(Data!$A$21:$W$103,MATCH(LARGE(Data!$V$21:$V$103,6),Data!$V$21:$V$103,0),19)</f>
        <v>-</v>
      </c>
      <c r="M25" s="402">
        <f>INDEX(Data!$A$21:$W$103,MATCH(LARGE(Data!$V$21:$V$103,6),Data!$V$21:$V$103,0),18)</f>
        <v>0.05</v>
      </c>
      <c r="N25" s="402">
        <f>INDEX(Data!$A$21:$W$103,MATCH(LARGE(Data!$V$21:$V$103,6),Data!$V$21:$V$103,0),17)</f>
        <v>-4.05</v>
      </c>
      <c r="O25" s="402">
        <f>INDEX(Data!$A$21:$W$101,MATCH(LARGE(Data!$V$21:$V$101,6),Data!$V$21:$V$101,0),20)/100000</f>
        <v>0.89141999999999999</v>
      </c>
      <c r="P25" s="402">
        <f>INDEX(Data!$A$21:$W$101,MATCH(LARGE(Data!$V$21:$V$101,6),Data!$V$21:$V$101,0),21)/100000</f>
        <v>-3.9045000000000001</v>
      </c>
      <c r="Q25" s="402">
        <f>INDEX(Data!$A$21:$W$101,MATCH(LARGE(Data!$V$21:$V$101,6),Data!$V$21:$V$101,0),22)/100000</f>
        <v>18.579750000000001</v>
      </c>
      <c r="R25" s="403" t="e">
        <f t="shared" si="1"/>
        <v>#VALUE!</v>
      </c>
      <c r="S25" s="576">
        <f t="shared" si="3"/>
        <v>4.3800901931749348</v>
      </c>
      <c r="T25" s="75"/>
      <c r="U25" s="108"/>
      <c r="AL25" s="504"/>
      <c r="AM25" s="275">
        <v>0.52083333333333337</v>
      </c>
      <c r="AN25" s="505"/>
      <c r="AO25" s="505" t="str">
        <f>IF(AND(HOUR(AM25)=(HOUR($AM$1)),(HOUR(AM26)=(HOUR($AM$1)))),IF(AND(MINUTE($AM$1)-MINUTE(AM25)&gt;=0,(MINUTE(AM26)-MINUTE($AM$1)&gt;0)),"Mincorrect","MinFalse"),"Hour False")</f>
        <v>Hour False</v>
      </c>
    </row>
    <row r="26" spans="1:55" ht="15.5" x14ac:dyDescent="0.35">
      <c r="A26" s="306"/>
      <c r="B26" s="399" t="e">
        <f t="shared" si="0"/>
        <v>#VALUE!</v>
      </c>
      <c r="C26" s="400">
        <f t="shared" si="2"/>
        <v>0.85059018807764186</v>
      </c>
      <c r="D26" s="400">
        <f>INDEX(Data!$A$21:$W$101,MATCH(LARGE(Data!$B$21:$B$101,6),Data!$B$21:$B$101,0),2)/100000</f>
        <v>15.906000000000001</v>
      </c>
      <c r="E26" s="400">
        <v>7</v>
      </c>
      <c r="F26" s="401">
        <f>INDEX(Data!$A$21:$W$103,MATCH(LARGE(Data!$B$21:$B$103,7),Data!$B$21:$B$103,0),4)/100000</f>
        <v>8.2295800000000003</v>
      </c>
      <c r="G26" s="401">
        <f>INDEX(Data!$A$21:$W$103,MATCH(LARGE(Data!$B$21:$B$103,7),Data!$B$21:$B$103,0),7)</f>
        <v>-10.199999999999999</v>
      </c>
      <c r="H26" s="401">
        <f>INDEX(Data!$A$21:$W$103,MATCH(LARGE(Data!$B$21:$B$103,7),Data!$B$21:$B$103,0),6)</f>
        <v>0.05</v>
      </c>
      <c r="I26" s="401" t="str">
        <f>INDEX(Data!$A$21:$W$103,MATCH(LARGE(Data!$B$21:$B$103,7),Data!$B$21:$B$103,0),5)</f>
        <v>-</v>
      </c>
      <c r="J26" s="401">
        <f>INDEX(Data!$A$21:$W$103,MATCH(LARGE(Data!$B$21:$B$103,7),Data!$B$21:$B$103,0),12)</f>
        <v>11950</v>
      </c>
      <c r="K26" s="402">
        <f>INDEX(Data!$A$21:$W$103,MATCH(LARGE(Data!$V$21:$V$103,7),Data!$V$21:$V$103,0),12)</f>
        <v>11500</v>
      </c>
      <c r="L26" s="402" t="str">
        <f>INDEX(Data!$A$21:$W$103,MATCH(LARGE(Data!$V$21:$V$103,7),Data!$V$21:$V$103,0),19)</f>
        <v>-</v>
      </c>
      <c r="M26" s="402">
        <f>INDEX(Data!$A$21:$W$103,MATCH(LARGE(Data!$V$21:$V$103,7),Data!$V$21:$V$103,0),18)</f>
        <v>0.05</v>
      </c>
      <c r="N26" s="402">
        <f>INDEX(Data!$A$21:$W$103,MATCH(LARGE(Data!$V$21:$V$103,7),Data!$V$21:$V$103,0),17)</f>
        <v>-1.4</v>
      </c>
      <c r="O26" s="402">
        <f>INDEX(Data!$A$21:$W$101,MATCH(LARGE(Data!$V$21:$V$101,7),Data!$V$21:$V$101,0),20)/100000</f>
        <v>0.21593000000000001</v>
      </c>
      <c r="P26" s="402">
        <f>INDEX(Data!$A$21:$W$101,MATCH(LARGE(Data!$V$21:$V$101,7),Data!$V$21:$V$101,0),21)/100000</f>
        <v>-2.7749999999999999</v>
      </c>
      <c r="Q26" s="402">
        <f>INDEX(Data!$A$21:$W$101,MATCH(LARGE(Data!$V$21:$V$101,7),Data!$V$21:$V$101,0),22)/100000</f>
        <v>16.747499999999999</v>
      </c>
      <c r="R26" s="403" t="e">
        <f t="shared" si="1"/>
        <v>#VALUE!</v>
      </c>
      <c r="S26" s="576">
        <f t="shared" si="3"/>
        <v>12.851387023572453</v>
      </c>
      <c r="T26" s="75"/>
      <c r="U26" s="108"/>
      <c r="AL26" s="504"/>
      <c r="AM26" s="275">
        <v>0.52361111111111114</v>
      </c>
      <c r="AN26" s="505"/>
      <c r="AO26" s="505"/>
    </row>
    <row r="27" spans="1:55" ht="19" thickBot="1" x14ac:dyDescent="0.5">
      <c r="A27" s="306"/>
      <c r="B27" s="395"/>
      <c r="C27" s="388"/>
      <c r="D27" s="389"/>
      <c r="E27" s="390"/>
      <c r="F27" s="391"/>
      <c r="G27" s="392">
        <f>AVERAGE(G21:G26)</f>
        <v>-3.0916666666666663</v>
      </c>
      <c r="H27" s="449">
        <f>AVERAGE(H21:H26)</f>
        <v>-0.86666666666666681</v>
      </c>
      <c r="I27" s="390" t="e">
        <f>AVERAGE(I21:I26)</f>
        <v>#DIV/0!</v>
      </c>
      <c r="J27" s="507">
        <f ca="1">Sheet51!H68</f>
        <v>202.2346774193544</v>
      </c>
      <c r="K27" s="394" t="e">
        <f>AVERAGE(L21:L26)</f>
        <v>#DIV/0!</v>
      </c>
      <c r="L27" s="393" t="e">
        <f>AVERAGE(L21:L26)</f>
        <v>#DIV/0!</v>
      </c>
      <c r="M27" s="394">
        <f>AVERAGE(M21:M26)</f>
        <v>4.9999999999999996E-2</v>
      </c>
      <c r="N27" s="394">
        <f>AVERAGE(N21:N26)</f>
        <v>-17.991666666666667</v>
      </c>
      <c r="O27" s="390"/>
      <c r="P27" s="395"/>
      <c r="Q27" s="395"/>
      <c r="R27" s="395"/>
      <c r="S27" s="395"/>
      <c r="T27" s="75"/>
      <c r="U27" s="108"/>
      <c r="AL27" s="504"/>
      <c r="AM27" s="275">
        <v>0.53125</v>
      </c>
      <c r="AN27" s="504"/>
      <c r="AO27" s="505" t="str">
        <f>IF(AND(HOUR(AM27)=(HOUR($AM$1)),(HOUR(AM28)=(HOUR($AM$1)))),IF(AND(MINUTE($AM$1)-MINUTE(AM27)&gt;=0,(MINUTE(AM28)-MINUTE($AM$1)&gt;0)),"Mincorrect","MinFalse"),"Hour False")</f>
        <v>Hour False</v>
      </c>
    </row>
    <row r="28" spans="1:55" ht="15" thickBot="1" x14ac:dyDescent="0.4">
      <c r="A28" s="306"/>
      <c r="B28" s="306"/>
      <c r="C28" s="306"/>
      <c r="D28" s="306"/>
      <c r="E28" s="306"/>
      <c r="F28" s="306"/>
      <c r="G28" s="306"/>
      <c r="H28" s="306"/>
      <c r="I28" s="306"/>
      <c r="J28" s="306"/>
      <c r="K28" s="306"/>
      <c r="L28" s="306"/>
      <c r="M28" s="306"/>
      <c r="N28" s="306"/>
      <c r="O28" s="306"/>
      <c r="P28" s="306"/>
      <c r="Q28" s="306"/>
      <c r="R28" s="306"/>
      <c r="S28" s="306"/>
      <c r="T28" s="75"/>
      <c r="U28" s="108"/>
      <c r="AL28" s="504"/>
      <c r="AM28" s="275">
        <v>0.53402777777777777</v>
      </c>
      <c r="AN28" s="504"/>
      <c r="AO28" s="505"/>
    </row>
    <row r="29" spans="1:55" ht="15.5" x14ac:dyDescent="0.35">
      <c r="A29" s="306"/>
      <c r="B29" s="608" t="s">
        <v>184</v>
      </c>
      <c r="C29" s="609" t="s">
        <v>185</v>
      </c>
      <c r="D29" s="610" t="s">
        <v>186</v>
      </c>
      <c r="E29" s="610" t="s">
        <v>187</v>
      </c>
      <c r="F29" s="610" t="s">
        <v>188</v>
      </c>
      <c r="G29" s="611" t="s">
        <v>189</v>
      </c>
      <c r="H29" s="610" t="s">
        <v>190</v>
      </c>
      <c r="I29" s="610" t="s">
        <v>191</v>
      </c>
      <c r="J29" s="612" t="s">
        <v>14</v>
      </c>
      <c r="K29" s="613" t="s">
        <v>192</v>
      </c>
      <c r="L29" s="613" t="s">
        <v>193</v>
      </c>
      <c r="M29" s="613" t="s">
        <v>194</v>
      </c>
      <c r="N29" s="614" t="s">
        <v>188</v>
      </c>
      <c r="O29" s="613" t="s">
        <v>187</v>
      </c>
      <c r="P29" s="613" t="s">
        <v>186</v>
      </c>
      <c r="Q29" s="613" t="str">
        <f>C29</f>
        <v>Vega</v>
      </c>
      <c r="R29" s="615" t="str">
        <f>B29</f>
        <v>RHO</v>
      </c>
      <c r="S29" s="305"/>
      <c r="T29" s="75"/>
      <c r="U29" s="108"/>
      <c r="AL29" s="504"/>
      <c r="AM29" s="275">
        <v>0.54166666666666663</v>
      </c>
      <c r="AN29" s="504"/>
      <c r="AO29" s="505" t="str">
        <f>IF(AND(HOUR(AM29)=(HOUR($AM$1)),(HOUR(AM30)=(HOUR($AM$1)))),IF(AND(MINUTE($AM$1)-MINUTE(AM29)&gt;=0,(MINUTE(AM30)-MINUTE($AM$1)&gt;0)),"Mincorrect","MinFalse"),"Hour False")</f>
        <v>Hour False</v>
      </c>
      <c r="AS29" s="303"/>
      <c r="AT29" s="303"/>
      <c r="AU29" s="304" t="s">
        <v>195</v>
      </c>
      <c r="AV29" s="304" t="s">
        <v>196</v>
      </c>
      <c r="AW29" s="304" t="s">
        <v>197</v>
      </c>
      <c r="AX29" s="304" t="s">
        <v>198</v>
      </c>
      <c r="AY29" s="304" t="s">
        <v>199</v>
      </c>
      <c r="AZ29" s="304" t="s">
        <v>200</v>
      </c>
      <c r="BA29" s="304" t="s">
        <v>201</v>
      </c>
      <c r="BB29" s="304" t="s">
        <v>202</v>
      </c>
      <c r="BC29" s="304" t="s">
        <v>203</v>
      </c>
    </row>
    <row r="30" spans="1:55" ht="15.5" x14ac:dyDescent="0.35">
      <c r="A30" s="306"/>
      <c r="B30" s="602" t="e">
        <f t="shared" ref="B30:B48" ca="1" si="4">((((J30*AW30)*EXP(((-1*AU30)*AW30)))*NORMSDIST(AZ30))*EXP(((-1*AX30)*AW30)))/100</f>
        <v>#VALUE!</v>
      </c>
      <c r="C30" s="603" t="e">
        <f t="shared" ref="C30:C48" ca="1" si="5">(((((1/SQRT((2*PI())))*EXP(((-1*POWER(AY30,2))/2)))*EXP(((-1*AW30)*AX30)))*$B$2)*SQRT(AW30))/100</f>
        <v>#VALUE!</v>
      </c>
      <c r="D30" s="604" t="e">
        <f t="shared" ref="D30:D48" ca="1" si="6">((((1/SQRT((2*PI())))*EXP(((-1*POWER(AY30,2))/2)))*EXP(((-1*AW30)*AX30)))/(($B$2*AV30)*SQRT(AW30)))</f>
        <v>#VALUE!</v>
      </c>
      <c r="E30" s="605" t="e">
        <f t="shared" ref="E30:E48" ca="1" si="7">((((-1*(((($B$2*((1/SQRT((2*PI())))*EXP(((-1*POWER(AY30,2))/2))))*AV30)*EXP(((-1*AW30)*AX30)))/(2*SQRT(AW30))))+((AX30*$B$2)*F30))-(((AU30*J30)*EXP(((-1*AU30)*AW30)))*NORMSDIST(AZ30))))/365</f>
        <v>#VALUE!</v>
      </c>
      <c r="F30" s="606" t="e">
        <f t="shared" ref="F30:F48" ca="1" si="8">EXP(((-1*AX30)*AW30))*NORMSDIST(AY30)</f>
        <v>#VALUE!</v>
      </c>
      <c r="G30" s="604" t="e">
        <f t="shared" ref="G30:G48" ca="1" si="9">(($B$2*EXP(((-1*AX30)*AW30)))*NORMSDIST(AY30))-((J30*EXP(((-1*AU30)*AW30)))*NORMSDIST(AZ30))</f>
        <v>#VALUE!</v>
      </c>
      <c r="H30" s="607">
        <f ca="1">IF(Sheet51!$P$18="yes",IF(Sheet51!$P$17="yes",SUMIF(Data!$L$21:'Data'!$L$200,J30,Data!$F$21:'Data'!$F$200),""),"")</f>
        <v>0</v>
      </c>
      <c r="I30" s="589">
        <f ca="1">IF(Sheet51!$P$18="yes",IF(Sheet51!$P$17="yes",SUMIF(Data!$L$21:'Data'!$L$200,J30,Data!$E$21:'Data'!$E$200),""),"")</f>
        <v>0</v>
      </c>
      <c r="J30" s="588" t="e">
        <f>J31-Sheet51!$B$3</f>
        <v>#VALUE!</v>
      </c>
      <c r="K30" s="589">
        <f ca="1">IF(Sheet51!$P$18="yes",IF(Sheet51!$P$17="yes",SUMIF(Data!$L$21:'Data'!$L$200,J30,Data!$S$21:'Data'!$S$200),""),"")</f>
        <v>0</v>
      </c>
      <c r="L30" s="616">
        <f ca="1">IF(Sheet51!$P$18="yes",IF(Sheet51!$P$17="yes",SUMIF(Data!$L$21:'Data'!$L$200,J30,Data!$R$21:'Data'!$R$200),""),"")</f>
        <v>0</v>
      </c>
      <c r="M30" s="617" t="e">
        <f t="shared" ref="M30:M48" ca="1" si="10">((J30*EXP(((-1*AU30)*AW30)))*NORMSDIST((-1*BC30)))-(($B$2*EXP(((-1*AX30)*AW30)))*NORMSDIST((-1*BB30)))</f>
        <v>#VALUE!</v>
      </c>
      <c r="N30" s="617" t="e">
        <f t="shared" ref="N30:N48" ca="1" si="11">EXP(((-1*AX30)*AW30))*((NORMSDIST(BB30))-1)</f>
        <v>#VALUE!</v>
      </c>
      <c r="O30" s="618" t="e">
        <f t="shared" ref="O30:O48" ca="1" si="12">(((((-1*(((($B$2*((1/SQRT((2*PI())))*EXP(((-1*POWER(BB30,2))/2))))*BA30)*EXP(((-1*AW30)*AX30)))))/(2*SQRT(AW30)))-(((AX30*$B$2)*NORMSDIST((-1*BB30)))*EXP(((-1*AW30)*AX30))))+(((AU30*J30)*EXP(((-1*AU30)*AW30)))*NORMSDIST((-1*BC30)))))/365</f>
        <v>#VALUE!</v>
      </c>
      <c r="P30" s="617" t="e">
        <f t="shared" ref="P30:P48" ca="1" si="13">((((1/SQRT((2*PI())))*EXP(((-1*POWER(BB30,2))/2)))*EXP(((-1*AW30)*AX30)))/(($B$2*BA30)*SQRT(AW30)))</f>
        <v>#VALUE!</v>
      </c>
      <c r="Q30" s="619" t="e">
        <f t="shared" ref="Q30:Q48" ca="1" si="14">(((((1/SQRT((2*PI())))*EXP(((-1*POWER(BB30,2))/2)))*EXP(((-1*AW30)*AX30)))*$B$2)*SQRT(AW30))/100</f>
        <v>#VALUE!</v>
      </c>
      <c r="R30" s="619" t="e">
        <f t="shared" ref="R30:R48" ca="1" si="15">(((((-1*J30)*AW30)*EXP(((-1*AU30)*AW30)))*NORMSDIST((-1*BC30)))*EXP(((-1*AX30)*AW30)))/100</f>
        <v>#VALUE!</v>
      </c>
      <c r="S30" s="306"/>
      <c r="T30" s="75"/>
      <c r="U30" s="108"/>
      <c r="AL30" s="504"/>
      <c r="AM30" s="275">
        <v>0.5444444444444444</v>
      </c>
      <c r="AN30" s="504"/>
      <c r="AO30" s="505"/>
      <c r="AS30" s="302" t="e">
        <f t="shared" ref="AS30:AS48" si="16">"CE"&amp;J30</f>
        <v>#VALUE!</v>
      </c>
      <c r="AT30" s="302" t="e">
        <f t="shared" ref="AT30:AT48" si="17">"PE"&amp;J30</f>
        <v>#VALUE!</v>
      </c>
      <c r="AU30" s="302">
        <f t="shared" ref="AU30:AU48" si="18">$I$16/100</f>
        <v>6.3148999999999996E-4</v>
      </c>
      <c r="AV30" s="302">
        <f t="shared" ref="AV30:AV48" ca="1" si="19">I30/100</f>
        <v>0</v>
      </c>
      <c r="AW30" s="302">
        <f t="shared" ref="AW30:AW48" si="20">$I$15/365</f>
        <v>8.21917808219178E-3</v>
      </c>
      <c r="AX30" s="302">
        <f t="shared" ref="AX30:AX48" si="21">$E$8/100</f>
        <v>0</v>
      </c>
      <c r="AY30" s="302" t="e">
        <f t="shared" ref="AY30:AY48" ca="1" si="22">(LN(($B$2/J30))+(((AU30-AX30)+(POWER(AV30,2)/2))*AW30))/(AV30*SQRT(AW30))</f>
        <v>#VALUE!</v>
      </c>
      <c r="AZ30" s="302" t="e">
        <f t="shared" ref="AZ30:AZ48" ca="1" si="23">(LN(($B$2/J30))+(((AU30-AX30)-(POWER(AV30,2)/2))*AW30))/(AV30*SQRT(AW30))</f>
        <v>#VALUE!</v>
      </c>
      <c r="BA30" s="302">
        <f t="shared" ref="BA30:BA48" ca="1" si="24">K30/100</f>
        <v>0</v>
      </c>
      <c r="BB30" s="302" t="e">
        <f t="shared" ref="BB30:BB48" ca="1" si="25">(LN(($B$2/J30))+(((AU30-AX30)+(POWER(BA30,2)/2))*AW30))/(BA30*SQRT(AW30))</f>
        <v>#VALUE!</v>
      </c>
      <c r="BC30" s="302" t="e">
        <f t="shared" ref="BC30:BC48" ca="1" si="26">(LN(($B$2/J30))+(((AU30-AX30)-(POWER(BA30,2)/2))*AW30))/(BA30*SQRT(AW30))</f>
        <v>#VALUE!</v>
      </c>
    </row>
    <row r="31" spans="1:55" ht="15.5" x14ac:dyDescent="0.35">
      <c r="A31" s="306"/>
      <c r="B31" s="602" t="e">
        <f t="shared" ca="1" si="4"/>
        <v>#VALUE!</v>
      </c>
      <c r="C31" s="603" t="e">
        <f t="shared" ca="1" si="5"/>
        <v>#VALUE!</v>
      </c>
      <c r="D31" s="604" t="e">
        <f t="shared" ca="1" si="6"/>
        <v>#VALUE!</v>
      </c>
      <c r="E31" s="605" t="e">
        <f t="shared" ca="1" si="7"/>
        <v>#VALUE!</v>
      </c>
      <c r="F31" s="606" t="e">
        <f t="shared" ca="1" si="8"/>
        <v>#VALUE!</v>
      </c>
      <c r="G31" s="604" t="e">
        <f t="shared" ca="1" si="9"/>
        <v>#VALUE!</v>
      </c>
      <c r="H31" s="607">
        <f ca="1">IF(Sheet51!$P$18="yes",IF(Sheet51!$P$17="yes",SUMIF(Data!$L$21:'Data'!$L$200,J31,Data!$F$21:'Data'!$F$200),""),"")</f>
        <v>0</v>
      </c>
      <c r="I31" s="589">
        <f ca="1">IF(Sheet51!$P$18="yes",IF(Sheet51!$P$17="yes",SUMIF(Data!$L$21:'Data'!$L$200,J31,Data!$E$21:'Data'!$E$200),""),"")</f>
        <v>0</v>
      </c>
      <c r="J31" s="588" t="e">
        <f>J32-Sheet51!$B$3</f>
        <v>#VALUE!</v>
      </c>
      <c r="K31" s="589">
        <f ca="1">IF(Sheet51!$P$18="yes",IF(Sheet51!$P$17="yes",SUMIF(Data!$L$21:'Data'!$L$200,J31,Data!$S$21:'Data'!$S$200),""),"")</f>
        <v>0</v>
      </c>
      <c r="L31" s="616">
        <f ca="1">IF(Sheet51!$P$18="yes",IF(Sheet51!$P$17="yes",SUMIF(Data!$L$21:'Data'!$L$200,J31,Data!$R$21:'Data'!$R$200),""),"")</f>
        <v>0</v>
      </c>
      <c r="M31" s="617" t="e">
        <f t="shared" ca="1" si="10"/>
        <v>#VALUE!</v>
      </c>
      <c r="N31" s="618" t="e">
        <f t="shared" ca="1" si="11"/>
        <v>#VALUE!</v>
      </c>
      <c r="O31" s="618" t="e">
        <f t="shared" ca="1" si="12"/>
        <v>#VALUE!</v>
      </c>
      <c r="P31" s="618" t="e">
        <f t="shared" ca="1" si="13"/>
        <v>#VALUE!</v>
      </c>
      <c r="Q31" s="619" t="e">
        <f t="shared" ca="1" si="14"/>
        <v>#VALUE!</v>
      </c>
      <c r="R31" s="619" t="e">
        <f t="shared" ca="1" si="15"/>
        <v>#VALUE!</v>
      </c>
      <c r="S31" s="306"/>
      <c r="T31" s="75"/>
      <c r="U31" s="108"/>
      <c r="AL31" s="504"/>
      <c r="AM31" s="275">
        <v>0.55208333333333337</v>
      </c>
      <c r="AN31" s="504"/>
      <c r="AO31" s="505" t="str">
        <f>IF(AND(HOUR(AM31)=(HOUR($AM$1)),(HOUR(AM32)=(HOUR($AM$1)))),IF(AND(MINUTE($AM$1)-MINUTE(AM31)&gt;=0,(MINUTE(AM32)-MINUTE($AM$1)&gt;0)),"Mincorrect","MinFalse"),"Hour False")</f>
        <v>Hour False</v>
      </c>
      <c r="AS31" s="302" t="e">
        <f t="shared" si="16"/>
        <v>#VALUE!</v>
      </c>
      <c r="AT31" s="302" t="e">
        <f t="shared" si="17"/>
        <v>#VALUE!</v>
      </c>
      <c r="AU31" s="302">
        <f t="shared" si="18"/>
        <v>6.3148999999999996E-4</v>
      </c>
      <c r="AV31" s="302">
        <f t="shared" ca="1" si="19"/>
        <v>0</v>
      </c>
      <c r="AW31" s="302">
        <f t="shared" si="20"/>
        <v>8.21917808219178E-3</v>
      </c>
      <c r="AX31" s="302">
        <f t="shared" si="21"/>
        <v>0</v>
      </c>
      <c r="AY31" s="302" t="e">
        <f t="shared" ca="1" si="22"/>
        <v>#VALUE!</v>
      </c>
      <c r="AZ31" s="302" t="e">
        <f t="shared" ca="1" si="23"/>
        <v>#VALUE!</v>
      </c>
      <c r="BA31" s="302">
        <f t="shared" ca="1" si="24"/>
        <v>0</v>
      </c>
      <c r="BB31" s="302" t="e">
        <f t="shared" ca="1" si="25"/>
        <v>#VALUE!</v>
      </c>
      <c r="BC31" s="302" t="e">
        <f t="shared" ca="1" si="26"/>
        <v>#VALUE!</v>
      </c>
    </row>
    <row r="32" spans="1:55" ht="15.5" x14ac:dyDescent="0.35">
      <c r="A32" s="306"/>
      <c r="B32" s="602" t="e">
        <f t="shared" ca="1" si="4"/>
        <v>#VALUE!</v>
      </c>
      <c r="C32" s="603" t="e">
        <f t="shared" ca="1" si="5"/>
        <v>#VALUE!</v>
      </c>
      <c r="D32" s="604" t="e">
        <f t="shared" ca="1" si="6"/>
        <v>#VALUE!</v>
      </c>
      <c r="E32" s="605" t="e">
        <f t="shared" ca="1" si="7"/>
        <v>#VALUE!</v>
      </c>
      <c r="F32" s="606" t="e">
        <f t="shared" ca="1" si="8"/>
        <v>#VALUE!</v>
      </c>
      <c r="G32" s="604" t="e">
        <f t="shared" ca="1" si="9"/>
        <v>#VALUE!</v>
      </c>
      <c r="H32" s="607">
        <f ca="1">IF(Sheet51!$P$18="yes",IF(Sheet51!$P$17="yes",SUMIF(Data!$L$21:'Data'!$L$200,J32,Data!$F$21:'Data'!$F$200),""),"")</f>
        <v>0</v>
      </c>
      <c r="I32" s="589">
        <f ca="1">IF(Sheet51!$P$18="yes",IF(Sheet51!$P$17="yes",SUMIF(Data!$L$21:'Data'!$L$200,J32,Data!$E$21:'Data'!$E$200),""),"")</f>
        <v>0</v>
      </c>
      <c r="J32" s="588" t="e">
        <f>J33-Sheet51!$B$3</f>
        <v>#VALUE!</v>
      </c>
      <c r="K32" s="589">
        <f ca="1">IF(Sheet51!$P$18="yes",IF(Sheet51!$P$17="yes",SUMIF(Data!$L$21:'Data'!$L$200,J32,Data!$S$21:'Data'!$S$200),""),"")</f>
        <v>0</v>
      </c>
      <c r="L32" s="616">
        <f ca="1">IF(Sheet51!$P$18="yes",IF(Sheet51!$P$17="yes",SUMIF(Data!$L$21:'Data'!$L$200,J32,Data!$R$21:'Data'!$R$200),""),"")</f>
        <v>0</v>
      </c>
      <c r="M32" s="617" t="e">
        <f t="shared" ca="1" si="10"/>
        <v>#VALUE!</v>
      </c>
      <c r="N32" s="617" t="e">
        <f t="shared" ca="1" si="11"/>
        <v>#VALUE!</v>
      </c>
      <c r="O32" s="618" t="e">
        <f t="shared" ca="1" si="12"/>
        <v>#VALUE!</v>
      </c>
      <c r="P32" s="617" t="e">
        <f t="shared" ca="1" si="13"/>
        <v>#VALUE!</v>
      </c>
      <c r="Q32" s="619" t="e">
        <f t="shared" ca="1" si="14"/>
        <v>#VALUE!</v>
      </c>
      <c r="R32" s="619" t="e">
        <f t="shared" ca="1" si="15"/>
        <v>#VALUE!</v>
      </c>
      <c r="S32" s="306"/>
      <c r="T32" s="75"/>
      <c r="U32" s="108"/>
      <c r="AL32" s="504"/>
      <c r="AM32" s="275">
        <v>0.55486111111111114</v>
      </c>
      <c r="AN32" s="504"/>
      <c r="AO32" s="505"/>
      <c r="AS32" s="302" t="e">
        <f t="shared" si="16"/>
        <v>#VALUE!</v>
      </c>
      <c r="AT32" s="302" t="e">
        <f t="shared" si="17"/>
        <v>#VALUE!</v>
      </c>
      <c r="AU32" s="302">
        <f t="shared" si="18"/>
        <v>6.3148999999999996E-4</v>
      </c>
      <c r="AV32" s="302">
        <f t="shared" ca="1" si="19"/>
        <v>0</v>
      </c>
      <c r="AW32" s="302">
        <f t="shared" si="20"/>
        <v>8.21917808219178E-3</v>
      </c>
      <c r="AX32" s="302">
        <f t="shared" si="21"/>
        <v>0</v>
      </c>
      <c r="AY32" s="302" t="e">
        <f t="shared" ca="1" si="22"/>
        <v>#VALUE!</v>
      </c>
      <c r="AZ32" s="302" t="e">
        <f t="shared" ca="1" si="23"/>
        <v>#VALUE!</v>
      </c>
      <c r="BA32" s="302">
        <f t="shared" ca="1" si="24"/>
        <v>0</v>
      </c>
      <c r="BB32" s="302" t="e">
        <f t="shared" ca="1" si="25"/>
        <v>#VALUE!</v>
      </c>
      <c r="BC32" s="302" t="e">
        <f t="shared" ca="1" si="26"/>
        <v>#VALUE!</v>
      </c>
    </row>
    <row r="33" spans="1:55" ht="15.5" x14ac:dyDescent="0.35">
      <c r="A33" s="306"/>
      <c r="B33" s="602" t="e">
        <f t="shared" ca="1" si="4"/>
        <v>#VALUE!</v>
      </c>
      <c r="C33" s="603" t="e">
        <f t="shared" ca="1" si="5"/>
        <v>#VALUE!</v>
      </c>
      <c r="D33" s="604" t="e">
        <f t="shared" ca="1" si="6"/>
        <v>#VALUE!</v>
      </c>
      <c r="E33" s="605" t="e">
        <f t="shared" ca="1" si="7"/>
        <v>#VALUE!</v>
      </c>
      <c r="F33" s="606" t="e">
        <f t="shared" ca="1" si="8"/>
        <v>#VALUE!</v>
      </c>
      <c r="G33" s="604" t="e">
        <f t="shared" ca="1" si="9"/>
        <v>#VALUE!</v>
      </c>
      <c r="H33" s="607">
        <f ca="1">IF(Sheet51!$P$18="yes",IF(Sheet51!$P$17="yes",SUMIF(Data!$L$21:'Data'!$L$200,J33,Data!$F$21:'Data'!$F$200),""),"")</f>
        <v>0</v>
      </c>
      <c r="I33" s="589">
        <f ca="1">IF(Sheet51!$P$18="yes",IF(Sheet51!$P$17="yes",SUMIF(Data!$L$21:'Data'!$L$200,J33,Data!$E$21:'Data'!$E$200),""),"")</f>
        <v>0</v>
      </c>
      <c r="J33" s="588" t="e">
        <f>J34-Sheet51!$B$3</f>
        <v>#VALUE!</v>
      </c>
      <c r="K33" s="589">
        <f ca="1">IF(Sheet51!$P$18="yes",IF(Sheet51!$P$17="yes",SUMIF(Data!$L$21:'Data'!$L$200,J33,Data!$S$21:'Data'!$S$200),""),"")</f>
        <v>0</v>
      </c>
      <c r="L33" s="616">
        <f ca="1">IF(Sheet51!$P$18="yes",IF(Sheet51!$P$17="yes",SUMIF(Data!$L$21:'Data'!$L$200,J33,Data!$R$21:'Data'!$R$200),""),"")</f>
        <v>0</v>
      </c>
      <c r="M33" s="617" t="e">
        <f t="shared" ca="1" si="10"/>
        <v>#VALUE!</v>
      </c>
      <c r="N33" s="617" t="e">
        <f t="shared" ca="1" si="11"/>
        <v>#VALUE!</v>
      </c>
      <c r="O33" s="618" t="e">
        <f t="shared" ca="1" si="12"/>
        <v>#VALUE!</v>
      </c>
      <c r="P33" s="617" t="e">
        <f t="shared" ca="1" si="13"/>
        <v>#VALUE!</v>
      </c>
      <c r="Q33" s="619" t="e">
        <f t="shared" ca="1" si="14"/>
        <v>#VALUE!</v>
      </c>
      <c r="R33" s="619" t="e">
        <f t="shared" ca="1" si="15"/>
        <v>#VALUE!</v>
      </c>
      <c r="S33" s="306"/>
      <c r="T33" s="75"/>
      <c r="U33" s="108"/>
      <c r="AL33" s="504"/>
      <c r="AM33" s="275">
        <v>0.5625</v>
      </c>
      <c r="AN33" s="504"/>
      <c r="AO33" s="505" t="str">
        <f>IF(AND(HOUR(AM33)=(HOUR($AM$1)),(HOUR(AM34)=(HOUR($AM$1)))),IF(AND(MINUTE($AM$1)-MINUTE(AM33)&gt;=0,(MINUTE(AM34)-MINUTE($AM$1)&gt;0)),"Mincorrect","MinFalse"),"Hour False")</f>
        <v>Hour False</v>
      </c>
      <c r="AS33" s="302" t="e">
        <f t="shared" si="16"/>
        <v>#VALUE!</v>
      </c>
      <c r="AT33" s="302" t="e">
        <f t="shared" si="17"/>
        <v>#VALUE!</v>
      </c>
      <c r="AU33" s="302">
        <f t="shared" si="18"/>
        <v>6.3148999999999996E-4</v>
      </c>
      <c r="AV33" s="302">
        <f t="shared" ca="1" si="19"/>
        <v>0</v>
      </c>
      <c r="AW33" s="302">
        <f t="shared" si="20"/>
        <v>8.21917808219178E-3</v>
      </c>
      <c r="AX33" s="302">
        <f t="shared" si="21"/>
        <v>0</v>
      </c>
      <c r="AY33" s="302" t="e">
        <f t="shared" ca="1" si="22"/>
        <v>#VALUE!</v>
      </c>
      <c r="AZ33" s="302" t="e">
        <f t="shared" ca="1" si="23"/>
        <v>#VALUE!</v>
      </c>
      <c r="BA33" s="302">
        <f t="shared" ca="1" si="24"/>
        <v>0</v>
      </c>
      <c r="BB33" s="302" t="e">
        <f t="shared" ca="1" si="25"/>
        <v>#VALUE!</v>
      </c>
      <c r="BC33" s="302" t="e">
        <f t="shared" ca="1" si="26"/>
        <v>#VALUE!</v>
      </c>
    </row>
    <row r="34" spans="1:55" ht="15.5" x14ac:dyDescent="0.35">
      <c r="A34" s="306"/>
      <c r="B34" s="602" t="e">
        <f t="shared" ca="1" si="4"/>
        <v>#VALUE!</v>
      </c>
      <c r="C34" s="603" t="e">
        <f t="shared" ca="1" si="5"/>
        <v>#VALUE!</v>
      </c>
      <c r="D34" s="604" t="e">
        <f t="shared" ca="1" si="6"/>
        <v>#VALUE!</v>
      </c>
      <c r="E34" s="605" t="e">
        <f t="shared" ca="1" si="7"/>
        <v>#VALUE!</v>
      </c>
      <c r="F34" s="606" t="e">
        <f t="shared" ca="1" si="8"/>
        <v>#VALUE!</v>
      </c>
      <c r="G34" s="604" t="e">
        <f t="shared" ca="1" si="9"/>
        <v>#VALUE!</v>
      </c>
      <c r="H34" s="607">
        <f ca="1">IF(Sheet51!$P$18="yes",IF(Sheet51!$P$17="yes",SUMIF(Data!$L$21:'Data'!$L$200,J34,Data!$F$21:'Data'!$F$200),""),"")</f>
        <v>0</v>
      </c>
      <c r="I34" s="589">
        <f ca="1">IF(Sheet51!$P$18="yes",IF(Sheet51!$P$17="yes",SUMIF(Data!$L$21:'Data'!$L$200,J34,Data!$E$21:'Data'!$E$200),""),"")</f>
        <v>0</v>
      </c>
      <c r="J34" s="588" t="e">
        <f>J35-Sheet51!$B$3</f>
        <v>#VALUE!</v>
      </c>
      <c r="K34" s="589">
        <f ca="1">IF(Sheet51!$P$18="yes",IF(Sheet51!$P$17="yes",SUMIF(Data!$L$21:'Data'!$L$200,J34,Data!$S$21:'Data'!$S$200),""),"")</f>
        <v>0</v>
      </c>
      <c r="L34" s="616">
        <f ca="1">IF(Sheet51!$P$18="yes",IF(Sheet51!$P$17="yes",SUMIF(Data!$L$21:'Data'!$L$200,J34,Data!$R$21:'Data'!$R$200),""),"")</f>
        <v>0</v>
      </c>
      <c r="M34" s="617" t="e">
        <f t="shared" ca="1" si="10"/>
        <v>#VALUE!</v>
      </c>
      <c r="N34" s="617" t="e">
        <f t="shared" ca="1" si="11"/>
        <v>#VALUE!</v>
      </c>
      <c r="O34" s="618" t="e">
        <f t="shared" ca="1" si="12"/>
        <v>#VALUE!</v>
      </c>
      <c r="P34" s="617" t="e">
        <f t="shared" ca="1" si="13"/>
        <v>#VALUE!</v>
      </c>
      <c r="Q34" s="619" t="e">
        <f t="shared" ca="1" si="14"/>
        <v>#VALUE!</v>
      </c>
      <c r="R34" s="619" t="e">
        <f t="shared" ca="1" si="15"/>
        <v>#VALUE!</v>
      </c>
      <c r="S34" s="306"/>
      <c r="T34" s="75"/>
      <c r="U34" s="108"/>
      <c r="AL34" s="504"/>
      <c r="AM34" s="275">
        <v>0.56527777777777777</v>
      </c>
      <c r="AN34" s="504"/>
      <c r="AO34" s="505"/>
      <c r="AS34" s="302" t="e">
        <f t="shared" si="16"/>
        <v>#VALUE!</v>
      </c>
      <c r="AT34" s="302" t="e">
        <f t="shared" si="17"/>
        <v>#VALUE!</v>
      </c>
      <c r="AU34" s="302">
        <f t="shared" si="18"/>
        <v>6.3148999999999996E-4</v>
      </c>
      <c r="AV34" s="302">
        <f t="shared" ca="1" si="19"/>
        <v>0</v>
      </c>
      <c r="AW34" s="302">
        <f t="shared" si="20"/>
        <v>8.21917808219178E-3</v>
      </c>
      <c r="AX34" s="302">
        <f t="shared" si="21"/>
        <v>0</v>
      </c>
      <c r="AY34" s="302" t="e">
        <f t="shared" ca="1" si="22"/>
        <v>#VALUE!</v>
      </c>
      <c r="AZ34" s="302" t="e">
        <f t="shared" ca="1" si="23"/>
        <v>#VALUE!</v>
      </c>
      <c r="BA34" s="302">
        <f t="shared" ca="1" si="24"/>
        <v>0</v>
      </c>
      <c r="BB34" s="302" t="e">
        <f t="shared" ca="1" si="25"/>
        <v>#VALUE!</v>
      </c>
      <c r="BC34" s="302" t="e">
        <f t="shared" ca="1" si="26"/>
        <v>#VALUE!</v>
      </c>
    </row>
    <row r="35" spans="1:55" ht="15.5" x14ac:dyDescent="0.35">
      <c r="A35" s="306"/>
      <c r="B35" s="603" t="e">
        <f t="shared" ca="1" si="4"/>
        <v>#VALUE!</v>
      </c>
      <c r="C35" s="603" t="e">
        <f t="shared" ca="1" si="5"/>
        <v>#VALUE!</v>
      </c>
      <c r="D35" s="604" t="e">
        <f t="shared" ca="1" si="6"/>
        <v>#VALUE!</v>
      </c>
      <c r="E35" s="605" t="e">
        <f t="shared" ca="1" si="7"/>
        <v>#VALUE!</v>
      </c>
      <c r="F35" s="606" t="e">
        <f t="shared" ca="1" si="8"/>
        <v>#VALUE!</v>
      </c>
      <c r="G35" s="604" t="e">
        <f t="shared" ca="1" si="9"/>
        <v>#VALUE!</v>
      </c>
      <c r="H35" s="607">
        <f ca="1">IF(Sheet51!$P$18="yes",IF(Sheet51!$P$17="yes",SUMIF(Data!$L$21:'Data'!$L$200,J35,Data!$F$21:'Data'!$F$200),""),"")</f>
        <v>0</v>
      </c>
      <c r="I35" s="589">
        <f ca="1">IF(Sheet51!$P$18="yes",IF(Sheet51!$P$17="yes",SUMIF(Data!$L$21:'Data'!$L$200,J35,Data!$E$21:'Data'!$E$200),""),"")</f>
        <v>0</v>
      </c>
      <c r="J35" s="588" t="e">
        <f>J36-Sheet51!$B$3</f>
        <v>#VALUE!</v>
      </c>
      <c r="K35" s="589">
        <f ca="1">IF(Sheet51!$P$18="yes",IF(Sheet51!$P$17="yes",SUMIF(Data!$L$21:'Data'!$L$200,J35,Data!$S$21:'Data'!$S$200),""),"")</f>
        <v>0</v>
      </c>
      <c r="L35" s="616">
        <f ca="1">IF(Sheet51!$P$18="yes",IF(Sheet51!$P$17="yes",SUMIF(Data!$L$21:'Data'!$L$200,J35,Data!$R$21:'Data'!$R$200),""),"")</f>
        <v>0</v>
      </c>
      <c r="M35" s="617" t="e">
        <f t="shared" ca="1" si="10"/>
        <v>#VALUE!</v>
      </c>
      <c r="N35" s="617" t="e">
        <f t="shared" ca="1" si="11"/>
        <v>#VALUE!</v>
      </c>
      <c r="O35" s="618" t="e">
        <f t="shared" ca="1" si="12"/>
        <v>#VALUE!</v>
      </c>
      <c r="P35" s="617" t="e">
        <f t="shared" ca="1" si="13"/>
        <v>#VALUE!</v>
      </c>
      <c r="Q35" s="619" t="e">
        <f t="shared" ca="1" si="14"/>
        <v>#VALUE!</v>
      </c>
      <c r="R35" s="619" t="e">
        <f t="shared" ca="1" si="15"/>
        <v>#VALUE!</v>
      </c>
      <c r="S35" s="306"/>
      <c r="T35" s="75"/>
      <c r="U35" s="108"/>
      <c r="AL35" s="504"/>
      <c r="AM35" s="275">
        <v>0.57291666666666663</v>
      </c>
      <c r="AN35" s="504"/>
      <c r="AO35" s="505" t="str">
        <f>IF(AND(HOUR(AM35)=(HOUR($AM$1)),(HOUR(AM36)=(HOUR($AM$1)))),IF(AND(MINUTE($AM$1)-MINUTE(AM35)&gt;=0,(MINUTE(AM36)-MINUTE($AM$1)&gt;0)),"Mincorrect","MinFalse"),"Hour False")</f>
        <v>Hour False</v>
      </c>
      <c r="AS35" s="302" t="e">
        <f t="shared" si="16"/>
        <v>#VALUE!</v>
      </c>
      <c r="AT35" s="302" t="e">
        <f t="shared" si="17"/>
        <v>#VALUE!</v>
      </c>
      <c r="AU35" s="302">
        <f t="shared" si="18"/>
        <v>6.3148999999999996E-4</v>
      </c>
      <c r="AV35" s="302">
        <f t="shared" ca="1" si="19"/>
        <v>0</v>
      </c>
      <c r="AW35" s="302">
        <f t="shared" si="20"/>
        <v>8.21917808219178E-3</v>
      </c>
      <c r="AX35" s="302">
        <f t="shared" si="21"/>
        <v>0</v>
      </c>
      <c r="AY35" s="302" t="e">
        <f t="shared" ca="1" si="22"/>
        <v>#VALUE!</v>
      </c>
      <c r="AZ35" s="302" t="e">
        <f t="shared" ca="1" si="23"/>
        <v>#VALUE!</v>
      </c>
      <c r="BA35" s="302">
        <f t="shared" ca="1" si="24"/>
        <v>0</v>
      </c>
      <c r="BB35" s="302" t="e">
        <f t="shared" ca="1" si="25"/>
        <v>#VALUE!</v>
      </c>
      <c r="BC35" s="302" t="e">
        <f t="shared" ca="1" si="26"/>
        <v>#VALUE!</v>
      </c>
    </row>
    <row r="36" spans="1:55" ht="15.5" x14ac:dyDescent="0.35">
      <c r="A36" s="306"/>
      <c r="B36" s="602" t="e">
        <f t="shared" ca="1" si="4"/>
        <v>#VALUE!</v>
      </c>
      <c r="C36" s="603" t="e">
        <f t="shared" ca="1" si="5"/>
        <v>#VALUE!</v>
      </c>
      <c r="D36" s="604" t="e">
        <f t="shared" ca="1" si="6"/>
        <v>#VALUE!</v>
      </c>
      <c r="E36" s="605" t="e">
        <f t="shared" ca="1" si="7"/>
        <v>#VALUE!</v>
      </c>
      <c r="F36" s="606" t="e">
        <f t="shared" ca="1" si="8"/>
        <v>#VALUE!</v>
      </c>
      <c r="G36" s="604" t="e">
        <f t="shared" ca="1" si="9"/>
        <v>#VALUE!</v>
      </c>
      <c r="H36" s="607">
        <f ca="1">IF(Sheet51!$P$18="yes",IF(Sheet51!$P$17="yes",SUMIF(Data!$L$21:'Data'!$L$200,J36,Data!$F$21:'Data'!$F$200),""),"")</f>
        <v>0</v>
      </c>
      <c r="I36" s="589">
        <f ca="1">IF(Sheet51!$P$18="yes",IF(Sheet51!$P$17="yes",SUMIF(Data!$L$21:'Data'!$L$200,J36,Data!$E$21:'Data'!$E$200),""),"")</f>
        <v>0</v>
      </c>
      <c r="J36" s="588" t="e">
        <f>J37-Sheet51!$B$3</f>
        <v>#VALUE!</v>
      </c>
      <c r="K36" s="589">
        <f ca="1">IF(Sheet51!$P$18="yes",IF(Sheet51!$P$17="yes",SUMIF(Data!$L$21:'Data'!$L$200,J36,Data!$S$21:'Data'!$S$200),""),"")</f>
        <v>0</v>
      </c>
      <c r="L36" s="616">
        <f ca="1">IF(Sheet51!$P$18="yes",IF(Sheet51!$P$17="yes",SUMIF(Data!$L$21:'Data'!$L$200,J36,Data!$R$21:'Data'!$R$200),""),"")</f>
        <v>0</v>
      </c>
      <c r="M36" s="617" t="e">
        <f t="shared" ca="1" si="10"/>
        <v>#VALUE!</v>
      </c>
      <c r="N36" s="617" t="e">
        <f t="shared" ca="1" si="11"/>
        <v>#VALUE!</v>
      </c>
      <c r="O36" s="618" t="e">
        <f t="shared" ca="1" si="12"/>
        <v>#VALUE!</v>
      </c>
      <c r="P36" s="617" t="e">
        <f t="shared" ca="1" si="13"/>
        <v>#VALUE!</v>
      </c>
      <c r="Q36" s="619" t="e">
        <f t="shared" ca="1" si="14"/>
        <v>#VALUE!</v>
      </c>
      <c r="R36" s="619" t="e">
        <f t="shared" ca="1" si="15"/>
        <v>#VALUE!</v>
      </c>
      <c r="S36" s="306"/>
      <c r="T36" s="75"/>
      <c r="U36" s="108"/>
      <c r="AL36" s="504"/>
      <c r="AM36" s="275">
        <v>0.5756944444444444</v>
      </c>
      <c r="AN36" s="504"/>
      <c r="AO36" s="505"/>
      <c r="AS36" s="302" t="e">
        <f t="shared" si="16"/>
        <v>#VALUE!</v>
      </c>
      <c r="AT36" s="302" t="e">
        <f t="shared" si="17"/>
        <v>#VALUE!</v>
      </c>
      <c r="AU36" s="302">
        <f t="shared" si="18"/>
        <v>6.3148999999999996E-4</v>
      </c>
      <c r="AV36" s="302">
        <f t="shared" ca="1" si="19"/>
        <v>0</v>
      </c>
      <c r="AW36" s="302">
        <f t="shared" si="20"/>
        <v>8.21917808219178E-3</v>
      </c>
      <c r="AX36" s="302">
        <f t="shared" si="21"/>
        <v>0</v>
      </c>
      <c r="AY36" s="302" t="e">
        <f t="shared" ca="1" si="22"/>
        <v>#VALUE!</v>
      </c>
      <c r="AZ36" s="302" t="e">
        <f t="shared" ca="1" si="23"/>
        <v>#VALUE!</v>
      </c>
      <c r="BA36" s="302">
        <f t="shared" ca="1" si="24"/>
        <v>0</v>
      </c>
      <c r="BB36" s="302" t="e">
        <f t="shared" ca="1" si="25"/>
        <v>#VALUE!</v>
      </c>
      <c r="BC36" s="302" t="e">
        <f t="shared" ca="1" si="26"/>
        <v>#VALUE!</v>
      </c>
    </row>
    <row r="37" spans="1:55" ht="15.5" x14ac:dyDescent="0.35">
      <c r="A37" s="306"/>
      <c r="B37" s="602" t="e">
        <f t="shared" ca="1" si="4"/>
        <v>#VALUE!</v>
      </c>
      <c r="C37" s="603" t="e">
        <f t="shared" ca="1" si="5"/>
        <v>#VALUE!</v>
      </c>
      <c r="D37" s="604" t="e">
        <f t="shared" ca="1" si="6"/>
        <v>#VALUE!</v>
      </c>
      <c r="E37" s="605" t="e">
        <f t="shared" ca="1" si="7"/>
        <v>#VALUE!</v>
      </c>
      <c r="F37" s="606" t="e">
        <f t="shared" ca="1" si="8"/>
        <v>#VALUE!</v>
      </c>
      <c r="G37" s="604" t="e">
        <f t="shared" ca="1" si="9"/>
        <v>#VALUE!</v>
      </c>
      <c r="H37" s="607">
        <f ca="1">IF(Sheet51!$P$18="yes",IF(Sheet51!$P$17="yes",SUMIF(Data!$L$21:'Data'!$L$200,J37,Data!$F$21:'Data'!$F$200),""),"")</f>
        <v>0</v>
      </c>
      <c r="I37" s="589">
        <f ca="1">IF(Sheet51!$P$18="yes",IF(Sheet51!$P$17="yes",SUMIF(Data!$L$21:'Data'!$L$200,J37,Data!$E$21:'Data'!$E$200),""),"")</f>
        <v>0</v>
      </c>
      <c r="J37" s="588" t="e">
        <f>J38-Sheet51!$B$3</f>
        <v>#VALUE!</v>
      </c>
      <c r="K37" s="589">
        <f ca="1">IF(Sheet51!$P$18="yes",IF(Sheet51!$P$17="yes",SUMIF(Data!$L$21:'Data'!$L$200,J37,Data!$S$21:'Data'!$S$200),""),"")</f>
        <v>0</v>
      </c>
      <c r="L37" s="616">
        <f ca="1">IF(Sheet51!$P$18="yes",IF(Sheet51!$P$17="yes",SUMIF(Data!$L$21:'Data'!$L$200,J37,Data!$R$21:'Data'!$R$200),""),"")</f>
        <v>0</v>
      </c>
      <c r="M37" s="617" t="e">
        <f t="shared" ca="1" si="10"/>
        <v>#VALUE!</v>
      </c>
      <c r="N37" s="617" t="e">
        <f t="shared" ca="1" si="11"/>
        <v>#VALUE!</v>
      </c>
      <c r="O37" s="618" t="e">
        <f t="shared" ca="1" si="12"/>
        <v>#VALUE!</v>
      </c>
      <c r="P37" s="617" t="e">
        <f t="shared" ca="1" si="13"/>
        <v>#VALUE!</v>
      </c>
      <c r="Q37" s="619" t="e">
        <f t="shared" ca="1" si="14"/>
        <v>#VALUE!</v>
      </c>
      <c r="R37" s="619" t="e">
        <f t="shared" ca="1" si="15"/>
        <v>#VALUE!</v>
      </c>
      <c r="S37" s="306"/>
      <c r="T37" s="75"/>
      <c r="U37" s="108"/>
      <c r="AL37" s="504"/>
      <c r="AM37" s="275">
        <v>0.58333333333333337</v>
      </c>
      <c r="AN37" s="504"/>
      <c r="AO37" s="505" t="str">
        <f>IF(AND(HOUR(AM37)=(HOUR($AM$1)),(HOUR(AM38)=(HOUR($AM$1)))),IF(AND(MINUTE($AM$1)-MINUTE(AM37)&gt;=0,(MINUTE(AM38)-MINUTE($AM$1)&gt;0)),"Mincorrect","MinFalse"),"Hour False")</f>
        <v>Hour False</v>
      </c>
      <c r="AS37" s="302" t="e">
        <f t="shared" si="16"/>
        <v>#VALUE!</v>
      </c>
      <c r="AT37" s="302" t="e">
        <f t="shared" si="17"/>
        <v>#VALUE!</v>
      </c>
      <c r="AU37" s="302">
        <f t="shared" si="18"/>
        <v>6.3148999999999996E-4</v>
      </c>
      <c r="AV37" s="302">
        <f t="shared" ca="1" si="19"/>
        <v>0</v>
      </c>
      <c r="AW37" s="302">
        <f t="shared" si="20"/>
        <v>8.21917808219178E-3</v>
      </c>
      <c r="AX37" s="302">
        <f t="shared" si="21"/>
        <v>0</v>
      </c>
      <c r="AY37" s="302" t="e">
        <f t="shared" ca="1" si="22"/>
        <v>#VALUE!</v>
      </c>
      <c r="AZ37" s="302" t="e">
        <f t="shared" ca="1" si="23"/>
        <v>#VALUE!</v>
      </c>
      <c r="BA37" s="302">
        <f t="shared" ca="1" si="24"/>
        <v>0</v>
      </c>
      <c r="BB37" s="302" t="e">
        <f t="shared" ca="1" si="25"/>
        <v>#VALUE!</v>
      </c>
      <c r="BC37" s="302" t="e">
        <f t="shared" ca="1" si="26"/>
        <v>#VALUE!</v>
      </c>
    </row>
    <row r="38" spans="1:55" ht="15.5" x14ac:dyDescent="0.35">
      <c r="A38" s="306"/>
      <c r="B38" s="602" t="e">
        <f t="shared" ca="1" si="4"/>
        <v>#VALUE!</v>
      </c>
      <c r="C38" s="603" t="e">
        <f t="shared" ca="1" si="5"/>
        <v>#VALUE!</v>
      </c>
      <c r="D38" s="604" t="e">
        <f t="shared" ca="1" si="6"/>
        <v>#VALUE!</v>
      </c>
      <c r="E38" s="605" t="e">
        <f t="shared" ca="1" si="7"/>
        <v>#VALUE!</v>
      </c>
      <c r="F38" s="606" t="e">
        <f t="shared" ca="1" si="8"/>
        <v>#VALUE!</v>
      </c>
      <c r="G38" s="604" t="e">
        <f t="shared" ca="1" si="9"/>
        <v>#VALUE!</v>
      </c>
      <c r="H38" s="607">
        <f ca="1">IF(Sheet51!$P$18="yes",IF(Sheet51!$P$17="yes",SUMIF(Data!$L$21:'Data'!$L$200,J38,Data!$F$21:'Data'!$F$200),""),"")</f>
        <v>0</v>
      </c>
      <c r="I38" s="589">
        <f ca="1">IF(Sheet51!$P$18="yes",IF(Sheet51!$P$17="yes",SUMIF(Data!$L$21:'Data'!$L$200,J38,Data!$E$21:'Data'!$E$200),""),"")</f>
        <v>0</v>
      </c>
      <c r="J38" s="588" t="e">
        <f>J39-Sheet51!$B$3</f>
        <v>#VALUE!</v>
      </c>
      <c r="K38" s="589">
        <f ca="1">IF(Sheet51!$P$18="yes",IF(Sheet51!$P$17="yes",SUMIF(Data!$L$21:'Data'!$L$200,J38,Data!$S$21:'Data'!$S$200),""),"")</f>
        <v>0</v>
      </c>
      <c r="L38" s="616">
        <f ca="1">IF(Sheet51!$P$18="yes",IF(Sheet51!$P$17="yes",SUMIF(Data!$L$21:'Data'!$L$200,J38,Data!$R$21:'Data'!$R$200),""),"")</f>
        <v>0</v>
      </c>
      <c r="M38" s="617" t="e">
        <f t="shared" ca="1" si="10"/>
        <v>#VALUE!</v>
      </c>
      <c r="N38" s="617" t="e">
        <f t="shared" ca="1" si="11"/>
        <v>#VALUE!</v>
      </c>
      <c r="O38" s="618" t="e">
        <f t="shared" ca="1" si="12"/>
        <v>#VALUE!</v>
      </c>
      <c r="P38" s="617" t="e">
        <f t="shared" ca="1" si="13"/>
        <v>#VALUE!</v>
      </c>
      <c r="Q38" s="619" t="e">
        <f t="shared" ca="1" si="14"/>
        <v>#VALUE!</v>
      </c>
      <c r="R38" s="619" t="e">
        <f t="shared" ca="1" si="15"/>
        <v>#VALUE!</v>
      </c>
      <c r="S38" s="306"/>
      <c r="T38" s="75"/>
      <c r="U38" s="108"/>
      <c r="AL38" s="504"/>
      <c r="AM38" s="275">
        <v>0.58611111111111114</v>
      </c>
      <c r="AN38" s="504"/>
      <c r="AO38" s="505"/>
      <c r="AS38" s="302" t="e">
        <f t="shared" si="16"/>
        <v>#VALUE!</v>
      </c>
      <c r="AT38" s="302" t="e">
        <f t="shared" si="17"/>
        <v>#VALUE!</v>
      </c>
      <c r="AU38" s="302">
        <f t="shared" si="18"/>
        <v>6.3148999999999996E-4</v>
      </c>
      <c r="AV38" s="302">
        <f t="shared" ca="1" si="19"/>
        <v>0</v>
      </c>
      <c r="AW38" s="302">
        <f t="shared" si="20"/>
        <v>8.21917808219178E-3</v>
      </c>
      <c r="AX38" s="302">
        <f t="shared" si="21"/>
        <v>0</v>
      </c>
      <c r="AY38" s="302" t="e">
        <f t="shared" ca="1" si="22"/>
        <v>#VALUE!</v>
      </c>
      <c r="AZ38" s="302" t="e">
        <f t="shared" ca="1" si="23"/>
        <v>#VALUE!</v>
      </c>
      <c r="BA38" s="302">
        <f t="shared" ca="1" si="24"/>
        <v>0</v>
      </c>
      <c r="BB38" s="302" t="e">
        <f t="shared" ca="1" si="25"/>
        <v>#VALUE!</v>
      </c>
      <c r="BC38" s="302" t="e">
        <f t="shared" ca="1" si="26"/>
        <v>#VALUE!</v>
      </c>
    </row>
    <row r="39" spans="1:55" ht="15.5" x14ac:dyDescent="0.35">
      <c r="A39" s="306"/>
      <c r="B39" s="590" t="e">
        <f t="shared" ca="1" si="4"/>
        <v>#VALUE!</v>
      </c>
      <c r="C39" s="591" t="e">
        <f t="shared" ca="1" si="5"/>
        <v>#VALUE!</v>
      </c>
      <c r="D39" s="591" t="e">
        <f t="shared" ca="1" si="6"/>
        <v>#VALUE!</v>
      </c>
      <c r="E39" s="592" t="e">
        <f t="shared" ca="1" si="7"/>
        <v>#VALUE!</v>
      </c>
      <c r="F39" s="591" t="e">
        <f t="shared" ca="1" si="8"/>
        <v>#VALUE!</v>
      </c>
      <c r="G39" s="593" t="e">
        <f t="shared" ca="1" si="9"/>
        <v>#VALUE!</v>
      </c>
      <c r="H39" s="593">
        <f ca="1">IF(Sheet51!$P$18="yes",IF(Sheet51!$P$17="yes",SUMIF(Data!$L$21:'Data'!$L$200,J39,Data!$F$21:'Data'!$F$200),""),"")</f>
        <v>0</v>
      </c>
      <c r="I39" s="594">
        <f ca="1">IF(Sheet51!$P$18="yes",IF(Sheet51!$P$17="yes",SUMIF(Data!$L$21:'Data'!$L$200,J39,Data!$E$21:'Data'!$E$200),""),"")</f>
        <v>0</v>
      </c>
      <c r="J39" s="594" t="e">
        <f>Data!A4</f>
        <v>#VALUE!</v>
      </c>
      <c r="K39" s="594">
        <f ca="1">IF(Sheet51!$P$18="yes",IF(Sheet51!$P$17="yes",SUMIF(Data!$L$21:'Data'!$L$200,J39,Data!$S$21:'Data'!$S$200),""),"")</f>
        <v>0</v>
      </c>
      <c r="L39" s="594">
        <f ca="1">IF(Sheet51!$P$18="yes",IF(Sheet51!$P$17="yes",SUMIF(Data!$L$21:'Data'!$L$200,J39,Data!$R$21:'Data'!$R$200),""),"")</f>
        <v>0</v>
      </c>
      <c r="M39" s="593" t="e">
        <f t="shared" ca="1" si="10"/>
        <v>#VALUE!</v>
      </c>
      <c r="N39" s="591" t="e">
        <f t="shared" ca="1" si="11"/>
        <v>#VALUE!</v>
      </c>
      <c r="O39" s="592" t="e">
        <f t="shared" ca="1" si="12"/>
        <v>#VALUE!</v>
      </c>
      <c r="P39" s="595" t="e">
        <f t="shared" ca="1" si="13"/>
        <v>#VALUE!</v>
      </c>
      <c r="Q39" s="591" t="e">
        <f t="shared" ca="1" si="14"/>
        <v>#VALUE!</v>
      </c>
      <c r="R39" s="596" t="e">
        <f t="shared" ca="1" si="15"/>
        <v>#VALUE!</v>
      </c>
      <c r="S39" s="306"/>
      <c r="T39" s="75"/>
      <c r="U39" s="108"/>
      <c r="AL39" s="504"/>
      <c r="AM39" s="275">
        <v>0.59375</v>
      </c>
      <c r="AN39" s="504"/>
      <c r="AO39" s="505" t="str">
        <f>IF(AND(HOUR(AM39)=(HOUR($AM$1)),(HOUR(AM40)=(HOUR($AM$1)))),IF(AND(MINUTE($AM$1)-MINUTE(AM39)&gt;=0,(MINUTE(AM40)-MINUTE($AM$1)&gt;0)),"Mincorrect","MinFalse"),"Hour False")</f>
        <v>Hour False</v>
      </c>
      <c r="AS39" s="302" t="e">
        <f t="shared" si="16"/>
        <v>#VALUE!</v>
      </c>
      <c r="AT39" s="302" t="e">
        <f t="shared" si="17"/>
        <v>#VALUE!</v>
      </c>
      <c r="AU39" s="302">
        <f t="shared" si="18"/>
        <v>6.3148999999999996E-4</v>
      </c>
      <c r="AV39" s="302">
        <f t="shared" ca="1" si="19"/>
        <v>0</v>
      </c>
      <c r="AW39" s="302">
        <f t="shared" si="20"/>
        <v>8.21917808219178E-3</v>
      </c>
      <c r="AX39" s="302">
        <f t="shared" si="21"/>
        <v>0</v>
      </c>
      <c r="AY39" s="302" t="e">
        <f t="shared" ca="1" si="22"/>
        <v>#VALUE!</v>
      </c>
      <c r="AZ39" s="302" t="e">
        <f t="shared" ca="1" si="23"/>
        <v>#VALUE!</v>
      </c>
      <c r="BA39" s="302">
        <f t="shared" ca="1" si="24"/>
        <v>0</v>
      </c>
      <c r="BB39" s="302" t="e">
        <f t="shared" ca="1" si="25"/>
        <v>#VALUE!</v>
      </c>
      <c r="BC39" s="302" t="e">
        <f t="shared" ca="1" si="26"/>
        <v>#VALUE!</v>
      </c>
    </row>
    <row r="40" spans="1:55" ht="15.5" x14ac:dyDescent="0.35">
      <c r="A40" s="306"/>
      <c r="B40" s="616" t="e">
        <f t="shared" ca="1" si="4"/>
        <v>#VALUE!</v>
      </c>
      <c r="C40" s="617" t="e">
        <f t="shared" ca="1" si="5"/>
        <v>#VALUE!</v>
      </c>
      <c r="D40" s="618" t="e">
        <f t="shared" ca="1" si="6"/>
        <v>#VALUE!</v>
      </c>
      <c r="E40" s="618" t="e">
        <f t="shared" ca="1" si="7"/>
        <v>#VALUE!</v>
      </c>
      <c r="F40" s="617" t="e">
        <f t="shared" ca="1" si="8"/>
        <v>#VALUE!</v>
      </c>
      <c r="G40" s="619" t="e">
        <f t="shared" ca="1" si="9"/>
        <v>#VALUE!</v>
      </c>
      <c r="H40" s="619">
        <f ca="1">IF(Sheet51!$P$18="yes",IF(Sheet51!$P$17="yes",SUMIF(Data!$L$21:'Data'!$L$200,J40,Data!$F$21:'Data'!$F$200),""),"")</f>
        <v>0</v>
      </c>
      <c r="I40" s="589">
        <f ca="1">IF(Sheet51!$P$18="yes",IF(Sheet51!$P$17="yes",SUMIF(Data!$L$21:'Data'!$L$200,J40,Data!$E$21:'Data'!$E$200),""),"")</f>
        <v>0</v>
      </c>
      <c r="J40" s="588" t="e">
        <f>J39+Sheet51!$B$3</f>
        <v>#VALUE!</v>
      </c>
      <c r="K40" s="589">
        <f ca="1">IF(Sheet51!$P$18="yes",IF(Sheet51!$P$17="yes",SUMIF(Data!$L$21:'Data'!$L$200,J40,Data!$S$21:'Data'!$S$200),""),"")</f>
        <v>0</v>
      </c>
      <c r="L40" s="602">
        <f ca="1">IF(Sheet51!$P$18="yes",IF(Sheet51!$P$17="yes",SUMIF(Data!$L$21:'Data'!$L$200,J40,Data!$R$21:'Data'!$R$200),""),"")</f>
        <v>0</v>
      </c>
      <c r="M40" s="603" t="e">
        <f t="shared" ca="1" si="10"/>
        <v>#VALUE!</v>
      </c>
      <c r="N40" s="604" t="e">
        <f t="shared" ca="1" si="11"/>
        <v>#VALUE!</v>
      </c>
      <c r="O40" s="605" t="e">
        <f t="shared" ca="1" si="12"/>
        <v>#VALUE!</v>
      </c>
      <c r="P40" s="606" t="e">
        <f t="shared" ca="1" si="13"/>
        <v>#VALUE!</v>
      </c>
      <c r="Q40" s="604" t="e">
        <f t="shared" ca="1" si="14"/>
        <v>#VALUE!</v>
      </c>
      <c r="R40" s="607" t="e">
        <f t="shared" ca="1" si="15"/>
        <v>#VALUE!</v>
      </c>
      <c r="S40" s="306"/>
      <c r="T40" s="75"/>
      <c r="U40" s="108"/>
      <c r="AL40" s="504"/>
      <c r="AM40" s="275">
        <v>0.59652777777777777</v>
      </c>
      <c r="AN40" s="504"/>
      <c r="AO40" s="505"/>
      <c r="AS40" s="302" t="e">
        <f t="shared" si="16"/>
        <v>#VALUE!</v>
      </c>
      <c r="AT40" s="302" t="e">
        <f t="shared" si="17"/>
        <v>#VALUE!</v>
      </c>
      <c r="AU40" s="302">
        <f t="shared" si="18"/>
        <v>6.3148999999999996E-4</v>
      </c>
      <c r="AV40" s="302">
        <f t="shared" ca="1" si="19"/>
        <v>0</v>
      </c>
      <c r="AW40" s="302">
        <f t="shared" si="20"/>
        <v>8.21917808219178E-3</v>
      </c>
      <c r="AX40" s="302">
        <f t="shared" si="21"/>
        <v>0</v>
      </c>
      <c r="AY40" s="302" t="e">
        <f t="shared" ca="1" si="22"/>
        <v>#VALUE!</v>
      </c>
      <c r="AZ40" s="302" t="e">
        <f t="shared" ca="1" si="23"/>
        <v>#VALUE!</v>
      </c>
      <c r="BA40" s="302">
        <f t="shared" ca="1" si="24"/>
        <v>0</v>
      </c>
      <c r="BB40" s="302" t="e">
        <f t="shared" ca="1" si="25"/>
        <v>#VALUE!</v>
      </c>
      <c r="BC40" s="302" t="e">
        <f t="shared" ca="1" si="26"/>
        <v>#VALUE!</v>
      </c>
    </row>
    <row r="41" spans="1:55" ht="15.5" x14ac:dyDescent="0.35">
      <c r="A41" s="306"/>
      <c r="B41" s="616" t="e">
        <f t="shared" ca="1" si="4"/>
        <v>#VALUE!</v>
      </c>
      <c r="C41" s="617" t="e">
        <f t="shared" ca="1" si="5"/>
        <v>#VALUE!</v>
      </c>
      <c r="D41" s="617" t="e">
        <f t="shared" ca="1" si="6"/>
        <v>#VALUE!</v>
      </c>
      <c r="E41" s="618" t="e">
        <f t="shared" ca="1" si="7"/>
        <v>#VALUE!</v>
      </c>
      <c r="F41" s="618" t="e">
        <f t="shared" ca="1" si="8"/>
        <v>#VALUE!</v>
      </c>
      <c r="G41" s="619" t="e">
        <f t="shared" ca="1" si="9"/>
        <v>#VALUE!</v>
      </c>
      <c r="H41" s="619">
        <f ca="1">IF(Sheet51!$P$18="yes",IF(Sheet51!$P$17="yes",SUMIF(Data!$L$21:'Data'!$L$200,J41,Data!$F$21:'Data'!$F$200),""),"")</f>
        <v>0</v>
      </c>
      <c r="I41" s="589">
        <f ca="1">IF(Sheet51!$P$18="yes",IF(Sheet51!$P$17="yes",SUMIF(Data!$L$21:'Data'!$L$200,J41,Data!$E$21:'Data'!$E$200),""),"")</f>
        <v>0</v>
      </c>
      <c r="J41" s="588" t="e">
        <f>J40+Sheet51!$B$3</f>
        <v>#VALUE!</v>
      </c>
      <c r="K41" s="589">
        <f ca="1">IF(Sheet51!$P$18="yes",IF(Sheet51!$P$17="yes",SUMIF(Data!$L$21:'Data'!$L$200,J41,Data!$S$21:'Data'!$S$200),""),"")</f>
        <v>0</v>
      </c>
      <c r="L41" s="602">
        <f ca="1">IF(Sheet51!$P$18="yes",IF(Sheet51!$P$17="yes",SUMIF(Data!$L$21:'Data'!$L$200,J41,Data!$R$21:'Data'!$R$200),""),"")</f>
        <v>0</v>
      </c>
      <c r="M41" s="603" t="e">
        <f t="shared" ca="1" si="10"/>
        <v>#VALUE!</v>
      </c>
      <c r="N41" s="604" t="e">
        <f t="shared" ca="1" si="11"/>
        <v>#VALUE!</v>
      </c>
      <c r="O41" s="605" t="e">
        <f t="shared" ca="1" si="12"/>
        <v>#VALUE!</v>
      </c>
      <c r="P41" s="606" t="e">
        <f t="shared" ca="1" si="13"/>
        <v>#VALUE!</v>
      </c>
      <c r="Q41" s="604" t="e">
        <f t="shared" ca="1" si="14"/>
        <v>#VALUE!</v>
      </c>
      <c r="R41" s="607" t="e">
        <f t="shared" ca="1" si="15"/>
        <v>#VALUE!</v>
      </c>
      <c r="S41" s="306"/>
      <c r="T41" s="75"/>
      <c r="U41" s="108"/>
      <c r="AL41" s="504"/>
      <c r="AM41" s="275">
        <v>0.60416666666666663</v>
      </c>
      <c r="AN41" s="504"/>
      <c r="AO41" s="505" t="str">
        <f>IF(AND(HOUR(AM41)=(HOUR($AM$1)),(HOUR(AM42)=(HOUR($AM$1)))),IF(AND(MINUTE($AM$1)-MINUTE(AM41)&gt;=0,(MINUTE(AM42)-MINUTE($AM$1)&gt;0)),"Mincorrect","MinFalse"),"Hour False")</f>
        <v>Hour False</v>
      </c>
      <c r="AS41" s="302" t="e">
        <f t="shared" si="16"/>
        <v>#VALUE!</v>
      </c>
      <c r="AT41" s="302" t="e">
        <f t="shared" si="17"/>
        <v>#VALUE!</v>
      </c>
      <c r="AU41" s="302">
        <f t="shared" si="18"/>
        <v>6.3148999999999996E-4</v>
      </c>
      <c r="AV41" s="302">
        <f t="shared" ca="1" si="19"/>
        <v>0</v>
      </c>
      <c r="AW41" s="302">
        <f t="shared" si="20"/>
        <v>8.21917808219178E-3</v>
      </c>
      <c r="AX41" s="302">
        <f t="shared" si="21"/>
        <v>0</v>
      </c>
      <c r="AY41" s="302" t="e">
        <f t="shared" ca="1" si="22"/>
        <v>#VALUE!</v>
      </c>
      <c r="AZ41" s="302" t="e">
        <f t="shared" ca="1" si="23"/>
        <v>#VALUE!</v>
      </c>
      <c r="BA41" s="302">
        <f t="shared" ca="1" si="24"/>
        <v>0</v>
      </c>
      <c r="BB41" s="302" t="e">
        <f t="shared" ca="1" si="25"/>
        <v>#VALUE!</v>
      </c>
      <c r="BC41" s="302" t="e">
        <f t="shared" ca="1" si="26"/>
        <v>#VALUE!</v>
      </c>
    </row>
    <row r="42" spans="1:55" ht="15.5" x14ac:dyDescent="0.35">
      <c r="A42" s="306"/>
      <c r="B42" s="616" t="e">
        <f t="shared" ca="1" si="4"/>
        <v>#VALUE!</v>
      </c>
      <c r="C42" s="617" t="e">
        <f t="shared" ca="1" si="5"/>
        <v>#VALUE!</v>
      </c>
      <c r="D42" s="617" t="e">
        <f t="shared" ca="1" si="6"/>
        <v>#VALUE!</v>
      </c>
      <c r="E42" s="618" t="e">
        <f t="shared" ca="1" si="7"/>
        <v>#VALUE!</v>
      </c>
      <c r="F42" s="617" t="e">
        <f t="shared" ca="1" si="8"/>
        <v>#VALUE!</v>
      </c>
      <c r="G42" s="619" t="e">
        <f t="shared" ca="1" si="9"/>
        <v>#VALUE!</v>
      </c>
      <c r="H42" s="619">
        <f ca="1">IF(Sheet51!$P$18="yes",IF(Sheet51!$P$17="yes",SUMIF(Data!$L$21:'Data'!$L$200,J42,Data!$F$21:'Data'!$F$200),""),"")</f>
        <v>0</v>
      </c>
      <c r="I42" s="589">
        <f ca="1">IF(Sheet51!$P$18="yes",IF(Sheet51!$P$17="yes",SUMIF(Data!$L$21:'Data'!$L$200,J42,Data!$E$21:'Data'!$E$200),""),"")</f>
        <v>0</v>
      </c>
      <c r="J42" s="588" t="e">
        <f>J41+Sheet51!$B$3</f>
        <v>#VALUE!</v>
      </c>
      <c r="K42" s="589">
        <f ca="1">IF(Sheet51!$P$18="yes",IF(Sheet51!$P$17="yes",SUMIF(Data!$L$21:'Data'!$L$200,J42,Data!$S$21:'Data'!$S$200),""),"")</f>
        <v>0</v>
      </c>
      <c r="L42" s="602">
        <f ca="1">IF(Sheet51!$P$18="yes",IF(Sheet51!$P$17="yes",SUMIF(Data!$L$21:'Data'!$L$200,J42,Data!$R$21:'Data'!$R$200),""),"")</f>
        <v>0</v>
      </c>
      <c r="M42" s="603" t="e">
        <f t="shared" ca="1" si="10"/>
        <v>#VALUE!</v>
      </c>
      <c r="N42" s="604" t="e">
        <f t="shared" ca="1" si="11"/>
        <v>#VALUE!</v>
      </c>
      <c r="O42" s="605" t="e">
        <f t="shared" ca="1" si="12"/>
        <v>#VALUE!</v>
      </c>
      <c r="P42" s="606" t="e">
        <f t="shared" ca="1" si="13"/>
        <v>#VALUE!</v>
      </c>
      <c r="Q42" s="604" t="e">
        <f t="shared" ca="1" si="14"/>
        <v>#VALUE!</v>
      </c>
      <c r="R42" s="607" t="e">
        <f t="shared" ca="1" si="15"/>
        <v>#VALUE!</v>
      </c>
      <c r="S42" s="306"/>
      <c r="T42" s="75"/>
      <c r="U42" s="108"/>
      <c r="AL42" s="504"/>
      <c r="AM42" s="275">
        <v>0.6069444444444444</v>
      </c>
      <c r="AN42" s="504"/>
      <c r="AO42" s="505"/>
      <c r="AS42" s="302" t="e">
        <f t="shared" si="16"/>
        <v>#VALUE!</v>
      </c>
      <c r="AT42" s="302" t="e">
        <f t="shared" si="17"/>
        <v>#VALUE!</v>
      </c>
      <c r="AU42" s="302">
        <f t="shared" si="18"/>
        <v>6.3148999999999996E-4</v>
      </c>
      <c r="AV42" s="302">
        <f t="shared" ca="1" si="19"/>
        <v>0</v>
      </c>
      <c r="AW42" s="302">
        <f t="shared" si="20"/>
        <v>8.21917808219178E-3</v>
      </c>
      <c r="AX42" s="302">
        <f t="shared" si="21"/>
        <v>0</v>
      </c>
      <c r="AY42" s="302" t="e">
        <f t="shared" ca="1" si="22"/>
        <v>#VALUE!</v>
      </c>
      <c r="AZ42" s="302" t="e">
        <f t="shared" ca="1" si="23"/>
        <v>#VALUE!</v>
      </c>
      <c r="BA42" s="302">
        <f t="shared" ca="1" si="24"/>
        <v>0</v>
      </c>
      <c r="BB42" s="302" t="e">
        <f t="shared" ca="1" si="25"/>
        <v>#VALUE!</v>
      </c>
      <c r="BC42" s="302" t="e">
        <f t="shared" ca="1" si="26"/>
        <v>#VALUE!</v>
      </c>
    </row>
    <row r="43" spans="1:55" ht="15.5" x14ac:dyDescent="0.35">
      <c r="A43" s="306"/>
      <c r="B43" s="616" t="e">
        <f t="shared" ca="1" si="4"/>
        <v>#VALUE!</v>
      </c>
      <c r="C43" s="617" t="e">
        <f t="shared" ca="1" si="5"/>
        <v>#VALUE!</v>
      </c>
      <c r="D43" s="617" t="e">
        <f t="shared" ca="1" si="6"/>
        <v>#VALUE!</v>
      </c>
      <c r="E43" s="618" t="e">
        <f t="shared" ca="1" si="7"/>
        <v>#VALUE!</v>
      </c>
      <c r="F43" s="617" t="e">
        <f t="shared" ca="1" si="8"/>
        <v>#VALUE!</v>
      </c>
      <c r="G43" s="619" t="e">
        <f t="shared" ca="1" si="9"/>
        <v>#VALUE!</v>
      </c>
      <c r="H43" s="619">
        <f ca="1">IF(Sheet51!$P$18="yes",IF(Sheet51!$P$17="yes",SUMIF(Data!$L$21:'Data'!$L$200,J43,Data!$F$21:'Data'!$F$200),""),"")</f>
        <v>0</v>
      </c>
      <c r="I43" s="589">
        <f ca="1">IF(Sheet51!$P$18="yes",IF(Sheet51!$P$17="yes",SUMIF(Data!$L$21:'Data'!$L$200,J43,Data!$E$21:'Data'!$E$200),""),"")</f>
        <v>0</v>
      </c>
      <c r="J43" s="588" t="e">
        <f>J42+Sheet51!$B$3</f>
        <v>#VALUE!</v>
      </c>
      <c r="K43" s="589">
        <f ca="1">IF(Sheet51!$P$18="yes",IF(Sheet51!$P$17="yes",SUMIF(Data!$L$21:'Data'!$L$200,J43,Data!$S$21:'Data'!$S$200),""),"")</f>
        <v>0</v>
      </c>
      <c r="L43" s="602">
        <f ca="1">IF(Sheet51!$P$18="yes",IF(Sheet51!$P$17="yes",SUMIF(Data!$L$21:'Data'!$L$200,J43,Data!$R$21:'Data'!$R$200),""),"")</f>
        <v>0</v>
      </c>
      <c r="M43" s="603" t="e">
        <f t="shared" ca="1" si="10"/>
        <v>#VALUE!</v>
      </c>
      <c r="N43" s="604" t="e">
        <f t="shared" ca="1" si="11"/>
        <v>#VALUE!</v>
      </c>
      <c r="O43" s="605" t="e">
        <f t="shared" ca="1" si="12"/>
        <v>#VALUE!</v>
      </c>
      <c r="P43" s="606" t="e">
        <f t="shared" ca="1" si="13"/>
        <v>#VALUE!</v>
      </c>
      <c r="Q43" s="604" t="e">
        <f t="shared" ca="1" si="14"/>
        <v>#VALUE!</v>
      </c>
      <c r="R43" s="607" t="e">
        <f t="shared" ca="1" si="15"/>
        <v>#VALUE!</v>
      </c>
      <c r="S43" s="306"/>
      <c r="T43" s="75"/>
      <c r="U43" s="108"/>
      <c r="AL43" s="504"/>
      <c r="AM43" s="275">
        <v>0.61458333333333337</v>
      </c>
      <c r="AN43" s="504"/>
      <c r="AO43" s="505" t="str">
        <f>IF(AND(HOUR(AM43)=(HOUR($AM$1)),(HOUR(AM44)=(HOUR($AM$1)))),IF(AND(MINUTE($AM$1)-MINUTE(AM43)&gt;=0,(MINUTE(AM44)-MINUTE($AM$1)&gt;0)),"Mincorrect","MinFalse"),"Hour False")</f>
        <v>Hour False</v>
      </c>
      <c r="AS43" s="302" t="e">
        <f t="shared" si="16"/>
        <v>#VALUE!</v>
      </c>
      <c r="AT43" s="302" t="e">
        <f t="shared" si="17"/>
        <v>#VALUE!</v>
      </c>
      <c r="AU43" s="302">
        <f t="shared" si="18"/>
        <v>6.3148999999999996E-4</v>
      </c>
      <c r="AV43" s="302">
        <f t="shared" ca="1" si="19"/>
        <v>0</v>
      </c>
      <c r="AW43" s="302">
        <f t="shared" si="20"/>
        <v>8.21917808219178E-3</v>
      </c>
      <c r="AX43" s="302">
        <f t="shared" si="21"/>
        <v>0</v>
      </c>
      <c r="AY43" s="302" t="e">
        <f t="shared" ca="1" si="22"/>
        <v>#VALUE!</v>
      </c>
      <c r="AZ43" s="302" t="e">
        <f t="shared" ca="1" si="23"/>
        <v>#VALUE!</v>
      </c>
      <c r="BA43" s="302">
        <f t="shared" ca="1" si="24"/>
        <v>0</v>
      </c>
      <c r="BB43" s="302" t="e">
        <f t="shared" ca="1" si="25"/>
        <v>#VALUE!</v>
      </c>
      <c r="BC43" s="302" t="e">
        <f t="shared" ca="1" si="26"/>
        <v>#VALUE!</v>
      </c>
    </row>
    <row r="44" spans="1:55" ht="15.5" x14ac:dyDescent="0.35">
      <c r="A44" s="306"/>
      <c r="B44" s="616" t="e">
        <f t="shared" ca="1" si="4"/>
        <v>#VALUE!</v>
      </c>
      <c r="C44" s="617" t="e">
        <f t="shared" ca="1" si="5"/>
        <v>#VALUE!</v>
      </c>
      <c r="D44" s="617" t="e">
        <f t="shared" ca="1" si="6"/>
        <v>#VALUE!</v>
      </c>
      <c r="E44" s="618" t="e">
        <f t="shared" ca="1" si="7"/>
        <v>#VALUE!</v>
      </c>
      <c r="F44" s="617" t="e">
        <f t="shared" ca="1" si="8"/>
        <v>#VALUE!</v>
      </c>
      <c r="G44" s="619" t="e">
        <f t="shared" ca="1" si="9"/>
        <v>#VALUE!</v>
      </c>
      <c r="H44" s="619">
        <f ca="1">IF(Sheet51!$P$18="yes",IF(Sheet51!$P$17="yes",SUMIF(Data!$L$21:'Data'!$L$200,J44,Data!$F$21:'Data'!$F$200),""),"")</f>
        <v>0</v>
      </c>
      <c r="I44" s="589">
        <f ca="1">IF(Sheet51!$P$18="yes",IF(Sheet51!$P$17="yes",SUMIF(Data!$L$21:'Data'!$L$200,J44,Data!$E$21:'Data'!$E$200),""),"")</f>
        <v>0</v>
      </c>
      <c r="J44" s="588" t="e">
        <f>J43+Sheet51!$B$3</f>
        <v>#VALUE!</v>
      </c>
      <c r="K44" s="589">
        <f ca="1">IF(Sheet51!$P$18="yes",IF(Sheet51!$P$17="yes",SUMIF(Data!$L$21:'Data'!$L$200,J44,Data!$S$21:'Data'!$S$200),""),"")</f>
        <v>0</v>
      </c>
      <c r="L44" s="602">
        <f ca="1">IF(Sheet51!$P$18="yes",IF(Sheet51!$P$17="yes",SUMIF(Data!$L$21:'Data'!$L$200,J44,Data!$R$21:'Data'!$R$200),""),"")</f>
        <v>0</v>
      </c>
      <c r="M44" s="603" t="e">
        <f t="shared" ca="1" si="10"/>
        <v>#VALUE!</v>
      </c>
      <c r="N44" s="604" t="e">
        <f t="shared" ca="1" si="11"/>
        <v>#VALUE!</v>
      </c>
      <c r="O44" s="605" t="e">
        <f t="shared" ca="1" si="12"/>
        <v>#VALUE!</v>
      </c>
      <c r="P44" s="606" t="e">
        <f t="shared" ca="1" si="13"/>
        <v>#VALUE!</v>
      </c>
      <c r="Q44" s="604" t="e">
        <f t="shared" ca="1" si="14"/>
        <v>#VALUE!</v>
      </c>
      <c r="R44" s="607" t="e">
        <f t="shared" ca="1" si="15"/>
        <v>#VALUE!</v>
      </c>
      <c r="S44" s="306"/>
      <c r="T44" s="75"/>
      <c r="U44" s="108"/>
      <c r="AL44" s="504"/>
      <c r="AM44" s="275">
        <v>0.61736111111111114</v>
      </c>
      <c r="AN44" s="504"/>
      <c r="AO44" s="505"/>
      <c r="AS44" s="302" t="e">
        <f t="shared" si="16"/>
        <v>#VALUE!</v>
      </c>
      <c r="AT44" s="302" t="e">
        <f t="shared" si="17"/>
        <v>#VALUE!</v>
      </c>
      <c r="AU44" s="302">
        <f t="shared" si="18"/>
        <v>6.3148999999999996E-4</v>
      </c>
      <c r="AV44" s="302">
        <f t="shared" ca="1" si="19"/>
        <v>0</v>
      </c>
      <c r="AW44" s="302">
        <f t="shared" si="20"/>
        <v>8.21917808219178E-3</v>
      </c>
      <c r="AX44" s="302">
        <f t="shared" si="21"/>
        <v>0</v>
      </c>
      <c r="AY44" s="302" t="e">
        <f t="shared" ca="1" si="22"/>
        <v>#VALUE!</v>
      </c>
      <c r="AZ44" s="302" t="e">
        <f t="shared" ca="1" si="23"/>
        <v>#VALUE!</v>
      </c>
      <c r="BA44" s="302">
        <f t="shared" ca="1" si="24"/>
        <v>0</v>
      </c>
      <c r="BB44" s="302" t="e">
        <f t="shared" ca="1" si="25"/>
        <v>#VALUE!</v>
      </c>
      <c r="BC44" s="302" t="e">
        <f t="shared" ca="1" si="26"/>
        <v>#VALUE!</v>
      </c>
    </row>
    <row r="45" spans="1:55" ht="15.5" x14ac:dyDescent="0.35">
      <c r="A45" s="306"/>
      <c r="B45" s="616" t="e">
        <f t="shared" ca="1" si="4"/>
        <v>#VALUE!</v>
      </c>
      <c r="C45" s="617" t="e">
        <f t="shared" ca="1" si="5"/>
        <v>#VALUE!</v>
      </c>
      <c r="D45" s="617" t="e">
        <f t="shared" ca="1" si="6"/>
        <v>#VALUE!</v>
      </c>
      <c r="E45" s="618" t="e">
        <f t="shared" ca="1" si="7"/>
        <v>#VALUE!</v>
      </c>
      <c r="F45" s="617" t="e">
        <f t="shared" ca="1" si="8"/>
        <v>#VALUE!</v>
      </c>
      <c r="G45" s="619" t="e">
        <f t="shared" ca="1" si="9"/>
        <v>#VALUE!</v>
      </c>
      <c r="H45" s="619">
        <f ca="1">IF(Sheet51!$P$18="yes",IF(Sheet51!$P$17="yes",SUMIF(Data!$L$21:'Data'!$L$200,J45,Data!$F$21:'Data'!$F$200),""),"")</f>
        <v>0</v>
      </c>
      <c r="I45" s="589">
        <f ca="1">IF(Sheet51!$P$18="yes",IF(Sheet51!$P$17="yes",SUMIF(Data!$L$21:'Data'!$L$200,J45,Data!$E$21:'Data'!$E$200),""),"")</f>
        <v>0</v>
      </c>
      <c r="J45" s="588" t="e">
        <f>J44+Sheet51!$B$3</f>
        <v>#VALUE!</v>
      </c>
      <c r="K45" s="589">
        <f ca="1">IF(Sheet51!$P$18="yes",IF(Sheet51!$P$17="yes",SUMIF(Data!$L$21:'Data'!$L$200,J45,Data!$S$21:'Data'!$S$200),""),"")</f>
        <v>0</v>
      </c>
      <c r="L45" s="603">
        <f ca="1">IF(Sheet51!$P$18="yes",IF(Sheet51!$P$17="yes",SUMIF(Data!$L$21:'Data'!$L$200,J45,Data!$R$21:'Data'!$R$200),""),"")</f>
        <v>0</v>
      </c>
      <c r="M45" s="603" t="e">
        <f t="shared" ca="1" si="10"/>
        <v>#VALUE!</v>
      </c>
      <c r="N45" s="604" t="e">
        <f t="shared" ca="1" si="11"/>
        <v>#VALUE!</v>
      </c>
      <c r="O45" s="605" t="e">
        <f t="shared" ca="1" si="12"/>
        <v>#VALUE!</v>
      </c>
      <c r="P45" s="606" t="e">
        <f t="shared" ca="1" si="13"/>
        <v>#VALUE!</v>
      </c>
      <c r="Q45" s="604" t="e">
        <f t="shared" ca="1" si="14"/>
        <v>#VALUE!</v>
      </c>
      <c r="R45" s="607" t="e">
        <f t="shared" ca="1" si="15"/>
        <v>#VALUE!</v>
      </c>
      <c r="S45" s="306"/>
      <c r="T45" s="75"/>
      <c r="U45" s="108"/>
      <c r="AL45" s="504"/>
      <c r="AM45" s="275">
        <v>0.625</v>
      </c>
      <c r="AN45" s="504"/>
      <c r="AO45" s="505" t="str">
        <f>IF(AND(HOUR(AM45)=(HOUR($AM$1)),(HOUR(AM46)=(HOUR($AM$1)))),IF(AND(MINUTE($AM$1)-MINUTE(AM45)&gt;=0,(MINUTE(AM46)-MINUTE($AM$1)&gt;0)),"Mincorrect","MinFalse"),"Hour False")</f>
        <v>Hour False</v>
      </c>
      <c r="AS45" s="302" t="e">
        <f t="shared" si="16"/>
        <v>#VALUE!</v>
      </c>
      <c r="AT45" s="302" t="e">
        <f t="shared" si="17"/>
        <v>#VALUE!</v>
      </c>
      <c r="AU45" s="302">
        <f t="shared" si="18"/>
        <v>6.3148999999999996E-4</v>
      </c>
      <c r="AV45" s="302">
        <f t="shared" ca="1" si="19"/>
        <v>0</v>
      </c>
      <c r="AW45" s="302">
        <f t="shared" si="20"/>
        <v>8.21917808219178E-3</v>
      </c>
      <c r="AX45" s="302">
        <f t="shared" si="21"/>
        <v>0</v>
      </c>
      <c r="AY45" s="302" t="e">
        <f t="shared" ca="1" si="22"/>
        <v>#VALUE!</v>
      </c>
      <c r="AZ45" s="302" t="e">
        <f t="shared" ca="1" si="23"/>
        <v>#VALUE!</v>
      </c>
      <c r="BA45" s="302">
        <f t="shared" ca="1" si="24"/>
        <v>0</v>
      </c>
      <c r="BB45" s="302" t="e">
        <f t="shared" ca="1" si="25"/>
        <v>#VALUE!</v>
      </c>
      <c r="BC45" s="302" t="e">
        <f t="shared" ca="1" si="26"/>
        <v>#VALUE!</v>
      </c>
    </row>
    <row r="46" spans="1:55" ht="15.5" x14ac:dyDescent="0.35">
      <c r="A46" s="306"/>
      <c r="B46" s="616" t="e">
        <f t="shared" ca="1" si="4"/>
        <v>#VALUE!</v>
      </c>
      <c r="C46" s="617" t="e">
        <f t="shared" ca="1" si="5"/>
        <v>#VALUE!</v>
      </c>
      <c r="D46" s="617" t="e">
        <f t="shared" ca="1" si="6"/>
        <v>#VALUE!</v>
      </c>
      <c r="E46" s="618" t="e">
        <f t="shared" ca="1" si="7"/>
        <v>#VALUE!</v>
      </c>
      <c r="F46" s="617" t="e">
        <f t="shared" ca="1" si="8"/>
        <v>#VALUE!</v>
      </c>
      <c r="G46" s="619" t="e">
        <f t="shared" ca="1" si="9"/>
        <v>#VALUE!</v>
      </c>
      <c r="H46" s="619">
        <f ca="1">IF(Sheet51!$P$18="yes",IF(Sheet51!$P$17="yes",SUMIF(Data!$L$21:'Data'!$L$200,J46,Data!$F$21:'Data'!$F$200),""),"")</f>
        <v>0</v>
      </c>
      <c r="I46" s="589">
        <f ca="1">IF(Sheet51!$P$18="yes",IF(Sheet51!$P$17="yes",SUMIF(Data!$L$21:'Data'!$L$200,J46,Data!$E$21:'Data'!$E$200),""),"")</f>
        <v>0</v>
      </c>
      <c r="J46" s="588" t="e">
        <f>J45+Sheet51!$B$3</f>
        <v>#VALUE!</v>
      </c>
      <c r="K46" s="589">
        <f ca="1">IF(Sheet51!$P$18="yes",IF(Sheet51!$P$17="yes",SUMIF(Data!$L$21:'Data'!$L$200,J46,Data!$S$21:'Data'!$S$200),""),"")</f>
        <v>0</v>
      </c>
      <c r="L46" s="602">
        <f ca="1">IF(Sheet51!$P$18="yes",IF(Sheet51!$P$17="yes",SUMIF(Data!$L$21:'Data'!$L$200,J46,Data!$R$21:'Data'!$R$200),""),"")</f>
        <v>0</v>
      </c>
      <c r="M46" s="603" t="e">
        <f t="shared" ca="1" si="10"/>
        <v>#VALUE!</v>
      </c>
      <c r="N46" s="604" t="e">
        <f t="shared" ca="1" si="11"/>
        <v>#VALUE!</v>
      </c>
      <c r="O46" s="605" t="e">
        <f t="shared" ca="1" si="12"/>
        <v>#VALUE!</v>
      </c>
      <c r="P46" s="606" t="e">
        <f t="shared" ca="1" si="13"/>
        <v>#VALUE!</v>
      </c>
      <c r="Q46" s="604" t="e">
        <f t="shared" ca="1" si="14"/>
        <v>#VALUE!</v>
      </c>
      <c r="R46" s="607" t="e">
        <f t="shared" ca="1" si="15"/>
        <v>#VALUE!</v>
      </c>
      <c r="S46" s="306"/>
      <c r="T46" s="75"/>
      <c r="U46" s="108"/>
      <c r="AL46" s="504"/>
      <c r="AM46" s="275">
        <v>0.62777777777777777</v>
      </c>
      <c r="AN46" s="504"/>
      <c r="AO46" s="505"/>
      <c r="AS46" s="302" t="e">
        <f t="shared" si="16"/>
        <v>#VALUE!</v>
      </c>
      <c r="AT46" s="302" t="e">
        <f t="shared" si="17"/>
        <v>#VALUE!</v>
      </c>
      <c r="AU46" s="302">
        <f t="shared" si="18"/>
        <v>6.3148999999999996E-4</v>
      </c>
      <c r="AV46" s="302">
        <f t="shared" ca="1" si="19"/>
        <v>0</v>
      </c>
      <c r="AW46" s="302">
        <f t="shared" si="20"/>
        <v>8.21917808219178E-3</v>
      </c>
      <c r="AX46" s="302">
        <f t="shared" si="21"/>
        <v>0</v>
      </c>
      <c r="AY46" s="302" t="e">
        <f t="shared" ca="1" si="22"/>
        <v>#VALUE!</v>
      </c>
      <c r="AZ46" s="302" t="e">
        <f t="shared" ca="1" si="23"/>
        <v>#VALUE!</v>
      </c>
      <c r="BA46" s="302">
        <f t="shared" ca="1" si="24"/>
        <v>0</v>
      </c>
      <c r="BB46" s="302" t="e">
        <f t="shared" ca="1" si="25"/>
        <v>#VALUE!</v>
      </c>
      <c r="BC46" s="302" t="e">
        <f t="shared" ca="1" si="26"/>
        <v>#VALUE!</v>
      </c>
    </row>
    <row r="47" spans="1:55" ht="15.5" x14ac:dyDescent="0.35">
      <c r="A47" s="306"/>
      <c r="B47" s="616" t="e">
        <f t="shared" ca="1" si="4"/>
        <v>#VALUE!</v>
      </c>
      <c r="C47" s="617" t="e">
        <f t="shared" ca="1" si="5"/>
        <v>#VALUE!</v>
      </c>
      <c r="D47" s="617" t="e">
        <f t="shared" ca="1" si="6"/>
        <v>#VALUE!</v>
      </c>
      <c r="E47" s="618" t="e">
        <f t="shared" ca="1" si="7"/>
        <v>#VALUE!</v>
      </c>
      <c r="F47" s="617" t="e">
        <f t="shared" ca="1" si="8"/>
        <v>#VALUE!</v>
      </c>
      <c r="G47" s="619" t="e">
        <f t="shared" ca="1" si="9"/>
        <v>#VALUE!</v>
      </c>
      <c r="H47" s="619">
        <f ca="1">IF(Sheet51!$P$18="yes",IF(Sheet51!$P$17="yes",SUMIF(Data!$L$21:'Data'!$L$200,J47,Data!$F$21:'Data'!$F$200),""),"")</f>
        <v>0</v>
      </c>
      <c r="I47" s="589">
        <f ca="1">IF(Sheet51!$P$18="yes",IF(Sheet51!$P$17="yes",SUMIF(Data!$L$21:'Data'!$L$200,J47,Data!$E$21:'Data'!$E$200),""),"")</f>
        <v>0</v>
      </c>
      <c r="J47" s="588" t="e">
        <f>J46+Sheet51!$B$3</f>
        <v>#VALUE!</v>
      </c>
      <c r="K47" s="589">
        <f ca="1">IF(Sheet51!$P$18="yes",IF(Sheet51!$P$17="yes",SUMIF(Data!$L$21:'Data'!$L$200,J47,Data!$S$21:'Data'!$S$200),""),"")</f>
        <v>0</v>
      </c>
      <c r="L47" s="602">
        <f ca="1">IF(Sheet51!$P$18="yes",IF(Sheet51!$P$17="yes",SUMIF(Data!$L$21:'Data'!$L$200,J47,Data!$R$21:'Data'!$R$200),""),"")</f>
        <v>0</v>
      </c>
      <c r="M47" s="603" t="e">
        <f t="shared" ca="1" si="10"/>
        <v>#VALUE!</v>
      </c>
      <c r="N47" s="604" t="e">
        <f t="shared" ca="1" si="11"/>
        <v>#VALUE!</v>
      </c>
      <c r="O47" s="605" t="e">
        <f t="shared" ca="1" si="12"/>
        <v>#VALUE!</v>
      </c>
      <c r="P47" s="606" t="e">
        <f t="shared" ca="1" si="13"/>
        <v>#VALUE!</v>
      </c>
      <c r="Q47" s="604" t="e">
        <f t="shared" ca="1" si="14"/>
        <v>#VALUE!</v>
      </c>
      <c r="R47" s="607" t="e">
        <f t="shared" ca="1" si="15"/>
        <v>#VALUE!</v>
      </c>
      <c r="S47" s="306"/>
      <c r="T47" s="75"/>
      <c r="U47" s="108"/>
      <c r="AL47" s="504"/>
      <c r="AM47" s="275">
        <v>0.63541666666666663</v>
      </c>
      <c r="AN47" s="504"/>
      <c r="AO47" s="505" t="str">
        <f>IF(AND(HOUR(AM47)=(HOUR($AM$1)),(HOUR(AM48)=(HOUR($AM$1)))),IF(AND(MINUTE($AM$1)-MINUTE(AM47)&gt;=0,(MINUTE(AM48)-MINUTE($AM$1)&gt;0)),"Mincorrect","MinFalse"),"Hour False")</f>
        <v>Hour False</v>
      </c>
      <c r="AS47" s="302" t="e">
        <f t="shared" si="16"/>
        <v>#VALUE!</v>
      </c>
      <c r="AT47" s="302" t="e">
        <f t="shared" si="17"/>
        <v>#VALUE!</v>
      </c>
      <c r="AU47" s="302">
        <f t="shared" si="18"/>
        <v>6.3148999999999996E-4</v>
      </c>
      <c r="AV47" s="302">
        <f t="shared" ca="1" si="19"/>
        <v>0</v>
      </c>
      <c r="AW47" s="302">
        <f t="shared" si="20"/>
        <v>8.21917808219178E-3</v>
      </c>
      <c r="AX47" s="302">
        <f t="shared" si="21"/>
        <v>0</v>
      </c>
      <c r="AY47" s="302" t="e">
        <f t="shared" ca="1" si="22"/>
        <v>#VALUE!</v>
      </c>
      <c r="AZ47" s="302" t="e">
        <f t="shared" ca="1" si="23"/>
        <v>#VALUE!</v>
      </c>
      <c r="BA47" s="302">
        <f t="shared" ca="1" si="24"/>
        <v>0</v>
      </c>
      <c r="BB47" s="302" t="e">
        <f t="shared" ca="1" si="25"/>
        <v>#VALUE!</v>
      </c>
      <c r="BC47" s="302" t="e">
        <f t="shared" ca="1" si="26"/>
        <v>#VALUE!</v>
      </c>
    </row>
    <row r="48" spans="1:55" ht="14.5" customHeight="1" x14ac:dyDescent="0.35">
      <c r="A48" s="306"/>
      <c r="B48" s="616" t="e">
        <f t="shared" ca="1" si="4"/>
        <v>#VALUE!</v>
      </c>
      <c r="C48" s="617" t="e">
        <f t="shared" ca="1" si="5"/>
        <v>#VALUE!</v>
      </c>
      <c r="D48" s="617" t="e">
        <f t="shared" ca="1" si="6"/>
        <v>#VALUE!</v>
      </c>
      <c r="E48" s="618" t="e">
        <f t="shared" ca="1" si="7"/>
        <v>#VALUE!</v>
      </c>
      <c r="F48" s="617" t="e">
        <f t="shared" ca="1" si="8"/>
        <v>#VALUE!</v>
      </c>
      <c r="G48" s="619" t="e">
        <f t="shared" ca="1" si="9"/>
        <v>#VALUE!</v>
      </c>
      <c r="H48" s="619">
        <f ca="1">IF(Sheet51!$P$18="yes",IF(Sheet51!$P$17="yes",SUMIF(Data!$L$21:'Data'!$L$200,J48,Data!$F$21:'Data'!$F$200),""),"")</f>
        <v>0</v>
      </c>
      <c r="I48" s="589">
        <f ca="1">IF(Sheet51!$P$18="yes",IF(Sheet51!$P$17="yes",SUMIF(Data!$L$21:'Data'!$L$200,J48,Data!$E$21:'Data'!$E$200),""),"")</f>
        <v>0</v>
      </c>
      <c r="J48" s="588" t="e">
        <f>J47+Sheet51!$B$3</f>
        <v>#VALUE!</v>
      </c>
      <c r="K48" s="589">
        <f ca="1">IF(Sheet51!$P$18="yes",IF(Sheet51!$P$17="yes",SUMIF(Data!$L$21:'Data'!$L$200,J48,Data!$S$21:'Data'!$S$200),""),"")</f>
        <v>0</v>
      </c>
      <c r="L48" s="602">
        <f ca="1">IF(Sheet51!$P$18="yes",IF(Sheet51!$P$17="yes",SUMIF(Data!$L$21:'Data'!$L$200,J48,Data!$R$21:'Data'!$R$200),""),"")</f>
        <v>0</v>
      </c>
      <c r="M48" s="603" t="e">
        <f t="shared" ca="1" si="10"/>
        <v>#VALUE!</v>
      </c>
      <c r="N48" s="604" t="e">
        <f t="shared" ca="1" si="11"/>
        <v>#VALUE!</v>
      </c>
      <c r="O48" s="605" t="e">
        <f t="shared" ca="1" si="12"/>
        <v>#VALUE!</v>
      </c>
      <c r="P48" s="606" t="e">
        <f t="shared" ca="1" si="13"/>
        <v>#VALUE!</v>
      </c>
      <c r="Q48" s="604" t="e">
        <f t="shared" ca="1" si="14"/>
        <v>#VALUE!</v>
      </c>
      <c r="R48" s="607" t="e">
        <f t="shared" ca="1" si="15"/>
        <v>#VALUE!</v>
      </c>
      <c r="S48" s="306"/>
      <c r="T48" s="75"/>
      <c r="U48" s="108"/>
      <c r="AL48" s="504"/>
      <c r="AM48" s="275">
        <v>0.6381944444444444</v>
      </c>
      <c r="AN48" s="504"/>
      <c r="AO48" s="505"/>
      <c r="AS48" s="302" t="e">
        <f t="shared" si="16"/>
        <v>#VALUE!</v>
      </c>
      <c r="AT48" s="302" t="e">
        <f t="shared" si="17"/>
        <v>#VALUE!</v>
      </c>
      <c r="AU48" s="302">
        <f t="shared" si="18"/>
        <v>6.3148999999999996E-4</v>
      </c>
      <c r="AV48" s="302">
        <f t="shared" ca="1" si="19"/>
        <v>0</v>
      </c>
      <c r="AW48" s="302">
        <f t="shared" si="20"/>
        <v>8.21917808219178E-3</v>
      </c>
      <c r="AX48" s="302">
        <f t="shared" si="21"/>
        <v>0</v>
      </c>
      <c r="AY48" s="302" t="e">
        <f t="shared" ca="1" si="22"/>
        <v>#VALUE!</v>
      </c>
      <c r="AZ48" s="302" t="e">
        <f t="shared" ca="1" si="23"/>
        <v>#VALUE!</v>
      </c>
      <c r="BA48" s="302">
        <f t="shared" ca="1" si="24"/>
        <v>0</v>
      </c>
      <c r="BB48" s="302" t="e">
        <f t="shared" ca="1" si="25"/>
        <v>#VALUE!</v>
      </c>
      <c r="BC48" s="302" t="e">
        <f t="shared" ca="1" si="26"/>
        <v>#VALUE!</v>
      </c>
    </row>
    <row r="49" spans="1:55" ht="14.5" customHeight="1" x14ac:dyDescent="0.35">
      <c r="A49" s="306"/>
      <c r="B49" s="306"/>
      <c r="C49" s="306"/>
      <c r="D49" s="306"/>
      <c r="E49" s="306"/>
      <c r="F49" s="306"/>
      <c r="G49" s="306"/>
      <c r="H49" s="306"/>
      <c r="I49" s="427">
        <f ca="1">AVERAGE(I30:I48)</f>
        <v>0</v>
      </c>
      <c r="J49" s="427">
        <f ca="1">AVERAGE((I49,K49))</f>
        <v>0</v>
      </c>
      <c r="K49" s="427">
        <f ca="1">AVERAGE(K30:K48)</f>
        <v>0</v>
      </c>
      <c r="L49" s="306">
        <f ca="1">K49-I49</f>
        <v>0</v>
      </c>
      <c r="M49" s="306"/>
      <c r="N49" s="306"/>
      <c r="O49" s="306"/>
      <c r="P49" s="306"/>
      <c r="Q49" s="306"/>
      <c r="R49" s="306"/>
      <c r="S49" s="306"/>
      <c r="T49" s="75"/>
      <c r="U49" s="108"/>
      <c r="AL49" s="504"/>
      <c r="AM49" s="275">
        <v>0.64583333333333337</v>
      </c>
      <c r="AN49" s="504"/>
      <c r="AO49" s="505" t="str">
        <f>IF(AND(HOUR(AM49)=(HOUR($AM$1)),(HOUR(AM50)=(HOUR($AM$1)))),IF(AND(MINUTE($AM$1)-MINUTE(AM49)&gt;=0,(MINUTE(AM50)-MINUTE($AM$1)&gt;0)),"Mincorrect","MinFalse"),"Hour False")</f>
        <v>Hour False</v>
      </c>
      <c r="AS49" s="301"/>
      <c r="AT49" s="301"/>
      <c r="AU49" s="301"/>
      <c r="AV49" s="301"/>
      <c r="AW49" s="301"/>
      <c r="AX49" s="301"/>
      <c r="AY49" s="301"/>
      <c r="AZ49" s="301"/>
      <c r="BA49" s="301"/>
      <c r="BB49" s="301"/>
      <c r="BC49" s="301"/>
    </row>
    <row r="50" spans="1:55" ht="14.5" customHeight="1" x14ac:dyDescent="0.35">
      <c r="A50" s="306"/>
      <c r="B50" s="306"/>
      <c r="C50" s="306"/>
      <c r="D50" s="306"/>
      <c r="E50" s="306"/>
      <c r="F50" s="306"/>
      <c r="G50" s="306"/>
      <c r="H50" s="307">
        <f ca="1">SUM(H30:H49)</f>
        <v>0</v>
      </c>
      <c r="I50" s="306"/>
      <c r="J50" s="306"/>
      <c r="K50" s="306"/>
      <c r="L50" s="306"/>
      <c r="M50" s="306"/>
      <c r="N50" s="306"/>
      <c r="O50" s="306"/>
      <c r="P50" s="306"/>
      <c r="Q50" s="306"/>
      <c r="R50" s="306"/>
      <c r="S50" s="306"/>
      <c r="T50" s="75"/>
      <c r="U50" s="108"/>
      <c r="AL50" s="504"/>
      <c r="AM50" s="275">
        <v>0.64861111111111114</v>
      </c>
      <c r="AN50" s="504"/>
      <c r="AO50" s="505"/>
      <c r="AS50" s="301"/>
      <c r="AT50" s="301"/>
      <c r="AU50" s="301"/>
      <c r="AV50" s="301"/>
      <c r="AW50" s="301"/>
      <c r="AX50" s="301"/>
      <c r="AY50" s="301"/>
      <c r="AZ50" s="301"/>
      <c r="BA50" s="301"/>
      <c r="BB50" s="301"/>
      <c r="BC50" s="301"/>
    </row>
    <row r="51" spans="1:55" ht="14.5" customHeight="1" x14ac:dyDescent="0.35">
      <c r="C51" s="377"/>
      <c r="D51" s="379"/>
      <c r="E51" s="378"/>
      <c r="F51" s="378"/>
      <c r="G51" s="378"/>
      <c r="H51" s="378"/>
      <c r="I51" s="378"/>
      <c r="J51" s="378"/>
      <c r="K51" s="378"/>
      <c r="L51" s="378"/>
      <c r="M51" s="121"/>
      <c r="N51" s="121"/>
      <c r="O51" s="121"/>
      <c r="P51" s="121"/>
      <c r="Q51" s="121"/>
      <c r="R51" s="121"/>
      <c r="S51" s="121"/>
    </row>
    <row r="52" spans="1:55" x14ac:dyDescent="0.35"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</row>
    <row r="53" spans="1:55" x14ac:dyDescent="0.35"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</row>
    <row r="54" spans="1:55" x14ac:dyDescent="0.35"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</row>
    <row r="55" spans="1:55" x14ac:dyDescent="0.35"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</row>
    <row r="56" spans="1:55" x14ac:dyDescent="0.35"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</row>
    <row r="57" spans="1:55" x14ac:dyDescent="0.35"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</row>
    <row r="58" spans="1:55" x14ac:dyDescent="0.35"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</row>
  </sheetData>
  <customSheetViews>
    <customSheetView guid="{D12DFD61-4B7F-43F1-B07E-A848E00A354C}">
      <selection activeCell="O1" sqref="O1:P1"/>
      <pageMargins left="0.7" right="0.7" top="0.75" bottom="0.75" header="0.3" footer="0.3"/>
      <pageSetup paperSize="9" orientation="portrait" horizontalDpi="300" verticalDpi="300" r:id="rId1"/>
    </customSheetView>
  </customSheetViews>
  <mergeCells count="58">
    <mergeCell ref="AT8:AV8"/>
    <mergeCell ref="AT9:AV9"/>
    <mergeCell ref="AT10:AV10"/>
    <mergeCell ref="AT11:AV11"/>
    <mergeCell ref="AT12:AV12"/>
    <mergeCell ref="B12:C12"/>
    <mergeCell ref="D12:E12"/>
    <mergeCell ref="F12:H12"/>
    <mergeCell ref="A9:B10"/>
    <mergeCell ref="A7:B7"/>
    <mergeCell ref="M9:N9"/>
    <mergeCell ref="B2:C2"/>
    <mergeCell ref="R4:S4"/>
    <mergeCell ref="D1:N2"/>
    <mergeCell ref="A3:F3"/>
    <mergeCell ref="H3:J3"/>
    <mergeCell ref="A4:B4"/>
    <mergeCell ref="O1:P1"/>
    <mergeCell ref="Q1:R1"/>
    <mergeCell ref="Q2:R2"/>
    <mergeCell ref="L3:Q3"/>
    <mergeCell ref="P4:Q4"/>
    <mergeCell ref="N4:O4"/>
    <mergeCell ref="A5:B5"/>
    <mergeCell ref="A6:B6"/>
    <mergeCell ref="R7:S7"/>
    <mergeCell ref="P7:Q7"/>
    <mergeCell ref="N7:O7"/>
    <mergeCell ref="R5:S5"/>
    <mergeCell ref="R6:S6"/>
    <mergeCell ref="P5:Q5"/>
    <mergeCell ref="P6:Q6"/>
    <mergeCell ref="N5:O5"/>
    <mergeCell ref="N6:O6"/>
    <mergeCell ref="I12:K12"/>
    <mergeCell ref="G9:I10"/>
    <mergeCell ref="M18:P18"/>
    <mergeCell ref="Q10:R10"/>
    <mergeCell ref="Q9:R9"/>
    <mergeCell ref="O9:P9"/>
    <mergeCell ref="O10:P10"/>
    <mergeCell ref="O12:P12"/>
    <mergeCell ref="F17:L17"/>
    <mergeCell ref="I16:K16"/>
    <mergeCell ref="J14:K14"/>
    <mergeCell ref="I15:K15"/>
    <mergeCell ref="F15:H15"/>
    <mergeCell ref="M12:N12"/>
    <mergeCell ref="J9:K10"/>
    <mergeCell ref="M10:N10"/>
    <mergeCell ref="K19:S19"/>
    <mergeCell ref="B19:J19"/>
    <mergeCell ref="B18:E18"/>
    <mergeCell ref="F18:L18"/>
    <mergeCell ref="F13:H13"/>
    <mergeCell ref="F14:H14"/>
    <mergeCell ref="F16:H16"/>
    <mergeCell ref="J13:K13"/>
  </mergeCells>
  <conditionalFormatting sqref="B39:C39 M39:R39 E39:G39">
    <cfRule type="containsErrors" dxfId="34" priority="34">
      <formula>ISERROR(B39)</formula>
    </cfRule>
    <cfRule type="containsErrors" dxfId="33" priority="35" stopIfTrue="1">
      <formula>ISERROR(B39)</formula>
    </cfRule>
  </conditionalFormatting>
  <conditionalFormatting sqref="I30:I48">
    <cfRule type="colorScale" priority="30">
      <colorScale>
        <cfvo type="min"/>
        <cfvo type="max"/>
        <color theme="6" tint="-0.249977111117893"/>
        <color theme="6" tint="0.59999389629810485"/>
      </colorScale>
    </cfRule>
  </conditionalFormatting>
  <conditionalFormatting sqref="K30:K48">
    <cfRule type="colorScale" priority="31">
      <colorScale>
        <cfvo type="min"/>
        <cfvo type="max"/>
        <color theme="5" tint="-0.249977111117893"/>
        <color theme="5" tint="0.59999389629810485"/>
      </colorScale>
    </cfRule>
  </conditionalFormatting>
  <conditionalFormatting sqref="E7 G7 N7:Q7">
    <cfRule type="cellIs" dxfId="32" priority="27" operator="equal">
      <formula>"BUY"</formula>
    </cfRule>
    <cfRule type="cellIs" dxfId="31" priority="28" operator="equal">
      <formula>"SELL"</formula>
    </cfRule>
  </conditionalFormatting>
  <conditionalFormatting sqref="D21:F26 H21:M26 O21:Q26">
    <cfRule type="containsText" dxfId="30" priority="26" operator="containsText" text="BEARISH">
      <formula>NOT(ISERROR(SEARCH("BEARISH",D21)))</formula>
    </cfRule>
  </conditionalFormatting>
  <conditionalFormatting sqref="B21:B26">
    <cfRule type="containsText" dxfId="29" priority="25" operator="containsText" text="BEARISH">
      <formula>NOT(ISERROR(SEARCH("BEARISH",B21)))</formula>
    </cfRule>
  </conditionalFormatting>
  <conditionalFormatting sqref="R21:R26">
    <cfRule type="containsText" dxfId="28" priority="24" operator="containsText" text="BEARISH">
      <formula>NOT(ISERROR(SEARCH("BEARISH",R21)))</formula>
    </cfRule>
  </conditionalFormatting>
  <conditionalFormatting sqref="C21:C26">
    <cfRule type="containsText" dxfId="27" priority="22" operator="containsText" text="BEARISH">
      <formula>NOT(ISERROR(SEARCH("BEARISH",C21)))</formula>
    </cfRule>
  </conditionalFormatting>
  <conditionalFormatting sqref="S21:S26">
    <cfRule type="containsText" dxfId="26" priority="21" operator="containsText" text="BEARISH">
      <formula>NOT(ISERROR(SEARCH("BEARISH",S21)))</formula>
    </cfRule>
  </conditionalFormatting>
  <conditionalFormatting sqref="G21:G26">
    <cfRule type="containsText" dxfId="25" priority="20" operator="containsText" text="BEARISH">
      <formula>NOT(ISERROR(SEARCH("BEARISH",G21)))</formula>
    </cfRule>
  </conditionalFormatting>
  <conditionalFormatting sqref="N21:N26">
    <cfRule type="containsText" dxfId="24" priority="19" operator="containsText" text="BEARISH">
      <formula>NOT(ISERROR(SEARCH("BEARISH",N21)))</formula>
    </cfRule>
  </conditionalFormatting>
  <conditionalFormatting sqref="B40:C48 E40:G48">
    <cfRule type="containsErrors" dxfId="23" priority="17">
      <formula>ISERROR(B40)</formula>
    </cfRule>
    <cfRule type="containsErrors" dxfId="22" priority="18" stopIfTrue="1">
      <formula>ISERROR(B40)</formula>
    </cfRule>
  </conditionalFormatting>
  <conditionalFormatting sqref="M40:R48">
    <cfRule type="containsErrors" dxfId="21" priority="15">
      <formula>ISERROR(M40)</formula>
    </cfRule>
    <cfRule type="containsErrors" dxfId="20" priority="16" stopIfTrue="1">
      <formula>ISERROR(M40)</formula>
    </cfRule>
  </conditionalFormatting>
  <conditionalFormatting sqref="C30:H38">
    <cfRule type="containsErrors" dxfId="19" priority="9">
      <formula>ISERROR(C30)</formula>
    </cfRule>
    <cfRule type="containsErrors" dxfId="18" priority="10" stopIfTrue="1">
      <formula>ISERROR(C30)</formula>
    </cfRule>
  </conditionalFormatting>
  <conditionalFormatting sqref="L30:M38 O30:Q38">
    <cfRule type="containsErrors" dxfId="17" priority="7">
      <formula>ISERROR(L30)</formula>
    </cfRule>
    <cfRule type="containsErrors" dxfId="16" priority="8" stopIfTrue="1">
      <formula>ISERROR(L30)</formula>
    </cfRule>
  </conditionalFormatting>
  <conditionalFormatting sqref="N30:N38">
    <cfRule type="containsErrors" dxfId="15" priority="5">
      <formula>ISERROR(N30)</formula>
    </cfRule>
    <cfRule type="containsErrors" dxfId="14" priority="6" stopIfTrue="1">
      <formula>ISERROR(N30)</formula>
    </cfRule>
  </conditionalFormatting>
  <conditionalFormatting sqref="D40:D48">
    <cfRule type="containsErrors" dxfId="13" priority="3">
      <formula>ISERROR(D40)</formula>
    </cfRule>
    <cfRule type="containsErrors" dxfId="12" priority="4" stopIfTrue="1">
      <formula>ISERROR(D40)</formula>
    </cfRule>
  </conditionalFormatting>
  <conditionalFormatting sqref="D39">
    <cfRule type="containsErrors" dxfId="11" priority="1">
      <formula>ISERROR(D39)</formula>
    </cfRule>
    <cfRule type="containsErrors" dxfId="10" priority="2" stopIfTrue="1">
      <formula>ISERROR(D39)</formula>
    </cfRule>
  </conditionalFormatting>
  <dataValidations count="3">
    <dataValidation type="list" allowBlank="1" showInputMessage="1" showErrorMessage="1" sqref="I14" xr:uid="{00000000-0002-0000-0000-000000000000}">
      <formula1>EXPIRY_DATES</formula1>
    </dataValidation>
    <dataValidation showDropDown="1" showInputMessage="1" sqref="I15:I16" xr:uid="{4E2749C2-8E4C-4D28-9FE9-BB3FFA9F58BD}"/>
    <dataValidation type="list" errorStyle="information" allowBlank="1" showInputMessage="1" showErrorMessage="1" errorTitle="ALERT" error="SELECT &quot;YES&quot; OR &quot;NO&quot;" prompt="IF YOU WANT TO CLEAR ALL DATA CLICK &quot;YES&quot;_x000a_" sqref="AU1" xr:uid="{0DE6E3D4-7E8A-4BAB-A7F2-D5E175B53249}">
      <formula1>$AS$2:$AS$3</formula1>
    </dataValidation>
  </dataValidation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5" name="btn_Refresh">
              <controlPr defaultSize="0" print="0" autoFill="0" autoPict="0" macro="[0]!ClickMainTimer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2</xdr:col>
                    <xdr:colOff>107950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StopTimer">
                <anchor moveWithCells="1" sizeWithCells="1">
                  <from>
                    <xdr:col>2</xdr:col>
                    <xdr:colOff>196850</xdr:colOff>
                    <xdr:row>0</xdr:row>
                    <xdr:rowOff>19050</xdr:rowOff>
                  </from>
                  <to>
                    <xdr:col>3</xdr:col>
                    <xdr:colOff>527050</xdr:colOff>
                    <xdr:row>1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Z227"/>
  <sheetViews>
    <sheetView topLeftCell="A2" workbookViewId="0">
      <pane ySplit="4" topLeftCell="A6" activePane="bottomLeft" state="frozen"/>
      <selection activeCell="D2" sqref="D2"/>
      <selection pane="bottomLeft" activeCell="B3" sqref="B3"/>
    </sheetView>
  </sheetViews>
  <sheetFormatPr defaultRowHeight="14.5" x14ac:dyDescent="0.35"/>
  <cols>
    <col min="1" max="1" width="11.26953125" customWidth="1"/>
    <col min="2" max="2" width="9.453125" customWidth="1"/>
    <col min="3" max="3" width="10" customWidth="1"/>
    <col min="4" max="4" width="11.7265625" customWidth="1"/>
    <col min="5" max="5" width="23.26953125" customWidth="1"/>
    <col min="6" max="6" width="11.7265625" customWidth="1"/>
    <col min="7" max="7" width="18.1796875" style="4" customWidth="1"/>
    <col min="8" max="8" width="16.36328125" customWidth="1"/>
    <col min="9" max="9" width="10.36328125" customWidth="1"/>
    <col min="10" max="10" width="10" customWidth="1"/>
    <col min="11" max="11" width="11.453125" customWidth="1"/>
    <col min="12" max="12" width="7.54296875" customWidth="1"/>
    <col min="13" max="13" width="10.453125" customWidth="1"/>
    <col min="14" max="14" width="9.1796875" customWidth="1"/>
    <col min="15" max="15" width="17.453125" customWidth="1"/>
    <col min="16" max="16" width="11.453125" customWidth="1"/>
    <col min="17" max="18" width="11.54296875" customWidth="1"/>
    <col min="19" max="19" width="11.7265625" customWidth="1"/>
    <col min="20" max="20" width="12.1796875" customWidth="1"/>
    <col min="21" max="21" width="13.453125" customWidth="1"/>
    <col min="22" max="22" width="14.54296875" customWidth="1"/>
    <col min="23" max="23" width="9.81640625" bestFit="1" customWidth="1"/>
    <col min="24" max="24" width="13.90625" customWidth="1"/>
    <col min="25" max="25" width="14.7265625" customWidth="1"/>
    <col min="26" max="26" width="16.7265625" customWidth="1"/>
    <col min="27" max="27" width="12.453125" customWidth="1"/>
    <col min="28" max="28" width="12.1796875" customWidth="1"/>
    <col min="29" max="29" width="11.453125" customWidth="1"/>
    <col min="30" max="30" width="10" customWidth="1"/>
    <col min="31" max="31" width="11.1796875" customWidth="1"/>
    <col min="32" max="32" width="10.1796875" customWidth="1"/>
    <col min="34" max="34" width="12.54296875" customWidth="1"/>
    <col min="35" max="35" width="12" customWidth="1"/>
    <col min="36" max="36" width="11.54296875" customWidth="1"/>
    <col min="37" max="37" width="11.1796875" customWidth="1"/>
    <col min="38" max="38" width="12.7265625" customWidth="1"/>
    <col min="39" max="39" width="10.7265625" customWidth="1"/>
  </cols>
  <sheetData>
    <row r="1" spans="1:19" x14ac:dyDescent="0.35">
      <c r="A1" t="s">
        <v>10</v>
      </c>
      <c r="B1">
        <f>Data!AT6</f>
        <v>11945.9</v>
      </c>
      <c r="C1" t="s">
        <v>11</v>
      </c>
      <c r="D1" s="3">
        <f>Data!AJ6</f>
        <v>43615</v>
      </c>
      <c r="E1" t="s">
        <v>12</v>
      </c>
      <c r="F1" t="str">
        <f>G3</f>
        <v>-</v>
      </c>
      <c r="G1" s="726" t="str">
        <f>Data!B11</f>
        <v>-</v>
      </c>
      <c r="H1" s="726"/>
      <c r="I1" s="726"/>
      <c r="J1" s="726"/>
      <c r="K1" s="726"/>
      <c r="L1" s="726"/>
      <c r="O1" t="s">
        <v>101</v>
      </c>
      <c r="P1" s="75" t="e">
        <f>DATEVALUE(F2)</f>
        <v>#VALUE!</v>
      </c>
    </row>
    <row r="2" spans="1:19" x14ac:dyDescent="0.35">
      <c r="B2" t="str">
        <f>MID(Data!B11,25,8)</f>
        <v/>
      </c>
      <c r="D2" s="75"/>
      <c r="E2" s="104" t="str">
        <f>RIGHT(TRIM(Data!B11),26)</f>
        <v>-</v>
      </c>
      <c r="F2" s="106" t="str">
        <f>MID(E3,5,3)&amp;LEFT(E3,4)&amp;RIGHT(E3,5)</f>
        <v>--</v>
      </c>
      <c r="G2" s="107" t="str">
        <f>RIGHT(G1,13)</f>
        <v>-</v>
      </c>
      <c r="H2" s="105"/>
      <c r="M2" t="e">
        <f ca="1">IF(AND(P1&lt;=P3,P2&lt;=P3),"correct","wrong")</f>
        <v>#VALUE!</v>
      </c>
      <c r="O2" t="s">
        <v>102</v>
      </c>
      <c r="P2" s="75">
        <f ca="1">NOW()</f>
        <v>43615.786170601852</v>
      </c>
    </row>
    <row r="3" spans="1:19" x14ac:dyDescent="0.35">
      <c r="A3" t="s">
        <v>175</v>
      </c>
      <c r="B3" s="2">
        <f>Data!L44-Data!L43</f>
        <v>50</v>
      </c>
      <c r="D3" s="75"/>
      <c r="E3" s="75" t="str">
        <f>LEFT(E2,13)</f>
        <v>-</v>
      </c>
      <c r="G3" s="4" t="str">
        <f>(LEFT(G2,8))</f>
        <v>-</v>
      </c>
      <c r="O3" t="s">
        <v>56</v>
      </c>
      <c r="P3" s="75">
        <f>D1</f>
        <v>43615</v>
      </c>
    </row>
    <row r="4" spans="1:19" ht="21" x14ac:dyDescent="0.5">
      <c r="A4" t="s">
        <v>176</v>
      </c>
      <c r="B4" s="729" t="s">
        <v>17</v>
      </c>
      <c r="C4" s="730"/>
      <c r="D4" s="730"/>
      <c r="E4" s="730"/>
      <c r="F4" s="730"/>
      <c r="G4" s="731"/>
      <c r="H4" s="6"/>
      <c r="I4" s="732" t="s">
        <v>16</v>
      </c>
      <c r="J4" s="732"/>
      <c r="K4" s="732"/>
      <c r="L4" s="732"/>
      <c r="M4" s="732"/>
      <c r="N4" s="733"/>
      <c r="O4" t="s">
        <v>103</v>
      </c>
      <c r="P4" s="108">
        <f ca="1">NOW()</f>
        <v>43615.786170601852</v>
      </c>
    </row>
    <row r="5" spans="1:19" x14ac:dyDescent="0.35">
      <c r="B5" s="7" t="s">
        <v>0</v>
      </c>
      <c r="C5" s="7" t="s">
        <v>1</v>
      </c>
      <c r="D5" s="7" t="s">
        <v>13</v>
      </c>
      <c r="E5" s="7" t="s">
        <v>3</v>
      </c>
      <c r="F5" s="7" t="s">
        <v>4</v>
      </c>
      <c r="G5" s="7" t="s">
        <v>5</v>
      </c>
      <c r="H5" s="8" t="s">
        <v>14</v>
      </c>
      <c r="I5" s="7" t="s">
        <v>0</v>
      </c>
      <c r="J5" s="7" t="s">
        <v>1</v>
      </c>
      <c r="K5" s="7" t="s">
        <v>15</v>
      </c>
      <c r="L5" s="171" t="s">
        <v>3</v>
      </c>
      <c r="M5" s="7" t="s">
        <v>4</v>
      </c>
      <c r="N5" s="7" t="s">
        <v>5</v>
      </c>
      <c r="O5" s="110" t="s">
        <v>104</v>
      </c>
      <c r="P5" s="111">
        <v>0.375</v>
      </c>
      <c r="R5" t="s">
        <v>233</v>
      </c>
      <c r="S5" t="s">
        <v>234</v>
      </c>
    </row>
    <row r="6" spans="1:19" x14ac:dyDescent="0.35">
      <c r="B6" s="11">
        <f ca="1">IF($P$18="yes",IF($P$17="yes",SUMIF(Data!$L$21:'Data'!$L$200,H6,Data!$B$21:'Data'!$B$200),""),"")</f>
        <v>750</v>
      </c>
      <c r="C6" s="11">
        <f ca="1">IF($P$18="yes",IF($P$17="yes",SUMIF(Data!$L$21:'Data'!$L$200,H6,Data!$C$21:'Data'!$C$200),""),"")</f>
        <v>-9900</v>
      </c>
      <c r="D6" s="11">
        <f ca="1">IF($P$18="yes",IF($P$17="yes",SUMIF(Data!$L$21:'Data'!$L$200,H6,Data!$D$21:'Data'!$D$200),""),"")</f>
        <v>141</v>
      </c>
      <c r="E6" s="12">
        <f ca="1">IF($P$18="yes",IF($P$17="yes",SUMIF(Data!$L$21:'Data'!$L$200,H6,Data!$E$21:$E$200),""),"")</f>
        <v>0</v>
      </c>
      <c r="F6" s="12">
        <f ca="1">IF($P$18="yes",IF($P$17="yes",SUMIF(Data!$L$21:'Data'!$L$200,H6,Data!$F$21:'Data'!$F$200),""),"")</f>
        <v>1539</v>
      </c>
      <c r="G6" s="12">
        <f ca="1">IF($P$18="yes",IF($P$17="yes",SUMIF(Data!$L$21:'Data'!$L$200,H6,Data!$G$21:'Data'!$G$200),""),"")</f>
        <v>73.650000000000006</v>
      </c>
      <c r="H6" s="10">
        <f ca="1">IF($P$18="yes",IF($P$17="yes",H7-B3,""),"")</f>
        <v>10400</v>
      </c>
      <c r="I6" s="11">
        <f ca="1">IF($P$18="yes",IF($P$17="yes",SUMIF(Data!$L$21:'Data'!$AG$200,H6,Data!$V$21:'Data'!$V$200),""),"")</f>
        <v>133800</v>
      </c>
      <c r="J6" s="11">
        <f ca="1">IF($P$18="yes",IF($P$17="yes",SUMIF(Data!$L$21:'Data'!$L$200,H6,Data!$U$21:'Data'!$U$200),""),"")</f>
        <v>-1425</v>
      </c>
      <c r="K6" s="11">
        <f ca="1">IF($P$18="yes",IF($P$17="yes",SUMIF(Data!$L$21:'Data'!$L$200,H6,Data!$T$21:'Data'!$T$200),""),"")</f>
        <v>329</v>
      </c>
      <c r="L6" s="12">
        <f ca="1">IF($P$18="yes",IF($P$17="yes",SUMIF(Data!$L$21:'Data'!$L$200,H6,Data!$S$21:'Data'!$S$200),""),"")</f>
        <v>0</v>
      </c>
      <c r="M6" s="12">
        <f ca="1">IF($P$18="yes",IF($P$17="yes",SUMIF(Data!$L$21:'Data'!$L$200,H6,Data!$R$21:'Data'!$R$200),""),"")</f>
        <v>0.05</v>
      </c>
      <c r="N6" s="12">
        <f ca="1">IF($P$18="yes",IF($P$17="yes",SUMIF(Data!$L$21:'Data'!$L$200,H6,Data!$Q$21:'Data'!$Q$200),""),"")</f>
        <v>-0.8</v>
      </c>
      <c r="O6" s="110" t="s">
        <v>105</v>
      </c>
      <c r="P6" s="111">
        <v>0.3888888888888889</v>
      </c>
      <c r="R6">
        <f ca="1">ROUND(C6/D6,2)</f>
        <v>-70.209999999999994</v>
      </c>
      <c r="S6">
        <f ca="1">ROUND(J6/K6,2)</f>
        <v>-4.33</v>
      </c>
    </row>
    <row r="7" spans="1:19" x14ac:dyDescent="0.35">
      <c r="B7" s="11">
        <f ca="1">IF($P$18="yes",IF($P$17="yes",SUMIF(Data!$L$21:'Data'!$L$200,H7,Data!$B$21:'Data'!$B$200),""),"")</f>
        <v>825</v>
      </c>
      <c r="C7" s="11">
        <f ca="1">IF($P$18="yes",IF($P$17="yes",SUMIF(Data!$L$21:'Data'!$L$200,H7,Data!$C$21:'Data'!$C$200),""),"")</f>
        <v>0</v>
      </c>
      <c r="D7" s="11">
        <f ca="1">IF($P$18="yes",IF($P$17="yes",SUMIF(Data!$L$21:'Data'!$L$200,H7,Data!$D$21:'Data'!$D$200),""),"")</f>
        <v>0</v>
      </c>
      <c r="E7" s="12">
        <f ca="1">IF($P$18="yes",IF($P$17="yes",SUMIF(Data!$L$21:'Data'!$L$200,H7,Data!$E$21:$E$200),""),"")</f>
        <v>0</v>
      </c>
      <c r="F7" s="12">
        <f ca="1">IF($P$18="yes",IF($P$17="yes",SUMIF(Data!$L$21:'Data'!$L$200,H7,Data!$F$21:'Data'!$F$200),""),"")</f>
        <v>1480</v>
      </c>
      <c r="G7" s="12">
        <f ca="1">IF($P$18="yes",IF($P$17="yes",SUMIF(Data!$L$21:'Data'!$L$200,H7,Data!$G$21:'Data'!$G$200),""),"")</f>
        <v>0</v>
      </c>
      <c r="H7" s="10">
        <f ca="1">IF($P$18="yes",IF($P$17="yes",H8-B3,""),"")</f>
        <v>10450</v>
      </c>
      <c r="I7" s="11">
        <f ca="1">IF($P$18="yes",IF($P$17="yes",SUMIF(Data!$L$21:'Data'!$AG$200,H7,Data!$V$21:'Data'!$V$200),""),"")</f>
        <v>750</v>
      </c>
      <c r="J7" s="11">
        <f ca="1">IF($P$18="yes",IF($P$17="yes",SUMIF(Data!$L$21:'Data'!$L$200,H7,Data!$U$21:'Data'!$U$200),""),"")</f>
        <v>0</v>
      </c>
      <c r="K7" s="11">
        <f ca="1">IF($P$18="yes",IF($P$17="yes",SUMIF(Data!$L$21:'Data'!$L$200,H7,Data!$T$21:'Data'!$T$200),""),"")</f>
        <v>0</v>
      </c>
      <c r="L7" s="12">
        <f ca="1">IF($P$18="yes",IF($P$17="yes",SUMIF(Data!$L$21:'Data'!$L$200,H7,Data!$S$21:'Data'!$S$200),""),"")</f>
        <v>0</v>
      </c>
      <c r="M7" s="12">
        <f ca="1">IF($P$18="yes",IF($P$17="yes",SUMIF(Data!$L$21:'Data'!$L$200,H7,Data!$R$21:'Data'!$R$200),""),"")</f>
        <v>0.25</v>
      </c>
      <c r="N7" s="12">
        <f ca="1">IF($P$18="yes",IF($P$17="yes",SUMIF(Data!$L$21:'Data'!$L$200,H7,Data!$Q$21:'Data'!$Q$200),""),"")</f>
        <v>0</v>
      </c>
      <c r="O7" s="110"/>
      <c r="P7" s="111"/>
      <c r="R7" t="e">
        <f t="shared" ref="R7:R67" ca="1" si="0">ROUND(C7/D7,2)</f>
        <v>#DIV/0!</v>
      </c>
      <c r="S7" t="e">
        <f t="shared" ref="S7:S67" ca="1" si="1">ROUND(J7/K7,2)</f>
        <v>#DIV/0!</v>
      </c>
    </row>
    <row r="8" spans="1:19" x14ac:dyDescent="0.35">
      <c r="B8" s="11">
        <f ca="1">IF($P$18="yes",IF($P$17="yes",SUMIF(Data!$L$21:'Data'!$L$200,H8,Data!$B$21:'Data'!$B$200),""),"")</f>
        <v>2775</v>
      </c>
      <c r="C8" s="11">
        <f ca="1">IF($P$18="yes",IF($P$17="yes",SUMIF(Data!$L$21:'Data'!$L$200,H8,Data!$C$21:'Data'!$C$200),""),"")</f>
        <v>-51600</v>
      </c>
      <c r="D8" s="11">
        <f ca="1">IF($P$18="yes",IF($P$17="yes",SUMIF(Data!$L$21:'Data'!$L$200,H8,Data!$D$21:'Data'!$D$200),""),"")</f>
        <v>720</v>
      </c>
      <c r="E8" s="12">
        <f ca="1">IF($P$18="yes",IF($P$17="yes",SUMIF(Data!$L$21:'Data'!$L$200,H8,Data!$E$21:$E$200),""),"")</f>
        <v>0</v>
      </c>
      <c r="F8" s="12">
        <f ca="1">IF($P$18="yes",IF($P$17="yes",SUMIF(Data!$L$21:'Data'!$L$200,H8,Data!$F$21:'Data'!$F$200),""),"")</f>
        <v>1432.7</v>
      </c>
      <c r="G8" s="12">
        <f ca="1">IF($P$18="yes",IF($P$17="yes",SUMIF(Data!$L$21:'Data'!$L$200,H8,Data!$G$21:'Data'!$G$200),""),"")</f>
        <v>74.599999999999994</v>
      </c>
      <c r="H8" s="10">
        <f ca="1">IF($P$18="yes",IF($P$17="yes",H9-B3,""),"")</f>
        <v>10500</v>
      </c>
      <c r="I8" s="11">
        <f ca="1">IF($P$18="yes",IF($P$17="yes",SUMIF(Data!$L$21:'Data'!$AG$200,H8,Data!$V$21:'Data'!$V$200),""),"")</f>
        <v>1191900</v>
      </c>
      <c r="J8" s="11">
        <f ca="1">IF($P$18="yes",IF($P$17="yes",SUMIF(Data!$L$21:'Data'!$L$200,H8,Data!$U$21:'Data'!$U$200),""),"")</f>
        <v>-87750</v>
      </c>
      <c r="K8" s="11">
        <f ca="1">IF($P$18="yes",IF($P$17="yes",SUMIF(Data!$L$21:'Data'!$L$200,H8,Data!$T$21:'Data'!$T$200),""),"")</f>
        <v>2958</v>
      </c>
      <c r="L8" s="12">
        <f ca="1">IF($P$18="yes",IF($P$17="yes",SUMIF(Data!$L$21:'Data'!$L$200,H8,Data!$S$21:'Data'!$S$200),""),"")</f>
        <v>0</v>
      </c>
      <c r="M8" s="12">
        <f ca="1">IF($P$18="yes",IF($P$17="yes",SUMIF(Data!$L$21:'Data'!$L$200,H8,Data!$R$21:'Data'!$R$200),""),"")</f>
        <v>0.05</v>
      </c>
      <c r="N8" s="12">
        <f ca="1">IF($P$18="yes",IF($P$17="yes",SUMIF(Data!$L$21:'Data'!$L$200,H8,Data!$Q$21:'Data'!$Q$200),""),"")</f>
        <v>-0.75</v>
      </c>
      <c r="O8" s="110"/>
      <c r="P8" s="111"/>
      <c r="R8">
        <f t="shared" ca="1" si="0"/>
        <v>-71.67</v>
      </c>
      <c r="S8">
        <f t="shared" ca="1" si="1"/>
        <v>-29.67</v>
      </c>
    </row>
    <row r="9" spans="1:19" x14ac:dyDescent="0.35">
      <c r="B9" s="11">
        <f ca="1">IF($P$18="yes",IF($P$17="yes",SUMIF(Data!$L$21:'Data'!$L$200,H9,Data!$B$21:'Data'!$B$200),""),"")</f>
        <v>0</v>
      </c>
      <c r="C9" s="11">
        <f ca="1">IF($P$18="yes",IF($P$17="yes",SUMIF(Data!$L$21:'Data'!$L$200,H9,Data!$C$21:'Data'!$C$200),""),"")</f>
        <v>0</v>
      </c>
      <c r="D9" s="11">
        <f ca="1">IF($P$18="yes",IF($P$17="yes",SUMIF(Data!$L$21:'Data'!$L$200,H9,Data!$D$21:'Data'!$D$200),""),"")</f>
        <v>0</v>
      </c>
      <c r="E9" s="12">
        <f ca="1">IF($P$18="yes",IF($P$17="yes",SUMIF(Data!$L$21:'Data'!$L$200,H9,Data!$E$21:$E$200),""),"")</f>
        <v>0</v>
      </c>
      <c r="F9" s="12">
        <f ca="1">IF($P$18="yes",IF($P$17="yes",SUMIF(Data!$L$21:'Data'!$L$200,H9,Data!$F$21:'Data'!$F$200),""),"")</f>
        <v>0</v>
      </c>
      <c r="G9" s="12">
        <f ca="1">IF($P$18="yes",IF($P$17="yes",SUMIF(Data!$L$21:'Data'!$L$200,H9,Data!$G$21:'Data'!$G$200),""),"")</f>
        <v>0</v>
      </c>
      <c r="H9" s="10">
        <f ca="1">IF($P$18="yes",IF($P$17="yes",H10-B3,""),"")</f>
        <v>10550</v>
      </c>
      <c r="I9" s="11">
        <f ca="1">IF($P$18="yes",IF($P$17="yes",SUMIF(Data!$L$21:'Data'!$AG$200,H9,Data!$V$21:'Data'!$V$200),""),"")</f>
        <v>0</v>
      </c>
      <c r="J9" s="11">
        <f ca="1">IF($P$18="yes",IF($P$17="yes",SUMIF(Data!$L$21:'Data'!$L$200,H9,Data!$U$21:'Data'!$U$200),""),"")</f>
        <v>0</v>
      </c>
      <c r="K9" s="11">
        <f ca="1">IF($P$18="yes",IF($P$17="yes",SUMIF(Data!$L$21:'Data'!$L$200,H9,Data!$T$21:'Data'!$T$200),""),"")</f>
        <v>0</v>
      </c>
      <c r="L9" s="12">
        <f ca="1">IF($P$18="yes",IF($P$17="yes",SUMIF(Data!$L$21:'Data'!$L$200,H9,Data!$S$21:'Data'!$S$200),""),"")</f>
        <v>0</v>
      </c>
      <c r="M9" s="12">
        <f ca="1">IF($P$18="yes",IF($P$17="yes",SUMIF(Data!$L$21:'Data'!$L$200,H9,Data!$R$21:'Data'!$R$200),""),"")</f>
        <v>0</v>
      </c>
      <c r="N9" s="12">
        <f ca="1">IF($P$18="yes",IF($P$17="yes",SUMIF(Data!$L$21:'Data'!$L$200,H9,Data!$Q$21:'Data'!$Q$200),""),"")</f>
        <v>0</v>
      </c>
      <c r="O9" s="110"/>
      <c r="P9" s="111"/>
      <c r="R9" t="e">
        <f t="shared" ca="1" si="0"/>
        <v>#DIV/0!</v>
      </c>
      <c r="S9" t="e">
        <f t="shared" ca="1" si="1"/>
        <v>#DIV/0!</v>
      </c>
    </row>
    <row r="10" spans="1:19" x14ac:dyDescent="0.35">
      <c r="B10" s="11">
        <f ca="1">IF($P$18="yes",IF($P$17="yes",SUMIF(Data!$L$21:'Data'!$L$200,H10,Data!$B$21:'Data'!$B$200),""),"")</f>
        <v>375</v>
      </c>
      <c r="C10" s="11">
        <f ca="1">IF($P$18="yes",IF($P$17="yes",SUMIF(Data!$L$21:'Data'!$L$200,H10,Data!$C$21:'Data'!$C$200),""),"")</f>
        <v>-8700</v>
      </c>
      <c r="D10" s="11">
        <f ca="1">IF($P$18="yes",IF($P$17="yes",SUMIF(Data!$L$21:'Data'!$L$200,H10,Data!$D$21:'Data'!$D$200),""),"")</f>
        <v>130</v>
      </c>
      <c r="E10" s="12">
        <f ca="1">IF($P$18="yes",IF($P$17="yes",SUMIF(Data!$L$21:'Data'!$L$200,H10,Data!$E$21:$E$200),""),"")</f>
        <v>0</v>
      </c>
      <c r="F10" s="12">
        <f ca="1">IF($P$18="yes",IF($P$17="yes",SUMIF(Data!$L$21:'Data'!$L$200,H10,Data!$F$21:'Data'!$F$200),""),"")</f>
        <v>1338.8</v>
      </c>
      <c r="G10" s="12">
        <f ca="1">IF($P$18="yes",IF($P$17="yes",SUMIF(Data!$L$21:'Data'!$L$200,H10,Data!$G$21:'Data'!$G$200),""),"")</f>
        <v>83.35</v>
      </c>
      <c r="H10" s="10">
        <f ca="1">IF($P$18="yes",IF($P$17="yes",H11-B3,""),"")</f>
        <v>10600</v>
      </c>
      <c r="I10" s="11">
        <f ca="1">IF($P$18="yes",IF($P$17="yes",SUMIF(Data!$L$21:'Data'!$AG$200,H10,Data!$V$21:'Data'!$V$200),""),"")</f>
        <v>321000</v>
      </c>
      <c r="J10" s="11">
        <f ca="1">IF($P$18="yes",IF($P$17="yes",SUMIF(Data!$L$21:'Data'!$L$200,H10,Data!$U$21:'Data'!$U$200),""),"")</f>
        <v>-18300</v>
      </c>
      <c r="K10" s="11">
        <f ca="1">IF($P$18="yes",IF($P$17="yes",SUMIF(Data!$L$21:'Data'!$L$200,H10,Data!$T$21:'Data'!$T$200),""),"")</f>
        <v>510</v>
      </c>
      <c r="L10" s="12">
        <f ca="1">IF($P$18="yes",IF($P$17="yes",SUMIF(Data!$L$21:'Data'!$L$200,H10,Data!$S$21:'Data'!$S$200),""),"")</f>
        <v>0</v>
      </c>
      <c r="M10" s="12">
        <f ca="1">IF($P$18="yes",IF($P$17="yes",SUMIF(Data!$L$21:'Data'!$L$200,H10,Data!$R$21:'Data'!$R$200),""),"")</f>
        <v>0.05</v>
      </c>
      <c r="N10" s="12">
        <f ca="1">IF($P$18="yes",IF($P$17="yes",SUMIF(Data!$L$21:'Data'!$L$200,H10,Data!$Q$21:'Data'!$Q$200),""),"")</f>
        <v>-0.5</v>
      </c>
      <c r="O10" s="110"/>
      <c r="P10" s="111"/>
      <c r="R10">
        <f t="shared" ca="1" si="0"/>
        <v>-66.92</v>
      </c>
      <c r="S10">
        <f t="shared" ca="1" si="1"/>
        <v>-35.880000000000003</v>
      </c>
    </row>
    <row r="11" spans="1:19" x14ac:dyDescent="0.35">
      <c r="B11" s="11">
        <f ca="1">IF($P$18="yes",IF($P$17="yes",SUMIF(Data!$L$21:'Data'!$L$200,H11,Data!$B$21:'Data'!$B$200),""),"")</f>
        <v>150</v>
      </c>
      <c r="C11" s="11">
        <f ca="1">IF($P$18="yes",IF($P$17="yes",SUMIF(Data!$L$21:'Data'!$L$200,H11,Data!$C$21:'Data'!$C$200),""),"")</f>
        <v>0</v>
      </c>
      <c r="D11" s="11">
        <f ca="1">IF($P$18="yes",IF($P$17="yes",SUMIF(Data!$L$21:'Data'!$L$200,H11,Data!$D$21:'Data'!$D$200),""),"")</f>
        <v>1</v>
      </c>
      <c r="E11" s="12">
        <f ca="1">IF($P$18="yes",IF($P$17="yes",SUMIF(Data!$L$21:'Data'!$L$200,H11,Data!$E$21:$E$200),""),"")</f>
        <v>0</v>
      </c>
      <c r="F11" s="12">
        <f ca="1">IF($P$18="yes",IF($P$17="yes",SUMIF(Data!$L$21:'Data'!$L$200,H11,Data!$F$21:'Data'!$F$200),""),"")</f>
        <v>1297.1500000000001</v>
      </c>
      <c r="G11" s="12">
        <f ca="1">IF($P$18="yes",IF($P$17="yes",SUMIF(Data!$L$21:'Data'!$L$200,H11,Data!$G$21:'Data'!$G$200),""),"")</f>
        <v>67.7</v>
      </c>
      <c r="H11" s="10">
        <f ca="1">IF($P$18="yes",IF($P$17="yes",H12-B3,""),"")</f>
        <v>10650</v>
      </c>
      <c r="I11" s="11">
        <f ca="1">IF($P$18="yes",IF($P$17="yes",SUMIF(Data!$L$21:'Data'!$AG$200,H11,Data!$V$21:'Data'!$V$200),""),"")</f>
        <v>675</v>
      </c>
      <c r="J11" s="11">
        <f ca="1">IF($P$18="yes",IF($P$17="yes",SUMIF(Data!$L$21:'Data'!$L$200,H11,Data!$U$21:'Data'!$U$200),""),"")</f>
        <v>0</v>
      </c>
      <c r="K11" s="11">
        <f ca="1">IF($P$18="yes",IF($P$17="yes",SUMIF(Data!$L$21:'Data'!$L$200,H11,Data!$T$21:'Data'!$T$200),""),"")</f>
        <v>2</v>
      </c>
      <c r="L11" s="12">
        <f ca="1">IF($P$18="yes",IF($P$17="yes",SUMIF(Data!$L$21:'Data'!$L$200,H11,Data!$S$21:'Data'!$S$200),""),"")</f>
        <v>0</v>
      </c>
      <c r="M11" s="12">
        <f ca="1">IF($P$18="yes",IF($P$17="yes",SUMIF(Data!$L$21:'Data'!$L$200,H11,Data!$R$21:'Data'!$R$200),""),"")</f>
        <v>0.05</v>
      </c>
      <c r="N11" s="12">
        <f ca="1">IF($P$18="yes",IF($P$17="yes",SUMIF(Data!$L$21:'Data'!$L$200,H11,Data!$Q$21:'Data'!$Q$200),""),"")</f>
        <v>-0.15</v>
      </c>
      <c r="O11" s="110"/>
      <c r="P11" s="111"/>
      <c r="R11">
        <f t="shared" ca="1" si="0"/>
        <v>0</v>
      </c>
      <c r="S11">
        <f t="shared" ca="1" si="1"/>
        <v>0</v>
      </c>
    </row>
    <row r="12" spans="1:19" x14ac:dyDescent="0.35">
      <c r="B12" s="11">
        <f ca="1">IF($P$18="yes",IF($P$17="yes",SUMIF(Data!$L$21:'Data'!$L$200,H12,Data!$B$21:'Data'!$B$200),""),"")</f>
        <v>300</v>
      </c>
      <c r="C12" s="11">
        <f ca="1">IF($P$18="yes",IF($P$17="yes",SUMIF(Data!$L$21:'Data'!$L$200,H12,Data!$C$21:'Data'!$C$200),""),"")</f>
        <v>-12675</v>
      </c>
      <c r="D12" s="11">
        <f ca="1">IF($P$18="yes",IF($P$17="yes",SUMIF(Data!$L$21:'Data'!$L$200,H12,Data!$D$21:'Data'!$D$200),""),"")</f>
        <v>196</v>
      </c>
      <c r="E12" s="12">
        <f ca="1">IF($P$18="yes",IF($P$17="yes",SUMIF(Data!$L$21:'Data'!$L$200,H12,Data!$E$21:$E$200),""),"")</f>
        <v>0</v>
      </c>
      <c r="F12" s="12">
        <f ca="1">IF($P$18="yes",IF($P$17="yes",SUMIF(Data!$L$21:'Data'!$L$200,H12,Data!$F$21:'Data'!$F$200),""),"")</f>
        <v>1235</v>
      </c>
      <c r="G12" s="12">
        <f ca="1">IF($P$18="yes",IF($P$17="yes",SUMIF(Data!$L$21:'Data'!$L$200,H12,Data!$G$21:'Data'!$G$200),""),"")</f>
        <v>76.8</v>
      </c>
      <c r="H12" s="10">
        <f ca="1">IF($P$18="yes",IF($P$17="yes",H13-B3,""),"")</f>
        <v>10700</v>
      </c>
      <c r="I12" s="11">
        <f ca="1">IF($P$18="yes",IF($P$17="yes",SUMIF(Data!$L$21:'Data'!$AG$200,H12,Data!$V$21:'Data'!$V$200),""),"")</f>
        <v>261675</v>
      </c>
      <c r="J12" s="11">
        <f ca="1">IF($P$18="yes",IF($P$17="yes",SUMIF(Data!$L$21:'Data'!$L$200,H12,Data!$U$21:'Data'!$U$200),""),"")</f>
        <v>-15300</v>
      </c>
      <c r="K12" s="11">
        <f ca="1">IF($P$18="yes",IF($P$17="yes",SUMIF(Data!$L$21:'Data'!$L$200,H12,Data!$T$21:'Data'!$T$200),""),"")</f>
        <v>1429</v>
      </c>
      <c r="L12" s="12">
        <f ca="1">IF($P$18="yes",IF($P$17="yes",SUMIF(Data!$L$21:'Data'!$L$200,H12,Data!$S$21:'Data'!$S$200),""),"")</f>
        <v>0</v>
      </c>
      <c r="M12" s="12">
        <f ca="1">IF($P$18="yes",IF($P$17="yes",SUMIF(Data!$L$21:'Data'!$L$200,H12,Data!$R$21:'Data'!$R$200),""),"")</f>
        <v>0.05</v>
      </c>
      <c r="N12" s="12">
        <f ca="1">IF($P$18="yes",IF($P$17="yes",SUMIF(Data!$L$21:'Data'!$L$200,H12,Data!$Q$21:'Data'!$Q$200),""),"")</f>
        <v>-0.7</v>
      </c>
      <c r="O12" s="110"/>
      <c r="P12" s="111"/>
      <c r="R12">
        <f t="shared" ca="1" si="0"/>
        <v>-64.67</v>
      </c>
      <c r="S12">
        <f t="shared" ca="1" si="1"/>
        <v>-10.71</v>
      </c>
    </row>
    <row r="13" spans="1:19" x14ac:dyDescent="0.35">
      <c r="B13" s="11">
        <f ca="1">IF($P$18="yes",IF($P$17="yes",SUMIF(Data!$L$21:'Data'!$L$200,H13,Data!$B$21:'Data'!$B$200),""),"")</f>
        <v>75</v>
      </c>
      <c r="C13" s="11">
        <f ca="1">IF($P$18="yes",IF($P$17="yes",SUMIF(Data!$L$21:'Data'!$L$200,H13,Data!$C$21:'Data'!$C$200),""),"")</f>
        <v>0</v>
      </c>
      <c r="D13" s="11">
        <f ca="1">IF($P$18="yes",IF($P$17="yes",SUMIF(Data!$L$21:'Data'!$L$200,H13,Data!$D$21:'Data'!$D$200),""),"")</f>
        <v>0</v>
      </c>
      <c r="E13" s="12">
        <f ca="1">IF($P$18="yes",IF($P$17="yes",SUMIF(Data!$L$21:'Data'!$L$200,H13,Data!$E$21:$E$200),""),"")</f>
        <v>0</v>
      </c>
      <c r="F13" s="12">
        <f ca="1">IF($P$18="yes",IF($P$17="yes",SUMIF(Data!$L$21:'Data'!$L$200,H13,Data!$F$21:'Data'!$F$200),""),"")</f>
        <v>1159.6500000000001</v>
      </c>
      <c r="G13" s="12">
        <f ca="1">IF($P$18="yes",IF($P$17="yes",SUMIF(Data!$L$21:'Data'!$L$200,H13,Data!$G$21:'Data'!$G$200),""),"")</f>
        <v>0</v>
      </c>
      <c r="H13" s="10">
        <f ca="1">IF($P$18="yes",IF($P$17="yes",H14-B3,""),"")</f>
        <v>10750</v>
      </c>
      <c r="I13" s="11">
        <f ca="1">IF($P$18="yes",IF($P$17="yes",SUMIF(Data!$L$21:'Data'!$AG$200,H13,Data!$V$21:'Data'!$V$200),""),"")</f>
        <v>2850</v>
      </c>
      <c r="J13" s="11">
        <f ca="1">IF($P$18="yes",IF($P$17="yes",SUMIF(Data!$L$21:'Data'!$L$200,H13,Data!$U$21:'Data'!$U$200),""),"")</f>
        <v>-2175</v>
      </c>
      <c r="K13" s="11">
        <f ca="1">IF($P$18="yes",IF($P$17="yes",SUMIF(Data!$L$21:'Data'!$L$200,H13,Data!$T$21:'Data'!$T$200),""),"")</f>
        <v>163</v>
      </c>
      <c r="L13" s="12">
        <f ca="1">IF($P$18="yes",IF($P$17="yes",SUMIF(Data!$L$21:'Data'!$L$200,H13,Data!$S$21:'Data'!$S$200),""),"")</f>
        <v>0</v>
      </c>
      <c r="M13" s="12">
        <f ca="1">IF($P$18="yes",IF($P$17="yes",SUMIF(Data!$L$21:'Data'!$L$200,H13,Data!$R$21:'Data'!$R$200),""),"")</f>
        <v>0.05</v>
      </c>
      <c r="N13" s="12">
        <f ca="1">IF($P$18="yes",IF($P$17="yes",SUMIF(Data!$L$21:'Data'!$L$200,H13,Data!$Q$21:'Data'!$Q$200),""),"")</f>
        <v>-1</v>
      </c>
      <c r="O13" s="110"/>
      <c r="P13" s="111"/>
      <c r="R13" t="e">
        <f t="shared" ca="1" si="0"/>
        <v>#DIV/0!</v>
      </c>
      <c r="S13">
        <f t="shared" ca="1" si="1"/>
        <v>-13.34</v>
      </c>
    </row>
    <row r="14" spans="1:19" x14ac:dyDescent="0.35">
      <c r="B14" s="11">
        <f ca="1">IF($P$18="yes",IF($P$17="yes",SUMIF(Data!$L$21:'Data'!$L$200,H14,Data!$B$21:'Data'!$B$200),""),"")</f>
        <v>2325</v>
      </c>
      <c r="C14" s="11">
        <f ca="1">IF($P$18="yes",IF($P$17="yes",SUMIF(Data!$L$21:'Data'!$L$200,H14,Data!$C$21:'Data'!$C$200),""),"")</f>
        <v>-19275</v>
      </c>
      <c r="D14" s="11">
        <f ca="1">IF($P$18="yes",IF($P$17="yes",SUMIF(Data!$L$21:'Data'!$L$200,H14,Data!$D$21:'Data'!$D$200),""),"")</f>
        <v>333</v>
      </c>
      <c r="E14" s="12">
        <f ca="1">IF($P$18="yes",IF($P$17="yes",SUMIF(Data!$L$21:'Data'!$L$200,H14,Data!$E$21:$E$200),""),"")</f>
        <v>0</v>
      </c>
      <c r="F14" s="12">
        <f ca="1">IF($P$18="yes",IF($P$17="yes",SUMIF(Data!$L$21:'Data'!$L$200,H14,Data!$F$21:'Data'!$F$200),""),"")</f>
        <v>1140.8499999999999</v>
      </c>
      <c r="G14" s="12">
        <f ca="1">IF($P$18="yes",IF($P$17="yes",SUMIF(Data!$L$21:'Data'!$L$200,H14,Data!$G$21:'Data'!$G$200),""),"")</f>
        <v>85.55</v>
      </c>
      <c r="H14" s="10">
        <f ca="1">IF($P$18="yes",IF($P$17="yes",H15-B3,""),"")</f>
        <v>10800</v>
      </c>
      <c r="I14" s="11">
        <f ca="1">IF($P$18="yes",IF($P$17="yes",SUMIF(Data!$L$21:'Data'!$AG$200,H14,Data!$V$21:'Data'!$V$200),""),"")</f>
        <v>854325</v>
      </c>
      <c r="J14" s="11">
        <f ca="1">IF($P$18="yes",IF($P$17="yes",SUMIF(Data!$L$21:'Data'!$L$200,H14,Data!$U$21:'Data'!$U$200),""),"")</f>
        <v>131025</v>
      </c>
      <c r="K14" s="11">
        <f ca="1">IF($P$18="yes",IF($P$17="yes",SUMIF(Data!$L$21:'Data'!$L$200,H14,Data!$T$21:'Data'!$T$200),""),"")</f>
        <v>7734</v>
      </c>
      <c r="L14" s="12">
        <f ca="1">IF($P$18="yes",IF($P$17="yes",SUMIF(Data!$L$21:'Data'!$L$200,H14,Data!$S$21:'Data'!$S$200),""),"")</f>
        <v>0</v>
      </c>
      <c r="M14" s="12">
        <f ca="1">IF($P$18="yes",IF($P$17="yes",SUMIF(Data!$L$21:'Data'!$L$200,H14,Data!$R$21:'Data'!$R$200),""),"")</f>
        <v>0.05</v>
      </c>
      <c r="N14" s="12">
        <f ca="1">IF($P$18="yes",IF($P$17="yes",SUMIF(Data!$L$21:'Data'!$L$200,H14,Data!$Q$21:'Data'!$Q$200),""),"")</f>
        <v>-0.9</v>
      </c>
      <c r="O14" s="110"/>
      <c r="P14" s="111"/>
      <c r="R14">
        <f t="shared" ca="1" si="0"/>
        <v>-57.88</v>
      </c>
      <c r="S14">
        <f t="shared" ca="1" si="1"/>
        <v>16.940000000000001</v>
      </c>
    </row>
    <row r="15" spans="1:19" x14ac:dyDescent="0.35">
      <c r="B15" s="11">
        <f ca="1">IF($P$18="yes",IF($P$17="yes",SUMIF(Data!$L$21:'Data'!$L$200,H15,Data!$B$21:'Data'!$B$200),""),"")</f>
        <v>0</v>
      </c>
      <c r="C15" s="11">
        <f ca="1">IF($P$18="yes",IF($P$17="yes",SUMIF(Data!$L$21:'Data'!$L$200,H15,Data!$C$21:'Data'!$C$200),""),"")</f>
        <v>-75</v>
      </c>
      <c r="D15" s="11">
        <f ca="1">IF($P$18="yes",IF($P$17="yes",SUMIF(Data!$L$21:'Data'!$L$200,H15,Data!$D$21:'Data'!$D$200),""),"")</f>
        <v>1</v>
      </c>
      <c r="E15" s="12">
        <f ca="1">IF($P$18="yes",IF($P$17="yes",SUMIF(Data!$L$21:'Data'!$L$200,H15,Data!$E$21:$E$200),""),"")</f>
        <v>0</v>
      </c>
      <c r="F15" s="12">
        <f ca="1">IF($P$18="yes",IF($P$17="yes",SUMIF(Data!$L$21:'Data'!$L$200,H15,Data!$F$21:'Data'!$F$200),""),"")</f>
        <v>1092.7</v>
      </c>
      <c r="G15" s="12">
        <f ca="1">IF($P$18="yes",IF($P$17="yes",SUMIF(Data!$L$21:'Data'!$L$200,H15,Data!$G$21:'Data'!$G$200),""),"")</f>
        <v>29.9</v>
      </c>
      <c r="H15" s="10">
        <f ca="1">IF($P$18="yes",IF($P$17="yes",H16-B3,""),"")</f>
        <v>10850</v>
      </c>
      <c r="I15" s="11">
        <f ca="1">IF($P$18="yes",IF($P$17="yes",SUMIF(Data!$L$21:'Data'!$AG$200,H15,Data!$V$21:'Data'!$V$200),""),"")</f>
        <v>4275</v>
      </c>
      <c r="J15" s="11">
        <f ca="1">IF($P$18="yes",IF($P$17="yes",SUMIF(Data!$L$21:'Data'!$L$200,H15,Data!$U$21:'Data'!$U$200),""),"")</f>
        <v>1125</v>
      </c>
      <c r="K15" s="11">
        <f ca="1">IF($P$18="yes",IF($P$17="yes",SUMIF(Data!$L$21:'Data'!$L$200,H15,Data!$T$21:'Data'!$T$200),""),"")</f>
        <v>157</v>
      </c>
      <c r="L15" s="12">
        <f ca="1">IF($P$18="yes",IF($P$17="yes",SUMIF(Data!$L$21:'Data'!$L$200,H15,Data!$S$21:'Data'!$S$200),""),"")</f>
        <v>0</v>
      </c>
      <c r="M15" s="12">
        <f ca="1">IF($P$18="yes",IF($P$17="yes",SUMIF(Data!$L$21:'Data'!$L$200,H15,Data!$R$21:'Data'!$R$200),""),"")</f>
        <v>0.05</v>
      </c>
      <c r="N15" s="12">
        <f ca="1">IF($P$18="yes",IF($P$17="yes",SUMIF(Data!$L$21:'Data'!$L$200,H15,Data!$Q$21:'Data'!$Q$200),""),"")</f>
        <v>-0.45</v>
      </c>
      <c r="O15" s="110"/>
      <c r="P15" s="111"/>
      <c r="R15">
        <f t="shared" ca="1" si="0"/>
        <v>-75</v>
      </c>
      <c r="S15">
        <f t="shared" ca="1" si="1"/>
        <v>7.17</v>
      </c>
    </row>
    <row r="16" spans="1:19" x14ac:dyDescent="0.35">
      <c r="A16">
        <v>1</v>
      </c>
      <c r="B16" s="11">
        <f ca="1">IF($P$18="yes",IF($P$17="yes",SUMIF(Data!$L$21:'Data'!$L$200,H16,Data!$B$21:'Data'!$B$200),""),"")</f>
        <v>450</v>
      </c>
      <c r="C16" s="11">
        <f ca="1">IF($P$18="yes",IF($P$17="yes",SUMIF(Data!$L$21:'Data'!$L$200,H16,Data!$C$21:'Data'!$C$200),""),"")</f>
        <v>-13050</v>
      </c>
      <c r="D16" s="11">
        <f ca="1">IF($P$18="yes",IF($P$17="yes",SUMIF(Data!$L$21:'Data'!$L$200,H16,Data!$D$21:'Data'!$D$200),""),"")</f>
        <v>208</v>
      </c>
      <c r="E16" s="12">
        <f ca="1">IF($P$18="yes",IF($P$17="yes",SUMIF(Data!$L$21:'Data'!$L$200,H16,Data!$E$21:$E$200),""),"")</f>
        <v>0</v>
      </c>
      <c r="F16" s="12">
        <f ca="1">IF($P$18="yes",IF($P$17="yes",SUMIF(Data!$L$21:'Data'!$L$200,H16,Data!$F$21:'Data'!$F$200),""),"")</f>
        <v>1040</v>
      </c>
      <c r="G16" s="12">
        <f ca="1">IF($P$18="yes",IF($P$17="yes",SUMIF(Data!$L$21:'Data'!$L$200,H16,Data!$G$21:'Data'!$G$200),""),"")</f>
        <v>83.3</v>
      </c>
      <c r="H16" s="10">
        <f ca="1">IF($P$18="yes",IF($P$17="yes",H17-B3,""),"")</f>
        <v>10900</v>
      </c>
      <c r="I16" s="11">
        <f ca="1">IF($P$18="yes",IF($P$17="yes",SUMIF(Data!$L$21:'Data'!$AG$200,H16,Data!$V$21:'Data'!$V$200),""),"")</f>
        <v>482100</v>
      </c>
      <c r="J16" s="11">
        <f ca="1">IF($P$18="yes",IF($P$17="yes",SUMIF(Data!$L$21:'Data'!$L$200,H16,Data!$U$21:'Data'!$U$200),""),"")</f>
        <v>-35700</v>
      </c>
      <c r="K16" s="11">
        <f ca="1">IF($P$18="yes",IF($P$17="yes",SUMIF(Data!$L$21:'Data'!$L$200,H16,Data!$T$21:'Data'!$T$200),""),"")</f>
        <v>2052</v>
      </c>
      <c r="L16" s="12">
        <f ca="1">IF($P$18="yes",IF($P$17="yes",SUMIF(Data!$L$21:'Data'!$L$200,H16,Data!$S$21:'Data'!$S$200),""),"")</f>
        <v>0</v>
      </c>
      <c r="M16" s="12">
        <f ca="1">IF($P$18="yes",IF($P$17="yes",SUMIF(Data!$L$21:'Data'!$L$200,H16,Data!$R$21:'Data'!$R$200),""),"")</f>
        <v>0.05</v>
      </c>
      <c r="N16" s="12">
        <f ca="1">IF($P$18="yes",IF($P$17="yes",SUMIF(Data!$L$21:'Data'!$L$200,H16,Data!$Q$21:'Data'!$Q$200),""),"")</f>
        <v>-0.8</v>
      </c>
      <c r="R16">
        <f t="shared" ca="1" si="0"/>
        <v>-62.74</v>
      </c>
      <c r="S16">
        <f t="shared" ca="1" si="1"/>
        <v>-17.399999999999999</v>
      </c>
    </row>
    <row r="17" spans="1:19" x14ac:dyDescent="0.35">
      <c r="A17">
        <v>2</v>
      </c>
      <c r="B17" s="11">
        <f ca="1">IF($P$18="yes",IF($P$17="yes",SUMIF(Data!$L$21:'Data'!$L$200,H17,Data!$B$21:'Data'!$B$200),""),"")</f>
        <v>300</v>
      </c>
      <c r="C17" s="11">
        <f ca="1">IF($P$18="yes",IF($P$17="yes",SUMIF(Data!$L$21:'Data'!$L$200,H17,Data!$C$21:'Data'!$C$200),""),"")</f>
        <v>0</v>
      </c>
      <c r="D17" s="11">
        <f ca="1">IF($P$18="yes",IF($P$17="yes",SUMIF(Data!$L$21:'Data'!$L$200,H17,Data!$D$21:'Data'!$D$200),""),"")</f>
        <v>10</v>
      </c>
      <c r="E17" s="12">
        <f ca="1">IF($P$18="yes",IF($P$17="yes",SUMIF(Data!$L$21:'Data'!$L$200,H17,Data!$E$21:$E$200),""),"")</f>
        <v>0</v>
      </c>
      <c r="F17" s="12">
        <f ca="1">IF($P$18="yes",IF($P$17="yes",SUMIF(Data!$L$21:'Data'!$L$200,H17,Data!$F$21:'Data'!$F$200),""),"")</f>
        <v>997.3</v>
      </c>
      <c r="G17" s="12">
        <f ca="1">IF($P$18="yes",IF($P$17="yes",SUMIF(Data!$L$21:'Data'!$L$200,H17,Data!$G$21:'Data'!$G$200),""),"")</f>
        <v>59.3</v>
      </c>
      <c r="H17" s="10">
        <f ca="1">IF($P$18="yes",IF($P$17="yes",H18-B3,""),"")</f>
        <v>10950</v>
      </c>
      <c r="I17" s="11">
        <f ca="1">IF($P$18="yes",IF($P$17="yes",SUMIF(Data!$L$21:'Data'!$AG$200,H17,Data!$V$21:'Data'!$V$200),""),"")</f>
        <v>3150</v>
      </c>
      <c r="J17" s="11">
        <f ca="1">IF($P$18="yes",IF($P$17="yes",SUMIF(Data!$L$21:'Data'!$L$200,H17,Data!$U$21:'Data'!$U$200),""),"")</f>
        <v>0</v>
      </c>
      <c r="K17" s="11">
        <f ca="1">IF($P$18="yes",IF($P$17="yes",SUMIF(Data!$L$21:'Data'!$L$200,H17,Data!$T$21:'Data'!$T$200),""),"")</f>
        <v>3</v>
      </c>
      <c r="L17" s="12">
        <f ca="1">IF($P$18="yes",IF($P$17="yes",SUMIF(Data!$L$21:'Data'!$L$200,H17,Data!$S$21:'Data'!$S$200),""),"")</f>
        <v>0</v>
      </c>
      <c r="M17" s="12">
        <f ca="1">IF($P$18="yes",IF($P$17="yes",SUMIF(Data!$L$21:'Data'!$L$200,H17,Data!$R$21:'Data'!$R$200),""),"")</f>
        <v>0.15</v>
      </c>
      <c r="N17" s="12">
        <f ca="1">IF($P$18="yes",IF($P$17="yes",SUMIF(Data!$L$21:'Data'!$L$200,H17,Data!$Q$21:'Data'!$Q$200),""),"")</f>
        <v>-0.2</v>
      </c>
      <c r="O17" t="s">
        <v>106</v>
      </c>
      <c r="P17" t="str">
        <f ca="1">IF(AND(TIME(HOUR(P4),MINUTE(P4),SECOND(P4))&gt;TIME(HOUR(P5),MINUTE(P5),SECOND(P5)),TIME(HOUR(P4),MINUTE(P4),SECOND(P4))&lt;TIME(HOUR(P6),MINUTE(P6),SECOND(P6))),"no","yes")</f>
        <v>yes</v>
      </c>
      <c r="R17">
        <f t="shared" ca="1" si="0"/>
        <v>0</v>
      </c>
      <c r="S17">
        <f t="shared" ca="1" si="1"/>
        <v>0</v>
      </c>
    </row>
    <row r="18" spans="1:19" x14ac:dyDescent="0.35">
      <c r="A18">
        <v>3</v>
      </c>
      <c r="B18" s="11">
        <f ca="1">IF($P$18="yes",IF($P$17="yes",SUMIF(Data!$L$21:'Data'!$L$200,H18,Data!$B$21:'Data'!$B$200),""),"")</f>
        <v>24000</v>
      </c>
      <c r="C18" s="11">
        <f ca="1">IF($P$18="yes",IF($P$17="yes",SUMIF(Data!$L$21:'Data'!$L$200,H18,Data!$C$21:'Data'!$C$200),""),"")</f>
        <v>-124125</v>
      </c>
      <c r="D18" s="11">
        <f ca="1">IF($P$18="yes",IF($P$17="yes",SUMIF(Data!$L$21:'Data'!$L$200,H18,Data!$D$21:'Data'!$D$200),""),"")</f>
        <v>1956</v>
      </c>
      <c r="E18" s="12">
        <f ca="1">IF($P$18="yes",IF($P$17="yes",SUMIF(Data!$L$21:'Data'!$L$200,H18,Data!$E$21:$E$200),""),"")</f>
        <v>0</v>
      </c>
      <c r="F18" s="12">
        <f ca="1">IF($P$18="yes",IF($P$17="yes",SUMIF(Data!$L$21:'Data'!$L$200,H18,Data!$F$21:'Data'!$F$200),""),"")</f>
        <v>947.35</v>
      </c>
      <c r="G18" s="12">
        <f ca="1">IF($P$18="yes",IF($P$17="yes",SUMIF(Data!$L$21:'Data'!$L$200,H18,Data!$G$21:'Data'!$G$200),""),"")</f>
        <v>89.45</v>
      </c>
      <c r="H18" s="10">
        <f ca="1">IF($P$18="yes",IF($P$17="yes",H19-B3,""),"")</f>
        <v>11000</v>
      </c>
      <c r="I18" s="11">
        <f ca="1">IF($P$18="yes",IF($P$17="yes",SUMIF(Data!$L$21:'Data'!$AG$200,H18,Data!$V$21:'Data'!$V$200),""),"")</f>
        <v>3292500</v>
      </c>
      <c r="J18" s="11">
        <f ca="1">IF($P$18="yes",IF($P$17="yes",SUMIF(Data!$L$21:'Data'!$L$200,H18,Data!$U$21:'Data'!$U$200),""),"")</f>
        <v>-87300</v>
      </c>
      <c r="K18" s="11">
        <f ca="1">IF($P$18="yes",IF($P$17="yes",SUMIF(Data!$L$21:'Data'!$L$200,H18,Data!$T$21:'Data'!$T$200),""),"")</f>
        <v>12070</v>
      </c>
      <c r="L18" s="12">
        <f ca="1">IF($P$18="yes",IF($P$17="yes",SUMIF(Data!$L$21:'Data'!$L$200,H18,Data!$S$21:'Data'!$S$200),""),"")</f>
        <v>0</v>
      </c>
      <c r="M18" s="12">
        <f ca="1">IF($P$18="yes",IF($P$17="yes",SUMIF(Data!$L$21:'Data'!$L$200,H18,Data!$R$21:'Data'!$R$200),""),"")</f>
        <v>0.05</v>
      </c>
      <c r="N18" s="12">
        <f ca="1">IF($P$18="yes",IF($P$17="yes",SUMIF(Data!$L$21:'Data'!$L$200,H18,Data!$Q$21:'Data'!$Q$200),""),"")</f>
        <v>-0.85</v>
      </c>
      <c r="O18" t="s">
        <v>156</v>
      </c>
      <c r="P18" s="109" t="s">
        <v>422</v>
      </c>
      <c r="Q18" t="e">
        <f ca="1">IF(AND(P1&lt;=P3,P2&lt;=P3),"yes","no")</f>
        <v>#VALUE!</v>
      </c>
      <c r="R18">
        <f t="shared" ca="1" si="0"/>
        <v>-63.46</v>
      </c>
      <c r="S18">
        <f t="shared" ca="1" si="1"/>
        <v>-7.23</v>
      </c>
    </row>
    <row r="19" spans="1:19" x14ac:dyDescent="0.35">
      <c r="A19">
        <v>4</v>
      </c>
      <c r="B19" s="11">
        <f ca="1">IF($P$18="yes",IF($P$17="yes",SUMIF(Data!$L$21:'Data'!$L$200,H19,Data!$B$21:'Data'!$B$200),""),"")</f>
        <v>75</v>
      </c>
      <c r="C19" s="11">
        <f ca="1">IF($P$18="yes",IF($P$17="yes",SUMIF(Data!$L$21:'Data'!$L$200,H19,Data!$C$21:'Data'!$C$200),""),"")</f>
        <v>-375</v>
      </c>
      <c r="D19" s="11">
        <f ca="1">IF($P$18="yes",IF($P$17="yes",SUMIF(Data!$L$21:'Data'!$L$200,H19,Data!$D$21:'Data'!$D$200),""),"")</f>
        <v>5</v>
      </c>
      <c r="E19" s="12">
        <f ca="1">IF($P$18="yes",IF($P$17="yes",SUMIF(Data!$L$21:'Data'!$L$200,H19,Data!$E$21:$E$200),""),"")</f>
        <v>0</v>
      </c>
      <c r="F19" s="12">
        <f ca="1">IF($P$18="yes",IF($P$17="yes",SUMIF(Data!$L$21:'Data'!$L$200,H19,Data!$F$21:'Data'!$F$200),""),"")</f>
        <v>888.85</v>
      </c>
      <c r="G19" s="12">
        <f ca="1">IF($P$18="yes",IF($P$17="yes",SUMIF(Data!$L$21:'Data'!$L$200,H19,Data!$G$21:'Data'!$G$200),""),"")</f>
        <v>88.15</v>
      </c>
      <c r="H19" s="10">
        <f ca="1">IF($P$18="yes",IF($P$17="yes",H20-B3,""),"")</f>
        <v>11050</v>
      </c>
      <c r="I19" s="11">
        <f ca="1">IF($P$18="yes",IF($P$17="yes",SUMIF(Data!$L$21:'Data'!$AG$200,H19,Data!$V$21:'Data'!$V$200),""),"")</f>
        <v>7125</v>
      </c>
      <c r="J19" s="11">
        <f ca="1">IF($P$18="yes",IF($P$17="yes",SUMIF(Data!$L$21:'Data'!$L$200,H19,Data!$U$21:'Data'!$U$200),""),"")</f>
        <v>0</v>
      </c>
      <c r="K19" s="11">
        <f ca="1">IF($P$18="yes",IF($P$17="yes",SUMIF(Data!$L$21:'Data'!$L$200,H19,Data!$T$21:'Data'!$T$200),""),"")</f>
        <v>0</v>
      </c>
      <c r="L19" s="12">
        <f ca="1">IF($P$18="yes",IF($P$17="yes",SUMIF(Data!$L$21:'Data'!$L$200,H19,Data!$S$21:'Data'!$S$200),""),"")</f>
        <v>0</v>
      </c>
      <c r="M19" s="12">
        <f ca="1">IF($P$18="yes",IF($P$17="yes",SUMIF(Data!$L$21:'Data'!$L$200,H19,Data!$R$21:'Data'!$R$200),""),"")</f>
        <v>0.7</v>
      </c>
      <c r="N19" s="12">
        <f ca="1">IF($P$18="yes",IF($P$17="yes",SUMIF(Data!$L$21:'Data'!$L$200,H19,Data!$Q$21:'Data'!$Q$200),""),"")</f>
        <v>0.35</v>
      </c>
      <c r="R19">
        <f t="shared" ca="1" si="0"/>
        <v>-75</v>
      </c>
      <c r="S19" t="e">
        <f t="shared" ca="1" si="1"/>
        <v>#DIV/0!</v>
      </c>
    </row>
    <row r="20" spans="1:19" x14ac:dyDescent="0.35">
      <c r="A20">
        <v>5</v>
      </c>
      <c r="B20" s="11">
        <f ca="1">IF($P$18="yes",IF($P$17="yes",SUMIF(Data!$L$21:'Data'!$L$200,H20,Data!$B$21:'Data'!$B$200),""),"")</f>
        <v>1725</v>
      </c>
      <c r="C20" s="11">
        <f ca="1">IF($P$18="yes",IF($P$17="yes",SUMIF(Data!$L$21:'Data'!$L$200,H20,Data!$C$21:'Data'!$C$200),""),"")</f>
        <v>-12825</v>
      </c>
      <c r="D20" s="11">
        <f ca="1">IF($P$18="yes",IF($P$17="yes",SUMIF(Data!$L$21:'Data'!$L$200,H20,Data!$D$21:'Data'!$D$200),""),"")</f>
        <v>219</v>
      </c>
      <c r="E20" s="12">
        <f ca="1">IF($P$18="yes",IF($P$17="yes",SUMIF(Data!$L$21:'Data'!$L$200,H20,Data!$E$21:$E$200),""),"")</f>
        <v>0</v>
      </c>
      <c r="F20" s="12">
        <f ca="1">IF($P$18="yes",IF($P$17="yes",SUMIF(Data!$L$21:'Data'!$L$200,H20,Data!$F$21:'Data'!$F$200),""),"")</f>
        <v>840</v>
      </c>
      <c r="G20" s="12">
        <f ca="1">IF($P$18="yes",IF($P$17="yes",SUMIF(Data!$L$21:'Data'!$L$200,H20,Data!$G$21:'Data'!$G$200),""),"")</f>
        <v>81.75</v>
      </c>
      <c r="H20" s="10">
        <f ca="1">IF($P$18="yes",IF($P$17="yes",H21-B3,""),"")</f>
        <v>11100</v>
      </c>
      <c r="I20" s="11">
        <f ca="1">IF($P$18="yes",IF($P$17="yes",SUMIF(Data!$L$21:'Data'!$AG$200,H20,Data!$V$21:'Data'!$V$200),""),"")</f>
        <v>445050</v>
      </c>
      <c r="J20" s="11">
        <f ca="1">IF($P$18="yes",IF($P$17="yes",SUMIF(Data!$L$21:'Data'!$L$200,H20,Data!$U$21:'Data'!$U$200),""),"")</f>
        <v>-85425</v>
      </c>
      <c r="K20" s="11">
        <f ca="1">IF($P$18="yes",IF($P$17="yes",SUMIF(Data!$L$21:'Data'!$L$200,H20,Data!$T$21:'Data'!$T$200),""),"")</f>
        <v>5244</v>
      </c>
      <c r="L20" s="12">
        <f ca="1">IF($P$18="yes",IF($P$17="yes",SUMIF(Data!$L$21:'Data'!$L$200,H20,Data!$S$21:'Data'!$S$200),""),"")</f>
        <v>0</v>
      </c>
      <c r="M20" s="12">
        <f ca="1">IF($P$18="yes",IF($P$17="yes",SUMIF(Data!$L$21:'Data'!$L$200,H20,Data!$R$21:'Data'!$R$200),""),"")</f>
        <v>0.05</v>
      </c>
      <c r="N20" s="12">
        <f ca="1">IF($P$18="yes",IF($P$17="yes",SUMIF(Data!$L$21:'Data'!$L$200,H20,Data!$Q$21:'Data'!$Q$200),""),"")</f>
        <v>-0.85</v>
      </c>
      <c r="R20">
        <f t="shared" ca="1" si="0"/>
        <v>-58.56</v>
      </c>
      <c r="S20">
        <f t="shared" ca="1" si="1"/>
        <v>-16.29</v>
      </c>
    </row>
    <row r="21" spans="1:19" x14ac:dyDescent="0.35">
      <c r="A21">
        <v>6</v>
      </c>
      <c r="B21" s="11">
        <f ca="1">IF($P$18="yes",IF($P$17="yes",SUMIF(Data!$L$21:'Data'!$L$200,H21,Data!$B$21:'Data'!$B$200),""),"")</f>
        <v>750</v>
      </c>
      <c r="C21" s="11">
        <f ca="1">IF($P$18="yes",IF($P$17="yes",SUMIF(Data!$L$21:'Data'!$L$200,H21,Data!$C$21:'Data'!$C$200),""),"")</f>
        <v>-600</v>
      </c>
      <c r="D21" s="11">
        <f ca="1">IF($P$18="yes",IF($P$17="yes",SUMIF(Data!$L$21:'Data'!$L$200,H21,Data!$D$21:'Data'!$D$200),""),"")</f>
        <v>21</v>
      </c>
      <c r="E21" s="12">
        <f ca="1">IF($P$18="yes",IF($P$17="yes",SUMIF(Data!$L$21:'Data'!$L$200,H21,Data!$E$21:$E$200),""),"")</f>
        <v>0</v>
      </c>
      <c r="F21" s="12">
        <f ca="1">IF($P$18="yes",IF($P$17="yes",SUMIF(Data!$L$21:'Data'!$L$200,H21,Data!$F$21:'Data'!$F$200),""),"")</f>
        <v>790</v>
      </c>
      <c r="G21" s="12">
        <f ca="1">IF($P$18="yes",IF($P$17="yes",SUMIF(Data!$L$21:'Data'!$L$200,H21,Data!$G$21:'Data'!$G$200),""),"")</f>
        <v>94</v>
      </c>
      <c r="H21" s="10">
        <f ca="1">IF($P$18="yes",IF($P$17="yes",H22-B3,""),"")</f>
        <v>11150</v>
      </c>
      <c r="I21" s="11">
        <f ca="1">IF($P$18="yes",IF($P$17="yes",SUMIF(Data!$L$21:'Data'!$AG$200,H21,Data!$V$21:'Data'!$V$200),""),"")</f>
        <v>11325</v>
      </c>
      <c r="J21" s="11">
        <f ca="1">IF($P$18="yes",IF($P$17="yes",SUMIF(Data!$L$21:'Data'!$L$200,H21,Data!$U$21:'Data'!$U$200),""),"")</f>
        <v>-1875</v>
      </c>
      <c r="K21" s="11">
        <f ca="1">IF($P$18="yes",IF($P$17="yes",SUMIF(Data!$L$21:'Data'!$L$200,H21,Data!$T$21:'Data'!$T$200),""),"")</f>
        <v>54</v>
      </c>
      <c r="L21" s="12">
        <f ca="1">IF($P$18="yes",IF($P$17="yes",SUMIF(Data!$L$21:'Data'!$L$200,H21,Data!$S$21:'Data'!$S$200),""),"")</f>
        <v>0</v>
      </c>
      <c r="M21" s="12">
        <f ca="1">IF($P$18="yes",IF($P$17="yes",SUMIF(Data!$L$21:'Data'!$L$200,H21,Data!$R$21:'Data'!$R$200),""),"")</f>
        <v>0.05</v>
      </c>
      <c r="N21" s="12">
        <f ca="1">IF($P$18="yes",IF($P$17="yes",SUMIF(Data!$L$21:'Data'!$L$200,H21,Data!$Q$21:'Data'!$Q$200),""),"")</f>
        <v>-1.2</v>
      </c>
      <c r="R21">
        <f t="shared" ca="1" si="0"/>
        <v>-28.57</v>
      </c>
      <c r="S21">
        <f t="shared" ca="1" si="1"/>
        <v>-34.72</v>
      </c>
    </row>
    <row r="22" spans="1:19" x14ac:dyDescent="0.35">
      <c r="A22">
        <v>7</v>
      </c>
      <c r="B22" s="11">
        <f ca="1">IF($P$18="yes",IF($P$17="yes",SUMIF(Data!$L$21:'Data'!$L$200,H22,Data!$B$21:'Data'!$B$200),""),"")</f>
        <v>25050</v>
      </c>
      <c r="C22" s="11">
        <f ca="1">IF($P$18="yes",IF($P$17="yes",SUMIF(Data!$L$21:'Data'!$L$200,H22,Data!$C$21:'Data'!$C$200),""),"")</f>
        <v>-43125</v>
      </c>
      <c r="D22" s="11">
        <f ca="1">IF($P$18="yes",IF($P$17="yes",SUMIF(Data!$L$21:'Data'!$L$200,H22,Data!$D$21:'Data'!$D$200),""),"")</f>
        <v>772</v>
      </c>
      <c r="E22" s="12">
        <f ca="1">IF($P$18="yes",IF($P$17="yes",SUMIF(Data!$L$21:'Data'!$L$200,H22,Data!$E$21:$E$200),""),"")</f>
        <v>0</v>
      </c>
      <c r="F22" s="12">
        <f ca="1">IF($P$18="yes",IF($P$17="yes",SUMIF(Data!$L$21:'Data'!$L$200,H22,Data!$F$21:'Data'!$F$200),""),"")</f>
        <v>735.05</v>
      </c>
      <c r="G22" s="12">
        <f ca="1">IF($P$18="yes",IF($P$17="yes",SUMIF(Data!$L$21:'Data'!$L$200,H22,Data!$G$21:'Data'!$G$200),""),"")</f>
        <v>79.25</v>
      </c>
      <c r="H22" s="10">
        <f ca="1">IF($P$18="yes",IF($P$17="yes",H23-B3,""),"")</f>
        <v>11200</v>
      </c>
      <c r="I22" s="11">
        <f ca="1">IF($P$18="yes",IF($P$17="yes",SUMIF(Data!$L$21:'Data'!$AG$200,H22,Data!$V$21:'Data'!$V$200),""),"")</f>
        <v>1249125</v>
      </c>
      <c r="J22" s="11">
        <f ca="1">IF($P$18="yes",IF($P$17="yes",SUMIF(Data!$L$21:'Data'!$L$200,H22,Data!$U$21:'Data'!$U$200),""),"")</f>
        <v>-119925</v>
      </c>
      <c r="K22" s="11">
        <f ca="1">IF($P$18="yes",IF($P$17="yes",SUMIF(Data!$L$21:'Data'!$L$200,H22,Data!$T$21:'Data'!$T$200),""),"")</f>
        <v>11954</v>
      </c>
      <c r="L22" s="12">
        <f ca="1">IF($P$18="yes",IF($P$17="yes",SUMIF(Data!$L$21:'Data'!$L$200,H22,Data!$S$21:'Data'!$S$200),""),"")</f>
        <v>0</v>
      </c>
      <c r="M22" s="12">
        <f ca="1">IF($P$18="yes",IF($P$17="yes",SUMIF(Data!$L$21:'Data'!$L$200,H22,Data!$R$21:'Data'!$R$200),""),"")</f>
        <v>0.05</v>
      </c>
      <c r="N22" s="12">
        <f ca="1">IF($P$18="yes",IF($P$17="yes",SUMIF(Data!$L$21:'Data'!$L$200,H22,Data!$Q$21:'Data'!$Q$200),""),"")</f>
        <v>-1</v>
      </c>
      <c r="R22">
        <f t="shared" ca="1" si="0"/>
        <v>-55.86</v>
      </c>
      <c r="S22">
        <f t="shared" ca="1" si="1"/>
        <v>-10.029999999999999</v>
      </c>
    </row>
    <row r="23" spans="1:19" x14ac:dyDescent="0.35">
      <c r="A23">
        <v>8</v>
      </c>
      <c r="B23" s="11">
        <f ca="1">IF($P$18="yes",IF($P$17="yes",SUMIF(Data!$L$21:'Data'!$L$200,H23,Data!$B$21:'Data'!$B$200),""),"")</f>
        <v>525</v>
      </c>
      <c r="C23" s="11">
        <f ca="1">IF($P$18="yes",IF($P$17="yes",SUMIF(Data!$L$21:'Data'!$L$200,H23,Data!$C$21:'Data'!$C$200),""),"")</f>
        <v>-825</v>
      </c>
      <c r="D23" s="11">
        <f ca="1">IF($P$18="yes",IF($P$17="yes",SUMIF(Data!$L$21:'Data'!$L$200,H23,Data!$D$21:'Data'!$D$200),""),"")</f>
        <v>19</v>
      </c>
      <c r="E23" s="12">
        <f ca="1">IF($P$18="yes",IF($P$17="yes",SUMIF(Data!$L$21:'Data'!$L$200,H23,Data!$E$21:$E$200),""),"")</f>
        <v>0</v>
      </c>
      <c r="F23" s="12">
        <f ca="1">IF($P$18="yes",IF($P$17="yes",SUMIF(Data!$L$21:'Data'!$L$200,H23,Data!$F$21:'Data'!$F$200),""),"")</f>
        <v>701</v>
      </c>
      <c r="G23" s="12">
        <f ca="1">IF($P$18="yes",IF($P$17="yes",SUMIF(Data!$L$21:'Data'!$L$200,H23,Data!$G$21:'Data'!$G$200),""),"")</f>
        <v>90.15</v>
      </c>
      <c r="H23" s="10">
        <f ca="1">IF($P$18="yes",IF($P$17="yes",H24-B3,""),"")</f>
        <v>11250</v>
      </c>
      <c r="I23" s="11">
        <f ca="1">IF($P$18="yes",IF($P$17="yes",SUMIF(Data!$L$21:'Data'!$AG$200,H23,Data!$V$21:'Data'!$V$200),""),"")</f>
        <v>12975</v>
      </c>
      <c r="J23" s="11">
        <f ca="1">IF($P$18="yes",IF($P$17="yes",SUMIF(Data!$L$21:'Data'!$L$200,H23,Data!$U$21:'Data'!$U$200),""),"")</f>
        <v>1350</v>
      </c>
      <c r="K23" s="11">
        <f ca="1">IF($P$18="yes",IF($P$17="yes",SUMIF(Data!$L$21:'Data'!$L$200,H23,Data!$T$21:'Data'!$T$200),""),"")</f>
        <v>164</v>
      </c>
      <c r="L23" s="12">
        <f ca="1">IF($P$18="yes",IF($P$17="yes",SUMIF(Data!$L$21:'Data'!$L$200,H23,Data!$S$21:'Data'!$S$200),""),"")</f>
        <v>0</v>
      </c>
      <c r="M23" s="12">
        <f ca="1">IF($P$18="yes",IF($P$17="yes",SUMIF(Data!$L$21:'Data'!$L$200,H23,Data!$R$21:'Data'!$R$200),""),"")</f>
        <v>0.05</v>
      </c>
      <c r="N23" s="12">
        <f ca="1">IF($P$18="yes",IF($P$17="yes",SUMIF(Data!$L$21:'Data'!$L$200,H23,Data!$Q$21:'Data'!$Q$200),""),"")</f>
        <v>-0.95</v>
      </c>
      <c r="R23">
        <f t="shared" ca="1" si="0"/>
        <v>-43.42</v>
      </c>
      <c r="S23">
        <f t="shared" ca="1" si="1"/>
        <v>8.23</v>
      </c>
    </row>
    <row r="24" spans="1:19" x14ac:dyDescent="0.35">
      <c r="A24">
        <v>9</v>
      </c>
      <c r="B24" s="11">
        <f ca="1">IF($P$18="yes",IF($P$17="yes",SUMIF(Data!$L$21:'Data'!$L$200,H24,Data!$B$21:'Data'!$B$200),""),"")</f>
        <v>33825</v>
      </c>
      <c r="C24" s="11">
        <f ca="1">IF($P$18="yes",IF($P$17="yes",SUMIF(Data!$L$21:'Data'!$L$200,H24,Data!$C$21:'Data'!$C$200),""),"")</f>
        <v>-338175</v>
      </c>
      <c r="D24" s="11">
        <f ca="1">IF($P$18="yes",IF($P$17="yes",SUMIF(Data!$L$21:'Data'!$L$200,H24,Data!$D$21:'Data'!$D$200),""),"")</f>
        <v>5260</v>
      </c>
      <c r="E24" s="12">
        <f ca="1">IF($P$18="yes",IF($P$17="yes",SUMIF(Data!$L$21:'Data'!$L$200,H24,Data!$E$21:$E$200),""),"")</f>
        <v>0</v>
      </c>
      <c r="F24" s="12">
        <f ca="1">IF($P$18="yes",IF($P$17="yes",SUMIF(Data!$L$21:'Data'!$L$200,H24,Data!$F$21:'Data'!$F$200),""),"")</f>
        <v>630.65</v>
      </c>
      <c r="G24" s="12">
        <f ca="1">IF($P$18="yes",IF($P$17="yes",SUMIF(Data!$L$21:'Data'!$L$200,H24,Data!$G$21:'Data'!$G$200),""),"")</f>
        <v>73.150000000000006</v>
      </c>
      <c r="H24" s="10">
        <f ca="1">IF($P$18="yes",IF($P$17="yes",H25-B3,""),"")</f>
        <v>11300</v>
      </c>
      <c r="I24" s="11">
        <f ca="1">IF($P$18="yes",IF($P$17="yes",SUMIF(Data!$L$21:'Data'!$AG$200,H24,Data!$V$21:'Data'!$V$200),""),"")</f>
        <v>711000</v>
      </c>
      <c r="J24" s="11">
        <f ca="1">IF($P$18="yes",IF($P$17="yes",SUMIF(Data!$L$21:'Data'!$L$200,H24,Data!$U$21:'Data'!$U$200),""),"")</f>
        <v>-100425</v>
      </c>
      <c r="K24" s="11">
        <f ca="1">IF($P$18="yes",IF($P$17="yes",SUMIF(Data!$L$21:'Data'!$L$200,H24,Data!$T$21:'Data'!$T$200),""),"")</f>
        <v>5191</v>
      </c>
      <c r="L24" s="12">
        <f ca="1">IF($P$18="yes",IF($P$17="yes",SUMIF(Data!$L$21:'Data'!$L$200,H24,Data!$S$21:'Data'!$S$200),""),"")</f>
        <v>0</v>
      </c>
      <c r="M24" s="12">
        <f ca="1">IF($P$18="yes",IF($P$17="yes",SUMIF(Data!$L$21:'Data'!$L$200,H24,Data!$R$21:'Data'!$R$200),""),"")</f>
        <v>0.1</v>
      </c>
      <c r="N24" s="12">
        <f ca="1">IF($P$18="yes",IF($P$17="yes",SUMIF(Data!$L$21:'Data'!$L$200,H24,Data!$Q$21:'Data'!$Q$200),""),"")</f>
        <v>-0.95</v>
      </c>
      <c r="R24">
        <f t="shared" ca="1" si="0"/>
        <v>-64.290000000000006</v>
      </c>
      <c r="S24">
        <f t="shared" ca="1" si="1"/>
        <v>-19.350000000000001</v>
      </c>
    </row>
    <row r="25" spans="1:19" x14ac:dyDescent="0.35">
      <c r="A25">
        <v>10</v>
      </c>
      <c r="B25" s="11">
        <f ca="1">IF($P$18="yes",IF($P$17="yes",SUMIF(Data!$L$21:'Data'!$L$200,H25,Data!$B$21:'Data'!$B$200),""),"")</f>
        <v>2025</v>
      </c>
      <c r="C25" s="11">
        <f ca="1">IF($P$18="yes",IF($P$17="yes",SUMIF(Data!$L$21:'Data'!$L$200,H25,Data!$C$21:'Data'!$C$200),""),"")</f>
        <v>-6900</v>
      </c>
      <c r="D25" s="11">
        <f ca="1">IF($P$18="yes",IF($P$17="yes",SUMIF(Data!$L$21:'Data'!$L$200,H25,Data!$D$21:'Data'!$D$200),""),"")</f>
        <v>133</v>
      </c>
      <c r="E25" s="12">
        <f ca="1">IF($P$18="yes",IF($P$17="yes",SUMIF(Data!$L$21:'Data'!$L$200,H25,Data!$E$21:$E$200),""),"")</f>
        <v>0</v>
      </c>
      <c r="F25" s="12">
        <f ca="1">IF($P$18="yes",IF($P$17="yes",SUMIF(Data!$L$21:'Data'!$L$200,H25,Data!$F$21:'Data'!$F$200),""),"")</f>
        <v>590</v>
      </c>
      <c r="G25" s="12">
        <f ca="1">IF($P$18="yes",IF($P$17="yes",SUMIF(Data!$L$21:'Data'!$L$200,H25,Data!$G$21:'Data'!$G$200),""),"")</f>
        <v>82.55</v>
      </c>
      <c r="H25" s="10">
        <f ca="1">IF($P$18="yes",IF($P$17="yes",H26-B3,""),"")</f>
        <v>11350</v>
      </c>
      <c r="I25" s="11">
        <f ca="1">IF($P$18="yes",IF($P$17="yes",SUMIF(Data!$L$21:'Data'!$AG$200,H25,Data!$V$21:'Data'!$V$200),""),"")</f>
        <v>16950</v>
      </c>
      <c r="J25" s="11">
        <f ca="1">IF($P$18="yes",IF($P$17="yes",SUMIF(Data!$L$21:'Data'!$L$200,H25,Data!$U$21:'Data'!$U$200),""),"")</f>
        <v>-1500</v>
      </c>
      <c r="K25" s="11">
        <f ca="1">IF($P$18="yes",IF($P$17="yes",SUMIF(Data!$L$21:'Data'!$L$200,H25,Data!$T$21:'Data'!$T$200),""),"")</f>
        <v>206</v>
      </c>
      <c r="L25" s="12">
        <f ca="1">IF($P$18="yes",IF($P$17="yes",SUMIF(Data!$L$21:'Data'!$L$200,H25,Data!$S$21:'Data'!$S$200),""),"")</f>
        <v>0</v>
      </c>
      <c r="M25" s="12">
        <f ca="1">IF($P$18="yes",IF($P$17="yes",SUMIF(Data!$L$21:'Data'!$L$200,H25,Data!$R$21:'Data'!$R$200),""),"")</f>
        <v>0.1</v>
      </c>
      <c r="N25" s="12">
        <f ca="1">IF($P$18="yes",IF($P$17="yes",SUMIF(Data!$L$21:'Data'!$L$200,H25,Data!$Q$21:'Data'!$Q$200),""),"")</f>
        <v>-0.8</v>
      </c>
      <c r="R25">
        <f t="shared" ca="1" si="0"/>
        <v>-51.88</v>
      </c>
      <c r="S25">
        <f t="shared" ca="1" si="1"/>
        <v>-7.28</v>
      </c>
    </row>
    <row r="26" spans="1:19" x14ac:dyDescent="0.35">
      <c r="A26">
        <v>11</v>
      </c>
      <c r="B26" s="11">
        <f ca="1">IF($P$18="yes",IF($P$17="yes",SUMIF(Data!$L$21:'Data'!$L$200,H26,Data!$B$21:'Data'!$B$200),""),"")</f>
        <v>28875</v>
      </c>
      <c r="C26" s="11">
        <f ca="1">IF($P$18="yes",IF($P$17="yes",SUMIF(Data!$L$21:'Data'!$L$200,H26,Data!$C$21:'Data'!$C$200),""),"")</f>
        <v>-96900</v>
      </c>
      <c r="D26" s="11">
        <f ca="1">IF($P$18="yes",IF($P$17="yes",SUMIF(Data!$L$21:'Data'!$L$200,H26,Data!$D$21:'Data'!$D$200),""),"")</f>
        <v>1727</v>
      </c>
      <c r="E26" s="12">
        <f ca="1">IF($P$18="yes",IF($P$17="yes",SUMIF(Data!$L$21:'Data'!$L$200,H26,Data!$E$21:$E$200),""),"")</f>
        <v>0</v>
      </c>
      <c r="F26" s="12">
        <f ca="1">IF($P$18="yes",IF($P$17="yes",SUMIF(Data!$L$21:'Data'!$L$200,H26,Data!$F$21:'Data'!$F$200),""),"")</f>
        <v>542.75</v>
      </c>
      <c r="G26" s="12">
        <f ca="1">IF($P$18="yes",IF($P$17="yes",SUMIF(Data!$L$21:'Data'!$L$200,H26,Data!$G$21:'Data'!$G$200),""),"")</f>
        <v>86.75</v>
      </c>
      <c r="H26" s="10">
        <f ca="1">IF($P$18="yes",IF($P$17="yes",H27-B3,""),"")</f>
        <v>11400</v>
      </c>
      <c r="I26" s="11">
        <f ca="1">IF($P$18="yes",IF($P$17="yes",SUMIF(Data!$L$21:'Data'!$AG$200,H26,Data!$V$21:'Data'!$V$200),""),"")</f>
        <v>687375</v>
      </c>
      <c r="J26" s="11">
        <f ca="1">IF($P$18="yes",IF($P$17="yes",SUMIF(Data!$L$21:'Data'!$L$200,H26,Data!$U$21:'Data'!$U$200),""),"")</f>
        <v>-107550</v>
      </c>
      <c r="K26" s="11">
        <f ca="1">IF($P$18="yes",IF($P$17="yes",SUMIF(Data!$L$21:'Data'!$L$200,H26,Data!$T$21:'Data'!$T$200),""),"")</f>
        <v>10571</v>
      </c>
      <c r="L26" s="12">
        <f ca="1">IF($P$18="yes",IF($P$17="yes",SUMIF(Data!$L$21:'Data'!$L$200,H26,Data!$S$21:'Data'!$S$200),""),"")</f>
        <v>0</v>
      </c>
      <c r="M26" s="12">
        <f ca="1">IF($P$18="yes",IF($P$17="yes",SUMIF(Data!$L$21:'Data'!$L$200,H26,Data!$R$21:'Data'!$R$200),""),"")</f>
        <v>0.05</v>
      </c>
      <c r="N26" s="12">
        <f ca="1">IF($P$18="yes",IF($P$17="yes",SUMIF(Data!$L$21:'Data'!$L$200,H26,Data!$Q$21:'Data'!$Q$200),""),"")</f>
        <v>-1.1499999999999999</v>
      </c>
      <c r="R26">
        <f t="shared" ca="1" si="0"/>
        <v>-56.11</v>
      </c>
      <c r="S26">
        <f t="shared" ca="1" si="1"/>
        <v>-10.17</v>
      </c>
    </row>
    <row r="27" spans="1:19" x14ac:dyDescent="0.35">
      <c r="A27">
        <v>12</v>
      </c>
      <c r="B27" s="11">
        <f ca="1">IF($P$18="yes",IF($P$17="yes",SUMIF(Data!$L$21:'Data'!$L$200,H27,Data!$B$21:'Data'!$B$200),""),"")</f>
        <v>1350</v>
      </c>
      <c r="C27" s="11">
        <f ca="1">IF($P$18="yes",IF($P$17="yes",SUMIF(Data!$L$21:'Data'!$L$200,H27,Data!$C$21:'Data'!$C$200),""),"")</f>
        <v>-450</v>
      </c>
      <c r="D27" s="11">
        <f ca="1">IF($P$18="yes",IF($P$17="yes",SUMIF(Data!$L$21:'Data'!$L$200,H27,Data!$D$21:'Data'!$D$200),""),"")</f>
        <v>12</v>
      </c>
      <c r="E27" s="12">
        <f ca="1">IF($P$18="yes",IF($P$17="yes",SUMIF(Data!$L$21:'Data'!$L$200,H27,Data!$E$21:$E$200),""),"")</f>
        <v>0</v>
      </c>
      <c r="F27" s="12">
        <f ca="1">IF($P$18="yes",IF($P$17="yes",SUMIF(Data!$L$21:'Data'!$L$200,H27,Data!$F$21:'Data'!$F$200),""),"")</f>
        <v>490</v>
      </c>
      <c r="G27" s="12">
        <f ca="1">IF($P$18="yes",IF($P$17="yes",SUMIF(Data!$L$21:'Data'!$L$200,H27,Data!$G$21:'Data'!$G$200),""),"")</f>
        <v>100</v>
      </c>
      <c r="H27" s="10">
        <f ca="1">IF($P$18="yes",IF($P$17="yes",H28-B3,""),"")</f>
        <v>11450</v>
      </c>
      <c r="I27" s="11">
        <f ca="1">IF($P$18="yes",IF($P$17="yes",SUMIF(Data!$L$21:'Data'!$AG$200,H27,Data!$V$21:'Data'!$V$200),""),"")</f>
        <v>60525</v>
      </c>
      <c r="J27" s="11">
        <f ca="1">IF($P$18="yes",IF($P$17="yes",SUMIF(Data!$L$21:'Data'!$L$200,H27,Data!$U$21:'Data'!$U$200),""),"")</f>
        <v>3075</v>
      </c>
      <c r="K27" s="11">
        <f ca="1">IF($P$18="yes",IF($P$17="yes",SUMIF(Data!$L$21:'Data'!$L$200,H27,Data!$T$21:'Data'!$T$200),""),"")</f>
        <v>808</v>
      </c>
      <c r="L27" s="12">
        <f ca="1">IF($P$18="yes",IF($P$17="yes",SUMIF(Data!$L$21:'Data'!$L$200,H27,Data!$S$21:'Data'!$S$200),""),"")</f>
        <v>0</v>
      </c>
      <c r="M27" s="12">
        <f ca="1">IF($P$18="yes",IF($P$17="yes",SUMIF(Data!$L$21:'Data'!$L$200,H27,Data!$R$21:'Data'!$R$200),""),"")</f>
        <v>0.05</v>
      </c>
      <c r="N27" s="12">
        <f ca="1">IF($P$18="yes",IF($P$17="yes",SUMIF(Data!$L$21:'Data'!$L$200,H27,Data!$Q$21:'Data'!$Q$200),""),"")</f>
        <v>-1.2</v>
      </c>
      <c r="R27">
        <f t="shared" ca="1" si="0"/>
        <v>-37.5</v>
      </c>
      <c r="S27">
        <f t="shared" ca="1" si="1"/>
        <v>3.81</v>
      </c>
    </row>
    <row r="28" spans="1:19" x14ac:dyDescent="0.35">
      <c r="A28">
        <v>13</v>
      </c>
      <c r="B28" s="11">
        <f ca="1">IF($P$18="yes",IF($P$17="yes",SUMIF(Data!$L$21:'Data'!$L$200,H28,Data!$B$21:'Data'!$B$200),""),"")</f>
        <v>112425</v>
      </c>
      <c r="C28" s="11">
        <f ca="1">IF($P$18="yes",IF($P$17="yes",SUMIF(Data!$L$21:'Data'!$L$200,H28,Data!$C$21:'Data'!$C$200),""),"")</f>
        <v>-207075</v>
      </c>
      <c r="D28" s="11">
        <f ca="1">IF($P$18="yes",IF($P$17="yes",SUMIF(Data!$L$21:'Data'!$L$200,H28,Data!$D$21:'Data'!$D$200),""),"")</f>
        <v>4229</v>
      </c>
      <c r="E28" s="12">
        <f ca="1">IF($P$18="yes",IF($P$17="yes",SUMIF(Data!$L$21:'Data'!$L$200,H28,Data!$E$21:$E$200),""),"")</f>
        <v>0</v>
      </c>
      <c r="F28" s="12">
        <f ca="1">IF($P$18="yes",IF($P$17="yes",SUMIF(Data!$L$21:'Data'!$L$200,H28,Data!$F$21:'Data'!$F$200),""),"")</f>
        <v>441</v>
      </c>
      <c r="G28" s="12">
        <f ca="1">IF($P$18="yes",IF($P$17="yes",SUMIF(Data!$L$21:'Data'!$L$200,H28,Data!$G$21:'Data'!$G$200),""),"")</f>
        <v>81.75</v>
      </c>
      <c r="H28" s="10">
        <f ca="1">IF($P$18="yes",IF($P$17="yes",H29-B3,""),"")</f>
        <v>11500</v>
      </c>
      <c r="I28" s="11">
        <f ca="1">IF($P$18="yes",IF($P$17="yes",SUMIF(Data!$L$21:'Data'!$AG$200,H28,Data!$V$21:'Data'!$V$200),""),"")</f>
        <v>1674750</v>
      </c>
      <c r="J28" s="11">
        <f ca="1">IF($P$18="yes",IF($P$17="yes",SUMIF(Data!$L$21:'Data'!$L$200,H28,Data!$U$21:'Data'!$U$200),""),"")</f>
        <v>-277500</v>
      </c>
      <c r="K28" s="11">
        <f ca="1">IF($P$18="yes",IF($P$17="yes",SUMIF(Data!$L$21:'Data'!$L$200,H28,Data!$T$21:'Data'!$T$200),""),"")</f>
        <v>21593</v>
      </c>
      <c r="L28" s="12">
        <f ca="1">IF($P$18="yes",IF($P$17="yes",SUMIF(Data!$L$21:'Data'!$L$200,H28,Data!$S$21:'Data'!$S$200),""),"")</f>
        <v>0</v>
      </c>
      <c r="M28" s="12">
        <f ca="1">IF($P$18="yes",IF($P$17="yes",SUMIF(Data!$L$21:'Data'!$L$200,H28,Data!$R$21:'Data'!$R$200),""),"")</f>
        <v>0.05</v>
      </c>
      <c r="N28" s="12">
        <f ca="1">IF($P$18="yes",IF($P$17="yes",SUMIF(Data!$L$21:'Data'!$L$200,H28,Data!$Q$21:'Data'!$Q$200),""),"")</f>
        <v>-1.4</v>
      </c>
      <c r="R28">
        <f t="shared" ca="1" si="0"/>
        <v>-48.97</v>
      </c>
      <c r="S28">
        <f t="shared" ca="1" si="1"/>
        <v>-12.85</v>
      </c>
    </row>
    <row r="29" spans="1:19" x14ac:dyDescent="0.35">
      <c r="A29">
        <v>14</v>
      </c>
      <c r="B29" s="11">
        <f ca="1">IF($P$18="yes",IF($P$17="yes",SUMIF(Data!$L$21:'Data'!$L$200,H29,Data!$B$21:'Data'!$B$200),""),"")</f>
        <v>5475</v>
      </c>
      <c r="C29" s="11">
        <f ca="1">IF($P$18="yes",IF($P$17="yes",SUMIF(Data!$L$21:'Data'!$L$200,H29,Data!$C$21:'Data'!$C$200),""),"")</f>
        <v>-2400</v>
      </c>
      <c r="D29" s="11">
        <f ca="1">IF($P$18="yes",IF($P$17="yes",SUMIF(Data!$L$21:'Data'!$L$200,H29,Data!$D$21:'Data'!$D$200),""),"")</f>
        <v>51</v>
      </c>
      <c r="E29" s="12">
        <f ca="1">IF($P$18="yes",IF($P$17="yes",SUMIF(Data!$L$21:'Data'!$L$200,H29,Data!$E$21:$E$200),""),"")</f>
        <v>0</v>
      </c>
      <c r="F29" s="12">
        <f ca="1">IF($P$18="yes",IF($P$17="yes",SUMIF(Data!$L$21:'Data'!$L$200,H29,Data!$F$21:'Data'!$F$200),""),"")</f>
        <v>386.6</v>
      </c>
      <c r="G29" s="12">
        <f ca="1">IF($P$18="yes",IF($P$17="yes",SUMIF(Data!$L$21:'Data'!$L$200,H29,Data!$G$21:'Data'!$G$200),""),"")</f>
        <v>76.45</v>
      </c>
      <c r="H29" s="10">
        <f ca="1">IF($P$18="yes",IF($P$17="yes",H30-B3,""),"")</f>
        <v>11550</v>
      </c>
      <c r="I29" s="11">
        <f ca="1">IF($P$18="yes",IF($P$17="yes",SUMIF(Data!$L$21:'Data'!$AG$200,H29,Data!$V$21:'Data'!$V$200),""),"")</f>
        <v>149925</v>
      </c>
      <c r="J29" s="11">
        <f ca="1">IF($P$18="yes",IF($P$17="yes",SUMIF(Data!$L$21:'Data'!$L$200,H29,Data!$U$21:'Data'!$U$200),""),"")</f>
        <v>-1875</v>
      </c>
      <c r="K29" s="11">
        <f ca="1">IF($P$18="yes",IF($P$17="yes",SUMIF(Data!$L$21:'Data'!$L$200,H29,Data!$T$21:'Data'!$T$200),""),"")</f>
        <v>3005</v>
      </c>
      <c r="L29" s="12">
        <f ca="1">IF($P$18="yes",IF($P$17="yes",SUMIF(Data!$L$21:'Data'!$L$200,H29,Data!$S$21:'Data'!$S$200),""),"")</f>
        <v>0</v>
      </c>
      <c r="M29" s="12">
        <f ca="1">IF($P$18="yes",IF($P$17="yes",SUMIF(Data!$L$21:'Data'!$L$200,H29,Data!$R$21:'Data'!$R$200),""),"")</f>
        <v>0.05</v>
      </c>
      <c r="N29" s="12">
        <f ca="1">IF($P$18="yes",IF($P$17="yes",SUMIF(Data!$L$21:'Data'!$L$200,H29,Data!$Q$21:'Data'!$Q$200),""),"")</f>
        <v>-1.55</v>
      </c>
      <c r="R29">
        <f t="shared" ca="1" si="0"/>
        <v>-47.06</v>
      </c>
      <c r="S29">
        <f t="shared" ca="1" si="1"/>
        <v>-0.62</v>
      </c>
    </row>
    <row r="30" spans="1:19" x14ac:dyDescent="0.35">
      <c r="A30">
        <v>15</v>
      </c>
      <c r="B30" s="11">
        <f ca="1">IF($P$18="yes",IF($P$17="yes",SUMIF(Data!$L$21:'Data'!$L$200,H30,Data!$B$21:'Data'!$B$200),""),"")</f>
        <v>85500</v>
      </c>
      <c r="C30" s="11">
        <f ca="1">IF($P$18="yes",IF($P$17="yes",SUMIF(Data!$L$21:'Data'!$L$200,H30,Data!$C$21:'Data'!$C$200),""),"")</f>
        <v>-326400</v>
      </c>
      <c r="D30" s="11">
        <f ca="1">IF($P$18="yes",IF($P$17="yes",SUMIF(Data!$L$21:'Data'!$L$200,H30,Data!$D$21:'Data'!$D$200),""),"")</f>
        <v>9053</v>
      </c>
      <c r="E30" s="12">
        <f ca="1">IF($P$18="yes",IF($P$17="yes",SUMIF(Data!$L$21:'Data'!$L$200,H30,Data!$E$21:$E$200),""),"")</f>
        <v>0</v>
      </c>
      <c r="F30" s="12">
        <f ca="1">IF($P$18="yes",IF($P$17="yes",SUMIF(Data!$L$21:'Data'!$L$200,H30,Data!$F$21:'Data'!$F$200),""),"")</f>
        <v>346.35</v>
      </c>
      <c r="G30" s="12">
        <f ca="1">IF($P$18="yes",IF($P$17="yes",SUMIF(Data!$L$21:'Data'!$L$200,H30,Data!$G$21:'Data'!$G$200),""),"")</f>
        <v>87.25</v>
      </c>
      <c r="H30" s="9">
        <f ca="1">IF($P$18="yes",IF($P$17="yes",H31-B3,""),"")</f>
        <v>11600</v>
      </c>
      <c r="I30" s="11">
        <f ca="1">IF($P$18="yes",IF($P$17="yes",SUMIF(Data!$L$21:'Data'!$AG$200,H30,Data!$V$21:'Data'!$V$200),""),"")</f>
        <v>1262625</v>
      </c>
      <c r="J30" s="11">
        <f ca="1">IF($P$18="yes",IF($P$17="yes",SUMIF(Data!$L$21:'Data'!$L$200,H30,Data!$U$21:'Data'!$U$200),""),"")</f>
        <v>-320025</v>
      </c>
      <c r="K30" s="11">
        <f ca="1">IF($P$18="yes",IF($P$17="yes",SUMIF(Data!$L$21:'Data'!$L$200,H30,Data!$T$21:'Data'!$T$200),""),"")</f>
        <v>21753</v>
      </c>
      <c r="L30" s="12">
        <f ca="1">IF($P$18="yes",IF($P$17="yes",SUMIF(Data!$L$21:'Data'!$L$200,H30,Data!$S$21:'Data'!$S$200),""),"")</f>
        <v>0</v>
      </c>
      <c r="M30" s="12">
        <f ca="1">IF($P$18="yes",IF($P$17="yes",SUMIF(Data!$L$21:'Data'!$L$200,H30,Data!$R$21:'Data'!$R$200),""),"")</f>
        <v>0.05</v>
      </c>
      <c r="N30" s="12">
        <f ca="1">IF($P$18="yes",IF($P$17="yes",SUMIF(Data!$L$21:'Data'!$L$200,H30,Data!$Q$21:'Data'!$Q$200),""),"")</f>
        <v>-1.6</v>
      </c>
      <c r="R30">
        <f t="shared" ca="1" si="0"/>
        <v>-36.049999999999997</v>
      </c>
      <c r="S30">
        <f t="shared" ca="1" si="1"/>
        <v>-14.71</v>
      </c>
    </row>
    <row r="31" spans="1:19" x14ac:dyDescent="0.35">
      <c r="A31">
        <v>16</v>
      </c>
      <c r="B31" s="11">
        <f ca="1">IF($P$18="yes",IF($P$17="yes",SUMIF(Data!$L$21:'Data'!$L$200,H31,Data!$B$21:'Data'!$B$200),""),"")</f>
        <v>1200</v>
      </c>
      <c r="C31" s="11">
        <f ca="1">IF($P$18="yes",IF($P$17="yes",SUMIF(Data!$L$21:'Data'!$L$200,H31,Data!$C$21:'Data'!$C$200),""),"")</f>
        <v>-8850</v>
      </c>
      <c r="D31" s="11">
        <f ca="1">IF($P$18="yes",IF($P$17="yes",SUMIF(Data!$L$21:'Data'!$L$200,H31,Data!$D$21:'Data'!$D$200),""),"")</f>
        <v>242</v>
      </c>
      <c r="E31" s="12">
        <f ca="1">IF($P$18="yes",IF($P$17="yes",SUMIF(Data!$L$21:'Data'!$L$200,H31,Data!$E$21:$E$200),""),"")</f>
        <v>0</v>
      </c>
      <c r="F31" s="12">
        <f ca="1">IF($P$18="yes",IF($P$17="yes",SUMIF(Data!$L$21:'Data'!$L$200,H31,Data!$F$21:'Data'!$F$200),""),"")</f>
        <v>283</v>
      </c>
      <c r="G31" s="12">
        <f ca="1">IF($P$18="yes",IF($P$17="yes",SUMIF(Data!$L$21:'Data'!$L$200,H31,Data!$G$21:'Data'!$G$200),""),"")</f>
        <v>71.25</v>
      </c>
      <c r="H31" s="9">
        <f ca="1">IF($P$18="yes",IF($P$17="yes",H32-B3,""),"")</f>
        <v>11650</v>
      </c>
      <c r="I31" s="11">
        <f ca="1">IF($P$18="yes",IF($P$17="yes",SUMIF(Data!$L$21:'Data'!$AG$200,H31,Data!$V$21:'Data'!$V$200),""),"")</f>
        <v>278925</v>
      </c>
      <c r="J31" s="11">
        <f ca="1">IF($P$18="yes",IF($P$17="yes",SUMIF(Data!$L$21:'Data'!$L$200,H31,Data!$U$21:'Data'!$U$200),""),"")</f>
        <v>-29325</v>
      </c>
      <c r="K31" s="11">
        <f ca="1">IF($P$18="yes",IF($P$17="yes",SUMIF(Data!$L$21:'Data'!$L$200,H31,Data!$T$21:'Data'!$T$200),""),"")</f>
        <v>12236</v>
      </c>
      <c r="L31" s="12">
        <f ca="1">IF($P$18="yes",IF($P$17="yes",SUMIF(Data!$L$21:'Data'!$L$200,H31,Data!$S$21:'Data'!$S$200),""),"")</f>
        <v>0</v>
      </c>
      <c r="M31" s="12">
        <f ca="1">IF($P$18="yes",IF($P$17="yes",SUMIF(Data!$L$21:'Data'!$L$200,H31,Data!$R$21:'Data'!$R$200),""),"")</f>
        <v>0.05</v>
      </c>
      <c r="N31" s="12">
        <f ca="1">IF($P$18="yes",IF($P$17="yes",SUMIF(Data!$L$21:'Data'!$L$200,H31,Data!$Q$21:'Data'!$Q$200),""),"")</f>
        <v>-2.15</v>
      </c>
      <c r="R31">
        <f t="shared" ca="1" si="0"/>
        <v>-36.57</v>
      </c>
      <c r="S31">
        <f t="shared" ca="1" si="1"/>
        <v>-2.4</v>
      </c>
    </row>
    <row r="32" spans="1:19" x14ac:dyDescent="0.35">
      <c r="A32">
        <v>17</v>
      </c>
      <c r="B32" s="11">
        <f ca="1">IF($P$18="yes",IF($P$17="yes",SUMIF(Data!$L$21:'Data'!$L$200,H32,Data!$B$21:'Data'!$B$200),""),"")</f>
        <v>212025</v>
      </c>
      <c r="C32" s="11">
        <f ca="1">IF($P$18="yes",IF($P$17="yes",SUMIF(Data!$L$21:'Data'!$L$200,H32,Data!$C$21:'Data'!$C$200),""),"")</f>
        <v>-628950</v>
      </c>
      <c r="D32" s="11">
        <f ca="1">IF($P$18="yes",IF($P$17="yes",SUMIF(Data!$L$21:'Data'!$L$200,H32,Data!$D$21:'Data'!$D$200),""),"")</f>
        <v>21238</v>
      </c>
      <c r="E32" s="12">
        <f ca="1">IF($P$18="yes",IF($P$17="yes",SUMIF(Data!$L$21:'Data'!$L$200,H32,Data!$E$21:$E$200),""),"")</f>
        <v>0</v>
      </c>
      <c r="F32" s="12">
        <f ca="1">IF($P$18="yes",IF($P$17="yes",SUMIF(Data!$L$21:'Data'!$L$200,H32,Data!$F$21:'Data'!$F$200),""),"")</f>
        <v>235</v>
      </c>
      <c r="G32" s="12">
        <f ca="1">IF($P$18="yes",IF($P$17="yes",SUMIF(Data!$L$21:'Data'!$L$200,H32,Data!$G$21:'Data'!$G$200),""),"")</f>
        <v>70.95</v>
      </c>
      <c r="H32" s="9">
        <f ca="1">IF($P$18="yes",IF($P$17="yes",H33-B3,""),"")</f>
        <v>11700</v>
      </c>
      <c r="I32" s="11">
        <f ca="1">IF($P$18="yes",IF($P$17="yes",SUMIF(Data!$L$21:'Data'!$AG$200,H32,Data!$V$21:'Data'!$V$200),""),"")</f>
        <v>1857975</v>
      </c>
      <c r="J32" s="11">
        <f ca="1">IF($P$18="yes",IF($P$17="yes",SUMIF(Data!$L$21:'Data'!$L$200,H32,Data!$U$21:'Data'!$U$200),""),"")</f>
        <v>-390450</v>
      </c>
      <c r="K32" s="11">
        <f ca="1">IF($P$18="yes",IF($P$17="yes",SUMIF(Data!$L$21:'Data'!$L$200,H32,Data!$T$21:'Data'!$T$200),""),"")</f>
        <v>89142</v>
      </c>
      <c r="L32" s="12">
        <f ca="1">IF($P$18="yes",IF($P$17="yes",SUMIF(Data!$L$21:'Data'!$L$200,H32,Data!$S$21:'Data'!$S$200),""),"")</f>
        <v>0</v>
      </c>
      <c r="M32" s="12">
        <f ca="1">IF($P$18="yes",IF($P$17="yes",SUMIF(Data!$L$21:'Data'!$L$200,H32,Data!$R$21:'Data'!$R$200),""),"")</f>
        <v>0.05</v>
      </c>
      <c r="N32" s="12">
        <f ca="1">IF($P$18="yes",IF($P$17="yes",SUMIF(Data!$L$21:'Data'!$L$200,H32,Data!$Q$21:'Data'!$Q$200),""),"")</f>
        <v>-4.05</v>
      </c>
      <c r="R32">
        <f t="shared" ca="1" si="0"/>
        <v>-29.61</v>
      </c>
      <c r="S32">
        <f t="shared" ca="1" si="1"/>
        <v>-4.38</v>
      </c>
    </row>
    <row r="33" spans="1:19" x14ac:dyDescent="0.35">
      <c r="A33">
        <v>18</v>
      </c>
      <c r="B33" s="11">
        <f ca="1">IF($P$18="yes",IF($P$17="yes",SUMIF(Data!$L$21:'Data'!$L$200,H33,Data!$B$21:'Data'!$B$200),""),"")</f>
        <v>4425</v>
      </c>
      <c r="C33" s="11">
        <f ca="1">IF($P$18="yes",IF($P$17="yes",SUMIF(Data!$L$21:'Data'!$L$200,H33,Data!$C$21:'Data'!$C$200),""),"")</f>
        <v>-39375</v>
      </c>
      <c r="D33" s="11">
        <f ca="1">IF($P$18="yes",IF($P$17="yes",SUMIF(Data!$L$21:'Data'!$L$200,H33,Data!$D$21:'Data'!$D$200),""),"")</f>
        <v>3930</v>
      </c>
      <c r="E33" s="12">
        <f ca="1">IF($P$18="yes",IF($P$17="yes",SUMIF(Data!$L$21:'Data'!$L$200,H33,Data!$E$21:$E$200),""),"")</f>
        <v>0</v>
      </c>
      <c r="F33" s="12">
        <f ca="1">IF($P$18="yes",IF($P$17="yes",SUMIF(Data!$L$21:'Data'!$L$200,H33,Data!$F$21:'Data'!$F$200),""),"")</f>
        <v>188</v>
      </c>
      <c r="G33" s="12">
        <f ca="1">IF($P$18="yes",IF($P$17="yes",SUMIF(Data!$L$21:'Data'!$L$200,H33,Data!$G$21:'Data'!$G$200),""),"")</f>
        <v>72.95</v>
      </c>
      <c r="H33" s="9">
        <f ca="1">IF($P$18="yes",IF($P$17="yes",H34-B3,""),"")</f>
        <v>11750</v>
      </c>
      <c r="I33" s="11">
        <f ca="1">IF($P$18="yes",IF($P$17="yes",SUMIF(Data!$L$21:'Data'!$AG$200,H33,Data!$V$21:'Data'!$V$200),""),"")</f>
        <v>745275</v>
      </c>
      <c r="J33" s="11">
        <f ca="1">IF($P$18="yes",IF($P$17="yes",SUMIF(Data!$L$21:'Data'!$L$200,H33,Data!$U$21:'Data'!$U$200),""),"")</f>
        <v>90075</v>
      </c>
      <c r="K33" s="11">
        <f ca="1">IF($P$18="yes",IF($P$17="yes",SUMIF(Data!$L$21:'Data'!$L$200,H33,Data!$T$21:'Data'!$T$200),""),"")</f>
        <v>113374</v>
      </c>
      <c r="L33" s="12">
        <f ca="1">IF($P$18="yes",IF($P$17="yes",SUMIF(Data!$L$21:'Data'!$L$200,H33,Data!$S$21:'Data'!$S$200),""),"")</f>
        <v>0</v>
      </c>
      <c r="M33" s="12">
        <f ca="1">IF($P$18="yes",IF($P$17="yes",SUMIF(Data!$L$21:'Data'!$L$200,H33,Data!$R$21:'Data'!$R$200),""),"")</f>
        <v>0.05</v>
      </c>
      <c r="N33" s="12">
        <f ca="1">IF($P$18="yes",IF($P$17="yes",SUMIF(Data!$L$21:'Data'!$L$200,H33,Data!$Q$21:'Data'!$Q$200),""),"")</f>
        <v>-7.1</v>
      </c>
      <c r="R33">
        <f t="shared" ca="1" si="0"/>
        <v>-10.02</v>
      </c>
      <c r="S33">
        <f t="shared" ca="1" si="1"/>
        <v>0.79</v>
      </c>
    </row>
    <row r="34" spans="1:19" x14ac:dyDescent="0.35">
      <c r="A34">
        <v>19</v>
      </c>
      <c r="B34" s="11">
        <f ca="1">IF($P$18="yes",IF($P$17="yes",SUMIF(Data!$L$21:'Data'!$L$200,H34,Data!$B$21:'Data'!$B$200),""),"")</f>
        <v>143475</v>
      </c>
      <c r="C34" s="11">
        <f ca="1">IF($P$18="yes",IF($P$17="yes",SUMIF(Data!$L$21:'Data'!$L$200,H34,Data!$C$21:'Data'!$C$200),""),"")</f>
        <v>-960450</v>
      </c>
      <c r="D34" s="11">
        <f ca="1">IF($P$18="yes",IF($P$17="yes",SUMIF(Data!$L$21:'Data'!$L$200,H34,Data!$D$21:'Data'!$D$200),""),"")</f>
        <v>111386</v>
      </c>
      <c r="E34" s="12">
        <f ca="1">IF($P$18="yes",IF($P$17="yes",SUMIF(Data!$L$21:'Data'!$L$200,H34,Data!$E$21:$E$200),""),"")</f>
        <v>0</v>
      </c>
      <c r="F34" s="12">
        <f ca="1">IF($P$18="yes",IF($P$17="yes",SUMIF(Data!$L$21:'Data'!$L$200,H34,Data!$F$21:'Data'!$F$200),""),"")</f>
        <v>132.6</v>
      </c>
      <c r="G34" s="12">
        <f ca="1">IF($P$18="yes",IF($P$17="yes",SUMIF(Data!$L$21:'Data'!$L$200,H34,Data!$G$21:'Data'!$G$200),""),"")</f>
        <v>55.95</v>
      </c>
      <c r="H34" s="9">
        <f ca="1">IF($P$18="yes",IF($P$17="yes",H35-B3,""),"")</f>
        <v>11800</v>
      </c>
      <c r="I34" s="11">
        <f ca="1">IF($P$18="yes",IF($P$17="yes",SUMIF(Data!$L$21:'Data'!$AG$200,H34,Data!$V$21:'Data'!$V$200),""),"")</f>
        <v>2846775</v>
      </c>
      <c r="J34" s="11">
        <f ca="1">IF($P$18="yes",IF($P$17="yes",SUMIF(Data!$L$21:'Data'!$L$200,H34,Data!$U$21:'Data'!$U$200),""),"")</f>
        <v>759225</v>
      </c>
      <c r="K34" s="11">
        <f ca="1">IF($P$18="yes",IF($P$17="yes",SUMIF(Data!$L$21:'Data'!$L$200,H34,Data!$T$21:'Data'!$T$200),""),"")</f>
        <v>510611</v>
      </c>
      <c r="L34" s="12">
        <f ca="1">IF($P$18="yes",IF($P$17="yes",SUMIF(Data!$L$21:'Data'!$L$200,H34,Data!$S$21:'Data'!$S$200),""),"")</f>
        <v>0</v>
      </c>
      <c r="M34" s="12">
        <f ca="1">IF($P$18="yes",IF($P$17="yes",SUMIF(Data!$L$21:'Data'!$L$200,H34,Data!$R$21:'Data'!$R$200),""),"")</f>
        <v>0.05</v>
      </c>
      <c r="N34" s="12">
        <f ca="1">IF($P$18="yes",IF($P$17="yes",SUMIF(Data!$L$21:'Data'!$L$200,H34,Data!$Q$21:'Data'!$Q$200),""),"")</f>
        <v>-15.45</v>
      </c>
      <c r="R34">
        <f t="shared" ca="1" si="0"/>
        <v>-8.6199999999999992</v>
      </c>
      <c r="S34">
        <f t="shared" ca="1" si="1"/>
        <v>1.49</v>
      </c>
    </row>
    <row r="35" spans="1:19" x14ac:dyDescent="0.35">
      <c r="A35">
        <v>20</v>
      </c>
      <c r="B35" s="11">
        <f ca="1">IF($P$18="yes",IF($P$17="yes",SUMIF(Data!$L$21:'Data'!$L$200,H35,Data!$B$21:'Data'!$B$200),""),"")</f>
        <v>21525</v>
      </c>
      <c r="C35" s="11">
        <f ca="1">IF($P$18="yes",IF($P$17="yes",SUMIF(Data!$L$21:'Data'!$L$200,H35,Data!$C$21:'Data'!$C$200),""),"")</f>
        <v>-598725</v>
      </c>
      <c r="D35" s="11">
        <f ca="1">IF($P$18="yes",IF($P$17="yes",SUMIF(Data!$L$21:'Data'!$L$200,H35,Data!$D$21:'Data'!$D$200),""),"")</f>
        <v>138675</v>
      </c>
      <c r="E35" s="12">
        <f ca="1">IF($P$18="yes",IF($P$17="yes",SUMIF(Data!$L$21:'Data'!$L$200,H35,Data!$E$21:$E$200),""),"")</f>
        <v>0</v>
      </c>
      <c r="F35" s="12">
        <f ca="1">IF($P$18="yes",IF($P$17="yes",SUMIF(Data!$L$21:'Data'!$L$200,H35,Data!$F$21:'Data'!$F$200),""),"")</f>
        <v>81.099999999999994</v>
      </c>
      <c r="G35" s="12">
        <f ca="1">IF($P$18="yes",IF($P$17="yes",SUMIF(Data!$L$21:'Data'!$L$200,H35,Data!$G$21:'Data'!$G$200),""),"")</f>
        <v>38.25</v>
      </c>
      <c r="H35" s="9">
        <f ca="1">IF($P$18="yes",IF($P$17="yes",H36-B3,""),"")</f>
        <v>11850</v>
      </c>
      <c r="I35" s="11">
        <f ca="1">IF($P$18="yes",IF($P$17="yes",SUMIF(Data!$L$21:'Data'!$AG$200,H35,Data!$V$21:'Data'!$V$200),""),"")</f>
        <v>1928700</v>
      </c>
      <c r="J35" s="11">
        <f ca="1">IF($P$18="yes",IF($P$17="yes",SUMIF(Data!$L$21:'Data'!$L$200,H35,Data!$U$21:'Data'!$U$200),""),"")</f>
        <v>1151850</v>
      </c>
      <c r="K35" s="11">
        <f ca="1">IF($P$18="yes",IF($P$17="yes",SUMIF(Data!$L$21:'Data'!$L$200,H35,Data!$T$21:'Data'!$T$200),""),"")</f>
        <v>481180</v>
      </c>
      <c r="L35" s="12">
        <f ca="1">IF($P$18="yes",IF($P$17="yes",SUMIF(Data!$L$21:'Data'!$L$200,H35,Data!$S$21:'Data'!$S$200),""),"")</f>
        <v>0</v>
      </c>
      <c r="M35" s="12">
        <f ca="1">IF($P$18="yes",IF($P$17="yes",SUMIF(Data!$L$21:'Data'!$L$200,H35,Data!$R$21:'Data'!$R$200),""),"")</f>
        <v>0.05</v>
      </c>
      <c r="N35" s="12">
        <f ca="1">IF($P$18="yes",IF($P$17="yes",SUMIF(Data!$L$21:'Data'!$L$200,H35,Data!$Q$21:'Data'!$Q$200),""),"")</f>
        <v>-30.25</v>
      </c>
      <c r="R35">
        <f t="shared" ca="1" si="0"/>
        <v>-4.32</v>
      </c>
      <c r="S35">
        <f t="shared" ca="1" si="1"/>
        <v>2.39</v>
      </c>
    </row>
    <row r="36" spans="1:19" x14ac:dyDescent="0.35">
      <c r="A36">
        <v>21</v>
      </c>
      <c r="B36" s="11">
        <f ca="1">IF($P$18="yes",IF($P$17="yes",SUMIF(Data!$L$21:'Data'!$L$200,H36,Data!$B$21:'Data'!$B$200),""),"")</f>
        <v>261300</v>
      </c>
      <c r="C36" s="11">
        <f ca="1">IF($P$18="yes",IF($P$17="yes",SUMIF(Data!$L$21:'Data'!$L$200,H36,Data!$C$21:'Data'!$C$200),""),"")</f>
        <v>-2377800</v>
      </c>
      <c r="D36" s="11">
        <f ca="1">IF($P$18="yes",IF($P$17="yes",SUMIF(Data!$L$21:'Data'!$L$200,H36,Data!$D$21:'Data'!$D$200),""),"")</f>
        <v>664908</v>
      </c>
      <c r="E36" s="12">
        <f ca="1">IF($P$18="yes",IF($P$17="yes",SUMIF(Data!$L$21:'Data'!$L$200,H36,Data!$E$21:$E$200),""),"")</f>
        <v>0</v>
      </c>
      <c r="F36" s="12">
        <f ca="1">IF($P$18="yes",IF($P$17="yes",SUMIF(Data!$L$21:'Data'!$L$200,H36,Data!$F$21:'Data'!$F$200),""),"")</f>
        <v>37</v>
      </c>
      <c r="G36" s="12">
        <f ca="1">IF($P$18="yes",IF($P$17="yes",SUMIF(Data!$L$21:'Data'!$L$200,H36,Data!$G$21:'Data'!$G$200),""),"")</f>
        <v>15</v>
      </c>
      <c r="H36" s="172">
        <f ca="1">IF($P$18="yes",IF($P$17="yes",IF(MAIN!I12="NIFTY",ROUND(B1/100,0)*100,ROUND(B1/B3,0)*B3),""),"")</f>
        <v>11900</v>
      </c>
      <c r="I36" s="11">
        <f ca="1">IF($P$18="yes",IF($P$17="yes",SUMIF(Data!$L$21:'Data'!$AG$200,H36,Data!$V$21:'Data'!$V$200),""),"")</f>
        <v>3175200</v>
      </c>
      <c r="J36" s="11">
        <f ca="1">IF($P$18="yes",IF($P$17="yes",SUMIF(Data!$L$21:'Data'!$L$200,H36,Data!$U$21:'Data'!$U$200),""),"")</f>
        <v>1984500</v>
      </c>
      <c r="K36" s="11">
        <f ca="1">IF($P$18="yes",IF($P$17="yes",SUMIF(Data!$L$21:'Data'!$L$200,H36,Data!$T$21:'Data'!$T$200),""),"")</f>
        <v>930737</v>
      </c>
      <c r="L36" s="12">
        <f ca="1">IF($P$18="yes",IF($P$17="yes",SUMIF(Data!$L$21:'Data'!$L$200,H36,Data!$S$21:'Data'!$S$200),""),"")</f>
        <v>0</v>
      </c>
      <c r="M36" s="12">
        <f ca="1">IF($P$18="yes",IF($P$17="yes",SUMIF(Data!$L$21:'Data'!$L$200,H36,Data!$R$21:'Data'!$R$200),""),"")</f>
        <v>0.05</v>
      </c>
      <c r="N36" s="12">
        <f ca="1">IF($P$18="yes",IF($P$17="yes",SUMIF(Data!$L$21:'Data'!$L$200,H36,Data!$Q$21:'Data'!$Q$200),""),"")</f>
        <v>-55.95</v>
      </c>
      <c r="R36">
        <f t="shared" ca="1" si="0"/>
        <v>-3.58</v>
      </c>
      <c r="S36">
        <f t="shared" ca="1" si="1"/>
        <v>2.13</v>
      </c>
    </row>
    <row r="37" spans="1:19" x14ac:dyDescent="0.35">
      <c r="A37">
        <v>22</v>
      </c>
      <c r="B37" s="11">
        <f ca="1">IF($P$18="yes",IF($P$17="yes",SUMIF(Data!$L$21:'Data'!$L$200,H37,Data!$B$21:'Data'!$B$200),""),"")</f>
        <v>1474350</v>
      </c>
      <c r="C37" s="11">
        <f ca="1">IF($P$18="yes",IF($P$17="yes",SUMIF(Data!$L$21:'Data'!$L$200,H37,Data!$C$21:'Data'!$C$200),""),"")</f>
        <v>-311850</v>
      </c>
      <c r="D37" s="11">
        <f ca="1">IF($P$18="yes",IF($P$17="yes",SUMIF(Data!$L$21:'Data'!$L$200,H37,Data!$D$21:'Data'!$D$200),""),"")</f>
        <v>822958</v>
      </c>
      <c r="E37" s="12">
        <f ca="1">IF($P$18="yes",IF($P$17="yes",SUMIF(Data!$L$21:'Data'!$L$200,H37,Data!$E$21:$E$200),""),"")</f>
        <v>0</v>
      </c>
      <c r="F37" s="12">
        <f ca="1">IF($P$18="yes",IF($P$17="yes",SUMIF(Data!$L$21:'Data'!$L$200,H37,Data!$F$21:'Data'!$F$200),""),"")</f>
        <v>0.05</v>
      </c>
      <c r="G37" s="12">
        <f ca="1">IF($P$18="yes",IF($P$17="yes",SUMIF(Data!$L$21:'Data'!$L$200,H37,Data!$G$21:'Data'!$G$200),""),"")</f>
        <v>-10.199999999999999</v>
      </c>
      <c r="H37" s="9">
        <f ca="1">IF($P$18="yes",IF($P$17="yes",H36+B3,""),"")</f>
        <v>11950</v>
      </c>
      <c r="I37" s="11">
        <f ca="1">IF($P$18="yes",IF($P$17="yes",SUMIF(Data!$L$21:'Data'!$AG$200,H37,Data!$V$21:'Data'!$V$200),""),"")</f>
        <v>467325</v>
      </c>
      <c r="J37" s="11">
        <f ca="1">IF($P$18="yes",IF($P$17="yes",SUMIF(Data!$L$21:'Data'!$L$200,H37,Data!$U$21:'Data'!$U$200),""),"")</f>
        <v>331725</v>
      </c>
      <c r="K37" s="11">
        <f ca="1">IF($P$18="yes",IF($P$17="yes",SUMIF(Data!$L$21:'Data'!$L$200,H37,Data!$T$21:'Data'!$T$200),""),"")</f>
        <v>442709</v>
      </c>
      <c r="L37" s="12">
        <f ca="1">IF($P$18="yes",IF($P$17="yes",SUMIF(Data!$L$21:'Data'!$L$200,H37,Data!$S$21:'Data'!$S$200),""),"")</f>
        <v>0</v>
      </c>
      <c r="M37" s="12">
        <f ca="1">IF($P$18="yes",IF($P$17="yes",SUMIF(Data!$L$21:'Data'!$L$200,H37,Data!$R$21:'Data'!$R$200),""),"")</f>
        <v>0.3</v>
      </c>
      <c r="N37" s="12">
        <f ca="1">IF($P$18="yes",IF($P$17="yes",SUMIF(Data!$L$21:'Data'!$L$200,H37,Data!$Q$21:'Data'!$Q$200),""),"")</f>
        <v>-92.05</v>
      </c>
      <c r="R37">
        <f t="shared" ca="1" si="0"/>
        <v>-0.38</v>
      </c>
      <c r="S37">
        <f t="shared" ca="1" si="1"/>
        <v>0.75</v>
      </c>
    </row>
    <row r="38" spans="1:19" x14ac:dyDescent="0.35">
      <c r="A38">
        <v>23</v>
      </c>
      <c r="B38" s="11">
        <f ca="1">IF($P$18="yes",IF($P$17="yes",SUMIF(Data!$L$21:'Data'!$L$200,H38,Data!$B$21:'Data'!$B$200),""),"")</f>
        <v>3645450</v>
      </c>
      <c r="C38" s="11">
        <f ca="1">IF($P$18="yes",IF($P$17="yes",SUMIF(Data!$L$21:'Data'!$L$200,H38,Data!$C$21:'Data'!$C$200),""),"")</f>
        <v>-1697025</v>
      </c>
      <c r="D38" s="11">
        <f ca="1">IF($P$18="yes",IF($P$17="yes",SUMIF(Data!$L$21:'Data'!$L$200,H38,Data!$D$21:'Data'!$D$200),""),"")</f>
        <v>992859</v>
      </c>
      <c r="E38" s="12">
        <f ca="1">IF($P$18="yes",IF($P$17="yes",SUMIF(Data!$L$21:'Data'!$L$200,H38,Data!$E$21:$E$200),""),"")</f>
        <v>0</v>
      </c>
      <c r="F38" s="12">
        <f ca="1">IF($P$18="yes",IF($P$17="yes",SUMIF(Data!$L$21:'Data'!$L$200,H38,Data!$F$21:'Data'!$F$200),""),"")</f>
        <v>0.05</v>
      </c>
      <c r="G38" s="12">
        <f ca="1">IF($P$18="yes",IF($P$17="yes",SUMIF(Data!$L$21:'Data'!$L$200,H38,Data!$G$21:'Data'!$G$200),""),"")</f>
        <v>-5.45</v>
      </c>
      <c r="H38" s="9">
        <f ca="1">IF($P$18="yes",IF($P$17="yes",H37+B3,""),"")</f>
        <v>12000</v>
      </c>
      <c r="I38" s="11">
        <f ca="1">IF($P$18="yes",IF($P$17="yes",SUMIF(Data!$L$21:'Data'!$AG$200,H38,Data!$V$21:'Data'!$V$200),""),"")</f>
        <v>57300</v>
      </c>
      <c r="J38" s="11">
        <f ca="1">IF($P$18="yes",IF($P$17="yes",SUMIF(Data!$L$21:'Data'!$L$200,H38,Data!$U$21:'Data'!$U$200),""),"")</f>
        <v>-524325</v>
      </c>
      <c r="K38" s="11">
        <f ca="1">IF($P$18="yes",IF($P$17="yes",SUMIF(Data!$L$21:'Data'!$L$200,H38,Data!$T$21:'Data'!$T$200),""),"")</f>
        <v>191932</v>
      </c>
      <c r="L38" s="12">
        <f ca="1">IF($P$18="yes",IF($P$17="yes",SUMIF(Data!$L$21:'Data'!$L$200,H38,Data!$S$21:'Data'!$S$200),""),"")</f>
        <v>0</v>
      </c>
      <c r="M38" s="12">
        <f ca="1">IF($P$18="yes",IF($P$17="yes",SUMIF(Data!$L$21:'Data'!$L$200,H38,Data!$R$21:'Data'!$R$200),""),"")</f>
        <v>50</v>
      </c>
      <c r="N38" s="12">
        <f ca="1">IF($P$18="yes",IF($P$17="yes",SUMIF(Data!$L$21:'Data'!$L$200,H38,Data!$Q$21:'Data'!$Q$200),""),"")</f>
        <v>-87</v>
      </c>
      <c r="R38">
        <f t="shared" ca="1" si="0"/>
        <v>-1.71</v>
      </c>
      <c r="S38">
        <f t="shared" ca="1" si="1"/>
        <v>-2.73</v>
      </c>
    </row>
    <row r="39" spans="1:19" x14ac:dyDescent="0.35">
      <c r="A39">
        <v>24</v>
      </c>
      <c r="B39" s="11">
        <f ca="1">IF($P$18="yes",IF($P$17="yes",SUMIF(Data!$L$21:'Data'!$L$200,H39,Data!$B$21:'Data'!$B$200),""),"")</f>
        <v>1021950</v>
      </c>
      <c r="C39" s="11">
        <f ca="1">IF($P$18="yes",IF($P$17="yes",SUMIF(Data!$L$21:'Data'!$L$200,H39,Data!$C$21:'Data'!$C$200),""),"")</f>
        <v>202875</v>
      </c>
      <c r="D39" s="11">
        <f ca="1">IF($P$18="yes",IF($P$17="yes",SUMIF(Data!$L$21:'Data'!$L$200,H39,Data!$D$21:'Data'!$D$200),""),"")</f>
        <v>180672</v>
      </c>
      <c r="E39" s="12">
        <f ca="1">IF($P$18="yes",IF($P$17="yes",SUMIF(Data!$L$21:'Data'!$L$200,H39,Data!$E$21:$E$200),""),"")</f>
        <v>0</v>
      </c>
      <c r="F39" s="12">
        <f ca="1">IF($P$18="yes",IF($P$17="yes",SUMIF(Data!$L$21:'Data'!$L$200,H39,Data!$F$21:'Data'!$F$200),""),"")</f>
        <v>0.05</v>
      </c>
      <c r="G39" s="12">
        <f ca="1">IF($P$18="yes",IF($P$17="yes",SUMIF(Data!$L$21:'Data'!$L$200,H39,Data!$G$21:'Data'!$G$200),""),"")</f>
        <v>-2.4</v>
      </c>
      <c r="H39" s="9">
        <f ca="1">IF($P$18="yes",IF($P$17="yes",H38+B3,""),"")</f>
        <v>12050</v>
      </c>
      <c r="I39" s="11">
        <f ca="1">IF($P$18="yes",IF($P$17="yes",SUMIF(Data!$L$21:'Data'!$AG$200,H39,Data!$V$21:'Data'!$V$200),""),"")</f>
        <v>6900</v>
      </c>
      <c r="J39" s="11">
        <f ca="1">IF($P$18="yes",IF($P$17="yes",SUMIF(Data!$L$21:'Data'!$L$200,H39,Data!$U$21:'Data'!$U$200),""),"")</f>
        <v>1125</v>
      </c>
      <c r="K39" s="11">
        <f ca="1">IF($P$18="yes",IF($P$17="yes",SUMIF(Data!$L$21:'Data'!$L$200,H39,Data!$T$21:'Data'!$T$200),""),"")</f>
        <v>2954</v>
      </c>
      <c r="L39" s="12">
        <f ca="1">IF($P$18="yes",IF($P$17="yes",SUMIF(Data!$L$21:'Data'!$L$200,H39,Data!$S$21:'Data'!$S$200),""),"")</f>
        <v>0</v>
      </c>
      <c r="M39" s="12">
        <f ca="1">IF($P$18="yes",IF($P$17="yes",SUMIF(Data!$L$21:'Data'!$L$200,H39,Data!$R$21:'Data'!$R$200),""),"")</f>
        <v>99</v>
      </c>
      <c r="N39" s="12">
        <f ca="1">IF($P$18="yes",IF($P$17="yes",SUMIF(Data!$L$21:'Data'!$L$200,H39,Data!$Q$21:'Data'!$Q$200),""),"")</f>
        <v>-80.95</v>
      </c>
      <c r="R39">
        <f t="shared" ca="1" si="0"/>
        <v>1.1200000000000001</v>
      </c>
      <c r="S39">
        <f t="shared" ca="1" si="1"/>
        <v>0.38</v>
      </c>
    </row>
    <row r="40" spans="1:19" x14ac:dyDescent="0.35">
      <c r="A40">
        <v>25</v>
      </c>
      <c r="B40" s="11">
        <f ca="1">IF($P$18="yes",IF($P$17="yes",SUMIF(Data!$L$21:'Data'!$L$200,H40,Data!$B$21:'Data'!$B$200),""),"")</f>
        <v>1329525</v>
      </c>
      <c r="C40" s="11">
        <f ca="1">IF($P$18="yes",IF($P$17="yes",SUMIF(Data!$L$21:'Data'!$L$200,H40,Data!$C$21:'Data'!$C$200),""),"")</f>
        <v>-478575</v>
      </c>
      <c r="D40" s="11">
        <f ca="1">IF($P$18="yes",IF($P$17="yes",SUMIF(Data!$L$21:'Data'!$L$200,H40,Data!$D$21:'Data'!$D$200),""),"")</f>
        <v>81662</v>
      </c>
      <c r="E40" s="12">
        <f ca="1">IF($P$18="yes",IF($P$17="yes",SUMIF(Data!$L$21:'Data'!$L$200,H40,Data!$E$21:$E$200),""),"")</f>
        <v>0</v>
      </c>
      <c r="F40" s="12">
        <f ca="1">IF($P$18="yes",IF($P$17="yes",SUMIF(Data!$L$21:'Data'!$L$200,H40,Data!$F$21:'Data'!$F$200),""),"")</f>
        <v>0.05</v>
      </c>
      <c r="G40" s="12">
        <f ca="1">IF($P$18="yes",IF($P$17="yes",SUMIF(Data!$L$21:'Data'!$L$200,H40,Data!$G$21:'Data'!$G$200),""),"")</f>
        <v>-1.7</v>
      </c>
      <c r="H40" s="9">
        <f ca="1">IF($P$18="yes",IF($P$17="yes",H39+B3,""),"")</f>
        <v>12100</v>
      </c>
      <c r="I40" s="11">
        <f ca="1">IF($P$18="yes",IF($P$17="yes",SUMIF(Data!$L$21:'Data'!$AG$200,H40,Data!$V$21:'Data'!$V$200),""),"")</f>
        <v>2625</v>
      </c>
      <c r="J40" s="11">
        <f ca="1">IF($P$18="yes",IF($P$17="yes",SUMIF(Data!$L$21:'Data'!$L$200,H40,Data!$U$21:'Data'!$U$200),""),"")</f>
        <v>-37650</v>
      </c>
      <c r="K40" s="11">
        <f ca="1">IF($P$18="yes",IF($P$17="yes",SUMIF(Data!$L$21:'Data'!$L$200,H40,Data!$T$21:'Data'!$T$200),""),"")</f>
        <v>4764</v>
      </c>
      <c r="L40" s="12">
        <f ca="1">IF($P$18="yes",IF($P$17="yes",SUMIF(Data!$L$21:'Data'!$L$200,H40,Data!$S$21:'Data'!$S$200),""),"")</f>
        <v>0</v>
      </c>
      <c r="M40" s="12">
        <f ca="1">IF($P$18="yes",IF($P$17="yes",SUMIF(Data!$L$21:'Data'!$L$200,H40,Data!$R$21:'Data'!$R$200),""),"")</f>
        <v>154</v>
      </c>
      <c r="N40" s="12">
        <f ca="1">IF($P$18="yes",IF($P$17="yes",SUMIF(Data!$L$21:'Data'!$L$200,H40,Data!$Q$21:'Data'!$Q$200),""),"")</f>
        <v>-77.5</v>
      </c>
      <c r="R40">
        <f t="shared" ca="1" si="0"/>
        <v>-5.86</v>
      </c>
      <c r="S40">
        <f t="shared" ca="1" si="1"/>
        <v>-7.9</v>
      </c>
    </row>
    <row r="41" spans="1:19" x14ac:dyDescent="0.35">
      <c r="A41">
        <v>26</v>
      </c>
      <c r="B41" s="11">
        <f ca="1">IF($P$18="yes",IF($P$17="yes",SUMIF(Data!$L$21:'Data'!$L$200,H41,Data!$B$21:'Data'!$B$200),""),"")</f>
        <v>188775</v>
      </c>
      <c r="C41" s="11">
        <f ca="1">IF($P$18="yes",IF($P$17="yes",SUMIF(Data!$L$21:'Data'!$L$200,H41,Data!$C$21:'Data'!$C$200),""),"")</f>
        <v>-59700</v>
      </c>
      <c r="D41" s="11">
        <f ca="1">IF($P$18="yes",IF($P$17="yes",SUMIF(Data!$L$21:'Data'!$L$200,H41,Data!$D$21:'Data'!$D$200),""),"")</f>
        <v>6282</v>
      </c>
      <c r="E41" s="12">
        <f ca="1">IF($P$18="yes",IF($P$17="yes",SUMIF(Data!$L$21:'Data'!$L$200,H41,Data!$E$21:$E$200),""),"")</f>
        <v>0</v>
      </c>
      <c r="F41" s="12">
        <f ca="1">IF($P$18="yes",IF($P$17="yes",SUMIF(Data!$L$21:'Data'!$L$200,H41,Data!$F$21:'Data'!$F$200),""),"")</f>
        <v>0.05</v>
      </c>
      <c r="G41" s="12">
        <f ca="1">IF($P$18="yes",IF($P$17="yes",SUMIF(Data!$L$21:'Data'!$L$200,H41,Data!$G$21:'Data'!$G$200),""),"")</f>
        <v>-1.1499999999999999</v>
      </c>
      <c r="H41" s="9">
        <f ca="1">IF($P$18="yes",IF($P$17="yes",H40+B3,""),"")</f>
        <v>12150</v>
      </c>
      <c r="I41" s="11">
        <f ca="1">IF($P$18="yes",IF($P$17="yes",SUMIF(Data!$L$21:'Data'!$AG$200,H41,Data!$V$21:'Data'!$V$200),""),"")</f>
        <v>0</v>
      </c>
      <c r="J41" s="11">
        <f ca="1">IF($P$18="yes",IF($P$17="yes",SUMIF(Data!$L$21:'Data'!$L$200,H41,Data!$U$21:'Data'!$U$200),""),"")</f>
        <v>-900</v>
      </c>
      <c r="K41" s="11">
        <f ca="1">IF($P$18="yes",IF($P$17="yes",SUMIF(Data!$L$21:'Data'!$L$200,H41,Data!$T$21:'Data'!$T$200),""),"")</f>
        <v>42</v>
      </c>
      <c r="L41" s="12">
        <f ca="1">IF($P$18="yes",IF($P$17="yes",SUMIF(Data!$L$21:'Data'!$L$200,H41,Data!$S$21:'Data'!$S$200),""),"")</f>
        <v>0</v>
      </c>
      <c r="M41" s="12">
        <f ca="1">IF($P$18="yes",IF($P$17="yes",SUMIF(Data!$L$21:'Data'!$L$200,H41,Data!$R$21:'Data'!$R$200),""),"")</f>
        <v>202.95</v>
      </c>
      <c r="N41" s="12">
        <f ca="1">IF($P$18="yes",IF($P$17="yes",SUMIF(Data!$L$21:'Data'!$L$200,H41,Data!$Q$21:'Data'!$Q$200),""),"")</f>
        <v>-42.25</v>
      </c>
      <c r="R41">
        <f t="shared" ca="1" si="0"/>
        <v>-9.5</v>
      </c>
      <c r="S41">
        <f t="shared" ca="1" si="1"/>
        <v>-21.43</v>
      </c>
    </row>
    <row r="42" spans="1:19" x14ac:dyDescent="0.35">
      <c r="A42">
        <v>27</v>
      </c>
      <c r="B42" s="11">
        <f ca="1">IF($P$18="yes",IF($P$17="yes",SUMIF(Data!$L$21:'Data'!$L$200,H42,Data!$B$21:'Data'!$B$200),""),"")</f>
        <v>1859175</v>
      </c>
      <c r="C42" s="11">
        <f ca="1">IF($P$18="yes",IF($P$17="yes",SUMIF(Data!$L$21:'Data'!$L$200,H42,Data!$C$21:'Data'!$C$200),""),"")</f>
        <v>-398850</v>
      </c>
      <c r="D42" s="11">
        <f ca="1">IF($P$18="yes",IF($P$17="yes",SUMIF(Data!$L$21:'Data'!$L$200,H42,Data!$D$21:'Data'!$D$200),""),"")</f>
        <v>49655</v>
      </c>
      <c r="E42" s="12">
        <f ca="1">IF($P$18="yes",IF($P$17="yes",SUMIF(Data!$L$21:'Data'!$L$200,H42,Data!$E$21:$E$200),""),"")</f>
        <v>0</v>
      </c>
      <c r="F42" s="12">
        <f ca="1">IF($P$18="yes",IF($P$17="yes",SUMIF(Data!$L$21:'Data'!$L$200,H42,Data!$F$21:'Data'!$F$200),""),"")</f>
        <v>0.05</v>
      </c>
      <c r="G42" s="12">
        <f ca="1">IF($P$18="yes",IF($P$17="yes",SUMIF(Data!$L$21:'Data'!$L$200,H42,Data!$G$21:'Data'!$G$200),""),"")</f>
        <v>-1.05</v>
      </c>
      <c r="H42" s="9">
        <f ca="1">IF($P$18="yes",IF($P$17="yes",H41+B3,""),"")</f>
        <v>12200</v>
      </c>
      <c r="I42" s="11">
        <f ca="1">IF($P$18="yes",IF($P$17="yes",SUMIF(Data!$L$21:'Data'!$AG$200,H42,Data!$V$21:'Data'!$V$200),""),"")</f>
        <v>1200</v>
      </c>
      <c r="J42" s="11">
        <f ca="1">IF($P$18="yes",IF($P$17="yes",SUMIF(Data!$L$21:'Data'!$L$200,H42,Data!$U$21:'Data'!$U$200),""),"")</f>
        <v>-28650</v>
      </c>
      <c r="K42" s="11">
        <f ca="1">IF($P$18="yes",IF($P$17="yes",SUMIF(Data!$L$21:'Data'!$L$200,H42,Data!$T$21:'Data'!$T$200),""),"")</f>
        <v>920</v>
      </c>
      <c r="L42" s="12">
        <f ca="1">IF($P$18="yes",IF($P$17="yes",SUMIF(Data!$L$21:'Data'!$L$200,H42,Data!$S$21:'Data'!$S$200),""),"")</f>
        <v>0</v>
      </c>
      <c r="M42" s="12">
        <f ca="1">IF($P$18="yes",IF($P$17="yes",SUMIF(Data!$L$21:'Data'!$L$200,H42,Data!$R$21:'Data'!$R$200),""),"")</f>
        <v>253.7</v>
      </c>
      <c r="N42" s="12">
        <f ca="1">IF($P$18="yes",IF($P$17="yes",SUMIF(Data!$L$21:'Data'!$L$200,H42,Data!$Q$21:'Data'!$Q$200),""),"")</f>
        <v>-73.7</v>
      </c>
      <c r="R42">
        <f t="shared" ca="1" si="0"/>
        <v>-8.0299999999999994</v>
      </c>
      <c r="S42">
        <f t="shared" ca="1" si="1"/>
        <v>-31.14</v>
      </c>
    </row>
    <row r="43" spans="1:19" x14ac:dyDescent="0.35">
      <c r="A43">
        <v>28</v>
      </c>
      <c r="B43" s="11">
        <f ca="1">IF($P$18="yes",IF($P$17="yes",SUMIF(Data!$L$21:'Data'!$L$200,H43,Data!$B$21:'Data'!$B$200),""),"")</f>
        <v>61425</v>
      </c>
      <c r="C43" s="11">
        <f ca="1">IF($P$18="yes",IF($P$17="yes",SUMIF(Data!$L$21:'Data'!$L$200,H43,Data!$C$21:'Data'!$C$200),""),"")</f>
        <v>-11925</v>
      </c>
      <c r="D43" s="11">
        <f ca="1">IF($P$18="yes",IF($P$17="yes",SUMIF(Data!$L$21:'Data'!$L$200,H43,Data!$D$21:'Data'!$D$200),""),"")</f>
        <v>1481</v>
      </c>
      <c r="E43" s="12">
        <f ca="1">IF($P$18="yes",IF($P$17="yes",SUMIF(Data!$L$21:'Data'!$L$200,H43,Data!$E$21:$E$200),""),"")</f>
        <v>0</v>
      </c>
      <c r="F43" s="12">
        <f ca="1">IF($P$18="yes",IF($P$17="yes",SUMIF(Data!$L$21:'Data'!$L$200,H43,Data!$F$21:'Data'!$F$200),""),"")</f>
        <v>0.05</v>
      </c>
      <c r="G43" s="12">
        <f ca="1">IF($P$18="yes",IF($P$17="yes",SUMIF(Data!$L$21:'Data'!$L$200,H43,Data!$G$21:'Data'!$G$200),""),"")</f>
        <v>-0.95</v>
      </c>
      <c r="H43" s="10">
        <f ca="1">IF($P$18="yes",IF($P$17="yes",H42+B3,""),"")</f>
        <v>12250</v>
      </c>
      <c r="I43" s="11">
        <f ca="1">IF($P$18="yes",IF($P$17="yes",SUMIF(Data!$L$21:'Data'!$AG$200,H43,Data!$V$21:'Data'!$V$200),""),"")</f>
        <v>75</v>
      </c>
      <c r="J43" s="11">
        <f ca="1">IF($P$18="yes",IF($P$17="yes",SUMIF(Data!$L$21:'Data'!$L$200,H43,Data!$U$21:'Data'!$U$200),""),"")</f>
        <v>0</v>
      </c>
      <c r="K43" s="11">
        <f ca="1">IF($P$18="yes",IF($P$17="yes",SUMIF(Data!$L$21:'Data'!$L$200,H43,Data!$T$21:'Data'!$T$200),""),"")</f>
        <v>0</v>
      </c>
      <c r="L43" s="12">
        <f ca="1">IF($P$18="yes",IF($P$17="yes",SUMIF(Data!$L$21:'Data'!$L$200,H43,Data!$S$21:'Data'!$S$200),""),"")</f>
        <v>0</v>
      </c>
      <c r="M43" s="12">
        <f ca="1">IF($P$18="yes",IF($P$17="yes",SUMIF(Data!$L$21:'Data'!$L$200,H43,Data!$R$21:'Data'!$R$200),""),"")</f>
        <v>354.95</v>
      </c>
      <c r="N43" s="12">
        <f ca="1">IF($P$18="yes",IF($P$17="yes",SUMIF(Data!$L$21:'Data'!$L$200,H43,Data!$Q$21:'Data'!$Q$200),""),"")</f>
        <v>0</v>
      </c>
      <c r="R43">
        <f t="shared" ca="1" si="0"/>
        <v>-8.0500000000000007</v>
      </c>
      <c r="S43" t="e">
        <f t="shared" ca="1" si="1"/>
        <v>#DIV/0!</v>
      </c>
    </row>
    <row r="44" spans="1:19" x14ac:dyDescent="0.35">
      <c r="A44">
        <v>29</v>
      </c>
      <c r="B44" s="11">
        <f ca="1">IF($P$18="yes",IF($P$17="yes",SUMIF(Data!$L$21:'Data'!$L$200,H44,Data!$B$21:'Data'!$B$200),""),"")</f>
        <v>1590600</v>
      </c>
      <c r="C44" s="11">
        <f ca="1">IF($P$18="yes",IF($P$17="yes",SUMIF(Data!$L$21:'Data'!$L$200,H44,Data!$C$21:'Data'!$C$200),""),"")</f>
        <v>-139575</v>
      </c>
      <c r="D44" s="11">
        <f ca="1">IF($P$18="yes",IF($P$17="yes",SUMIF(Data!$L$21:'Data'!$L$200,H44,Data!$D$21:'Data'!$D$200),""),"")</f>
        <v>14633</v>
      </c>
      <c r="E44" s="12">
        <f ca="1">IF($P$18="yes",IF($P$17="yes",SUMIF(Data!$L$21:'Data'!$L$200,H44,Data!$E$21:$E$200),""),"")</f>
        <v>0</v>
      </c>
      <c r="F44" s="12">
        <f ca="1">IF($P$18="yes",IF($P$17="yes",SUMIF(Data!$L$21:'Data'!$L$200,H44,Data!$F$21:'Data'!$F$200),""),"")</f>
        <v>0.05</v>
      </c>
      <c r="G44" s="12">
        <f ca="1">IF($P$18="yes",IF($P$17="yes",SUMIF(Data!$L$21:'Data'!$L$200,H44,Data!$G$21:'Data'!$G$200),""),"")</f>
        <v>-0.9</v>
      </c>
      <c r="H44" s="10">
        <f ca="1">IF($P$18="yes",IF($P$17="yes",H43+B3,""),"")</f>
        <v>12300</v>
      </c>
      <c r="I44" s="11">
        <f ca="1">IF($P$18="yes",IF($P$17="yes",SUMIF(Data!$L$21:'Data'!$AG$200,H44,Data!$V$21:'Data'!$V$200),""),"")</f>
        <v>375</v>
      </c>
      <c r="J44" s="11">
        <f ca="1">IF($P$18="yes",IF($P$17="yes",SUMIF(Data!$L$21:'Data'!$L$200,H44,Data!$U$21:'Data'!$U$200),""),"")</f>
        <v>-2025</v>
      </c>
      <c r="K44" s="11">
        <f ca="1">IF($P$18="yes",IF($P$17="yes",SUMIF(Data!$L$21:'Data'!$L$200,H44,Data!$T$21:'Data'!$T$200),""),"")</f>
        <v>53</v>
      </c>
      <c r="L44" s="12">
        <f ca="1">IF($P$18="yes",IF($P$17="yes",SUMIF(Data!$L$21:'Data'!$L$200,H44,Data!$S$21:'Data'!$S$200),""),"")</f>
        <v>0</v>
      </c>
      <c r="M44" s="12">
        <f ca="1">IF($P$18="yes",IF($P$17="yes",SUMIF(Data!$L$21:'Data'!$L$200,H44,Data!$R$21:'Data'!$R$200),""),"")</f>
        <v>340.7</v>
      </c>
      <c r="N44" s="12">
        <f ca="1">IF($P$18="yes",IF($P$17="yes",SUMIF(Data!$L$21:'Data'!$L$200,H44,Data!$Q$21:'Data'!$Q$200),""),"")</f>
        <v>-84.3</v>
      </c>
      <c r="R44">
        <f t="shared" ca="1" si="0"/>
        <v>-9.5399999999999991</v>
      </c>
      <c r="S44">
        <f t="shared" ca="1" si="1"/>
        <v>-38.21</v>
      </c>
    </row>
    <row r="45" spans="1:19" x14ac:dyDescent="0.35">
      <c r="A45">
        <v>30</v>
      </c>
      <c r="B45" s="11">
        <f ca="1">IF($P$18="yes",IF($P$17="yes",SUMIF(Data!$L$21:'Data'!$L$200,H45,Data!$B$21:'Data'!$B$200),""),"")</f>
        <v>24450</v>
      </c>
      <c r="C45" s="11">
        <f ca="1">IF($P$18="yes",IF($P$17="yes",SUMIF(Data!$L$21:'Data'!$L$200,H45,Data!$C$21:'Data'!$C$200),""),"")</f>
        <v>825</v>
      </c>
      <c r="D45" s="11">
        <f ca="1">IF($P$18="yes",IF($P$17="yes",SUMIF(Data!$L$21:'Data'!$L$200,H45,Data!$D$21:'Data'!$D$200),""),"")</f>
        <v>138</v>
      </c>
      <c r="E45" s="12">
        <f ca="1">IF($P$18="yes",IF($P$17="yes",SUMIF(Data!$L$21:'Data'!$L$200,H45,Data!$E$21:$E$200),""),"")</f>
        <v>0</v>
      </c>
      <c r="F45" s="12">
        <f ca="1">IF($P$18="yes",IF($P$17="yes",SUMIF(Data!$L$21:'Data'!$L$200,H45,Data!$F$21:'Data'!$F$200),""),"")</f>
        <v>0.05</v>
      </c>
      <c r="G45" s="12">
        <f ca="1">IF($P$18="yes",IF($P$17="yes",SUMIF(Data!$L$21:'Data'!$L$200,H45,Data!$G$21:'Data'!$G$200),""),"")</f>
        <v>-0.5</v>
      </c>
      <c r="H45" s="10">
        <f ca="1">IF($P$18="yes",IF($P$17="yes",H44+B3,""),"")</f>
        <v>12350</v>
      </c>
      <c r="I45" s="11">
        <f ca="1">IF($P$18="yes",IF($P$17="yes",SUMIF(Data!$L$21:'Data'!$AG$200,H45,Data!$V$21:'Data'!$V$200),""),"")</f>
        <v>0</v>
      </c>
      <c r="J45" s="11">
        <f ca="1">IF($P$18="yes",IF($P$17="yes",SUMIF(Data!$L$21:'Data'!$L$200,H45,Data!$U$21:'Data'!$U$200),""),"")</f>
        <v>0</v>
      </c>
      <c r="K45" s="11">
        <f ca="1">IF($P$18="yes",IF($P$17="yes",SUMIF(Data!$L$21:'Data'!$L$200,H45,Data!$T$21:'Data'!$T$200),""),"")</f>
        <v>0</v>
      </c>
      <c r="L45" s="12">
        <f ca="1">IF($P$18="yes",IF($P$17="yes",SUMIF(Data!$L$21:'Data'!$L$200,H45,Data!$S$21:'Data'!$S$200),""),"")</f>
        <v>0</v>
      </c>
      <c r="M45" s="12">
        <f ca="1">IF($P$18="yes",IF($P$17="yes",SUMIF(Data!$L$21:'Data'!$L$200,H45,Data!$R$21:'Data'!$R$200),""),"")</f>
        <v>0</v>
      </c>
      <c r="N45" s="12">
        <f ca="1">IF($P$18="yes",IF($P$17="yes",SUMIF(Data!$L$21:'Data'!$L$200,H45,Data!$Q$21:'Data'!$Q$200),""),"")</f>
        <v>0</v>
      </c>
      <c r="R45">
        <f t="shared" ca="1" si="0"/>
        <v>5.98</v>
      </c>
      <c r="S45" t="e">
        <f t="shared" ca="1" si="1"/>
        <v>#DIV/0!</v>
      </c>
    </row>
    <row r="46" spans="1:19" x14ac:dyDescent="0.35">
      <c r="A46">
        <v>31</v>
      </c>
      <c r="B46" s="11">
        <f ca="1">IF($P$18="yes",IF($P$17="yes",SUMIF(Data!$L$21:'Data'!$L$200,H46,Data!$B$21:'Data'!$B$200),""),"")</f>
        <v>1354500</v>
      </c>
      <c r="C46" s="11">
        <f ca="1">IF($P$18="yes",IF($P$17="yes",SUMIF(Data!$L$21:'Data'!$L$200,H46,Data!$C$21:'Data'!$C$200),""),"")</f>
        <v>-83325</v>
      </c>
      <c r="D46" s="11">
        <f ca="1">IF($P$18="yes",IF($P$17="yes",SUMIF(Data!$L$21:'Data'!$L$200,H46,Data!$D$21:'Data'!$D$200),""),"")</f>
        <v>3893</v>
      </c>
      <c r="E46" s="12">
        <f ca="1">IF($P$18="yes",IF($P$17="yes",SUMIF(Data!$L$21:'Data'!$L$200,H46,Data!$E$21:$E$200),""),"")</f>
        <v>0</v>
      </c>
      <c r="F46" s="12">
        <f ca="1">IF($P$18="yes",IF($P$17="yes",SUMIF(Data!$L$21:'Data'!$L$200,H46,Data!$F$21:'Data'!$F$200),""),"")</f>
        <v>0.05</v>
      </c>
      <c r="G46" s="12">
        <f ca="1">IF($P$18="yes",IF($P$17="yes",SUMIF(Data!$L$21:'Data'!$L$200,H46,Data!$G$21:'Data'!$G$200),""),"")</f>
        <v>-0.6</v>
      </c>
      <c r="H46" s="10">
        <f ca="1">IF($P$18="yes",IF($P$17="yes",H45+B3,""),"")</f>
        <v>12400</v>
      </c>
      <c r="I46" s="11">
        <f ca="1">IF($P$18="yes",IF($P$17="yes",SUMIF(Data!$L$21:'Data'!$AG$200,H46,Data!$V$21:'Data'!$V$200),""),"")</f>
        <v>150</v>
      </c>
      <c r="J46" s="11">
        <f ca="1">IF($P$18="yes",IF($P$17="yes",SUMIF(Data!$L$21:'Data'!$L$200,H46,Data!$U$21:'Data'!$U$200),""),"")</f>
        <v>-3225</v>
      </c>
      <c r="K46" s="11">
        <f ca="1">IF($P$18="yes",IF($P$17="yes",SUMIF(Data!$L$21:'Data'!$L$200,H46,Data!$T$21:'Data'!$T$200),""),"")</f>
        <v>55</v>
      </c>
      <c r="L46" s="12">
        <f ca="1">IF($P$18="yes",IF($P$17="yes",SUMIF(Data!$L$21:'Data'!$L$200,H46,Data!$S$21:'Data'!$S$200),""),"")</f>
        <v>0</v>
      </c>
      <c r="M46" s="12">
        <f ca="1">IF($P$18="yes",IF($P$17="yes",SUMIF(Data!$L$21:'Data'!$L$200,H46,Data!$R$21:'Data'!$R$200),""),"")</f>
        <v>445.7</v>
      </c>
      <c r="N46" s="12">
        <f ca="1">IF($P$18="yes",IF($P$17="yes",SUMIF(Data!$L$21:'Data'!$L$200,H46,Data!$Q$21:'Data'!$Q$200),""),"")</f>
        <v>-81.3</v>
      </c>
      <c r="R46">
        <f t="shared" ca="1" si="0"/>
        <v>-21.4</v>
      </c>
      <c r="S46">
        <f t="shared" ca="1" si="1"/>
        <v>-58.64</v>
      </c>
    </row>
    <row r="47" spans="1:19" x14ac:dyDescent="0.35">
      <c r="A47">
        <v>32</v>
      </c>
      <c r="B47" s="11">
        <f ca="1">IF($P$18="yes",IF($P$17="yes",SUMIF(Data!$L$21:'Data'!$L$200,H47,Data!$B$21:'Data'!$B$200),""),"")</f>
        <v>10950</v>
      </c>
      <c r="C47" s="11">
        <f ca="1">IF($P$18="yes",IF($P$17="yes",SUMIF(Data!$L$21:'Data'!$L$200,H47,Data!$C$21:'Data'!$C$200),""),"")</f>
        <v>-3300</v>
      </c>
      <c r="D47" s="11">
        <f ca="1">IF($P$18="yes",IF($P$17="yes",SUMIF(Data!$L$21:'Data'!$L$200,H47,Data!$D$21:'Data'!$D$200),""),"")</f>
        <v>75</v>
      </c>
      <c r="E47" s="12">
        <f ca="1">IF($P$18="yes",IF($P$17="yes",SUMIF(Data!$L$21:'Data'!$L$200,H47,Data!$E$21:$E$200),""),"")</f>
        <v>0</v>
      </c>
      <c r="F47" s="12">
        <f ca="1">IF($P$18="yes",IF($P$17="yes",SUMIF(Data!$L$21:'Data'!$L$200,H47,Data!$F$21:'Data'!$F$200),""),"")</f>
        <v>0.05</v>
      </c>
      <c r="G47" s="12">
        <f ca="1">IF($P$18="yes",IF($P$17="yes",SUMIF(Data!$L$21:'Data'!$L$200,H47,Data!$G$21:'Data'!$G$200),""),"")</f>
        <v>-0.65</v>
      </c>
      <c r="H47" s="10">
        <f ca="1">IF($P$18="yes",IF($P$17="yes",H46+B3,""),"")</f>
        <v>12450</v>
      </c>
      <c r="I47" s="11">
        <f ca="1">IF($P$18="yes",IF($P$17="yes",SUMIF(Data!$L$21:'Data'!$AG$200,H47,Data!$V$21:'Data'!$V$200),""),"")</f>
        <v>0</v>
      </c>
      <c r="J47" s="11">
        <f ca="1">IF($P$18="yes",IF($P$17="yes",SUMIF(Data!$L$21:'Data'!$L$200,H47,Data!$U$21:'Data'!$U$200),""),"")</f>
        <v>0</v>
      </c>
      <c r="K47" s="11">
        <f ca="1">IF($P$18="yes",IF($P$17="yes",SUMIF(Data!$L$21:'Data'!$L$200,H47,Data!$T$21:'Data'!$T$200),""),"")</f>
        <v>0</v>
      </c>
      <c r="L47" s="12">
        <f ca="1">IF($P$18="yes",IF($P$17="yes",SUMIF(Data!$L$21:'Data'!$L$200,H47,Data!$S$21:'Data'!$S$200),""),"")</f>
        <v>0</v>
      </c>
      <c r="M47" s="12">
        <f ca="1">IF($P$18="yes",IF($P$17="yes",SUMIF(Data!$L$21:'Data'!$L$200,H47,Data!$R$21:'Data'!$R$200),""),"")</f>
        <v>0</v>
      </c>
      <c r="N47" s="12">
        <f ca="1">IF($P$18="yes",IF($P$17="yes",SUMIF(Data!$L$21:'Data'!$L$200,H47,Data!$Q$21:'Data'!$Q$200),""),"")</f>
        <v>0</v>
      </c>
      <c r="R47">
        <f t="shared" ca="1" si="0"/>
        <v>-44</v>
      </c>
      <c r="S47" t="e">
        <f t="shared" ca="1" si="1"/>
        <v>#DIV/0!</v>
      </c>
    </row>
    <row r="48" spans="1:19" x14ac:dyDescent="0.35">
      <c r="A48">
        <v>33</v>
      </c>
      <c r="B48" s="11">
        <f ca="1">IF($P$18="yes",IF($P$17="yes",SUMIF(Data!$L$21:'Data'!$L$200,H48,Data!$B$21:'Data'!$B$200),""),"")</f>
        <v>2739825</v>
      </c>
      <c r="C48" s="11">
        <f ca="1">IF($P$18="yes",IF($P$17="yes",SUMIF(Data!$L$21:'Data'!$L$200,H48,Data!$C$21:'Data'!$C$200),""),"")</f>
        <v>-678675</v>
      </c>
      <c r="D48" s="11">
        <f ca="1">IF($P$18="yes",IF($P$17="yes",SUMIF(Data!$L$21:'Data'!$L$200,H48,Data!$D$21:'Data'!$D$200),""),"")</f>
        <v>17026</v>
      </c>
      <c r="E48" s="12">
        <f ca="1">IF($P$18="yes",IF($P$17="yes",SUMIF(Data!$L$21:'Data'!$L$200,H48,Data!$E$21:$E$200),""),"")</f>
        <v>0</v>
      </c>
      <c r="F48" s="12">
        <f ca="1">IF($P$18="yes",IF($P$17="yes",SUMIF(Data!$L$21:'Data'!$L$200,H48,Data!$F$21:'Data'!$F$200),""),"")</f>
        <v>0.05</v>
      </c>
      <c r="G48" s="12">
        <f ca="1">IF($P$18="yes",IF($P$17="yes",SUMIF(Data!$L$21:'Data'!$L$200,H48,Data!$G$21:'Data'!$G$200),""),"")</f>
        <v>-0.5</v>
      </c>
      <c r="H48" s="10">
        <f ca="1">IF($P$18="yes",IF($P$17="yes",H47+B3,""),"")</f>
        <v>12500</v>
      </c>
      <c r="I48" s="11">
        <f ca="1">IF($P$18="yes",IF($P$17="yes",SUMIF(Data!$L$21:'Data'!$AG$200,H48,Data!$V$21:'Data'!$V$200),""),"")</f>
        <v>30600</v>
      </c>
      <c r="J48" s="11">
        <f ca="1">IF($P$18="yes",IF($P$17="yes",SUMIF(Data!$L$21:'Data'!$L$200,H48,Data!$U$21:'Data'!$U$200),""),"")</f>
        <v>-279300</v>
      </c>
      <c r="K48" s="11">
        <f ca="1">IF($P$18="yes",IF($P$17="yes",SUMIF(Data!$L$21:'Data'!$L$200,H48,Data!$T$21:'Data'!$T$200),""),"")</f>
        <v>4962</v>
      </c>
      <c r="L48" s="12">
        <f ca="1">IF($P$18="yes",IF($P$17="yes",SUMIF(Data!$L$21:'Data'!$L$200,H48,Data!$S$21:'Data'!$S$200),""),"")</f>
        <v>0</v>
      </c>
      <c r="M48" s="12">
        <f ca="1">IF($P$18="yes",IF($P$17="yes",SUMIF(Data!$L$21:'Data'!$L$200,H48,Data!$R$21:'Data'!$R$200),""),"")</f>
        <v>538.45000000000005</v>
      </c>
      <c r="N48" s="12">
        <f ca="1">IF($P$18="yes",IF($P$17="yes",SUMIF(Data!$L$21:'Data'!$L$200,H48,Data!$Q$21:'Data'!$Q$200),""),"")</f>
        <v>-91.25</v>
      </c>
      <c r="R48">
        <f t="shared" ca="1" si="0"/>
        <v>-39.86</v>
      </c>
      <c r="S48">
        <f t="shared" ca="1" si="1"/>
        <v>-56.29</v>
      </c>
    </row>
    <row r="49" spans="1:19" x14ac:dyDescent="0.35">
      <c r="A49">
        <v>34</v>
      </c>
      <c r="B49" s="11">
        <f ca="1">IF($P$18="yes",IF($P$17="yes",SUMIF(Data!$L$21:'Data'!$L$200,H49,Data!$B$21:'Data'!$B$200),""),"")</f>
        <v>9375</v>
      </c>
      <c r="C49" s="11">
        <f ca="1">IF($P$18="yes",IF($P$17="yes",SUMIF(Data!$L$21:'Data'!$L$200,H49,Data!$C$21:'Data'!$C$200),""),"")</f>
        <v>975</v>
      </c>
      <c r="D49" s="11">
        <f ca="1">IF($P$18="yes",IF($P$17="yes",SUMIF(Data!$L$21:'Data'!$L$200,H49,Data!$D$21:'Data'!$D$200),""),"")</f>
        <v>35</v>
      </c>
      <c r="E49" s="12">
        <f ca="1">IF($P$18="yes",IF($P$17="yes",SUMIF(Data!$L$21:'Data'!$L$200,H49,Data!$E$21:$E$200),""),"")</f>
        <v>0</v>
      </c>
      <c r="F49" s="12">
        <f ca="1">IF($P$18="yes",IF($P$17="yes",SUMIF(Data!$L$21:'Data'!$L$200,H49,Data!$F$21:'Data'!$F$200),""),"")</f>
        <v>0.05</v>
      </c>
      <c r="G49" s="12">
        <f ca="1">IF($P$18="yes",IF($P$17="yes",SUMIF(Data!$L$21:'Data'!$L$200,H49,Data!$G$21:'Data'!$G$200),""),"")</f>
        <v>-0.6</v>
      </c>
      <c r="H49" s="10">
        <f ca="1">IF($P$18="yes",IF($P$17="yes",H48+B3,""),"")</f>
        <v>12550</v>
      </c>
      <c r="I49" s="11">
        <f ca="1">IF($P$18="yes",IF($P$17="yes",SUMIF(Data!$L$21:'Data'!$AG$200,H49,Data!$V$21:'Data'!$V$200),""),"")</f>
        <v>0</v>
      </c>
      <c r="J49" s="11">
        <f ca="1">IF($P$18="yes",IF($P$17="yes",SUMIF(Data!$L$21:'Data'!$L$200,H49,Data!$U$21:'Data'!$U$200),""),"")</f>
        <v>0</v>
      </c>
      <c r="K49" s="11">
        <f ca="1">IF($P$18="yes",IF($P$17="yes",SUMIF(Data!$L$21:'Data'!$L$200,H49,Data!$T$21:'Data'!$T$200),""),"")</f>
        <v>0</v>
      </c>
      <c r="L49" s="12">
        <f ca="1">IF($P$18="yes",IF($P$17="yes",SUMIF(Data!$L$21:'Data'!$L$200,H49,Data!$S$21:'Data'!$S$200),""),"")</f>
        <v>0</v>
      </c>
      <c r="M49" s="12">
        <f ca="1">IF($P$18="yes",IF($P$17="yes",SUMIF(Data!$L$21:'Data'!$L$200,H49,Data!$R$21:'Data'!$R$200),""),"")</f>
        <v>0</v>
      </c>
      <c r="N49" s="12">
        <f ca="1">IF($P$18="yes",IF($P$17="yes",SUMIF(Data!$L$21:'Data'!$L$200,H49,Data!$Q$21:'Data'!$Q$200),""),"")</f>
        <v>0</v>
      </c>
      <c r="R49">
        <f t="shared" ca="1" si="0"/>
        <v>27.86</v>
      </c>
      <c r="S49" t="e">
        <f t="shared" ca="1" si="1"/>
        <v>#DIV/0!</v>
      </c>
    </row>
    <row r="50" spans="1:19" x14ac:dyDescent="0.35">
      <c r="A50">
        <v>35</v>
      </c>
      <c r="B50" s="11">
        <f ca="1">IF($P$18="yes",IF($P$17="yes",SUMIF(Data!$L$21:'Data'!$L$200,H50,Data!$B$21:'Data'!$B$200),""),"")</f>
        <v>719700</v>
      </c>
      <c r="C50" s="11">
        <f ca="1">IF($P$18="yes",IF($P$17="yes",SUMIF(Data!$L$21:'Data'!$L$200,H50,Data!$C$21:'Data'!$C$200),""),"")</f>
        <v>-52725</v>
      </c>
      <c r="D50" s="11">
        <f ca="1">IF($P$18="yes",IF($P$17="yes",SUMIF(Data!$L$21:'Data'!$L$200,H50,Data!$D$21:'Data'!$D$200),""),"")</f>
        <v>1244</v>
      </c>
      <c r="E50" s="12">
        <f ca="1">IF($P$18="yes",IF($P$17="yes",SUMIF(Data!$L$21:'Data'!$L$200,H50,Data!$E$21:$E$200),""),"")</f>
        <v>0</v>
      </c>
      <c r="F50" s="12">
        <f ca="1">IF($P$18="yes",IF($P$17="yes",SUMIF(Data!$L$21:'Data'!$L$200,H50,Data!$F$21:'Data'!$F$200),""),"")</f>
        <v>0.05</v>
      </c>
      <c r="G50" s="12">
        <f ca="1">IF($P$18="yes",IF($P$17="yes",SUMIF(Data!$L$21:'Data'!$L$200,H50,Data!$G$21:'Data'!$G$200),""),"")</f>
        <v>-0.15</v>
      </c>
      <c r="H50" s="10">
        <f ca="1">IF($P$18="yes",IF($P$17="yes",H49+B3,""),"")</f>
        <v>12600</v>
      </c>
      <c r="I50" s="11">
        <f ca="1">IF($P$18="yes",IF($P$17="yes",SUMIF(Data!$L$21:'Data'!$AG$200,H50,Data!$V$21:'Data'!$V$200),""),"")</f>
        <v>375</v>
      </c>
      <c r="J50" s="11">
        <f ca="1">IF($P$18="yes",IF($P$17="yes",SUMIF(Data!$L$21:'Data'!$L$200,H50,Data!$U$21:'Data'!$U$200),""),"")</f>
        <v>-300</v>
      </c>
      <c r="K50" s="11">
        <f ca="1">IF($P$18="yes",IF($P$17="yes",SUMIF(Data!$L$21:'Data'!$L$200,H50,Data!$T$21:'Data'!$T$200),""),"")</f>
        <v>7</v>
      </c>
      <c r="L50" s="12">
        <f ca="1">IF($P$18="yes",IF($P$17="yes",SUMIF(Data!$L$21:'Data'!$L$200,H50,Data!$S$21:'Data'!$S$200),""),"")</f>
        <v>0</v>
      </c>
      <c r="M50" s="12">
        <f ca="1">IF($P$18="yes",IF($P$17="yes",SUMIF(Data!$L$21:'Data'!$L$200,H50,Data!$R$21:'Data'!$R$200),""),"")</f>
        <v>670</v>
      </c>
      <c r="N50" s="12">
        <f ca="1">IF($P$18="yes",IF($P$17="yes",SUMIF(Data!$L$21:'Data'!$L$200,H50,Data!$Q$21:'Data'!$Q$200),""),"")</f>
        <v>-55.15</v>
      </c>
      <c r="R50">
        <f t="shared" ca="1" si="0"/>
        <v>-42.38</v>
      </c>
      <c r="S50">
        <f t="shared" ca="1" si="1"/>
        <v>-42.86</v>
      </c>
    </row>
    <row r="51" spans="1:19" x14ac:dyDescent="0.35">
      <c r="A51">
        <v>36</v>
      </c>
      <c r="B51" s="11">
        <f ca="1">IF($P$18="yes",IF($P$17="yes",SUMIF(Data!$L$21:'Data'!$L$200,H51,Data!$B$21:'Data'!$B$200),""),"")</f>
        <v>0</v>
      </c>
      <c r="C51" s="11">
        <f ca="1">IF($P$18="yes",IF($P$17="yes",SUMIF(Data!$L$21:'Data'!$L$200,H51,Data!$C$21:'Data'!$C$200),""),"")</f>
        <v>0</v>
      </c>
      <c r="D51" s="11">
        <f ca="1">IF($P$18="yes",IF($P$17="yes",SUMIF(Data!$L$21:'Data'!$L$200,H51,Data!$D$21:'Data'!$D$200),""),"")</f>
        <v>0</v>
      </c>
      <c r="E51" s="12">
        <f ca="1">IF($P$18="yes",IF($P$17="yes",SUMIF(Data!$L$21:'Data'!$L$200,H51,Data!$E$21:$E$200),""),"")</f>
        <v>0</v>
      </c>
      <c r="F51" s="12">
        <f ca="1">IF($P$18="yes",IF($P$17="yes",SUMIF(Data!$L$21:'Data'!$L$200,H51,Data!$F$21:'Data'!$F$200),""),"")</f>
        <v>0</v>
      </c>
      <c r="G51" s="12">
        <f ca="1">IF($P$18="yes",IF($P$17="yes",SUMIF(Data!$L$21:'Data'!$L$200,H51,Data!$G$21:'Data'!$G$200),""),"")</f>
        <v>0</v>
      </c>
      <c r="H51" s="10">
        <f ca="1">IF($P$18="yes",IF($P$17="yes",H50+B3,""),"")</f>
        <v>12650</v>
      </c>
      <c r="I51" s="11">
        <f ca="1">IF($P$18="yes",IF($P$17="yes",SUMIF(Data!$L$21:'Data'!$AG$200,H51,Data!$V$21:'Data'!$V$200),""),"")</f>
        <v>0</v>
      </c>
      <c r="J51" s="11">
        <f ca="1">IF($P$18="yes",IF($P$17="yes",SUMIF(Data!$L$21:'Data'!$L$200,H51,Data!$U$21:'Data'!$U$200),""),"")</f>
        <v>0</v>
      </c>
      <c r="K51" s="11">
        <f ca="1">IF($P$18="yes",IF($P$17="yes",SUMIF(Data!$L$21:'Data'!$L$200,H51,Data!$T$21:'Data'!$T$200),""),"")</f>
        <v>0</v>
      </c>
      <c r="L51" s="12">
        <f ca="1">IF($P$18="yes",IF($P$17="yes",SUMIF(Data!$L$21:'Data'!$L$200,H51,Data!$S$21:'Data'!$S$200),""),"")</f>
        <v>0</v>
      </c>
      <c r="M51" s="12">
        <f ca="1">IF($P$18="yes",IF($P$17="yes",SUMIF(Data!$L$21:'Data'!$L$200,H51,Data!$R$21:'Data'!$R$200),""),"")</f>
        <v>0</v>
      </c>
      <c r="N51" s="12">
        <f ca="1">IF($P$18="yes",IF($P$17="yes",SUMIF(Data!$L$21:'Data'!$L$200,H51,Data!$Q$21:'Data'!$Q$200),""),"")</f>
        <v>0</v>
      </c>
      <c r="R51" t="e">
        <f t="shared" ca="1" si="0"/>
        <v>#DIV/0!</v>
      </c>
      <c r="S51" t="e">
        <f t="shared" ca="1" si="1"/>
        <v>#DIV/0!</v>
      </c>
    </row>
    <row r="52" spans="1:19" x14ac:dyDescent="0.35">
      <c r="A52">
        <v>37</v>
      </c>
      <c r="B52" s="11">
        <f ca="1">IF($P$18="yes",IF($P$17="yes",SUMIF(Data!$L$21:'Data'!$L$200,H52,Data!$B$21:'Data'!$B$200),""),"")</f>
        <v>493950</v>
      </c>
      <c r="C52" s="11">
        <f ca="1">IF($P$18="yes",IF($P$17="yes",SUMIF(Data!$L$21:'Data'!$L$200,H52,Data!$C$21:'Data'!$C$200),""),"")</f>
        <v>-12600</v>
      </c>
      <c r="D52" s="11">
        <f ca="1">IF($P$18="yes",IF($P$17="yes",SUMIF(Data!$L$21:'Data'!$L$200,H52,Data!$D$21:'Data'!$D$200),""),"")</f>
        <v>1137</v>
      </c>
      <c r="E52" s="12">
        <f ca="1">IF($P$18="yes",IF($P$17="yes",SUMIF(Data!$L$21:'Data'!$L$200,H52,Data!$E$21:$E$200),""),"")</f>
        <v>0</v>
      </c>
      <c r="F52" s="12">
        <f ca="1">IF($P$18="yes",IF($P$17="yes",SUMIF(Data!$L$21:'Data'!$L$200,H52,Data!$F$21:'Data'!$F$200),""),"")</f>
        <v>0.05</v>
      </c>
      <c r="G52" s="12">
        <f ca="1">IF($P$18="yes",IF($P$17="yes",SUMIF(Data!$L$21:'Data'!$L$200,H52,Data!$G$21:'Data'!$G$200),""),"")</f>
        <v>-0.3</v>
      </c>
      <c r="H52" s="10">
        <f ca="1">IF($P$18="yes",IF($P$17="yes",H51+B3,""),"")</f>
        <v>12700</v>
      </c>
      <c r="I52" s="11">
        <f ca="1">IF($P$18="yes",IF($P$17="yes",SUMIF(Data!$L$21:'Data'!$AG$200,H52,Data!$V$21:'Data'!$V$200),""),"")</f>
        <v>75</v>
      </c>
      <c r="J52" s="11">
        <f ca="1">IF($P$18="yes",IF($P$17="yes",SUMIF(Data!$L$21:'Data'!$L$200,H52,Data!$U$21:'Data'!$U$200),""),"")</f>
        <v>-1200</v>
      </c>
      <c r="K52" s="11">
        <f ca="1">IF($P$18="yes",IF($P$17="yes",SUMIF(Data!$L$21:'Data'!$L$200,H52,Data!$T$21:'Data'!$T$200),""),"")</f>
        <v>17</v>
      </c>
      <c r="L52" s="12">
        <f ca="1">IF($P$18="yes",IF($P$17="yes",SUMIF(Data!$L$21:'Data'!$L$200,H52,Data!$S$21:'Data'!$S$200),""),"")</f>
        <v>0</v>
      </c>
      <c r="M52" s="12">
        <f ca="1">IF($P$18="yes",IF($P$17="yes",SUMIF(Data!$L$21:'Data'!$L$200,H52,Data!$R$21:'Data'!$R$200),""),"")</f>
        <v>782.2</v>
      </c>
      <c r="N52" s="12">
        <f ca="1">IF($P$18="yes",IF($P$17="yes",SUMIF(Data!$L$21:'Data'!$L$200,H52,Data!$Q$21:'Data'!$Q$200),""),"")</f>
        <v>12.2</v>
      </c>
      <c r="R52">
        <f t="shared" ca="1" si="0"/>
        <v>-11.08</v>
      </c>
      <c r="S52">
        <f t="shared" ca="1" si="1"/>
        <v>-70.59</v>
      </c>
    </row>
    <row r="53" spans="1:19" x14ac:dyDescent="0.35">
      <c r="A53">
        <v>38</v>
      </c>
      <c r="B53" s="11">
        <f ca="1">IF($P$18="yes",IF($P$17="yes",SUMIF(Data!$L$21:'Data'!$L$200,H53,Data!$B$21:'Data'!$B$200),""),"")</f>
        <v>150</v>
      </c>
      <c r="C53" s="11">
        <f ca="1">IF($P$18="yes",IF($P$17="yes",SUMIF(Data!$L$21:'Data'!$L$200,H53,Data!$C$21:'Data'!$C$200),""),"")</f>
        <v>0</v>
      </c>
      <c r="D53" s="11">
        <f ca="1">IF($P$18="yes",IF($P$17="yes",SUMIF(Data!$L$21:'Data'!$L$200,H53,Data!$D$21:'Data'!$D$200),""),"")</f>
        <v>6</v>
      </c>
      <c r="E53" s="12">
        <f ca="1">IF($P$18="yes",IF($P$17="yes",SUMIF(Data!$L$21:'Data'!$L$200,H53,Data!$E$21:$E$200),""),"")</f>
        <v>0</v>
      </c>
      <c r="F53" s="12">
        <f ca="1">IF($P$18="yes",IF($P$17="yes",SUMIF(Data!$L$21:'Data'!$L$200,H53,Data!$F$21:'Data'!$F$200),""),"")</f>
        <v>0.05</v>
      </c>
      <c r="G53" s="12">
        <f ca="1">IF($P$18="yes",IF($P$17="yes",SUMIF(Data!$L$21:'Data'!$L$200,H53,Data!$G$21:'Data'!$G$200),""),"")</f>
        <v>-0.45</v>
      </c>
      <c r="H53" s="10">
        <f ca="1">IF($P$18="yes",IF($P$17="yes",H52+B3,""),"")</f>
        <v>12750</v>
      </c>
      <c r="I53" s="11">
        <f ca="1">IF($P$18="yes",IF($P$17="yes",SUMIF(Data!$L$21:'Data'!$AG$200,H53,Data!$V$21:'Data'!$V$200),""),"")</f>
        <v>0</v>
      </c>
      <c r="J53" s="11">
        <f ca="1">IF($P$18="yes",IF($P$17="yes",SUMIF(Data!$L$21:'Data'!$L$200,H53,Data!$U$21:'Data'!$U$200),""),"")</f>
        <v>0</v>
      </c>
      <c r="K53" s="11">
        <f ca="1">IF($P$18="yes",IF($P$17="yes",SUMIF(Data!$L$21:'Data'!$L$200,H53,Data!$T$21:'Data'!$T$200),""),"")</f>
        <v>0</v>
      </c>
      <c r="L53" s="12">
        <f ca="1">IF($P$18="yes",IF($P$17="yes",SUMIF(Data!$L$21:'Data'!$L$200,H53,Data!$S$21:'Data'!$S$200),""),"")</f>
        <v>0</v>
      </c>
      <c r="M53" s="12">
        <f ca="1">IF($P$18="yes",IF($P$17="yes",SUMIF(Data!$L$21:'Data'!$L$200,H53,Data!$R$21:'Data'!$R$200),""),"")</f>
        <v>0</v>
      </c>
      <c r="N53" s="12">
        <f ca="1">IF($P$18="yes",IF($P$17="yes",SUMIF(Data!$L$21:'Data'!$L$200,H53,Data!$Q$21:'Data'!$Q$200),""),"")</f>
        <v>0</v>
      </c>
      <c r="R53">
        <f t="shared" ca="1" si="0"/>
        <v>0</v>
      </c>
      <c r="S53" t="e">
        <f t="shared" ca="1" si="1"/>
        <v>#DIV/0!</v>
      </c>
    </row>
    <row r="54" spans="1:19" x14ac:dyDescent="0.35">
      <c r="A54">
        <v>39</v>
      </c>
      <c r="B54" s="11">
        <f ca="1">IF($P$18="yes",IF($P$17="yes",SUMIF(Data!$L$21:'Data'!$L$200,H54,Data!$B$21:'Data'!$B$200),""),"")</f>
        <v>573225</v>
      </c>
      <c r="C54" s="11">
        <f ca="1">IF($P$18="yes",IF($P$17="yes",SUMIF(Data!$L$21:'Data'!$L$200,H54,Data!$C$21:'Data'!$C$200),""),"")</f>
        <v>-33600</v>
      </c>
      <c r="D54" s="11">
        <f ca="1">IF($P$18="yes",IF($P$17="yes",SUMIF(Data!$L$21:'Data'!$L$200,H54,Data!$D$21:'Data'!$D$200),""),"")</f>
        <v>2715</v>
      </c>
      <c r="E54" s="12">
        <f ca="1">IF($P$18="yes",IF($P$17="yes",SUMIF(Data!$L$21:'Data'!$L$200,H54,Data!$E$21:$E$200),""),"")</f>
        <v>0</v>
      </c>
      <c r="F54" s="12">
        <f ca="1">IF($P$18="yes",IF($P$17="yes",SUMIF(Data!$L$21:'Data'!$L$200,H54,Data!$F$21:'Data'!$F$200),""),"")</f>
        <v>0.05</v>
      </c>
      <c r="G54" s="12">
        <f ca="1">IF($P$18="yes",IF($P$17="yes",SUMIF(Data!$L$21:'Data'!$L$200,H54,Data!$G$21:'Data'!$G$200),""),"")</f>
        <v>-0.45</v>
      </c>
      <c r="H54" s="10">
        <f ca="1">IF($P$18="yes",IF($P$17="yes",H53+B3,""),"")</f>
        <v>12800</v>
      </c>
      <c r="I54" s="11">
        <f ca="1">IF($P$18="yes",IF($P$17="yes",SUMIF(Data!$L$21:'Data'!$AG$200,H54,Data!$V$21:'Data'!$V$200),""),"")</f>
        <v>225</v>
      </c>
      <c r="J54" s="11">
        <f ca="1">IF($P$18="yes",IF($P$17="yes",SUMIF(Data!$L$21:'Data'!$L$200,H54,Data!$U$21:'Data'!$U$200),""),"")</f>
        <v>-600</v>
      </c>
      <c r="K54" s="11">
        <f ca="1">IF($P$18="yes",IF($P$17="yes",SUMIF(Data!$L$21:'Data'!$L$200,H54,Data!$T$21:'Data'!$T$200),""),"")</f>
        <v>14</v>
      </c>
      <c r="L54" s="12">
        <f ca="1">IF($P$18="yes",IF($P$17="yes",SUMIF(Data!$L$21:'Data'!$L$200,H54,Data!$S$21:'Data'!$S$200),""),"")</f>
        <v>0</v>
      </c>
      <c r="M54" s="12">
        <f ca="1">IF($P$18="yes",IF($P$17="yes",SUMIF(Data!$L$21:'Data'!$L$200,H54,Data!$R$21:'Data'!$R$200),""),"")</f>
        <v>850</v>
      </c>
      <c r="N54" s="12">
        <f ca="1">IF($P$18="yes",IF($P$17="yes",SUMIF(Data!$L$21:'Data'!$L$200,H54,Data!$Q$21:'Data'!$Q$200),""),"")</f>
        <v>-58</v>
      </c>
      <c r="R54">
        <f t="shared" ca="1" si="0"/>
        <v>-12.38</v>
      </c>
      <c r="S54">
        <f t="shared" ca="1" si="1"/>
        <v>-42.86</v>
      </c>
    </row>
    <row r="55" spans="1:19" x14ac:dyDescent="0.35">
      <c r="A55">
        <v>40</v>
      </c>
      <c r="B55" s="11">
        <f ca="1">IF($P$18="yes",IF($P$17="yes",SUMIF(Data!$L$21:'Data'!$L$200,H55,Data!$B$21:'Data'!$B$200),""),"")</f>
        <v>225</v>
      </c>
      <c r="C55" s="11">
        <f ca="1">IF($P$18="yes",IF($P$17="yes",SUMIF(Data!$L$21:'Data'!$L$200,H55,Data!$C$21:'Data'!$C$200),""),"")</f>
        <v>-150</v>
      </c>
      <c r="D55" s="11">
        <f ca="1">IF($P$18="yes",IF($P$17="yes",SUMIF(Data!$L$21:'Data'!$L$200,H55,Data!$D$21:'Data'!$D$200),""),"")</f>
        <v>4</v>
      </c>
      <c r="E55" s="12">
        <f ca="1">IF($P$18="yes",IF($P$17="yes",SUMIF(Data!$L$21:'Data'!$L$200,H55,Data!$E$21:$E$200),""),"")</f>
        <v>0</v>
      </c>
      <c r="F55" s="12">
        <f ca="1">IF($P$18="yes",IF($P$17="yes",SUMIF(Data!$L$21:'Data'!$L$200,H55,Data!$F$21:'Data'!$F$200),""),"")</f>
        <v>0.05</v>
      </c>
      <c r="G55" s="12">
        <f ca="1">IF($P$18="yes",IF($P$17="yes",SUMIF(Data!$L$21:'Data'!$L$200,H55,Data!$G$21:'Data'!$G$200),""),"")</f>
        <v>-0.7</v>
      </c>
      <c r="H55" s="10">
        <f ca="1">IF($P$18="yes",IF($P$17="yes",H54+B3,""),"")</f>
        <v>12850</v>
      </c>
      <c r="I55" s="11">
        <f ca="1">IF($P$18="yes",IF($P$17="yes",SUMIF(Data!$L$21:'Data'!$AG$200,H55,Data!$V$21:'Data'!$V$200),""),"")</f>
        <v>0</v>
      </c>
      <c r="J55" s="11">
        <f ca="1">IF($P$18="yes",IF($P$17="yes",SUMIF(Data!$L$21:'Data'!$L$200,H55,Data!$U$21:'Data'!$U$200),""),"")</f>
        <v>0</v>
      </c>
      <c r="K55" s="11">
        <f ca="1">IF($P$18="yes",IF($P$17="yes",SUMIF(Data!$L$21:'Data'!$L$200,H55,Data!$T$21:'Data'!$T$200),""),"")</f>
        <v>0</v>
      </c>
      <c r="L55" s="12">
        <f ca="1">IF($P$18="yes",IF($P$17="yes",SUMIF(Data!$L$21:'Data'!$L$200,H55,Data!$S$21:'Data'!$S$200),""),"")</f>
        <v>0</v>
      </c>
      <c r="M55" s="12">
        <f ca="1">IF($P$18="yes",IF($P$17="yes",SUMIF(Data!$L$21:'Data'!$L$200,H55,Data!$R$21:'Data'!$R$200),""),"")</f>
        <v>0</v>
      </c>
      <c r="N55" s="12">
        <f ca="1">IF($P$18="yes",IF($P$17="yes",SUMIF(Data!$L$21:'Data'!$L$200,H55,Data!$Q$21:'Data'!$Q$200),""),"")</f>
        <v>0</v>
      </c>
      <c r="R55">
        <f t="shared" ca="1" si="0"/>
        <v>-37.5</v>
      </c>
      <c r="S55" t="e">
        <f t="shared" ca="1" si="1"/>
        <v>#DIV/0!</v>
      </c>
    </row>
    <row r="56" spans="1:19" x14ac:dyDescent="0.35">
      <c r="A56">
        <v>41</v>
      </c>
      <c r="B56" s="11">
        <f ca="1">IF($P$18="yes",IF($P$17="yes",SUMIF(Data!$L$21:'Data'!$L$200,H56,Data!$B$21:'Data'!$B$200),""),"")</f>
        <v>338325</v>
      </c>
      <c r="C56" s="11">
        <f ca="1">IF($P$18="yes",IF($P$17="yes",SUMIF(Data!$L$21:'Data'!$L$200,H56,Data!$C$21:'Data'!$C$200),""),"")</f>
        <v>33150</v>
      </c>
      <c r="D56" s="11">
        <f ca="1">IF($P$18="yes",IF($P$17="yes",SUMIF(Data!$L$21:'Data'!$L$200,H56,Data!$D$21:'Data'!$D$200),""),"")</f>
        <v>2213</v>
      </c>
      <c r="E56" s="12">
        <f ca="1">IF($P$18="yes",IF($P$17="yes",SUMIF(Data!$L$21:'Data'!$L$200,H56,Data!$E$21:$E$200),""),"")</f>
        <v>0</v>
      </c>
      <c r="F56" s="12">
        <f ca="1">IF($P$18="yes",IF($P$17="yes",SUMIF(Data!$L$21:'Data'!$L$200,H56,Data!$F$21:'Data'!$F$200),""),"")</f>
        <v>0.05</v>
      </c>
      <c r="G56" s="12">
        <f ca="1">IF($P$18="yes",IF($P$17="yes",SUMIF(Data!$L$21:'Data'!$L$200,H56,Data!$G$21:'Data'!$G$200),""),"")</f>
        <v>-0.5</v>
      </c>
      <c r="H56" s="10">
        <f ca="1">IF($P$18="yes",IF($P$17="yes",H55+B3,""),"")</f>
        <v>12900</v>
      </c>
      <c r="I56" s="11">
        <f ca="1">IF($P$18="yes",IF($P$17="yes",SUMIF(Data!$L$21:'Data'!$AG$200,H56,Data!$V$21:'Data'!$V$200),""),"")</f>
        <v>300</v>
      </c>
      <c r="J56" s="11">
        <f ca="1">IF($P$18="yes",IF($P$17="yes",SUMIF(Data!$L$21:'Data'!$L$200,H56,Data!$U$21:'Data'!$U$200),""),"")</f>
        <v>-750</v>
      </c>
      <c r="K56" s="11">
        <f ca="1">IF($P$18="yes",IF($P$17="yes",SUMIF(Data!$L$21:'Data'!$L$200,H56,Data!$T$21:'Data'!$T$200),""),"")</f>
        <v>20</v>
      </c>
      <c r="L56" s="12">
        <f ca="1">IF($P$18="yes",IF($P$17="yes",SUMIF(Data!$L$21:'Data'!$L$200,H56,Data!$S$21:'Data'!$S$200),""),"")</f>
        <v>0</v>
      </c>
      <c r="M56" s="12">
        <f ca="1">IF($P$18="yes",IF($P$17="yes",SUMIF(Data!$L$21:'Data'!$L$200,H56,Data!$R$21:'Data'!$R$200),""),"")</f>
        <v>957.2</v>
      </c>
      <c r="N56" s="12">
        <f ca="1">IF($P$18="yes",IF($P$17="yes",SUMIF(Data!$L$21:'Data'!$L$200,H56,Data!$Q$21:'Data'!$Q$200),""),"")</f>
        <v>18.45</v>
      </c>
      <c r="R56">
        <f t="shared" ca="1" si="0"/>
        <v>14.98</v>
      </c>
      <c r="S56">
        <f t="shared" ca="1" si="1"/>
        <v>-37.5</v>
      </c>
    </row>
    <row r="57" spans="1:19" x14ac:dyDescent="0.35">
      <c r="B57" s="11">
        <f ca="1">IF($P$18="yes",IF($P$17="yes",SUMIF(Data!$L$21:'Data'!$L$200,H57,Data!$B$21:'Data'!$B$200),""),"")</f>
        <v>4275</v>
      </c>
      <c r="C57" s="11">
        <f ca="1">IF($P$18="yes",IF($P$17="yes",SUMIF(Data!$L$21:'Data'!$L$200,H57,Data!$C$21:'Data'!$C$200),""),"")</f>
        <v>-225</v>
      </c>
      <c r="D57" s="11">
        <f ca="1">IF($P$18="yes",IF($P$17="yes",SUMIF(Data!$L$21:'Data'!$L$200,H57,Data!$D$21:'Data'!$D$200),""),"")</f>
        <v>23</v>
      </c>
      <c r="E57" s="12">
        <f ca="1">IF($P$18="yes",IF($P$17="yes",SUMIF(Data!$L$21:'Data'!$L$200,H57,Data!$E$21:$E$200),""),"")</f>
        <v>0</v>
      </c>
      <c r="F57" s="12">
        <f ca="1">IF($P$18="yes",IF($P$17="yes",SUMIF(Data!$L$21:'Data'!$L$200,H57,Data!$F$21:'Data'!$F$200),""),"")</f>
        <v>0.05</v>
      </c>
      <c r="G57" s="12">
        <f ca="1">IF($P$18="yes",IF($P$17="yes",SUMIF(Data!$L$21:'Data'!$L$200,H57,Data!$G$21:'Data'!$G$200),""),"")</f>
        <v>-0.05</v>
      </c>
      <c r="H57" s="10">
        <f ca="1">IF($P$18="yes",IF($P$17="yes",H56+B3,""),"")</f>
        <v>12950</v>
      </c>
      <c r="I57" s="11">
        <f ca="1">IF($P$18="yes",IF($P$17="yes",SUMIF(Data!$L$21:'Data'!$AG$200,H57,Data!$V$21:'Data'!$V$200),""),"")</f>
        <v>0</v>
      </c>
      <c r="J57" s="11">
        <f ca="1">IF($P$18="yes",IF($P$17="yes",SUMIF(Data!$L$21:'Data'!$L$200,H57,Data!$U$21:'Data'!$U$200),""),"")</f>
        <v>0</v>
      </c>
      <c r="K57" s="11">
        <f ca="1">IF($P$18="yes",IF($P$17="yes",SUMIF(Data!$L$21:'Data'!$L$200,H57,Data!$T$21:'Data'!$T$200),""),"")</f>
        <v>0</v>
      </c>
      <c r="L57" s="12">
        <f ca="1">IF($P$18="yes",IF($P$17="yes",SUMIF(Data!$L$21:'Data'!$L$200,H57,Data!$S$21:'Data'!$S$200),""),"")</f>
        <v>0</v>
      </c>
      <c r="M57" s="12">
        <f ca="1">IF($P$18="yes",IF($P$17="yes",SUMIF(Data!$L$21:'Data'!$L$200,H57,Data!$R$21:'Data'!$R$200),""),"")</f>
        <v>0</v>
      </c>
      <c r="N57" s="12">
        <f ca="1">IF($P$18="yes",IF($P$17="yes",SUMIF(Data!$L$21:'Data'!$L$200,H57,Data!$Q$21:'Data'!$Q$200),""),"")</f>
        <v>0</v>
      </c>
      <c r="R57">
        <f t="shared" ca="1" si="0"/>
        <v>-9.7799999999999994</v>
      </c>
      <c r="S57" t="e">
        <f t="shared" ca="1" si="1"/>
        <v>#DIV/0!</v>
      </c>
    </row>
    <row r="58" spans="1:19" x14ac:dyDescent="0.35">
      <c r="B58" s="11">
        <f ca="1">IF($P$18="yes",IF($P$17="yes",SUMIF(Data!$L$21:'Data'!$L$200,H58,Data!$B$21:'Data'!$B$200),""),"")</f>
        <v>2017275</v>
      </c>
      <c r="C58" s="11">
        <f ca="1">IF($P$18="yes",IF($P$17="yes",SUMIF(Data!$L$21:'Data'!$L$200,H58,Data!$C$21:'Data'!$C$200),""),"")</f>
        <v>-56475</v>
      </c>
      <c r="D58" s="11">
        <f ca="1">IF($P$18="yes",IF($P$17="yes",SUMIF(Data!$L$21:'Data'!$L$200,H58,Data!$D$21:'Data'!$D$200),""),"")</f>
        <v>18100</v>
      </c>
      <c r="E58" s="12">
        <f ca="1">IF($P$18="yes",IF($P$17="yes",SUMIF(Data!$L$21:'Data'!$L$200,H58,Data!$E$21:$E$200),""),"")</f>
        <v>0</v>
      </c>
      <c r="F58" s="12">
        <f ca="1">IF($P$18="yes",IF($P$17="yes",SUMIF(Data!$L$21:'Data'!$L$200,H58,Data!$F$21:'Data'!$F$200),""),"")</f>
        <v>0.05</v>
      </c>
      <c r="G58" s="12">
        <f ca="1">IF($P$18="yes",IF($P$17="yes",SUMIF(Data!$L$21:'Data'!$L$200,H58,Data!$G$21:'Data'!$G$200),""),"")</f>
        <v>-0.45</v>
      </c>
      <c r="H58" s="10">
        <f ca="1">IF($P$18="yes",IF($P$17="yes",H57+B3,""),"")</f>
        <v>13000</v>
      </c>
      <c r="I58" s="11">
        <f ca="1">IF($P$18="yes",IF($P$17="yes",SUMIF(Data!$L$21:'Data'!$AG$200,H58,Data!$V$21:'Data'!$V$200),""),"")</f>
        <v>6525</v>
      </c>
      <c r="J58" s="11">
        <f ca="1">IF($P$18="yes",IF($P$17="yes",SUMIF(Data!$L$21:'Data'!$L$200,H58,Data!$U$21:'Data'!$U$200),""),"")</f>
        <v>-136350</v>
      </c>
      <c r="K58" s="11">
        <f ca="1">IF($P$18="yes",IF($P$17="yes",SUMIF(Data!$L$21:'Data'!$L$200,H58,Data!$T$21:'Data'!$T$200),""),"")</f>
        <v>2571</v>
      </c>
      <c r="L58" s="12">
        <f ca="1">IF($P$18="yes",IF($P$17="yes",SUMIF(Data!$L$21:'Data'!$L$200,H58,Data!$S$21:'Data'!$S$200),""),"")</f>
        <v>0</v>
      </c>
      <c r="M58" s="12">
        <f ca="1">IF($P$18="yes",IF($P$17="yes",SUMIF(Data!$L$21:'Data'!$L$200,H58,Data!$R$21:'Data'!$R$200),""),"")</f>
        <v>1039.75</v>
      </c>
      <c r="N58" s="12">
        <f ca="1">IF($P$18="yes",IF($P$17="yes",SUMIF(Data!$L$21:'Data'!$L$200,H58,Data!$Q$21:'Data'!$Q$200),""),"")</f>
        <v>-88.75</v>
      </c>
      <c r="R58">
        <f t="shared" ca="1" si="0"/>
        <v>-3.12</v>
      </c>
      <c r="S58">
        <f t="shared" ca="1" si="1"/>
        <v>-53.03</v>
      </c>
    </row>
    <row r="59" spans="1:19" x14ac:dyDescent="0.35">
      <c r="B59" s="11">
        <f ca="1">IF($P$18="yes",IF($P$17="yes",SUMIF(Data!$L$21:'Data'!$L$200,H59,Data!$B$21:'Data'!$B$200),""),"")</f>
        <v>38400</v>
      </c>
      <c r="C59" s="11">
        <f ca="1">IF($P$18="yes",IF($P$17="yes",SUMIF(Data!$L$21:'Data'!$L$200,H59,Data!$C$21:'Data'!$C$200),""),"")</f>
        <v>38400</v>
      </c>
      <c r="D59" s="11">
        <f ca="1">IF($P$18="yes",IF($P$17="yes",SUMIF(Data!$L$21:'Data'!$L$200,H59,Data!$D$21:'Data'!$D$200),""),"")</f>
        <v>512</v>
      </c>
      <c r="E59" s="12">
        <f ca="1">IF($P$18="yes",IF($P$17="yes",SUMIF(Data!$L$21:'Data'!$L$200,H59,Data!$E$21:$E$200),""),"")</f>
        <v>0</v>
      </c>
      <c r="F59" s="12">
        <f ca="1">IF($P$18="yes",IF($P$17="yes",SUMIF(Data!$L$21:'Data'!$L$200,H59,Data!$F$21:'Data'!$F$200),""),"")</f>
        <v>0.05</v>
      </c>
      <c r="G59" s="12">
        <f ca="1">IF($P$18="yes",IF($P$17="yes",SUMIF(Data!$L$21:'Data'!$L$200,H59,Data!$G$21:'Data'!$G$200),""),"")</f>
        <v>-7.6</v>
      </c>
      <c r="H59" s="10">
        <f ca="1">IF($P$18="yes",IF($P$17="yes",H58+B3,""),"")</f>
        <v>13050</v>
      </c>
      <c r="I59" s="11">
        <f ca="1">IF($P$18="yes",IF($P$17="yes",SUMIF(Data!$L$21:'Data'!$AG$200,H59,Data!$V$21:'Data'!$V$200),""),"")</f>
        <v>0</v>
      </c>
      <c r="J59" s="11">
        <f ca="1">IF($P$18="yes",IF($P$17="yes",SUMIF(Data!$L$21:'Data'!$L$200,H59,Data!$U$21:'Data'!$U$200),""),"")</f>
        <v>0</v>
      </c>
      <c r="K59" s="11">
        <f ca="1">IF($P$18="yes",IF($P$17="yes",SUMIF(Data!$L$21:'Data'!$L$200,H59,Data!$T$21:'Data'!$T$200),""),"")</f>
        <v>0</v>
      </c>
      <c r="L59" s="12">
        <f ca="1">IF($P$18="yes",IF($P$17="yes",SUMIF(Data!$L$21:'Data'!$L$200,H59,Data!$S$21:'Data'!$S$200),""),"")</f>
        <v>0</v>
      </c>
      <c r="M59" s="12">
        <f ca="1">IF($P$18="yes",IF($P$17="yes",SUMIF(Data!$L$21:'Data'!$L$200,H59,Data!$R$21:'Data'!$R$200),""),"")</f>
        <v>0</v>
      </c>
      <c r="N59" s="12">
        <f ca="1">IF($P$18="yes",IF($P$17="yes",SUMIF(Data!$L$21:'Data'!$L$200,H59,Data!$Q$21:'Data'!$Q$200),""),"")</f>
        <v>0</v>
      </c>
      <c r="R59">
        <f t="shared" ca="1" si="0"/>
        <v>75</v>
      </c>
      <c r="S59" t="e">
        <f t="shared" ca="1" si="1"/>
        <v>#DIV/0!</v>
      </c>
    </row>
    <row r="60" spans="1:19" x14ac:dyDescent="0.35">
      <c r="B60" s="11">
        <f ca="1">IF($P$18="yes",IF($P$17="yes",SUMIF(Data!$L$21:'Data'!$L$200,H60,Data!$B$21:'Data'!$B$200),""),"")</f>
        <v>116850</v>
      </c>
      <c r="C60" s="11">
        <f ca="1">IF($P$18="yes",IF($P$17="yes",SUMIF(Data!$L$21:'Data'!$L$200,H60,Data!$C$21:'Data'!$C$200),""),"")</f>
        <v>6450</v>
      </c>
      <c r="D60" s="11">
        <f ca="1">IF($P$18="yes",IF($P$17="yes",SUMIF(Data!$L$21:'Data'!$L$200,H60,Data!$D$21:'Data'!$D$200),""),"")</f>
        <v>683</v>
      </c>
      <c r="E60" s="12">
        <f ca="1">IF($P$18="yes",IF($P$17="yes",SUMIF(Data!$L$21:'Data'!$L$200,H60,Data!$E$21:$E$200),""),"")</f>
        <v>0</v>
      </c>
      <c r="F60" s="12">
        <f ca="1">IF($P$18="yes",IF($P$17="yes",SUMIF(Data!$L$21:'Data'!$L$200,H60,Data!$F$21:'Data'!$F$200),""),"")</f>
        <v>0.1</v>
      </c>
      <c r="G60" s="12">
        <f ca="1">IF($P$18="yes",IF($P$17="yes",SUMIF(Data!$L$21:'Data'!$L$200,H60,Data!$G$21:'Data'!$G$200),""),"")</f>
        <v>-0.35</v>
      </c>
      <c r="H60" s="10">
        <f ca="1">IF($P$18="yes",IF($P$17="yes",H59+B3,""),"")</f>
        <v>13100</v>
      </c>
      <c r="I60" s="11">
        <f ca="1">IF($P$18="yes",IF($P$17="yes",SUMIF(Data!$L$21:'Data'!$AG$200,H60,Data!$V$21:'Data'!$V$200),""),"")</f>
        <v>0</v>
      </c>
      <c r="J60" s="11">
        <f ca="1">IF($P$18="yes",IF($P$17="yes",SUMIF(Data!$L$21:'Data'!$L$200,H60,Data!$U$21:'Data'!$U$200),""),"")</f>
        <v>-225</v>
      </c>
      <c r="K60" s="11">
        <f ca="1">IF($P$18="yes",IF($P$17="yes",SUMIF(Data!$L$21:'Data'!$L$200,H60,Data!$T$21:'Data'!$T$200),""),"")</f>
        <v>3</v>
      </c>
      <c r="L60" s="12">
        <f ca="1">IF($P$18="yes",IF($P$17="yes",SUMIF(Data!$L$21:'Data'!$L$200,H60,Data!$S$21:'Data'!$S$200),""),"")</f>
        <v>0</v>
      </c>
      <c r="M60" s="12">
        <f ca="1">IF($P$18="yes",IF($P$17="yes",SUMIF(Data!$L$21:'Data'!$L$200,H60,Data!$R$21:'Data'!$R$200),""),"")</f>
        <v>1151.3</v>
      </c>
      <c r="N60" s="12">
        <f ca="1">IF($P$18="yes",IF($P$17="yes",SUMIF(Data!$L$21:'Data'!$L$200,H60,Data!$Q$21:'Data'!$Q$200),""),"")</f>
        <v>-28.95</v>
      </c>
      <c r="R60">
        <f t="shared" ca="1" si="0"/>
        <v>9.44</v>
      </c>
      <c r="S60">
        <f t="shared" ca="1" si="1"/>
        <v>-75</v>
      </c>
    </row>
    <row r="61" spans="1:19" x14ac:dyDescent="0.35">
      <c r="B61" s="11">
        <f ca="1">IF($P$18="yes",IF($P$17="yes",SUMIF(Data!$L$21:'Data'!$L$200,H61,Data!$B$21:'Data'!$B$200),""),"")</f>
        <v>19200</v>
      </c>
      <c r="C61" s="11">
        <f ca="1">IF($P$18="yes",IF($P$17="yes",SUMIF(Data!$L$21:'Data'!$L$200,H61,Data!$C$21:'Data'!$C$200),""),"")</f>
        <v>19200</v>
      </c>
      <c r="D61" s="11">
        <f ca="1">IF($P$18="yes",IF($P$17="yes",SUMIF(Data!$L$21:'Data'!$L$200,H61,Data!$D$21:'Data'!$D$200),""),"")</f>
        <v>256</v>
      </c>
      <c r="E61" s="12">
        <f ca="1">IF($P$18="yes",IF($P$17="yes",SUMIF(Data!$L$21:'Data'!$L$200,H61,Data!$E$21:$E$200),""),"")</f>
        <v>0</v>
      </c>
      <c r="F61" s="12">
        <f ca="1">IF($P$18="yes",IF($P$17="yes",SUMIF(Data!$L$21:'Data'!$L$200,H61,Data!$F$21:'Data'!$F$200),""),"")</f>
        <v>0.05</v>
      </c>
      <c r="G61" s="12">
        <f ca="1">IF($P$18="yes",IF($P$17="yes",SUMIF(Data!$L$21:'Data'!$L$200,H61,Data!$G$21:'Data'!$G$200),""),"")</f>
        <v>-5.25</v>
      </c>
      <c r="H61" s="10">
        <f ca="1">IF($P$18="yes",IF($P$17="yes",H60+B3,""),"")</f>
        <v>13150</v>
      </c>
      <c r="I61" s="11">
        <f ca="1">IF($P$18="yes",IF($P$17="yes",SUMIF(Data!$L$21:'Data'!$AG$200,H61,Data!$V$21:'Data'!$V$200),""),"")</f>
        <v>0</v>
      </c>
      <c r="J61" s="11">
        <f ca="1">IF($P$18="yes",IF($P$17="yes",SUMIF(Data!$L$21:'Data'!$L$200,H61,Data!$U$21:'Data'!$U$200),""),"")</f>
        <v>0</v>
      </c>
      <c r="K61" s="11">
        <f ca="1">IF($P$18="yes",IF($P$17="yes",SUMIF(Data!$L$21:'Data'!$L$200,H61,Data!$T$21:'Data'!$T$200),""),"")</f>
        <v>0</v>
      </c>
      <c r="L61" s="12">
        <f ca="1">IF($P$18="yes",IF($P$17="yes",SUMIF(Data!$L$21:'Data'!$L$200,H61,Data!$S$21:'Data'!$S$200),""),"")</f>
        <v>0</v>
      </c>
      <c r="M61" s="12">
        <f ca="1">IF($P$18="yes",IF($P$17="yes",SUMIF(Data!$L$21:'Data'!$L$200,H61,Data!$R$21:'Data'!$R$200),""),"")</f>
        <v>0</v>
      </c>
      <c r="N61" s="12">
        <f ca="1">IF($P$18="yes",IF($P$17="yes",SUMIF(Data!$L$21:'Data'!$L$200,H61,Data!$Q$21:'Data'!$Q$200),""),"")</f>
        <v>0</v>
      </c>
      <c r="R61">
        <f t="shared" ca="1" si="0"/>
        <v>75</v>
      </c>
      <c r="S61" t="e">
        <f t="shared" ca="1" si="1"/>
        <v>#DIV/0!</v>
      </c>
    </row>
    <row r="62" spans="1:19" x14ac:dyDescent="0.35">
      <c r="B62" s="11">
        <f ca="1">IF($P$18="yes",IF($P$17="yes",SUMIF(Data!$L$21:'Data'!$L$200,H62,Data!$B$21:'Data'!$B$200),""),"")</f>
        <v>121125</v>
      </c>
      <c r="C62" s="11">
        <f ca="1">IF($P$18="yes",IF($P$17="yes",SUMIF(Data!$L$21:'Data'!$L$200,H62,Data!$C$21:'Data'!$C$200),""),"")</f>
        <v>-3000</v>
      </c>
      <c r="D62" s="11">
        <f ca="1">IF($P$18="yes",IF($P$17="yes",SUMIF(Data!$L$21:'Data'!$L$200,H62,Data!$D$21:'Data'!$D$200),""),"")</f>
        <v>386</v>
      </c>
      <c r="E62" s="12">
        <f ca="1">IF($P$18="yes",IF($P$17="yes",SUMIF(Data!$L$21:'Data'!$L$200,H62,Data!$E$21:$E$200),""),"")</f>
        <v>0</v>
      </c>
      <c r="F62" s="12">
        <f ca="1">IF($P$18="yes",IF($P$17="yes",SUMIF(Data!$L$21:'Data'!$L$200,H62,Data!$F$21:'Data'!$F$200),""),"")</f>
        <v>0.05</v>
      </c>
      <c r="G62" s="12">
        <f ca="1">IF($P$18="yes",IF($P$17="yes",SUMIF(Data!$L$21:'Data'!$L$200,H62,Data!$G$21:'Data'!$G$200),""),"")</f>
        <v>-0.4</v>
      </c>
      <c r="H62" s="10">
        <f ca="1">IF($P$18="yes",IF($P$17="yes",H61+B3,""),"")</f>
        <v>13200</v>
      </c>
      <c r="I62" s="11">
        <f ca="1">IF($P$18="yes",IF($P$17="yes",SUMIF(Data!$L$21:'Data'!$AG$200,H62,Data!$V$21:'Data'!$V$200),""),"")</f>
        <v>300</v>
      </c>
      <c r="J62" s="11">
        <f ca="1">IF($P$18="yes",IF($P$17="yes",SUMIF(Data!$L$21:'Data'!$L$200,H62,Data!$U$21:'Data'!$U$200),""),"")</f>
        <v>-2775</v>
      </c>
      <c r="K62" s="11">
        <f ca="1">IF($P$18="yes",IF($P$17="yes",SUMIF(Data!$L$21:'Data'!$L$200,H62,Data!$T$21:'Data'!$T$200),""),"")</f>
        <v>44</v>
      </c>
      <c r="L62" s="12">
        <f ca="1">IF($P$18="yes",IF($P$17="yes",SUMIF(Data!$L$21:'Data'!$L$200,H62,Data!$S$21:'Data'!$S$200),""),"")</f>
        <v>0</v>
      </c>
      <c r="M62" s="12">
        <f ca="1">IF($P$18="yes",IF($P$17="yes",SUMIF(Data!$L$21:'Data'!$L$200,H62,Data!$R$21:'Data'!$R$200),""),"")</f>
        <v>1254.8</v>
      </c>
      <c r="N62" s="12">
        <f ca="1">IF($P$18="yes",IF($P$17="yes",SUMIF(Data!$L$21:'Data'!$L$200,H62,Data!$Q$21:'Data'!$Q$200),""),"")</f>
        <v>-21.8</v>
      </c>
      <c r="R62">
        <f t="shared" ca="1" si="0"/>
        <v>-7.77</v>
      </c>
      <c r="S62">
        <f t="shared" ca="1" si="1"/>
        <v>-63.07</v>
      </c>
    </row>
    <row r="63" spans="1:19" x14ac:dyDescent="0.35">
      <c r="B63" s="11">
        <f ca="1">IF($P$18="yes",IF($P$17="yes",SUMIF(Data!$L$21:'Data'!$L$200,H63,Data!$B$21:'Data'!$B$200),""),"")</f>
        <v>9600</v>
      </c>
      <c r="C63" s="11">
        <f ca="1">IF($P$18="yes",IF($P$17="yes",SUMIF(Data!$L$21:'Data'!$L$200,H63,Data!$C$21:'Data'!$C$200),""),"")</f>
        <v>9600</v>
      </c>
      <c r="D63" s="11">
        <f ca="1">IF($P$18="yes",IF($P$17="yes",SUMIF(Data!$L$21:'Data'!$L$200,H63,Data!$D$21:'Data'!$D$200),""),"")</f>
        <v>128</v>
      </c>
      <c r="E63" s="12">
        <f ca="1">IF($P$18="yes",IF($P$17="yes",SUMIF(Data!$L$21:'Data'!$L$200,H63,Data!$E$21:$E$200),""),"")</f>
        <v>0</v>
      </c>
      <c r="F63" s="12">
        <f ca="1">IF($P$18="yes",IF($P$17="yes",SUMIF(Data!$L$21:'Data'!$L$200,H63,Data!$F$21:'Data'!$F$200),""),"")</f>
        <v>0.05</v>
      </c>
      <c r="G63" s="12">
        <f ca="1">IF($P$18="yes",IF($P$17="yes",SUMIF(Data!$L$21:'Data'!$L$200,H63,Data!$G$21:'Data'!$G$200),""),"")</f>
        <v>-0.6</v>
      </c>
      <c r="H63" s="10">
        <f ca="1">IF($P$18="yes",IF($P$17="yes",H62+B3,""),"")</f>
        <v>13250</v>
      </c>
      <c r="I63" s="11">
        <f ca="1">IF($P$18="yes",IF($P$17="yes",SUMIF(Data!$L$21:'Data'!$AG$200,H63,Data!$V$21:'Data'!$V$200),""),"")</f>
        <v>0</v>
      </c>
      <c r="J63" s="11">
        <f ca="1">IF($P$18="yes",IF($P$17="yes",SUMIF(Data!$L$21:'Data'!$L$200,H63,Data!$U$21:'Data'!$U$200),""),"")</f>
        <v>0</v>
      </c>
      <c r="K63" s="11">
        <f ca="1">IF($P$18="yes",IF($P$17="yes",SUMIF(Data!$L$21:'Data'!$L$200,H63,Data!$T$21:'Data'!$T$200),""),"")</f>
        <v>0</v>
      </c>
      <c r="L63" s="12">
        <f ca="1">IF($P$18="yes",IF($P$17="yes",SUMIF(Data!$L$21:'Data'!$L$200,H63,Data!$S$21:'Data'!$S$200),""),"")</f>
        <v>0</v>
      </c>
      <c r="M63" s="12">
        <f ca="1">IF($P$18="yes",IF($P$17="yes",SUMIF(Data!$L$21:'Data'!$L$200,H63,Data!$R$21:'Data'!$R$200),""),"")</f>
        <v>0</v>
      </c>
      <c r="N63" s="12">
        <f ca="1">IF($P$18="yes",IF($P$17="yes",SUMIF(Data!$L$21:'Data'!$L$200,H63,Data!$Q$21:'Data'!$Q$200),""),"")</f>
        <v>0</v>
      </c>
      <c r="R63">
        <f t="shared" ca="1" si="0"/>
        <v>75</v>
      </c>
      <c r="S63" t="e">
        <f t="shared" ca="1" si="1"/>
        <v>#DIV/0!</v>
      </c>
    </row>
    <row r="64" spans="1:19" x14ac:dyDescent="0.35">
      <c r="B64" s="11">
        <f ca="1">IF($P$18="yes",IF($P$17="yes",SUMIF(Data!$L$21:'Data'!$L$200,H64,Data!$B$21:'Data'!$B$200),""),"")</f>
        <v>426150</v>
      </c>
      <c r="C64" s="11">
        <f ca="1">IF($P$18="yes",IF($P$17="yes",SUMIF(Data!$L$21:'Data'!$L$200,H64,Data!$C$21:'Data'!$C$200),""),"")</f>
        <v>-24975</v>
      </c>
      <c r="D64" s="11">
        <f ca="1">IF($P$18="yes",IF($P$17="yes",SUMIF(Data!$L$21:'Data'!$L$200,H64,Data!$D$21:'Data'!$D$200),""),"")</f>
        <v>1477</v>
      </c>
      <c r="E64" s="12">
        <f ca="1">IF($P$18="yes",IF($P$17="yes",SUMIF(Data!$L$21:'Data'!$L$200,H64,Data!$E$21:$E$200),""),"")</f>
        <v>0</v>
      </c>
      <c r="F64" s="12">
        <f ca="1">IF($P$18="yes",IF($P$17="yes",SUMIF(Data!$L$21:'Data'!$L$200,H64,Data!$F$21:'Data'!$F$200),""),"")</f>
        <v>0.05</v>
      </c>
      <c r="G64" s="12">
        <f ca="1">IF($P$18="yes",IF($P$17="yes",SUMIF(Data!$L$21:'Data'!$L$200,H64,Data!$G$21:'Data'!$G$200),""),"")</f>
        <v>-0.4</v>
      </c>
      <c r="H64" s="10">
        <f ca="1">IF($P$18="yes",IF($P$17="yes",H63+B3,""),"")</f>
        <v>13300</v>
      </c>
      <c r="I64" s="11">
        <f ca="1">IF($P$18="yes",IF($P$17="yes",SUMIF(Data!$L$21:'Data'!$AG$200,H64,Data!$V$21:'Data'!$V$200),""),"")</f>
        <v>225</v>
      </c>
      <c r="J64" s="11">
        <f ca="1">IF($P$18="yes",IF($P$17="yes",SUMIF(Data!$L$21:'Data'!$L$200,H64,Data!$U$21:'Data'!$U$200),""),"")</f>
        <v>-3075</v>
      </c>
      <c r="K64" s="11">
        <f ca="1">IF($P$18="yes",IF($P$17="yes",SUMIF(Data!$L$21:'Data'!$L$200,H64,Data!$T$21:'Data'!$T$200),""),"")</f>
        <v>41</v>
      </c>
      <c r="L64" s="12">
        <f ca="1">IF($P$18="yes",IF($P$17="yes",SUMIF(Data!$L$21:'Data'!$L$200,H64,Data!$S$21:'Data'!$S$200),""),"")</f>
        <v>0</v>
      </c>
      <c r="M64" s="12">
        <f ca="1">IF($P$18="yes",IF($P$17="yes",SUMIF(Data!$L$21:'Data'!$L$200,H64,Data!$R$21:'Data'!$R$200),""),"")</f>
        <v>1355</v>
      </c>
      <c r="N64" s="12">
        <f ca="1">IF($P$18="yes",IF($P$17="yes",SUMIF(Data!$L$21:'Data'!$L$200,H64,Data!$Q$21:'Data'!$Q$200),""),"")</f>
        <v>-71.400000000000006</v>
      </c>
      <c r="R64">
        <f t="shared" ca="1" si="0"/>
        <v>-16.91</v>
      </c>
      <c r="S64">
        <f t="shared" ca="1" si="1"/>
        <v>-75</v>
      </c>
    </row>
    <row r="65" spans="2:19" x14ac:dyDescent="0.35">
      <c r="B65" s="11">
        <f ca="1">IF($P$18="yes",IF($P$17="yes",SUMIF(Data!$L$21:'Data'!$L$200,H65,Data!$B$21:'Data'!$B$200),""),"")</f>
        <v>3900</v>
      </c>
      <c r="C65" s="11">
        <f ca="1">IF($P$18="yes",IF($P$17="yes",SUMIF(Data!$L$21:'Data'!$L$200,H65,Data!$C$21:'Data'!$C$200),""),"")</f>
        <v>0</v>
      </c>
      <c r="D65" s="11">
        <f ca="1">IF($P$18="yes",IF($P$17="yes",SUMIF(Data!$L$21:'Data'!$L$200,H65,Data!$D$21:'Data'!$D$200),""),"")</f>
        <v>0</v>
      </c>
      <c r="E65" s="12">
        <f ca="1">IF($P$18="yes",IF($P$17="yes",SUMIF(Data!$L$21:'Data'!$L$200,H65,Data!$E$21:$E$200),""),"")</f>
        <v>0</v>
      </c>
      <c r="F65" s="12">
        <f ca="1">IF($P$18="yes",IF($P$17="yes",SUMIF(Data!$L$21:'Data'!$L$200,H65,Data!$F$21:'Data'!$F$200),""),"")</f>
        <v>0.25</v>
      </c>
      <c r="G65" s="12">
        <f ca="1">IF($P$18="yes",IF($P$17="yes",SUMIF(Data!$L$21:'Data'!$L$200,H65,Data!$G$21:'Data'!$G$200),""),"")</f>
        <v>0</v>
      </c>
      <c r="H65" s="10">
        <f ca="1">IF($P$18="yes",IF($P$17="yes",H64+B3,""),"")</f>
        <v>13350</v>
      </c>
      <c r="I65" s="11">
        <f ca="1">IF($P$18="yes",IF($P$17="yes",SUMIF(Data!$L$21:'Data'!$AG$200,H65,Data!$V$21:'Data'!$V$200),""),"")</f>
        <v>0</v>
      </c>
      <c r="J65" s="11">
        <f ca="1">IF($P$18="yes",IF($P$17="yes",SUMIF(Data!$L$21:'Data'!$L$200,H65,Data!$U$21:'Data'!$U$200),""),"")</f>
        <v>0</v>
      </c>
      <c r="K65" s="11">
        <f ca="1">IF($P$18="yes",IF($P$17="yes",SUMIF(Data!$L$21:'Data'!$L$200,H65,Data!$T$21:'Data'!$T$200),""),"")</f>
        <v>0</v>
      </c>
      <c r="L65" s="12">
        <f ca="1">IF($P$18="yes",IF($P$17="yes",SUMIF(Data!$L$21:'Data'!$L$200,H65,Data!$S$21:'Data'!$S$200),""),"")</f>
        <v>0</v>
      </c>
      <c r="M65" s="12">
        <f ca="1">IF($P$18="yes",IF($P$17="yes",SUMIF(Data!$L$21:'Data'!$L$200,H65,Data!$R$21:'Data'!$R$200),""),"")</f>
        <v>0</v>
      </c>
      <c r="N65" s="12">
        <f ca="1">IF($P$18="yes",IF($P$17="yes",SUMIF(Data!$L$21:'Data'!$L$200,H65,Data!$Q$21:'Data'!$Q$200),""),"")</f>
        <v>0</v>
      </c>
      <c r="R65" t="e">
        <f t="shared" ca="1" si="0"/>
        <v>#DIV/0!</v>
      </c>
      <c r="S65" t="e">
        <f t="shared" ca="1" si="1"/>
        <v>#DIV/0!</v>
      </c>
    </row>
    <row r="66" spans="2:19" x14ac:dyDescent="0.35">
      <c r="B66" s="11">
        <f ca="1">IF($P$18="yes",IF($P$17="yes",SUMIF(Data!$L$21:'Data'!$L$200,H66,Data!$B$21:'Data'!$B$200),""),"")</f>
        <v>0</v>
      </c>
      <c r="C66" s="11">
        <f ca="1">IF($P$18="yes",IF($P$17="yes",SUMIF(Data!$L$21:'Data'!$L$200,H66,Data!$C$21:'Data'!$C$200),""),"")</f>
        <v>0</v>
      </c>
      <c r="D66" s="11">
        <f ca="1">IF($P$18="yes",IF($P$17="yes",SUMIF(Data!$L$21:'Data'!$L$200,H66,Data!$D$21:'Data'!$D$200),""),"")</f>
        <v>0</v>
      </c>
      <c r="E66" s="12">
        <f ca="1">IF($P$18="yes",IF($P$17="yes",SUMIF(Data!$L$21:'Data'!$L$200,H66,Data!$E$21:$E$200),""),"")</f>
        <v>0</v>
      </c>
      <c r="F66" s="12">
        <f ca="1">IF($P$18="yes",IF($P$17="yes",SUMIF(Data!$L$21:'Data'!$L$200,H66,Data!$F$21:'Data'!$F$200),""),"")</f>
        <v>0</v>
      </c>
      <c r="G66" s="12">
        <f ca="1">IF($P$18="yes",IF($P$17="yes",SUMIF(Data!$L$21:'Data'!$L$200,H66,Data!$G$21:'Data'!$G$200),""),"")</f>
        <v>0</v>
      </c>
      <c r="H66" s="10">
        <f ca="1">IF($P$18="yes",IF($P$17="yes",H65+B3,""),"")</f>
        <v>13400</v>
      </c>
      <c r="I66" s="11">
        <f ca="1">IF($P$18="yes",IF($P$17="yes",SUMIF(Data!$L$21:'Data'!$AG$200,H66,Data!$V$21:'Data'!$V$200),""),"")</f>
        <v>0</v>
      </c>
      <c r="J66" s="11">
        <f ca="1">IF($P$18="yes",IF($P$17="yes",SUMIF(Data!$L$21:'Data'!$L$200,H66,Data!$U$21:'Data'!$U$200),""),"")</f>
        <v>0</v>
      </c>
      <c r="K66" s="11">
        <f ca="1">IF($P$18="yes",IF($P$17="yes",SUMIF(Data!$L$21:'Data'!$L$200,H66,Data!$T$21:'Data'!$T$200),""),"")</f>
        <v>0</v>
      </c>
      <c r="L66" s="12">
        <f ca="1">IF($P$18="yes",IF($P$17="yes",SUMIF(Data!$L$21:'Data'!$L$200,H66,Data!$S$21:'Data'!$S$200),""),"")</f>
        <v>0</v>
      </c>
      <c r="M66" s="12">
        <f ca="1">IF($P$18="yes",IF($P$17="yes",SUMIF(Data!$L$21:'Data'!$L$200,H66,Data!$R$21:'Data'!$R$200),""),"")</f>
        <v>0</v>
      </c>
      <c r="N66" s="12">
        <f ca="1">IF($P$18="yes",IF($P$17="yes",SUMIF(Data!$L$21:'Data'!$L$200,H66,Data!$Q$21:'Data'!$Q$200),""),"")</f>
        <v>0</v>
      </c>
      <c r="R66" t="e">
        <f t="shared" ca="1" si="0"/>
        <v>#DIV/0!</v>
      </c>
      <c r="S66" t="e">
        <f t="shared" ca="1" si="1"/>
        <v>#DIV/0!</v>
      </c>
    </row>
    <row r="67" spans="2:19" x14ac:dyDescent="0.35">
      <c r="B67" s="11">
        <f ca="1">IF($P$18="yes",IF($P$17="yes",SUMIF(Data!$L$21:'Data'!$L$200,H67,Data!$B$21:'Data'!$B$200),""),"")</f>
        <v>0</v>
      </c>
      <c r="C67" s="11">
        <f ca="1">IF($P$18="yes",IF($P$17="yes",SUMIF(Data!$L$21:'Data'!$L$200,H67,Data!$C$21:'Data'!$C$200),""),"")</f>
        <v>0</v>
      </c>
      <c r="D67" s="11">
        <f ca="1">IF($P$18="yes",IF($P$17="yes",SUMIF(Data!$L$21:'Data'!$L$200,H67,Data!$D$21:'Data'!$D$200),""),"")</f>
        <v>0</v>
      </c>
      <c r="E67" s="12">
        <f ca="1">IF($P$18="yes",IF($P$17="yes",SUMIF(Data!$L$21:'Data'!$L$200,H67,Data!$E$21:$E$200),""),"")</f>
        <v>0</v>
      </c>
      <c r="F67" s="12">
        <f ca="1">IF($P$18="yes",IF($P$17="yes",SUMIF(Data!$L$21:'Data'!$L$200,H67,Data!$F$21:'Data'!$F$200),""),"")</f>
        <v>0</v>
      </c>
      <c r="G67" s="12">
        <f ca="1">IF($P$18="yes",IF($P$17="yes",SUMIF(Data!$L$21:'Data'!$L$200,H67,Data!$G$21:'Data'!$G$200),""),"")</f>
        <v>0</v>
      </c>
      <c r="H67" s="10">
        <f ca="1">IF($P$18="yes",IF($P$17="yes",H66+B3,""),"")</f>
        <v>13450</v>
      </c>
      <c r="I67" s="11">
        <f ca="1">IF($P$18="yes",IF($P$17="yes",SUMIF(Data!$L$21:'Data'!$AG$200,H67,Data!$V$21:'Data'!$V$200),""),"")</f>
        <v>0</v>
      </c>
      <c r="J67" s="11">
        <f ca="1">IF($P$18="yes",IF($P$17="yes",SUMIF(Data!$L$21:'Data'!$L$200,H67,Data!$U$21:'Data'!$U$200),""),"")</f>
        <v>0</v>
      </c>
      <c r="K67" s="11">
        <f ca="1">IF($P$18="yes",IF($P$17="yes",SUMIF(Data!$L$21:'Data'!$L$200,H67,Data!$T$21:'Data'!$T$200),""),"")</f>
        <v>0</v>
      </c>
      <c r="L67" s="12">
        <f ca="1">IF($P$18="yes",IF($P$17="yes",SUMIF(Data!$L$21:'Data'!$L$200,H67,Data!$S$21:'Data'!$S$200),""),"")</f>
        <v>0</v>
      </c>
      <c r="M67" s="12">
        <f ca="1">IF($P$18="yes",IF($P$17="yes",SUMIF(Data!$L$21:'Data'!$L$200,H67,Data!$R$21:'Data'!$R$200),""),"")</f>
        <v>0</v>
      </c>
      <c r="N67" s="12">
        <f ca="1">IF($P$18="yes",IF($P$17="yes",SUMIF(Data!$L$21:'Data'!$L$200,H67,Data!$Q$21:'Data'!$Q$200),""),"")</f>
        <v>0</v>
      </c>
      <c r="R67" t="e">
        <f t="shared" ca="1" si="0"/>
        <v>#DIV/0!</v>
      </c>
      <c r="S67" t="e">
        <f t="shared" ca="1" si="1"/>
        <v>#DIV/0!</v>
      </c>
    </row>
    <row r="68" spans="2:19" x14ac:dyDescent="0.35">
      <c r="C68" s="2">
        <f ca="1">AVERAGE(C6:C67)</f>
        <v>-155236.69354838709</v>
      </c>
      <c r="D68" s="2">
        <f ca="1">AVERAGE(D6:D67)</f>
        <v>51061.758064516129</v>
      </c>
      <c r="F68" s="104">
        <f ca="1">AVERAGE(F6:F67)</f>
        <v>371.63064516128986</v>
      </c>
      <c r="G68"/>
      <c r="H68" s="506">
        <f ca="1">F68-M68</f>
        <v>202.2346774193544</v>
      </c>
      <c r="J68" s="2">
        <f ca="1">AVERAGE(J6:J67)</f>
        <v>28224.193548387098</v>
      </c>
      <c r="K68" s="2">
        <f ca="1">AVERAGE(K6:K67)</f>
        <v>46715.129032258068</v>
      </c>
      <c r="M68" s="104">
        <f ca="1">AVERAGE(M6:M67)</f>
        <v>169.39596774193546</v>
      </c>
    </row>
    <row r="69" spans="2:19" x14ac:dyDescent="0.35">
      <c r="G69"/>
      <c r="H69" s="170"/>
    </row>
    <row r="70" spans="2:19" x14ac:dyDescent="0.35">
      <c r="B70" s="734" t="s">
        <v>23</v>
      </c>
      <c r="C70" s="735"/>
      <c r="D70" s="735"/>
      <c r="E70" s="735"/>
      <c r="F70" s="735"/>
      <c r="G70" s="735"/>
      <c r="H70" s="735"/>
      <c r="I70" s="736"/>
      <c r="K70" s="727" t="s">
        <v>27</v>
      </c>
      <c r="L70" s="727"/>
      <c r="M70" s="727"/>
    </row>
    <row r="71" spans="2:19" x14ac:dyDescent="0.35">
      <c r="B71" s="14"/>
      <c r="C71" s="13"/>
      <c r="D71" s="13"/>
      <c r="E71" s="13"/>
      <c r="F71" s="98" t="s">
        <v>24</v>
      </c>
      <c r="G71" s="98">
        <f ca="1">IF($P$18="yes",IF($P$17="yes",VLOOKUP(MIN(H74:H114),H74:I114,2,FALSE),""),"")</f>
        <v>11900</v>
      </c>
      <c r="H71" s="13"/>
      <c r="I71" s="13"/>
      <c r="K71" s="19" t="s">
        <v>28</v>
      </c>
      <c r="L71" s="99">
        <f ca="1">IF($P$18="yes",IF($P$17="yes",L81/100,""),"")</f>
        <v>0</v>
      </c>
      <c r="M71" s="99">
        <f ca="1">IF($P$18="yes",IF($P$17="yes",M81/100,""),"")</f>
        <v>0</v>
      </c>
    </row>
    <row r="72" spans="2:19" x14ac:dyDescent="0.35">
      <c r="B72" s="14"/>
      <c r="C72" s="13"/>
      <c r="D72" s="13"/>
      <c r="E72" s="13"/>
      <c r="F72" s="13"/>
      <c r="G72" s="13"/>
      <c r="H72" s="13"/>
      <c r="I72" s="13"/>
      <c r="K72" s="13"/>
      <c r="L72" s="13"/>
      <c r="M72" s="13"/>
    </row>
    <row r="73" spans="2:19" x14ac:dyDescent="0.35">
      <c r="B73" s="14"/>
      <c r="C73" s="15" t="s">
        <v>18</v>
      </c>
      <c r="D73" s="15" t="s">
        <v>19</v>
      </c>
      <c r="E73" s="15" t="s">
        <v>20</v>
      </c>
      <c r="F73" s="15" t="s">
        <v>21</v>
      </c>
      <c r="G73" s="15" t="s">
        <v>22</v>
      </c>
      <c r="H73" s="15" t="s">
        <v>9</v>
      </c>
      <c r="I73" s="15" t="s">
        <v>14</v>
      </c>
      <c r="J73" s="17"/>
      <c r="K73" s="97" t="s">
        <v>18</v>
      </c>
      <c r="L73" s="97" t="s">
        <v>25</v>
      </c>
      <c r="M73" s="97" t="s">
        <v>26</v>
      </c>
    </row>
    <row r="74" spans="2:19" x14ac:dyDescent="0.35">
      <c r="B74" s="14">
        <v>1</v>
      </c>
      <c r="C74" s="13">
        <f ca="1">IF($P$18="yes",H16,"")</f>
        <v>10900</v>
      </c>
      <c r="D74" s="13">
        <f ca="1">IF($P$18="yes",IF($P$17="yes",ABS(SUMIF($H$16:$H$56,C74,$B$16:$B$56)),""),"")</f>
        <v>450</v>
      </c>
      <c r="E74" s="13">
        <f ca="1">IF($P$18="yes",IF($P$17="yes",ABS(SUMIF($H$16:$H$56,C74,$I$16:$I$56)),""),"")</f>
        <v>482100</v>
      </c>
      <c r="F74" s="13">
        <f ca="1">IF($P$18="yes",IF($P$17="yes",$C74*SUM(D74:$D$74)-SUMPRODUCT($C74:C$74,$D74:D$74),""),"")</f>
        <v>0</v>
      </c>
      <c r="G74" s="13">
        <f ca="1">IF($P$18="yes",IF($P$17="yes",SUMPRODUCT($C74:C$114,$E74:E$114)-$C74*SUM(E74:$E$114),""),"")</f>
        <v>13973336250</v>
      </c>
      <c r="H74" s="14">
        <f ca="1">IF($P$18="yes",IF($P$17="yes",F74+G74,""),"")</f>
        <v>13973336250</v>
      </c>
      <c r="I74" s="13">
        <f ca="1">IF($P$18="yes",C74,"")</f>
        <v>10900</v>
      </c>
      <c r="J74" s="16"/>
      <c r="K74" s="18">
        <f>IF(MAIN!I12="NIFTY",K75-100,K75-B3)</f>
        <v>11600</v>
      </c>
      <c r="L74" s="18">
        <f ca="1">SUMIF($H$16:$H$56,K74,$E$16:$E$56)</f>
        <v>0</v>
      </c>
      <c r="M74" s="18">
        <f ca="1">SUMIF($H$16:$H$56,K74,$L$16:$L$56)</f>
        <v>0</v>
      </c>
    </row>
    <row r="75" spans="2:19" x14ac:dyDescent="0.35">
      <c r="B75" s="14">
        <v>2</v>
      </c>
      <c r="C75" s="13">
        <f t="shared" ref="C75:C114" ca="1" si="2">IF($P$18="yes",H17,"")</f>
        <v>10950</v>
      </c>
      <c r="D75" s="13">
        <f t="shared" ref="D75:D114" ca="1" si="3">IF($P$18="yes",IF($P$17="yes",ABS(SUMIF($H$16:$H$56,C75,$B$16:$B$56)),""),"")</f>
        <v>300</v>
      </c>
      <c r="E75" s="13">
        <f t="shared" ref="E75:E114" ca="1" si="4">IF($P$18="yes",IF($P$17="yes",ABS(SUMIF($H$16:$H$56,C75,$I$16:$I$56)),""),"")</f>
        <v>3150</v>
      </c>
      <c r="F75" s="13">
        <f ca="1">IF($P$18="yes",IF($P$17="yes",$C75*SUM(D$74:$D75)-SUMPRODUCT($C$74:C75,$D$74:D75),""),"")</f>
        <v>22500</v>
      </c>
      <c r="G75" s="13">
        <f ca="1">IF($P$18="yes",IF($P$17="yes",SUMPRODUCT($C75:C$114,$E75:E$114)-$C75*SUM(E75:$E$114),""),"")</f>
        <v>12924097500</v>
      </c>
      <c r="H75" s="14">
        <f t="shared" ref="H75:H114" ca="1" si="5">IF($P$18="yes",IF($P$17="yes",F75+G75,""),"")</f>
        <v>12924120000</v>
      </c>
      <c r="I75" s="13">
        <f t="shared" ref="I75:I114" ca="1" si="6">IF($P$18="yes",C75,"")</f>
        <v>10950</v>
      </c>
      <c r="J75" s="16"/>
      <c r="K75" s="18">
        <f>IF(MAIN!I12="NIFTY",K76-100,K76-B3)</f>
        <v>11700</v>
      </c>
      <c r="L75" s="18">
        <f t="shared" ref="L75:L80" ca="1" si="7">SUMIF($H$16:$H$56,K75,$E$16:$E$56)</f>
        <v>0</v>
      </c>
      <c r="M75" s="18">
        <f t="shared" ref="M75:M80" ca="1" si="8">SUMIF($H$16:$H$56,K75,$L$16:$L$56)</f>
        <v>0</v>
      </c>
    </row>
    <row r="76" spans="2:19" x14ac:dyDescent="0.35">
      <c r="B76" s="14">
        <v>3</v>
      </c>
      <c r="C76" s="13">
        <f t="shared" ca="1" si="2"/>
        <v>11000</v>
      </c>
      <c r="D76" s="13">
        <f t="shared" ca="1" si="3"/>
        <v>24000</v>
      </c>
      <c r="E76" s="13">
        <f t="shared" ca="1" si="4"/>
        <v>3292500</v>
      </c>
      <c r="F76" s="13">
        <f ca="1">IF($P$18="yes",IF($P$17="yes",$C76*SUM(D$74:$D76)-SUMPRODUCT($C$74:C76,$D$74:D76),""),"")</f>
        <v>60000</v>
      </c>
      <c r="G76" s="13">
        <f ca="1">IF($P$18="yes",IF($P$17="yes",SUMPRODUCT($C76:C$114,$E76:E$114)-$C76*SUM(E76:$E$114),""),"")</f>
        <v>11875016250</v>
      </c>
      <c r="H76" s="14">
        <f t="shared" ca="1" si="5"/>
        <v>11875076250</v>
      </c>
      <c r="I76" s="13">
        <f t="shared" ca="1" si="6"/>
        <v>11000</v>
      </c>
      <c r="J76" s="16"/>
      <c r="K76" s="18">
        <f>IF(MAIN!I12="NIFTY",K77-100,K77-B3)</f>
        <v>11800</v>
      </c>
      <c r="L76" s="18">
        <f t="shared" ca="1" si="7"/>
        <v>0</v>
      </c>
      <c r="M76" s="18">
        <f t="shared" ca="1" si="8"/>
        <v>0</v>
      </c>
    </row>
    <row r="77" spans="2:19" x14ac:dyDescent="0.35">
      <c r="B77" s="14">
        <v>4</v>
      </c>
      <c r="C77" s="13">
        <f t="shared" ca="1" si="2"/>
        <v>11050</v>
      </c>
      <c r="D77" s="13">
        <f t="shared" ca="1" si="3"/>
        <v>75</v>
      </c>
      <c r="E77" s="13">
        <f t="shared" ca="1" si="4"/>
        <v>7125</v>
      </c>
      <c r="F77" s="13">
        <f ca="1">IF($P$18="yes",IF($P$17="yes",$C77*SUM(D$74:$D77)-SUMPRODUCT($C$74:C77,$D$74:D77),""),"")</f>
        <v>1297500</v>
      </c>
      <c r="G77" s="13">
        <f ca="1">IF($P$18="yes",IF($P$17="yes",SUMPRODUCT($C77:C$114,$E77:E$114)-$C77*SUM(E77:$E$114),""),"")</f>
        <v>10990560000</v>
      </c>
      <c r="H77" s="14">
        <f t="shared" ca="1" si="5"/>
        <v>10991857500</v>
      </c>
      <c r="I77" s="13">
        <f t="shared" ca="1" si="6"/>
        <v>11050</v>
      </c>
      <c r="J77" s="16"/>
      <c r="K77" s="18">
        <f>IF(MAIN!I12="NIFTY",ROUND(B1/100,0)*100,ROUND(B1/B3,0)*B3)</f>
        <v>11900</v>
      </c>
      <c r="L77" s="18">
        <f t="shared" ca="1" si="7"/>
        <v>0</v>
      </c>
      <c r="M77" s="18">
        <f t="shared" ca="1" si="8"/>
        <v>0</v>
      </c>
    </row>
    <row r="78" spans="2:19" x14ac:dyDescent="0.35">
      <c r="B78" s="14">
        <v>5</v>
      </c>
      <c r="C78" s="13">
        <f t="shared" ca="1" si="2"/>
        <v>11100</v>
      </c>
      <c r="D78" s="13">
        <f t="shared" ca="1" si="3"/>
        <v>1725</v>
      </c>
      <c r="E78" s="13">
        <f t="shared" ca="1" si="4"/>
        <v>445050</v>
      </c>
      <c r="F78" s="13">
        <f ca="1">IF($P$18="yes",IF($P$17="yes",$C78*SUM(D$74:$D78)-SUMPRODUCT($C$74:C78,$D$74:D78),""),"")</f>
        <v>2538750</v>
      </c>
      <c r="G78" s="13">
        <f ca="1">IF($P$18="yes",IF($P$17="yes",SUMPRODUCT($C78:C$114,$E78:E$114)-$C78*SUM(E78:$E$114),""),"")</f>
        <v>10106460000</v>
      </c>
      <c r="H78" s="14">
        <f t="shared" ca="1" si="5"/>
        <v>10108998750</v>
      </c>
      <c r="I78" s="13">
        <f t="shared" ca="1" si="6"/>
        <v>11100</v>
      </c>
      <c r="J78" s="16"/>
      <c r="K78" s="18">
        <f>IF(MAIN!I12="NIFTY",K77+100,K77+B3)</f>
        <v>12000</v>
      </c>
      <c r="L78" s="18">
        <f t="shared" ca="1" si="7"/>
        <v>0</v>
      </c>
      <c r="M78" s="18">
        <f t="shared" ca="1" si="8"/>
        <v>0</v>
      </c>
    </row>
    <row r="79" spans="2:19" x14ac:dyDescent="0.35">
      <c r="B79" s="14">
        <v>6</v>
      </c>
      <c r="C79" s="13">
        <f t="shared" ca="1" si="2"/>
        <v>11150</v>
      </c>
      <c r="D79" s="13">
        <f t="shared" ca="1" si="3"/>
        <v>750</v>
      </c>
      <c r="E79" s="13">
        <f t="shared" ca="1" si="4"/>
        <v>11325</v>
      </c>
      <c r="F79" s="13">
        <f ca="1">IF($P$18="yes",IF($P$17="yes",$C79*SUM(D$74:$D79)-SUMPRODUCT($C$74:C79,$D$74:D79),""),"")</f>
        <v>3866250</v>
      </c>
      <c r="G79" s="13">
        <f ca="1">IF($P$18="yes",IF($P$17="yes",SUMPRODUCT($C79:C$114,$E79:E$114)-$C79*SUM(E79:$E$114),""),"")</f>
        <v>9244612500</v>
      </c>
      <c r="H79" s="14">
        <f t="shared" ca="1" si="5"/>
        <v>9248478750</v>
      </c>
      <c r="I79" s="13">
        <f t="shared" ca="1" si="6"/>
        <v>11150</v>
      </c>
      <c r="J79" s="16"/>
      <c r="K79" s="18">
        <f>IF(MAIN!I12="NIFTY",K78+100,K78+B3)</f>
        <v>12100</v>
      </c>
      <c r="L79" s="18">
        <f t="shared" ca="1" si="7"/>
        <v>0</v>
      </c>
      <c r="M79" s="18">
        <f t="shared" ca="1" si="8"/>
        <v>0</v>
      </c>
    </row>
    <row r="80" spans="2:19" x14ac:dyDescent="0.35">
      <c r="B80" s="14">
        <v>7</v>
      </c>
      <c r="C80" s="13">
        <f t="shared" ca="1" si="2"/>
        <v>11200</v>
      </c>
      <c r="D80" s="13">
        <f t="shared" ca="1" si="3"/>
        <v>25050</v>
      </c>
      <c r="E80" s="13">
        <f t="shared" ca="1" si="4"/>
        <v>1249125</v>
      </c>
      <c r="F80" s="13">
        <f ca="1">IF($P$18="yes",IF($P$17="yes",$C80*SUM(D$74:$D80)-SUMPRODUCT($C$74:C80,$D$74:D80),""),"")</f>
        <v>5231250</v>
      </c>
      <c r="G80" s="13">
        <f ca="1">IF($P$18="yes",IF($P$17="yes",SUMPRODUCT($C80:C$114,$E80:E$114)-$C80*SUM(E80:$E$114),""),"")</f>
        <v>8383331250</v>
      </c>
      <c r="H80" s="14">
        <f t="shared" ca="1" si="5"/>
        <v>8388562500</v>
      </c>
      <c r="I80" s="13">
        <f t="shared" ca="1" si="6"/>
        <v>11200</v>
      </c>
      <c r="J80" s="16"/>
      <c r="K80" s="18">
        <f>IF(MAIN!I12="NIFTY",K79+100,K79+B3)</f>
        <v>12200</v>
      </c>
      <c r="L80" s="18">
        <f t="shared" ca="1" si="7"/>
        <v>0</v>
      </c>
      <c r="M80" s="18">
        <f t="shared" ca="1" si="8"/>
        <v>0</v>
      </c>
    </row>
    <row r="81" spans="2:14" x14ac:dyDescent="0.35">
      <c r="B81" s="14">
        <v>8</v>
      </c>
      <c r="C81" s="13">
        <f t="shared" ca="1" si="2"/>
        <v>11250</v>
      </c>
      <c r="D81" s="13">
        <f t="shared" ca="1" si="3"/>
        <v>525</v>
      </c>
      <c r="E81" s="13">
        <f t="shared" ca="1" si="4"/>
        <v>12975</v>
      </c>
      <c r="F81" s="13">
        <f ca="1">IF($P$18="yes",IF($P$17="yes",$C81*SUM(D$74:$D81)-SUMPRODUCT($C$74:C81,$D$74:D81),""),"")</f>
        <v>7848750</v>
      </c>
      <c r="G81" s="13">
        <f ca="1">IF($P$18="yes",IF($P$17="yes",SUMPRODUCT($C81:C$114,$E81:E$114)-$C81*SUM(E81:$E$114),""),"")</f>
        <v>7584506250</v>
      </c>
      <c r="H81" s="14">
        <f t="shared" ca="1" si="5"/>
        <v>7592355000</v>
      </c>
      <c r="I81" s="13">
        <f t="shared" ca="1" si="6"/>
        <v>11250</v>
      </c>
      <c r="J81" s="16"/>
      <c r="K81" s="173"/>
      <c r="L81" s="173">
        <f ca="1">AVERAGEIF(L74:L80,"&gt;=0")</f>
        <v>0</v>
      </c>
      <c r="M81" s="173">
        <f ca="1">AVERAGEIF(M74:M80,"&gt;=0")</f>
        <v>0</v>
      </c>
    </row>
    <row r="82" spans="2:14" x14ac:dyDescent="0.35">
      <c r="B82" s="14">
        <v>9</v>
      </c>
      <c r="C82" s="13">
        <f t="shared" ca="1" si="2"/>
        <v>11300</v>
      </c>
      <c r="D82" s="13">
        <f t="shared" ca="1" si="3"/>
        <v>33825</v>
      </c>
      <c r="E82" s="13">
        <f t="shared" ca="1" si="4"/>
        <v>711000</v>
      </c>
      <c r="F82" s="13">
        <f ca="1">IF($P$18="yes",IF($P$17="yes",$C82*SUM(D$74:$D82)-SUMPRODUCT($C$74:C82,$D$74:D82),""),"")</f>
        <v>10492500</v>
      </c>
      <c r="G82" s="13">
        <f ca="1">IF($P$18="yes",IF($P$17="yes",SUMPRODUCT($C82:C$114,$E82:E$114)-$C82*SUM(E82:$E$114),""),"")</f>
        <v>6786330000</v>
      </c>
      <c r="H82" s="14">
        <f t="shared" ca="1" si="5"/>
        <v>6796822500</v>
      </c>
      <c r="I82" s="13">
        <f t="shared" ca="1" si="6"/>
        <v>11300</v>
      </c>
    </row>
    <row r="83" spans="2:14" x14ac:dyDescent="0.35">
      <c r="B83" s="14">
        <v>10</v>
      </c>
      <c r="C83" s="13">
        <f t="shared" ca="1" si="2"/>
        <v>11350</v>
      </c>
      <c r="D83" s="13">
        <f t="shared" ca="1" si="3"/>
        <v>2025</v>
      </c>
      <c r="E83" s="13">
        <f t="shared" ca="1" si="4"/>
        <v>16950</v>
      </c>
      <c r="F83" s="13">
        <f ca="1">IF($P$18="yes",IF($P$17="yes",$C83*SUM(D$74:$D83)-SUMPRODUCT($C$74:C83,$D$74:D83),""),"")</f>
        <v>14827500</v>
      </c>
      <c r="G83" s="13">
        <f ca="1">IF($P$18="yes",IF($P$17="yes",SUMPRODUCT($C83:C$114,$E83:E$114)-$C83*SUM(E83:$E$114),""),"")</f>
        <v>6023703750</v>
      </c>
      <c r="H83" s="14">
        <f t="shared" ca="1" si="5"/>
        <v>6038531250</v>
      </c>
      <c r="I83" s="13">
        <f t="shared" ca="1" si="6"/>
        <v>11350</v>
      </c>
    </row>
    <row r="84" spans="2:14" x14ac:dyDescent="0.35">
      <c r="B84" s="14">
        <v>11</v>
      </c>
      <c r="C84" s="13">
        <f t="shared" ca="1" si="2"/>
        <v>11400</v>
      </c>
      <c r="D84" s="13">
        <f t="shared" ca="1" si="3"/>
        <v>28875</v>
      </c>
      <c r="E84" s="13">
        <f t="shared" ca="1" si="4"/>
        <v>687375</v>
      </c>
      <c r="F84" s="13">
        <f ca="1">IF($P$18="yes",IF($P$17="yes",$C84*SUM(D$74:$D84)-SUMPRODUCT($C$74:C84,$D$74:D84),""),"")</f>
        <v>19263750</v>
      </c>
      <c r="G84" s="13">
        <f ca="1">IF($P$18="yes",IF($P$17="yes",SUMPRODUCT($C84:C$114,$E84:E$114)-$C84*SUM(E84:$E$114),""),"")</f>
        <v>5261925000</v>
      </c>
      <c r="H84" s="14">
        <f t="shared" ca="1" si="5"/>
        <v>5281188750</v>
      </c>
      <c r="I84" s="13">
        <f t="shared" ca="1" si="6"/>
        <v>11400</v>
      </c>
    </row>
    <row r="85" spans="2:14" ht="15.5" x14ac:dyDescent="0.35">
      <c r="B85" s="14">
        <v>12</v>
      </c>
      <c r="C85" s="13">
        <f t="shared" ca="1" si="2"/>
        <v>11450</v>
      </c>
      <c r="D85" s="13">
        <f t="shared" ca="1" si="3"/>
        <v>1350</v>
      </c>
      <c r="E85" s="13">
        <f t="shared" ca="1" si="4"/>
        <v>60525</v>
      </c>
      <c r="F85" s="13">
        <f ca="1">IF($P$18="yes",IF($P$17="yes",$C85*SUM(D$74:$D85)-SUMPRODUCT($C$74:C85,$D$74:D85),""),"")</f>
        <v>25143750</v>
      </c>
      <c r="G85" s="13">
        <f ca="1">IF($P$18="yes",IF($P$17="yes",SUMPRODUCT($C85:C$114,$E85:E$114)-$C85*SUM(E85:$E$114),""),"")</f>
        <v>4534515000</v>
      </c>
      <c r="H85" s="14">
        <f t="shared" ca="1" si="5"/>
        <v>4559658750</v>
      </c>
      <c r="I85" s="13">
        <f t="shared" ca="1" si="6"/>
        <v>11450</v>
      </c>
      <c r="K85" s="720" t="s">
        <v>57</v>
      </c>
      <c r="L85" s="720"/>
      <c r="M85" s="721">
        <f ca="1">IF($P$18="yes",IF($P$17="yes",IF(MAX(C6:C67)&gt;ABS(MIN(C6:C67)),MAX(C6:C67),MIN(C6:C67)),""),"")</f>
        <v>-2377800</v>
      </c>
      <c r="N85" s="721"/>
    </row>
    <row r="86" spans="2:14" ht="15.5" x14ac:dyDescent="0.35">
      <c r="B86" s="14">
        <v>13</v>
      </c>
      <c r="C86" s="13">
        <f t="shared" ca="1" si="2"/>
        <v>11500</v>
      </c>
      <c r="D86" s="13">
        <f t="shared" ca="1" si="3"/>
        <v>112425</v>
      </c>
      <c r="E86" s="13">
        <f t="shared" ca="1" si="4"/>
        <v>1674750</v>
      </c>
      <c r="F86" s="13">
        <f ca="1">IF($P$18="yes",IF($P$17="yes",$C86*SUM(D$74:$D86)-SUMPRODUCT($C$74:C86,$D$74:D86),""),"")</f>
        <v>31091250</v>
      </c>
      <c r="G86" s="13">
        <f ca="1">IF($P$18="yes",IF($P$17="yes",SUMPRODUCT($C86:C$114,$E86:E$114)-$C86*SUM(E86:$E$114),""),"")</f>
        <v>3810131250</v>
      </c>
      <c r="H86" s="14">
        <f t="shared" ca="1" si="5"/>
        <v>3841222500</v>
      </c>
      <c r="I86" s="13">
        <f t="shared" ca="1" si="6"/>
        <v>11500</v>
      </c>
      <c r="K86" s="720" t="s">
        <v>58</v>
      </c>
      <c r="L86" s="720"/>
      <c r="M86" s="721">
        <f ca="1">IF($P$18="yes",IF($P$17="yes",IF(MAX(J6:J67)&gt;ABS(MIN(J6:J67)),MAX(J6:J67),MIN(J6:J67)),""),"")</f>
        <v>1984500</v>
      </c>
      <c r="N86" s="721"/>
    </row>
    <row r="87" spans="2:14" ht="15.5" x14ac:dyDescent="0.35">
      <c r="B87" s="14">
        <v>14</v>
      </c>
      <c r="C87" s="13">
        <f t="shared" ca="1" si="2"/>
        <v>11550</v>
      </c>
      <c r="D87" s="13">
        <f t="shared" ca="1" si="3"/>
        <v>5475</v>
      </c>
      <c r="E87" s="13">
        <f t="shared" ca="1" si="4"/>
        <v>149925</v>
      </c>
      <c r="F87" s="13">
        <f ca="1">IF($P$18="yes",IF($P$17="yes",$C87*SUM(D$74:$D87)-SUMPRODUCT($C$74:C87,$D$74:D87),""),"")</f>
        <v>42660000</v>
      </c>
      <c r="G87" s="13">
        <f ca="1">IF($P$18="yes",IF($P$17="yes",SUMPRODUCT($C87:C$114,$E87:E$114)-$C87*SUM(E87:$E$114),""),"")</f>
        <v>3169485000</v>
      </c>
      <c r="H87" s="14">
        <f t="shared" ca="1" si="5"/>
        <v>3212145000</v>
      </c>
      <c r="I87" s="13">
        <f t="shared" ca="1" si="6"/>
        <v>11550</v>
      </c>
      <c r="K87" s="93"/>
      <c r="L87" s="93"/>
      <c r="M87" s="100"/>
      <c r="N87" s="100"/>
    </row>
    <row r="88" spans="2:14" ht="15.5" x14ac:dyDescent="0.35">
      <c r="B88" s="14">
        <v>15</v>
      </c>
      <c r="C88" s="13">
        <f t="shared" ca="1" si="2"/>
        <v>11600</v>
      </c>
      <c r="D88" s="13">
        <f t="shared" ca="1" si="3"/>
        <v>85500</v>
      </c>
      <c r="E88" s="13">
        <f t="shared" ca="1" si="4"/>
        <v>1262625</v>
      </c>
      <c r="F88" s="13">
        <f ca="1">IF($P$18="yes",IF($P$17="yes",$C88*SUM(D$74:$D88)-SUMPRODUCT($C$74:C88,$D$74:D88),""),"")</f>
        <v>54502500</v>
      </c>
      <c r="G88" s="13">
        <f ca="1">IF($P$18="yes",IF($P$17="yes",SUMPRODUCT($C88:C$114,$E88:E$114)-$C88*SUM(E88:$E$114),""),"")</f>
        <v>2536335000</v>
      </c>
      <c r="H88" s="14">
        <f t="shared" ca="1" si="5"/>
        <v>2590837500</v>
      </c>
      <c r="I88" s="13">
        <f t="shared" ca="1" si="6"/>
        <v>11600</v>
      </c>
      <c r="K88" s="720" t="s">
        <v>59</v>
      </c>
      <c r="L88" s="720"/>
      <c r="M88" s="721">
        <f ca="1">IF($P$18="yes",IF($P$17="yes",LARGE(Data!B21:'Data'!B200,2),""),"")</f>
        <v>3645450</v>
      </c>
      <c r="N88" s="738"/>
    </row>
    <row r="89" spans="2:14" ht="15.5" x14ac:dyDescent="0.35">
      <c r="B89" s="14">
        <v>16</v>
      </c>
      <c r="C89" s="13">
        <f t="shared" ca="1" si="2"/>
        <v>11650</v>
      </c>
      <c r="D89" s="13">
        <f t="shared" ca="1" si="3"/>
        <v>1200</v>
      </c>
      <c r="E89" s="13">
        <f t="shared" ca="1" si="4"/>
        <v>278925</v>
      </c>
      <c r="F89" s="13">
        <f ca="1">IF($P$18="yes",IF($P$17="yes",$C89*SUM(D$74:$D89)-SUMPRODUCT($C$74:C89,$D$74:D89),""),"")</f>
        <v>70620000</v>
      </c>
      <c r="G89" s="13">
        <f ca="1">IF($P$18="yes",IF($P$17="yes",SUMPRODUCT($C89:C$114,$E89:E$114)-$C89*SUM(E89:$E$114),""),"")</f>
        <v>1966316250</v>
      </c>
      <c r="H89" s="14">
        <f t="shared" ca="1" si="5"/>
        <v>2036936250</v>
      </c>
      <c r="I89" s="13">
        <f t="shared" ca="1" si="6"/>
        <v>11650</v>
      </c>
      <c r="K89" s="720" t="s">
        <v>60</v>
      </c>
      <c r="L89" s="720"/>
      <c r="M89" s="721">
        <f ca="1">IF($P$18="yes",IF($P$17="yes",LARGE(Data!V21:'Data'!V200,2),""),"")</f>
        <v>3292500</v>
      </c>
      <c r="N89" s="721"/>
    </row>
    <row r="90" spans="2:14" x14ac:dyDescent="0.35">
      <c r="B90" s="14">
        <v>17</v>
      </c>
      <c r="C90" s="13">
        <f t="shared" ca="1" si="2"/>
        <v>11700</v>
      </c>
      <c r="D90" s="13">
        <f t="shared" ca="1" si="3"/>
        <v>212025</v>
      </c>
      <c r="E90" s="13">
        <f t="shared" ca="1" si="4"/>
        <v>1857975</v>
      </c>
      <c r="F90" s="13">
        <f ca="1">IF($P$18="yes",IF($P$17="yes",$C90*SUM(D$74:$D90)-SUMPRODUCT($C$74:C90,$D$74:D90),""),"")</f>
        <v>86797500</v>
      </c>
      <c r="G90" s="13">
        <f ca="1">IF($P$18="yes",IF($P$17="yes",SUMPRODUCT($C90:C$114,$E90:E$114)-$C90*SUM(E90:$E$114),""),"")</f>
        <v>1410243750</v>
      </c>
      <c r="H90" s="14">
        <f t="shared" ca="1" si="5"/>
        <v>1497041250</v>
      </c>
      <c r="I90" s="13">
        <f t="shared" ca="1" si="6"/>
        <v>11700</v>
      </c>
    </row>
    <row r="91" spans="2:14" ht="15.5" x14ac:dyDescent="0.35">
      <c r="B91" s="14">
        <v>18</v>
      </c>
      <c r="C91" s="13">
        <f t="shared" ca="1" si="2"/>
        <v>11750</v>
      </c>
      <c r="D91" s="13">
        <f t="shared" ca="1" si="3"/>
        <v>4425</v>
      </c>
      <c r="E91" s="13">
        <f t="shared" ca="1" si="4"/>
        <v>745275</v>
      </c>
      <c r="F91" s="13">
        <f ca="1">IF($P$18="yes",IF($P$17="yes",$C91*SUM(D$74:$D91)-SUMPRODUCT($C$74:C91,$D$74:D91),""),"")</f>
        <v>113576250</v>
      </c>
      <c r="G91" s="13">
        <f ca="1">IF($P$18="yes",IF($P$17="yes",SUMPRODUCT($C91:C$114,$E91:E$114)-$C91*SUM(E91:$E$114),""),"")</f>
        <v>947070000</v>
      </c>
      <c r="H91" s="14">
        <f t="shared" ca="1" si="5"/>
        <v>1060646250</v>
      </c>
      <c r="I91" s="13">
        <f t="shared" ca="1" si="6"/>
        <v>11750</v>
      </c>
      <c r="K91" s="720" t="s">
        <v>157</v>
      </c>
      <c r="L91" s="720"/>
      <c r="M91" s="721">
        <f ca="1">IF(Sheet51!$P$17="yes",SUM(Data!$B$21:'Data'!$B$200)-Data!C6,"")</f>
        <v>21175875</v>
      </c>
      <c r="N91" s="721"/>
    </row>
    <row r="92" spans="2:14" ht="15.5" x14ac:dyDescent="0.35">
      <c r="B92" s="14">
        <v>19</v>
      </c>
      <c r="C92" s="13">
        <f t="shared" ca="1" si="2"/>
        <v>11800</v>
      </c>
      <c r="D92" s="13">
        <f t="shared" ca="1" si="3"/>
        <v>143475</v>
      </c>
      <c r="E92" s="13">
        <f t="shared" ca="1" si="4"/>
        <v>2846775</v>
      </c>
      <c r="F92" s="13">
        <f ca="1">IF($P$18="yes",IF($P$17="yes",$C92*SUM(D$74:$D92)-SUMPRODUCT($C$74:C92,$D$74:D92),""),"")</f>
        <v>140576250</v>
      </c>
      <c r="G92" s="13">
        <f ca="1">IF($P$18="yes",IF($P$17="yes",SUMPRODUCT($C92:C$114,$E92:E$114)-$C92*SUM(E92:$E$114),""),"")</f>
        <v>521160000</v>
      </c>
      <c r="H92" s="14">
        <f t="shared" ca="1" si="5"/>
        <v>661736250</v>
      </c>
      <c r="I92" s="13">
        <f t="shared" ca="1" si="6"/>
        <v>11800</v>
      </c>
      <c r="K92" s="720" t="s">
        <v>158</v>
      </c>
      <c r="L92" s="720"/>
      <c r="M92" s="721">
        <f ca="1">IF(Sheet51!$P$17="yes",SUM(Data!$V$21:'Data'!$V$200)-Data!V6,"")</f>
        <v>25524525</v>
      </c>
      <c r="N92" s="721"/>
    </row>
    <row r="93" spans="2:14" ht="15.5" x14ac:dyDescent="0.35">
      <c r="B93" s="14">
        <v>20</v>
      </c>
      <c r="C93" s="13">
        <f t="shared" ca="1" si="2"/>
        <v>11850</v>
      </c>
      <c r="D93" s="13">
        <f t="shared" ca="1" si="3"/>
        <v>21525</v>
      </c>
      <c r="E93" s="13">
        <f t="shared" ca="1" si="4"/>
        <v>1928700</v>
      </c>
      <c r="F93" s="13">
        <f ca="1">IF($P$18="yes",IF($P$17="yes",$C93*SUM(D$74:$D93)-SUMPRODUCT($C$74:C93,$D$74:D93),""),"")</f>
        <v>174750000</v>
      </c>
      <c r="G93" s="13">
        <f ca="1">IF($P$18="yes",IF($P$17="yes",SUMPRODUCT($C93:C$114,$E93:E$114)-$C93*SUM(E93:$E$114),""),"")</f>
        <v>237588750</v>
      </c>
      <c r="H93" s="14">
        <f t="shared" ca="1" si="5"/>
        <v>412338750</v>
      </c>
      <c r="I93" s="13">
        <f t="shared" ca="1" si="6"/>
        <v>11850</v>
      </c>
      <c r="K93" s="174"/>
      <c r="L93" s="174"/>
      <c r="M93" s="175"/>
      <c r="N93" s="175"/>
    </row>
    <row r="94" spans="2:14" ht="15.5" x14ac:dyDescent="0.35">
      <c r="B94" s="14">
        <v>21</v>
      </c>
      <c r="C94" s="13">
        <f t="shared" ca="1" si="2"/>
        <v>11900</v>
      </c>
      <c r="D94" s="13">
        <f t="shared" ca="1" si="3"/>
        <v>261300</v>
      </c>
      <c r="E94" s="13">
        <f t="shared" ca="1" si="4"/>
        <v>3175200</v>
      </c>
      <c r="F94" s="13">
        <f ca="1">IF($P$18="yes",IF($P$17="yes",$C94*SUM(D$74:$D94)-SUMPRODUCT($C$74:C94,$D$74:D94),""),"")</f>
        <v>210000000</v>
      </c>
      <c r="G94" s="13">
        <f ca="1">IF($P$18="yes",IF($P$17="yes",SUMPRODUCT($C94:C$114,$E94:E$114)-$C94*SUM(E94:$E$114),""),"")</f>
        <v>50452500</v>
      </c>
      <c r="H94" s="14">
        <f t="shared" ca="1" si="5"/>
        <v>260452500</v>
      </c>
      <c r="I94" s="13">
        <f t="shared" ca="1" si="6"/>
        <v>11900</v>
      </c>
      <c r="K94" s="737" t="s">
        <v>145</v>
      </c>
      <c r="L94" s="737"/>
      <c r="M94" s="737"/>
      <c r="N94" s="94"/>
    </row>
    <row r="95" spans="2:14" ht="15.5" x14ac:dyDescent="0.35">
      <c r="B95" s="14">
        <v>22</v>
      </c>
      <c r="C95" s="13">
        <f t="shared" ca="1" si="2"/>
        <v>11950</v>
      </c>
      <c r="D95" s="13">
        <f t="shared" ca="1" si="3"/>
        <v>1474350</v>
      </c>
      <c r="E95" s="13">
        <f t="shared" ca="1" si="4"/>
        <v>467325</v>
      </c>
      <c r="F95" s="13">
        <f ca="1">IF($P$18="yes",IF($P$17="yes",$C95*SUM(D$74:$D95)-SUMPRODUCT($C$74:C95,$D$74:D95),""),"")</f>
        <v>258315000</v>
      </c>
      <c r="G95" s="13">
        <f ca="1">IF($P$18="yes",IF($P$17="yes",SUMPRODUCT($C95:C$114,$E95:E$114)-$C95*SUM(E95:$E$114),""),"")</f>
        <v>22076250</v>
      </c>
      <c r="H95" s="14">
        <f t="shared" ca="1" si="5"/>
        <v>280391250</v>
      </c>
      <c r="I95" s="13">
        <f t="shared" ca="1" si="6"/>
        <v>11950</v>
      </c>
      <c r="K95" s="95" t="s">
        <v>41</v>
      </c>
      <c r="L95" s="95" t="s">
        <v>36</v>
      </c>
      <c r="M95" s="95" t="s">
        <v>42</v>
      </c>
    </row>
    <row r="96" spans="2:14" x14ac:dyDescent="0.35">
      <c r="B96" s="14">
        <v>23</v>
      </c>
      <c r="C96" s="13">
        <f t="shared" ca="1" si="2"/>
        <v>12000</v>
      </c>
      <c r="D96" s="13">
        <f t="shared" ca="1" si="3"/>
        <v>3645450</v>
      </c>
      <c r="E96" s="13">
        <f t="shared" ca="1" si="4"/>
        <v>57300</v>
      </c>
      <c r="F96" s="13">
        <f ca="1">IF($P$18="yes",IF($P$17="yes",$C96*SUM(D$74:$D96)-SUMPRODUCT($C$74:C96,$D$74:D96),""),"")</f>
        <v>380347500</v>
      </c>
      <c r="G96" s="13">
        <f ca="1">IF($P$18="yes",IF($P$17="yes",SUMPRODUCT($C96:C$114,$E96:E$114)-$C96*SUM(E96:$E$114),""),"")</f>
        <v>17066250</v>
      </c>
      <c r="H96" s="14">
        <f t="shared" ca="1" si="5"/>
        <v>397413750</v>
      </c>
      <c r="I96" s="13">
        <f t="shared" ca="1" si="6"/>
        <v>12000</v>
      </c>
      <c r="K96" s="96">
        <f ca="1">SUMIF($H$6:$H$67,L96,$C$6:$C$67)</f>
        <v>-326400</v>
      </c>
      <c r="L96" s="43">
        <f t="shared" ref="L96:L102" si="9">K74</f>
        <v>11600</v>
      </c>
      <c r="M96" s="96">
        <f ca="1">SUMIF($H$6:$H$67,L96,$J$6:$J$67)</f>
        <v>-320025</v>
      </c>
    </row>
    <row r="97" spans="2:13" x14ac:dyDescent="0.35">
      <c r="B97" s="14">
        <v>24</v>
      </c>
      <c r="C97" s="13">
        <f t="shared" ca="1" si="2"/>
        <v>12050</v>
      </c>
      <c r="D97" s="13">
        <f t="shared" ca="1" si="3"/>
        <v>1021950</v>
      </c>
      <c r="E97" s="13">
        <f t="shared" ca="1" si="4"/>
        <v>6900</v>
      </c>
      <c r="F97" s="13">
        <f ca="1">IF($P$18="yes",IF($P$17="yes",$C97*SUM(D$74:$D97)-SUMPRODUCT($C$74:C97,$D$74:D97),""),"")</f>
        <v>684652500</v>
      </c>
      <c r="G97" s="13">
        <f ca="1">IF($P$18="yes",IF($P$17="yes",SUMPRODUCT($C97:C$114,$E97:E$114)-$C97*SUM(E97:$E$114),""),"")</f>
        <v>14921250</v>
      </c>
      <c r="H97" s="14">
        <f t="shared" ca="1" si="5"/>
        <v>699573750</v>
      </c>
      <c r="I97" s="13">
        <f t="shared" ca="1" si="6"/>
        <v>12050</v>
      </c>
      <c r="K97" s="96">
        <f t="shared" ref="K97:K102" ca="1" si="10">SUMIF($H$6:$H$67,L97,$C$6:$C$67)</f>
        <v>-628950</v>
      </c>
      <c r="L97" s="43">
        <f t="shared" si="9"/>
        <v>11700</v>
      </c>
      <c r="M97" s="96">
        <f t="shared" ref="M97:M102" ca="1" si="11">SUMIF($H$6:$H$67,L97,$J$6:$J$67)</f>
        <v>-390450</v>
      </c>
    </row>
    <row r="98" spans="2:13" x14ac:dyDescent="0.35">
      <c r="B98" s="14">
        <v>25</v>
      </c>
      <c r="C98" s="13">
        <f t="shared" ca="1" si="2"/>
        <v>12100</v>
      </c>
      <c r="D98" s="13">
        <f t="shared" ca="1" si="3"/>
        <v>1329525</v>
      </c>
      <c r="E98" s="13">
        <f t="shared" ca="1" si="4"/>
        <v>2625</v>
      </c>
      <c r="F98" s="13">
        <f ca="1">IF($P$18="yes",IF($P$17="yes",$C98*SUM(D$74:$D98)-SUMPRODUCT($C$74:C98,$D$74:D98),""),"")</f>
        <v>1040055000</v>
      </c>
      <c r="G98" s="13">
        <f ca="1">IF($P$18="yes",IF($P$17="yes",SUMPRODUCT($C98:C$114,$E98:E$114)-$C98*SUM(E98:$E$114),""),"")</f>
        <v>13121250</v>
      </c>
      <c r="H98" s="14">
        <f t="shared" ca="1" si="5"/>
        <v>1053176250</v>
      </c>
      <c r="I98" s="13">
        <f t="shared" ca="1" si="6"/>
        <v>12100</v>
      </c>
      <c r="K98" s="96">
        <f t="shared" ca="1" si="10"/>
        <v>-960450</v>
      </c>
      <c r="L98" s="43">
        <f t="shared" si="9"/>
        <v>11800</v>
      </c>
      <c r="M98" s="96">
        <f t="shared" ca="1" si="11"/>
        <v>759225</v>
      </c>
    </row>
    <row r="99" spans="2:13" x14ac:dyDescent="0.35">
      <c r="B99" s="14">
        <v>26</v>
      </c>
      <c r="C99" s="13">
        <f t="shared" ca="1" si="2"/>
        <v>12150</v>
      </c>
      <c r="D99" s="13">
        <f t="shared" ca="1" si="3"/>
        <v>188775</v>
      </c>
      <c r="E99" s="13">
        <f t="shared" ca="1" si="4"/>
        <v>0</v>
      </c>
      <c r="F99" s="13">
        <f ca="1">IF($P$18="yes",IF($P$17="yes",$C99*SUM(D$74:$D99)-SUMPRODUCT($C$74:C99,$D$74:D99),""),"")</f>
        <v>1461933750</v>
      </c>
      <c r="G99" s="13">
        <f ca="1">IF($P$18="yes",IF($P$17="yes",SUMPRODUCT($C99:C$114,$E99:E$114)-$C99*SUM(E99:$E$114),""),"")</f>
        <v>11452500</v>
      </c>
      <c r="H99" s="14">
        <f t="shared" ca="1" si="5"/>
        <v>1473386250</v>
      </c>
      <c r="I99" s="13">
        <f t="shared" ca="1" si="6"/>
        <v>12150</v>
      </c>
      <c r="K99" s="96">
        <f t="shared" ca="1" si="10"/>
        <v>-2377800</v>
      </c>
      <c r="L99" s="43">
        <f t="shared" si="9"/>
        <v>11900</v>
      </c>
      <c r="M99" s="96">
        <f t="shared" ca="1" si="11"/>
        <v>1984500</v>
      </c>
    </row>
    <row r="100" spans="2:13" x14ac:dyDescent="0.35">
      <c r="B100" s="14">
        <v>27</v>
      </c>
      <c r="C100" s="13">
        <f t="shared" ca="1" si="2"/>
        <v>12200</v>
      </c>
      <c r="D100" s="13">
        <f t="shared" ca="1" si="3"/>
        <v>1859175</v>
      </c>
      <c r="E100" s="13">
        <f t="shared" ca="1" si="4"/>
        <v>1200</v>
      </c>
      <c r="F100" s="13">
        <f ca="1">IF($P$18="yes",IF($P$17="yes",$C100*SUM(D$74:$D100)-SUMPRODUCT($C$74:C100,$D$74:D100),""),"")</f>
        <v>1893251250</v>
      </c>
      <c r="G100" s="13">
        <f ca="1">IF($P$18="yes",IF($P$17="yes",SUMPRODUCT($C100:C$114,$E100:E$114)-$C100*SUM(E100:$E$114),""),"")</f>
        <v>9783750</v>
      </c>
      <c r="H100" s="14">
        <f t="shared" ca="1" si="5"/>
        <v>1903035000</v>
      </c>
      <c r="I100" s="13">
        <f t="shared" ca="1" si="6"/>
        <v>12200</v>
      </c>
      <c r="K100" s="96">
        <f t="shared" ca="1" si="10"/>
        <v>-1697025</v>
      </c>
      <c r="L100" s="43">
        <f t="shared" si="9"/>
        <v>12000</v>
      </c>
      <c r="M100" s="96">
        <f t="shared" ca="1" si="11"/>
        <v>-524325</v>
      </c>
    </row>
    <row r="101" spans="2:13" x14ac:dyDescent="0.35">
      <c r="B101" s="14">
        <v>28</v>
      </c>
      <c r="C101" s="13">
        <f t="shared" ca="1" si="2"/>
        <v>12250</v>
      </c>
      <c r="D101" s="13">
        <f t="shared" ca="1" si="3"/>
        <v>61425</v>
      </c>
      <c r="E101" s="13">
        <f t="shared" ca="1" si="4"/>
        <v>75</v>
      </c>
      <c r="F101" s="13">
        <f ca="1">IF($P$18="yes",IF($P$17="yes",$C101*SUM(D$74:$D101)-SUMPRODUCT($C$74:C101,$D$74:D101),""),"")</f>
        <v>2417527500</v>
      </c>
      <c r="G101" s="13">
        <f ca="1">IF($P$18="yes",IF($P$17="yes",SUMPRODUCT($C101:C$114,$E101:E$114)-$C101*SUM(E101:$E$114),""),"")</f>
        <v>8175000</v>
      </c>
      <c r="H101" s="14">
        <f t="shared" ca="1" si="5"/>
        <v>2425702500</v>
      </c>
      <c r="I101" s="13">
        <f t="shared" ca="1" si="6"/>
        <v>12250</v>
      </c>
      <c r="K101" s="96">
        <f t="shared" ca="1" si="10"/>
        <v>-478575</v>
      </c>
      <c r="L101" s="43">
        <f t="shared" si="9"/>
        <v>12100</v>
      </c>
      <c r="M101" s="96">
        <f t="shared" ca="1" si="11"/>
        <v>-37650</v>
      </c>
    </row>
    <row r="102" spans="2:13" x14ac:dyDescent="0.35">
      <c r="B102" s="14">
        <v>29</v>
      </c>
      <c r="C102" s="13">
        <f t="shared" ca="1" si="2"/>
        <v>12300</v>
      </c>
      <c r="D102" s="13">
        <f t="shared" ca="1" si="3"/>
        <v>1590600</v>
      </c>
      <c r="E102" s="13">
        <f t="shared" ca="1" si="4"/>
        <v>375</v>
      </c>
      <c r="F102" s="13">
        <f ca="1">IF($P$18="yes",IF($P$17="yes",$C102*SUM(D$74:$D102)-SUMPRODUCT($C$74:C102,$D$74:D102),""),"")</f>
        <v>2944875000</v>
      </c>
      <c r="G102" s="13">
        <f ca="1">IF($P$18="yes",IF($P$17="yes",SUMPRODUCT($C102:C$114,$E102:E$114)-$C102*SUM(E102:$E$114),""),"")</f>
        <v>6570000</v>
      </c>
      <c r="H102" s="14">
        <f t="shared" ca="1" si="5"/>
        <v>2951445000</v>
      </c>
      <c r="I102" s="13">
        <f t="shared" ca="1" si="6"/>
        <v>12300</v>
      </c>
      <c r="K102" s="96">
        <f t="shared" ca="1" si="10"/>
        <v>-398850</v>
      </c>
      <c r="L102" s="43">
        <f t="shared" si="9"/>
        <v>12200</v>
      </c>
      <c r="M102" s="96">
        <f t="shared" ca="1" si="11"/>
        <v>-28650</v>
      </c>
    </row>
    <row r="103" spans="2:13" x14ac:dyDescent="0.35">
      <c r="B103" s="14">
        <v>30</v>
      </c>
      <c r="C103" s="13">
        <f t="shared" ca="1" si="2"/>
        <v>12350</v>
      </c>
      <c r="D103" s="13">
        <f t="shared" ca="1" si="3"/>
        <v>24450</v>
      </c>
      <c r="E103" s="13">
        <f t="shared" ca="1" si="4"/>
        <v>0</v>
      </c>
      <c r="F103" s="13">
        <f ca="1">IF($P$18="yes",IF($P$17="yes",$C103*SUM(D$74:$D103)-SUMPRODUCT($C$74:C103,$D$74:D103),""),"")</f>
        <v>3551752500</v>
      </c>
      <c r="G103" s="13">
        <f ca="1">IF($P$18="yes",IF($P$17="yes",SUMPRODUCT($C103:C$114,$E103:E$114)-$C103*SUM(E103:$E$114),""),"")</f>
        <v>4983750</v>
      </c>
      <c r="H103" s="14">
        <f t="shared" ca="1" si="5"/>
        <v>3556736250</v>
      </c>
      <c r="I103" s="13">
        <f t="shared" ca="1" si="6"/>
        <v>12350</v>
      </c>
      <c r="K103" s="96"/>
      <c r="L103" s="43"/>
      <c r="M103" s="96"/>
    </row>
    <row r="104" spans="2:13" ht="15.5" x14ac:dyDescent="0.35">
      <c r="B104" s="14">
        <v>31</v>
      </c>
      <c r="C104" s="13">
        <f t="shared" ca="1" si="2"/>
        <v>12400</v>
      </c>
      <c r="D104" s="13">
        <f t="shared" ca="1" si="3"/>
        <v>1354500</v>
      </c>
      <c r="E104" s="13">
        <f t="shared" ca="1" si="4"/>
        <v>150</v>
      </c>
      <c r="F104" s="13">
        <f ca="1">IF($P$18="yes",IF($P$17="yes",$C104*SUM(D$74:$D104)-SUMPRODUCT($C$74:C104,$D$74:D104),""),"")</f>
        <v>4159852500</v>
      </c>
      <c r="G104" s="13">
        <f ca="1">IF($P$18="yes",IF($P$17="yes",SUMPRODUCT($C104:C$114,$E104:E$114)-$C104*SUM(E104:$E$114),""),"")</f>
        <v>3397500</v>
      </c>
      <c r="H104" s="14">
        <f t="shared" ca="1" si="5"/>
        <v>4163250000</v>
      </c>
      <c r="I104" s="13">
        <f t="shared" ca="1" si="6"/>
        <v>12400</v>
      </c>
      <c r="K104" s="101">
        <f ca="1">IF($P$18="yes",IF($P$17="yes",SUM(K96:K102),""),"")</f>
        <v>-6868050</v>
      </c>
      <c r="L104" s="102"/>
      <c r="M104" s="101">
        <f ca="1">IF($P$18="yes",IF($P$17="yes",SUM(M96:M102),""),"")</f>
        <v>1442625</v>
      </c>
    </row>
    <row r="105" spans="2:13" x14ac:dyDescent="0.35">
      <c r="B105" s="14">
        <v>32</v>
      </c>
      <c r="C105" s="13">
        <f t="shared" ca="1" si="2"/>
        <v>12450</v>
      </c>
      <c r="D105" s="13">
        <f t="shared" ca="1" si="3"/>
        <v>10950</v>
      </c>
      <c r="E105" s="13">
        <f t="shared" ca="1" si="4"/>
        <v>0</v>
      </c>
      <c r="F105" s="13">
        <f ca="1">IF($P$18="yes",IF($P$17="yes",$C105*SUM(D$74:$D105)-SUMPRODUCT($C$74:C105,$D$74:D105),""),"")</f>
        <v>4835677500</v>
      </c>
      <c r="G105" s="13">
        <f ca="1">IF($P$18="yes",IF($P$17="yes",SUMPRODUCT($C105:C$114,$E105:E$114)-$C105*SUM(E105:$E$114),""),"")</f>
        <v>1818750</v>
      </c>
      <c r="H105" s="14">
        <f t="shared" ca="1" si="5"/>
        <v>4837496250</v>
      </c>
      <c r="I105" s="13">
        <f t="shared" ca="1" si="6"/>
        <v>12450</v>
      </c>
    </row>
    <row r="106" spans="2:13" x14ac:dyDescent="0.35">
      <c r="B106" s="14">
        <v>33</v>
      </c>
      <c r="C106" s="13">
        <f t="shared" ca="1" si="2"/>
        <v>12500</v>
      </c>
      <c r="D106" s="13">
        <f t="shared" ca="1" si="3"/>
        <v>2739825</v>
      </c>
      <c r="E106" s="13">
        <f t="shared" ca="1" si="4"/>
        <v>30600</v>
      </c>
      <c r="F106" s="13">
        <f ca="1">IF($P$18="yes",IF($P$17="yes",$C106*SUM(D$74:$D106)-SUMPRODUCT($C$74:C106,$D$74:D106),""),"")</f>
        <v>5512050000</v>
      </c>
      <c r="G106" s="13">
        <f ca="1">IF($P$18="yes",IF($P$17="yes",SUMPRODUCT($C106:C$114,$E106:E$114)-$C106*SUM(E106:$E$114),""),"")</f>
        <v>240000</v>
      </c>
      <c r="H106" s="14">
        <f t="shared" ca="1" si="5"/>
        <v>5512290000</v>
      </c>
      <c r="I106" s="13">
        <f t="shared" ca="1" si="6"/>
        <v>12500</v>
      </c>
    </row>
    <row r="107" spans="2:13" x14ac:dyDescent="0.35">
      <c r="B107" s="14">
        <v>34</v>
      </c>
      <c r="C107" s="13">
        <f t="shared" ca="1" si="2"/>
        <v>12550</v>
      </c>
      <c r="D107" s="13">
        <f t="shared" ca="1" si="3"/>
        <v>9375</v>
      </c>
      <c r="E107" s="13">
        <f t="shared" ca="1" si="4"/>
        <v>0</v>
      </c>
      <c r="F107" s="13">
        <f ca="1">IF($P$18="yes",IF($P$17="yes",$C107*SUM(D$74:$D107)-SUMPRODUCT($C$74:C107,$D$74:D107),""),"")</f>
        <v>6325413750</v>
      </c>
      <c r="G107" s="13">
        <f ca="1">IF($P$18="yes",IF($P$17="yes",SUMPRODUCT($C107:C$114,$E107:E$114)-$C107*SUM(E107:$E$114),""),"")</f>
        <v>191250</v>
      </c>
      <c r="H107" s="14">
        <f t="shared" ca="1" si="5"/>
        <v>6325605000</v>
      </c>
      <c r="I107" s="13">
        <f t="shared" ca="1" si="6"/>
        <v>12550</v>
      </c>
    </row>
    <row r="108" spans="2:13" x14ac:dyDescent="0.35">
      <c r="B108" s="14">
        <v>35</v>
      </c>
      <c r="C108" s="13">
        <f t="shared" ca="1" si="2"/>
        <v>12600</v>
      </c>
      <c r="D108" s="13">
        <f t="shared" ca="1" si="3"/>
        <v>719700</v>
      </c>
      <c r="E108" s="13">
        <f t="shared" ca="1" si="4"/>
        <v>375</v>
      </c>
      <c r="F108" s="13">
        <f ca="1">IF($P$18="yes",IF($P$17="yes",$C108*SUM(D$74:$D108)-SUMPRODUCT($C$74:C108,$D$74:D108),""),"")</f>
        <v>7139246250</v>
      </c>
      <c r="G108" s="13">
        <f ca="1">IF($P$18="yes",IF($P$17="yes",SUMPRODUCT($C108:C$114,$E108:E$114)-$C108*SUM(E108:$E$114),""),"")</f>
        <v>142500</v>
      </c>
      <c r="H108" s="14">
        <f t="shared" ca="1" si="5"/>
        <v>7139388750</v>
      </c>
      <c r="I108" s="13">
        <f t="shared" ca="1" si="6"/>
        <v>12600</v>
      </c>
    </row>
    <row r="109" spans="2:13" x14ac:dyDescent="0.35">
      <c r="B109" s="14">
        <v>36</v>
      </c>
      <c r="C109" s="13">
        <f t="shared" ca="1" si="2"/>
        <v>12650</v>
      </c>
      <c r="D109" s="13">
        <f t="shared" ca="1" si="3"/>
        <v>0</v>
      </c>
      <c r="E109" s="13">
        <f t="shared" ca="1" si="4"/>
        <v>0</v>
      </c>
      <c r="F109" s="13">
        <f ca="1">IF($P$18="yes",IF($P$17="yes",$C109*SUM(D$74:$D109)-SUMPRODUCT($C$74:C109,$D$74:D109),""),"")</f>
        <v>7989063750</v>
      </c>
      <c r="G109" s="13">
        <f ca="1">IF($P$18="yes",IF($P$17="yes",SUMPRODUCT($C109:C$114,$E109:E$114)-$C109*SUM(E109:$E$114),""),"")</f>
        <v>112500</v>
      </c>
      <c r="H109" s="14">
        <f t="shared" ca="1" si="5"/>
        <v>7989176250</v>
      </c>
      <c r="I109" s="13">
        <f t="shared" ca="1" si="6"/>
        <v>12650</v>
      </c>
    </row>
    <row r="110" spans="2:13" x14ac:dyDescent="0.35">
      <c r="B110" s="14">
        <v>37</v>
      </c>
      <c r="C110" s="13">
        <f t="shared" ca="1" si="2"/>
        <v>12700</v>
      </c>
      <c r="D110" s="13">
        <f t="shared" ca="1" si="3"/>
        <v>493950</v>
      </c>
      <c r="E110" s="13">
        <f t="shared" ca="1" si="4"/>
        <v>75</v>
      </c>
      <c r="F110" s="13">
        <f ca="1">IF($P$18="yes",IF($P$17="yes",$C110*SUM(D$74:$D110)-SUMPRODUCT($C$74:C110,$D$74:D110),""),"")</f>
        <v>8838881250</v>
      </c>
      <c r="G110" s="13">
        <f ca="1">IF($P$18="yes",IF($P$17="yes",SUMPRODUCT($C110:C$114,$E110:E$114)-$C110*SUM(E110:$E$114),""),"")</f>
        <v>82500</v>
      </c>
      <c r="H110" s="14">
        <f t="shared" ca="1" si="5"/>
        <v>8838963750</v>
      </c>
      <c r="I110" s="13">
        <f t="shared" ca="1" si="6"/>
        <v>12700</v>
      </c>
    </row>
    <row r="111" spans="2:13" x14ac:dyDescent="0.35">
      <c r="B111" s="14">
        <v>38</v>
      </c>
      <c r="C111" s="13">
        <f t="shared" ca="1" si="2"/>
        <v>12750</v>
      </c>
      <c r="D111" s="13">
        <f t="shared" ca="1" si="3"/>
        <v>150</v>
      </c>
      <c r="E111" s="13">
        <f t="shared" ca="1" si="4"/>
        <v>0</v>
      </c>
      <c r="F111" s="13">
        <f ca="1">IF($P$18="yes",IF($P$17="yes",$C111*SUM(D$74:$D111)-SUMPRODUCT($C$74:C111,$D$74:D111),""),"")</f>
        <v>9713396250</v>
      </c>
      <c r="G111" s="13">
        <f ca="1">IF($P$18="yes",IF($P$17="yes",SUMPRODUCT($C111:C$114,$E111:E$114)-$C111*SUM(E111:$E$114),""),"")</f>
        <v>56250</v>
      </c>
      <c r="H111" s="14">
        <f t="shared" ca="1" si="5"/>
        <v>9713452500</v>
      </c>
      <c r="I111" s="13">
        <f t="shared" ca="1" si="6"/>
        <v>12750</v>
      </c>
    </row>
    <row r="112" spans="2:13" x14ac:dyDescent="0.35">
      <c r="B112" s="14">
        <v>39</v>
      </c>
      <c r="C112" s="13">
        <f t="shared" ca="1" si="2"/>
        <v>12800</v>
      </c>
      <c r="D112" s="13">
        <f t="shared" ca="1" si="3"/>
        <v>573225</v>
      </c>
      <c r="E112" s="13">
        <f t="shared" ca="1" si="4"/>
        <v>225</v>
      </c>
      <c r="F112" s="13">
        <f ca="1">IF($P$18="yes",IF($P$17="yes",$C112*SUM(D$74:$D112)-SUMPRODUCT($C$74:C112,$D$74:D112),""),"")</f>
        <v>10587918750</v>
      </c>
      <c r="G112" s="13">
        <f ca="1">IF($P$18="yes",IF($P$17="yes",SUMPRODUCT($C112:C$114,$E112:E$114)-$C112*SUM(E112:$E$114),""),"")</f>
        <v>30000</v>
      </c>
      <c r="H112" s="14">
        <f t="shared" ca="1" si="5"/>
        <v>10587948750</v>
      </c>
      <c r="I112" s="13">
        <f t="shared" ca="1" si="6"/>
        <v>12800</v>
      </c>
    </row>
    <row r="113" spans="2:52" x14ac:dyDescent="0.35">
      <c r="B113" s="13">
        <v>40</v>
      </c>
      <c r="C113" s="13">
        <f t="shared" ca="1" si="2"/>
        <v>12850</v>
      </c>
      <c r="D113" s="13">
        <f t="shared" ca="1" si="3"/>
        <v>225</v>
      </c>
      <c r="E113" s="13">
        <f t="shared" ca="1" si="4"/>
        <v>0</v>
      </c>
      <c r="F113" s="13">
        <f ca="1">IF($P$18="yes",IF($P$17="yes",$C113*SUM(D$74:$D113)-SUMPRODUCT($C$74:C113,$D$74:D113),""),"")</f>
        <v>11491102500</v>
      </c>
      <c r="G113" s="13">
        <f ca="1">IF($P$18="yes",IF($P$17="yes",SUMPRODUCT($C113:C$114,$E113:E$114)-$C113*SUM(E113:$E$114),""),"")</f>
        <v>15000</v>
      </c>
      <c r="H113" s="14">
        <f t="shared" ca="1" si="5"/>
        <v>11491117500</v>
      </c>
      <c r="I113" s="13">
        <f t="shared" ca="1" si="6"/>
        <v>12850</v>
      </c>
    </row>
    <row r="114" spans="2:52" x14ac:dyDescent="0.35">
      <c r="B114" s="13">
        <v>41</v>
      </c>
      <c r="C114" s="13">
        <f t="shared" ca="1" si="2"/>
        <v>12900</v>
      </c>
      <c r="D114" s="13">
        <f t="shared" ca="1" si="3"/>
        <v>338325</v>
      </c>
      <c r="E114" s="13">
        <f t="shared" ca="1" si="4"/>
        <v>300</v>
      </c>
      <c r="F114" s="13">
        <f ca="1">IF($P$18="yes",IF($P$17="yes",$C114*SUM(D$74:$D114)-SUMPRODUCT($C$74:C114,$D$74:D114),""),"")</f>
        <v>12394297500</v>
      </c>
      <c r="G114" s="13">
        <f ca="1">IF($P$18="yes",IF($P$17="yes",SUMPRODUCT($C114:C$114,$E114:E$114)-$C114*SUM(E114:$E$114),""),"")</f>
        <v>0</v>
      </c>
      <c r="H114" s="14">
        <f t="shared" ca="1" si="5"/>
        <v>12394297500</v>
      </c>
      <c r="I114" s="13">
        <f t="shared" ca="1" si="6"/>
        <v>12900</v>
      </c>
    </row>
    <row r="115" spans="2:52" x14ac:dyDescent="0.35">
      <c r="G115"/>
    </row>
    <row r="116" spans="2:52" x14ac:dyDescent="0.35">
      <c r="G116"/>
    </row>
    <row r="117" spans="2:52" x14ac:dyDescent="0.35">
      <c r="G117"/>
    </row>
    <row r="118" spans="2:52" x14ac:dyDescent="0.35">
      <c r="G118"/>
    </row>
    <row r="119" spans="2:52" x14ac:dyDescent="0.35">
      <c r="G119"/>
    </row>
    <row r="120" spans="2:52" x14ac:dyDescent="0.35">
      <c r="G120"/>
    </row>
    <row r="121" spans="2:52" x14ac:dyDescent="0.35">
      <c r="G121"/>
    </row>
    <row r="122" spans="2:52" x14ac:dyDescent="0.35">
      <c r="B122" s="728" t="s">
        <v>68</v>
      </c>
      <c r="C122" s="728"/>
      <c r="D122" s="728"/>
      <c r="E122" s="728"/>
      <c r="G122" s="728" t="s">
        <v>62</v>
      </c>
      <c r="H122" s="728"/>
      <c r="I122" s="728"/>
      <c r="AZ122" s="5" t="str">
        <f>IF(Data!L115&gt;0,Data!Q115,"")</f>
        <v/>
      </c>
    </row>
    <row r="123" spans="2:52" x14ac:dyDescent="0.35">
      <c r="B123" s="40" t="s">
        <v>65</v>
      </c>
      <c r="C123" s="40" t="s">
        <v>63</v>
      </c>
      <c r="D123" s="40" t="s">
        <v>66</v>
      </c>
      <c r="E123" s="40" t="s">
        <v>64</v>
      </c>
      <c r="G123" s="40" t="s">
        <v>63</v>
      </c>
      <c r="H123" s="40" t="s">
        <v>36</v>
      </c>
      <c r="I123" s="40" t="s">
        <v>64</v>
      </c>
      <c r="K123" s="728" t="s">
        <v>67</v>
      </c>
      <c r="L123" s="728"/>
      <c r="M123" s="728"/>
      <c r="N123" s="728"/>
      <c r="AZ123" s="5" t="str">
        <f>IF(Data!L116&gt;0,Data!Q116,"")</f>
        <v/>
      </c>
    </row>
    <row r="124" spans="2:52" x14ac:dyDescent="0.35">
      <c r="B124" s="41">
        <f ca="1">SUMIF($F$6:$F$67,C124,$H$6:$H$67)</f>
        <v>0</v>
      </c>
      <c r="C124" s="41" t="str">
        <f t="shared" ref="C124:C134" ca="1" si="12">IF(AND(G124&gt;20,G124&lt;50),G124,"")</f>
        <v/>
      </c>
      <c r="D124" s="41">
        <f ca="1">SUMIF($M$6:$M$67,E124,$H$6:$H$67)</f>
        <v>0</v>
      </c>
      <c r="E124" s="41" t="str">
        <f t="shared" ref="E124:E134" ca="1" si="13">IF(AND(I124&gt;70,I124&lt;100),I124,"")</f>
        <v/>
      </c>
      <c r="G124" s="42">
        <f ca="1">SUMIF($H$6:$H$67,H124,$F$6:$F$67)</f>
        <v>542.75</v>
      </c>
      <c r="H124" s="43">
        <f>IF(MAIN!I12="NIFTY",H125-100,H125-B3)</f>
        <v>11400</v>
      </c>
      <c r="I124" s="15">
        <f ca="1">SUMIF($H$6:$H$67,H124,$M$6:$M$67)</f>
        <v>0.05</v>
      </c>
      <c r="K124" s="40" t="s">
        <v>65</v>
      </c>
      <c r="L124" s="40" t="s">
        <v>63</v>
      </c>
      <c r="M124" s="40" t="s">
        <v>66</v>
      </c>
      <c r="N124" s="40" t="s">
        <v>64</v>
      </c>
      <c r="AZ124" s="5" t="str">
        <f>IF(Data!L117&gt;0,Data!Q117,"")</f>
        <v/>
      </c>
    </row>
    <row r="125" spans="2:52" x14ac:dyDescent="0.35">
      <c r="B125" s="41">
        <f t="shared" ref="B125:B134" ca="1" si="14">SUMIF($F$6:$F$67,C125,$H$6:$H$67)</f>
        <v>0</v>
      </c>
      <c r="C125" s="41" t="str">
        <f t="shared" ca="1" si="12"/>
        <v/>
      </c>
      <c r="D125" s="41">
        <f t="shared" ref="D125:D134" ca="1" si="15">SUMIF($M$6:$M$67,E125,$H$6:$H$67)</f>
        <v>0</v>
      </c>
      <c r="E125" s="41" t="str">
        <f t="shared" ca="1" si="13"/>
        <v/>
      </c>
      <c r="G125" s="42">
        <f t="shared" ref="G125:G134" ca="1" si="16">SUMIF($H$6:$H$67,H125,$F$6:$F$67)</f>
        <v>441</v>
      </c>
      <c r="H125" s="43">
        <f>IF(MAIN!I12="NIFTY",H126-100,H126-B3)</f>
        <v>11500</v>
      </c>
      <c r="I125" s="15">
        <f t="shared" ref="I125:I134" ca="1" si="17">SUMIF($H$6:$H$67,H125,$M$6:$M$67)</f>
        <v>0.05</v>
      </c>
      <c r="K125" s="39">
        <f ca="1">SUMIF($F$6:$F$67,L125,$H$6:$H$67)</f>
        <v>0</v>
      </c>
      <c r="L125" s="39" t="str">
        <f ca="1">IF(AND(G124&gt;70,G124&lt;100),G124,"")</f>
        <v/>
      </c>
      <c r="M125" s="39">
        <f ca="1">SUMIF($M$6:$M$67,N125,$H$6:$H$67)</f>
        <v>0</v>
      </c>
      <c r="N125" s="39" t="str">
        <f ca="1">IF(AND(I124&gt;20,I124&lt;50),I124,"")</f>
        <v/>
      </c>
      <c r="AZ125" s="5" t="str">
        <f>IF(Data!L118&gt;0,Data!Q118,"")</f>
        <v/>
      </c>
    </row>
    <row r="126" spans="2:52" x14ac:dyDescent="0.35">
      <c r="B126" s="41">
        <f t="shared" ca="1" si="14"/>
        <v>0</v>
      </c>
      <c r="C126" s="41" t="str">
        <f t="shared" ca="1" si="12"/>
        <v/>
      </c>
      <c r="D126" s="41">
        <f t="shared" ca="1" si="15"/>
        <v>0</v>
      </c>
      <c r="E126" s="41" t="str">
        <f t="shared" ca="1" si="13"/>
        <v/>
      </c>
      <c r="G126" s="42">
        <f t="shared" ca="1" si="16"/>
        <v>346.35</v>
      </c>
      <c r="H126" s="43">
        <f>IF(MAIN!I12="NIFTY",H127-100,H127-B3)</f>
        <v>11600</v>
      </c>
      <c r="I126" s="15">
        <f t="shared" ca="1" si="17"/>
        <v>0.05</v>
      </c>
      <c r="K126" s="39">
        <f t="shared" ref="K126:K134" ca="1" si="18">SUMIF($F$6:$F$67,L126,$H$6:$H$67)</f>
        <v>0</v>
      </c>
      <c r="L126" s="39" t="str">
        <f t="shared" ref="L126:L134" ca="1" si="19">IF(AND(G125&gt;70,G125&lt;100),G125,"")</f>
        <v/>
      </c>
      <c r="M126" s="39">
        <f t="shared" ref="M126:M134" ca="1" si="20">SUMIF($M$6:$M$67,N126,$H$6:$H$67)</f>
        <v>0</v>
      </c>
      <c r="N126" s="39" t="str">
        <f t="shared" ref="N126:N134" ca="1" si="21">IF(AND(I125&gt;20,I125&lt;50),I125,"")</f>
        <v/>
      </c>
      <c r="AZ126" s="5" t="str">
        <f>IF(Data!L119&gt;0,Data!Q119,"")</f>
        <v/>
      </c>
    </row>
    <row r="127" spans="2:52" x14ac:dyDescent="0.35">
      <c r="B127" s="41">
        <f t="shared" ca="1" si="14"/>
        <v>0</v>
      </c>
      <c r="C127" s="41" t="str">
        <f t="shared" ca="1" si="12"/>
        <v/>
      </c>
      <c r="D127" s="41">
        <f t="shared" ca="1" si="15"/>
        <v>0</v>
      </c>
      <c r="E127" s="41" t="str">
        <f t="shared" ca="1" si="13"/>
        <v/>
      </c>
      <c r="G127" s="42">
        <f t="shared" ca="1" si="16"/>
        <v>235</v>
      </c>
      <c r="H127" s="43">
        <f>IF(MAIN!I12="NIFTY",H128-100,H128-B3)</f>
        <v>11700</v>
      </c>
      <c r="I127" s="15">
        <f t="shared" ca="1" si="17"/>
        <v>0.05</v>
      </c>
      <c r="K127" s="39">
        <f t="shared" ca="1" si="18"/>
        <v>0</v>
      </c>
      <c r="L127" s="39" t="str">
        <f t="shared" ca="1" si="19"/>
        <v/>
      </c>
      <c r="M127" s="39">
        <f t="shared" ca="1" si="20"/>
        <v>0</v>
      </c>
      <c r="N127" s="39" t="str">
        <f t="shared" ca="1" si="21"/>
        <v/>
      </c>
      <c r="AZ127" s="5" t="str">
        <f>IF(Data!L120&gt;0,Data!Q120,"")</f>
        <v/>
      </c>
    </row>
    <row r="128" spans="2:52" x14ac:dyDescent="0.35">
      <c r="B128" s="41">
        <f t="shared" ca="1" si="14"/>
        <v>0</v>
      </c>
      <c r="C128" s="41" t="str">
        <f t="shared" ca="1" si="12"/>
        <v/>
      </c>
      <c r="D128" s="41">
        <f t="shared" ca="1" si="15"/>
        <v>0</v>
      </c>
      <c r="E128" s="41" t="str">
        <f t="shared" ca="1" si="13"/>
        <v/>
      </c>
      <c r="G128" s="42">
        <f t="shared" ca="1" si="16"/>
        <v>132.6</v>
      </c>
      <c r="H128" s="43">
        <f>IF(MAIN!I12="NIFTY",H129-100,H129-B3)</f>
        <v>11800</v>
      </c>
      <c r="I128" s="15">
        <f t="shared" ca="1" si="17"/>
        <v>0.05</v>
      </c>
      <c r="K128" s="39">
        <f t="shared" ca="1" si="18"/>
        <v>0</v>
      </c>
      <c r="L128" s="39" t="str">
        <f t="shared" ca="1" si="19"/>
        <v/>
      </c>
      <c r="M128" s="39">
        <f t="shared" ca="1" si="20"/>
        <v>0</v>
      </c>
      <c r="N128" s="39" t="str">
        <f t="shared" ca="1" si="21"/>
        <v/>
      </c>
      <c r="AZ128" s="5" t="str">
        <f>IF(Data!L121&gt;0,Data!Q121,"")</f>
        <v/>
      </c>
    </row>
    <row r="129" spans="2:52" x14ac:dyDescent="0.35">
      <c r="B129" s="41">
        <f t="shared" ca="1" si="14"/>
        <v>11900</v>
      </c>
      <c r="C129" s="41">
        <f t="shared" ca="1" si="12"/>
        <v>37</v>
      </c>
      <c r="D129" s="41">
        <f t="shared" ca="1" si="15"/>
        <v>0</v>
      </c>
      <c r="E129" s="41" t="str">
        <f t="shared" ca="1" si="13"/>
        <v/>
      </c>
      <c r="G129" s="42">
        <f t="shared" ca="1" si="16"/>
        <v>37</v>
      </c>
      <c r="H129" s="43">
        <f>IF(MAIN!I12="NIFTY",ROUND(B1/100,0)*100,ROUND(B1/B3,0)*B3)</f>
        <v>11900</v>
      </c>
      <c r="I129" s="15">
        <f t="shared" ca="1" si="17"/>
        <v>0.05</v>
      </c>
      <c r="K129" s="39">
        <f t="shared" ca="1" si="18"/>
        <v>0</v>
      </c>
      <c r="L129" s="39" t="str">
        <f t="shared" ca="1" si="19"/>
        <v/>
      </c>
      <c r="M129" s="39">
        <f t="shared" ca="1" si="20"/>
        <v>0</v>
      </c>
      <c r="N129" s="39" t="str">
        <f t="shared" ca="1" si="21"/>
        <v/>
      </c>
      <c r="AZ129" s="5" t="str">
        <f>IF(Data!L122&gt;0,Data!Q122,"")</f>
        <v/>
      </c>
    </row>
    <row r="130" spans="2:52" x14ac:dyDescent="0.35">
      <c r="B130" s="41">
        <f t="shared" ca="1" si="14"/>
        <v>0</v>
      </c>
      <c r="C130" s="41" t="str">
        <f t="shared" ca="1" si="12"/>
        <v/>
      </c>
      <c r="D130" s="41">
        <f t="shared" ca="1" si="15"/>
        <v>0</v>
      </c>
      <c r="E130" s="41" t="str">
        <f t="shared" ca="1" si="13"/>
        <v/>
      </c>
      <c r="G130" s="42">
        <f t="shared" ca="1" si="16"/>
        <v>0.05</v>
      </c>
      <c r="H130" s="43">
        <f>IF(MAIN!I12="NIFTY",H129+100,H129+B3)</f>
        <v>12000</v>
      </c>
      <c r="I130" s="15">
        <f t="shared" ca="1" si="17"/>
        <v>50</v>
      </c>
      <c r="K130" s="39">
        <f t="shared" ca="1" si="18"/>
        <v>0</v>
      </c>
      <c r="L130" s="39" t="str">
        <f t="shared" ca="1" si="19"/>
        <v/>
      </c>
      <c r="M130" s="39">
        <f t="shared" ca="1" si="20"/>
        <v>0</v>
      </c>
      <c r="N130" s="39" t="str">
        <f t="shared" ca="1" si="21"/>
        <v/>
      </c>
      <c r="AZ130" s="5" t="str">
        <f>IF(Data!L123&gt;0,Data!Q123,"")</f>
        <v/>
      </c>
    </row>
    <row r="131" spans="2:52" x14ac:dyDescent="0.35">
      <c r="B131" s="41">
        <f t="shared" ca="1" si="14"/>
        <v>0</v>
      </c>
      <c r="C131" s="41" t="str">
        <f t="shared" ca="1" si="12"/>
        <v/>
      </c>
      <c r="D131" s="41">
        <f t="shared" ca="1" si="15"/>
        <v>0</v>
      </c>
      <c r="E131" s="41" t="str">
        <f t="shared" ca="1" si="13"/>
        <v/>
      </c>
      <c r="G131" s="42">
        <f t="shared" ca="1" si="16"/>
        <v>0.05</v>
      </c>
      <c r="H131" s="43">
        <f>IF(MAIN!I12="NIFTY",H130+100,H130+B3)</f>
        <v>12100</v>
      </c>
      <c r="I131" s="15">
        <f t="shared" ca="1" si="17"/>
        <v>154</v>
      </c>
      <c r="K131" s="39">
        <f t="shared" ca="1" si="18"/>
        <v>0</v>
      </c>
      <c r="L131" s="39" t="str">
        <f t="shared" ca="1" si="19"/>
        <v/>
      </c>
      <c r="M131" s="39">
        <f t="shared" ca="1" si="20"/>
        <v>0</v>
      </c>
      <c r="N131" s="39" t="str">
        <f t="shared" ca="1" si="21"/>
        <v/>
      </c>
      <c r="AZ131" s="5" t="str">
        <f>IF(Data!L124&gt;0,Data!Q124,"")</f>
        <v/>
      </c>
    </row>
    <row r="132" spans="2:52" x14ac:dyDescent="0.35">
      <c r="B132" s="41">
        <f t="shared" ca="1" si="14"/>
        <v>0</v>
      </c>
      <c r="C132" s="41" t="str">
        <f t="shared" ca="1" si="12"/>
        <v/>
      </c>
      <c r="D132" s="41">
        <f t="shared" ca="1" si="15"/>
        <v>0</v>
      </c>
      <c r="E132" s="41" t="str">
        <f t="shared" ca="1" si="13"/>
        <v/>
      </c>
      <c r="G132" s="42">
        <f t="shared" ca="1" si="16"/>
        <v>0.05</v>
      </c>
      <c r="H132" s="43">
        <f>IF(MAIN!I12="NIFTY",H131+100,H131+B3)</f>
        <v>12200</v>
      </c>
      <c r="I132" s="15">
        <f t="shared" ca="1" si="17"/>
        <v>253.7</v>
      </c>
      <c r="K132" s="39">
        <f t="shared" ca="1" si="18"/>
        <v>0</v>
      </c>
      <c r="L132" s="39" t="str">
        <f t="shared" ca="1" si="19"/>
        <v/>
      </c>
      <c r="M132" s="39">
        <f t="shared" ca="1" si="20"/>
        <v>0</v>
      </c>
      <c r="N132" s="39" t="str">
        <f t="shared" ca="1" si="21"/>
        <v/>
      </c>
      <c r="AZ132" s="5" t="str">
        <f>IF(Data!L125&gt;0,Data!Q125,"")</f>
        <v/>
      </c>
    </row>
    <row r="133" spans="2:52" x14ac:dyDescent="0.35">
      <c r="B133" s="41">
        <f t="shared" ca="1" si="14"/>
        <v>0</v>
      </c>
      <c r="C133" s="41" t="str">
        <f t="shared" ca="1" si="12"/>
        <v/>
      </c>
      <c r="D133" s="41">
        <f t="shared" ca="1" si="15"/>
        <v>0</v>
      </c>
      <c r="E133" s="41" t="str">
        <f t="shared" ca="1" si="13"/>
        <v/>
      </c>
      <c r="G133" s="42">
        <f t="shared" ca="1" si="16"/>
        <v>0.05</v>
      </c>
      <c r="H133" s="43">
        <f>IF(MAIN!I12="NIFTY",H132+100,H132+B3)</f>
        <v>12300</v>
      </c>
      <c r="I133" s="15">
        <f t="shared" ca="1" si="17"/>
        <v>340.7</v>
      </c>
      <c r="K133" s="39">
        <f t="shared" ca="1" si="18"/>
        <v>0</v>
      </c>
      <c r="L133" s="39" t="str">
        <f t="shared" ca="1" si="19"/>
        <v/>
      </c>
      <c r="M133" s="39">
        <f t="shared" ca="1" si="20"/>
        <v>0</v>
      </c>
      <c r="N133" s="39" t="str">
        <f t="shared" ca="1" si="21"/>
        <v/>
      </c>
      <c r="AZ133" s="5" t="str">
        <f>IF(Data!L126&gt;0,Data!Q126,"")</f>
        <v/>
      </c>
    </row>
    <row r="134" spans="2:52" x14ac:dyDescent="0.35">
      <c r="B134" s="41">
        <f t="shared" ca="1" si="14"/>
        <v>0</v>
      </c>
      <c r="C134" s="41" t="str">
        <f t="shared" ca="1" si="12"/>
        <v/>
      </c>
      <c r="D134" s="41">
        <f t="shared" ca="1" si="15"/>
        <v>0</v>
      </c>
      <c r="E134" s="41" t="str">
        <f t="shared" ca="1" si="13"/>
        <v/>
      </c>
      <c r="G134" s="42">
        <f t="shared" ca="1" si="16"/>
        <v>0.05</v>
      </c>
      <c r="H134" s="43">
        <f>IF(MAIN!I12="NIFTY",H133+100,H133+B3)</f>
        <v>12400</v>
      </c>
      <c r="I134" s="15">
        <f t="shared" ca="1" si="17"/>
        <v>445.7</v>
      </c>
      <c r="K134" s="39">
        <f t="shared" ca="1" si="18"/>
        <v>0</v>
      </c>
      <c r="L134" s="39" t="str">
        <f t="shared" ca="1" si="19"/>
        <v/>
      </c>
      <c r="M134" s="39">
        <f t="shared" ca="1" si="20"/>
        <v>0</v>
      </c>
      <c r="N134" s="39" t="str">
        <f t="shared" ca="1" si="21"/>
        <v/>
      </c>
      <c r="AZ134" s="5" t="str">
        <f>IF(Data!L127&gt;0,Data!Q127,"")</f>
        <v/>
      </c>
    </row>
    <row r="135" spans="2:52" ht="15.5" x14ac:dyDescent="0.35">
      <c r="B135" s="45" t="s">
        <v>69</v>
      </c>
      <c r="C135" s="45" t="s">
        <v>70</v>
      </c>
      <c r="D135" s="45" t="s">
        <v>71</v>
      </c>
      <c r="E135" s="45" t="s">
        <v>70</v>
      </c>
      <c r="G135"/>
      <c r="K135" s="45" t="s">
        <v>69</v>
      </c>
      <c r="L135" s="45" t="s">
        <v>70</v>
      </c>
      <c r="M135" s="45" t="s">
        <v>71</v>
      </c>
      <c r="N135" s="45" t="s">
        <v>70</v>
      </c>
      <c r="O135" s="46"/>
      <c r="AZ135" s="5" t="str">
        <f>IF(Data!L128&gt;0,Data!Q128,"")</f>
        <v/>
      </c>
    </row>
    <row r="136" spans="2:52" ht="15.5" x14ac:dyDescent="0.35">
      <c r="B136" s="45">
        <f ca="1">IF($P$18="yes",IF($P$17="yes",SUMIF(Data!F21:'Data'!F200,C136,Data!L21:'Data'!L200),""),"")</f>
        <v>11900</v>
      </c>
      <c r="C136" s="48">
        <f ca="1">IF($P$18="yes",IF($P$17="yes",MAX(C124:C134),""),"")</f>
        <v>37</v>
      </c>
      <c r="D136" s="45">
        <f ca="1">IF($P$18="yes",IF($P$17="yes",SUMIF(Data!R21:'Data'!R200,E136,Data!L21:'Data'!L200),""),"")</f>
        <v>0</v>
      </c>
      <c r="E136" s="48">
        <f ca="1">IF($P$18="yes",IF($P$17="yes",MAX(E124:E134),""),"")</f>
        <v>0</v>
      </c>
      <c r="G136"/>
      <c r="K136" s="45">
        <f ca="1">IF($P$18="yes",IF($P$17="yes",SUMIF(Data!F21:'Data'!F200,L136,Data!L21:'Data'!L200),""),"")</f>
        <v>0</v>
      </c>
      <c r="L136" s="48">
        <f ca="1">IF($P$18="yes",IF($P$17="yes",MAX(L126:L135),""),"")</f>
        <v>0</v>
      </c>
      <c r="M136" s="45">
        <f ca="1">SUMIF(Data!R21:'Data'!R200,N136,Data!L21:'Data'!L200)</f>
        <v>0</v>
      </c>
      <c r="N136" s="48">
        <f ca="1">IF($P$18="yes",IF($P$17="yes",MAX(N125:N134),""),"")</f>
        <v>0</v>
      </c>
      <c r="O136" s="46"/>
      <c r="AZ136" s="5" t="str">
        <f>IF(Data!L129&gt;0,Data!Q129,"")</f>
        <v/>
      </c>
    </row>
    <row r="137" spans="2:52" ht="15.5" x14ac:dyDescent="0.35">
      <c r="B137" s="46"/>
      <c r="C137" s="46"/>
      <c r="D137" s="47" t="s">
        <v>72</v>
      </c>
      <c r="E137" s="49">
        <f ca="1">IF($P$18="yes",IF($P$17="yes",C136+E136,""),"")</f>
        <v>37</v>
      </c>
      <c r="G137"/>
      <c r="K137" s="46"/>
      <c r="L137" s="46"/>
      <c r="M137" s="47" t="s">
        <v>72</v>
      </c>
      <c r="N137" s="49">
        <f ca="1">IF($P$18="yes",IF($P$17="yes",L136+N136,""),"")</f>
        <v>0</v>
      </c>
      <c r="O137" s="46"/>
      <c r="AZ137" s="5" t="str">
        <f>IF(Data!L130&gt;0,Data!Q130,"")</f>
        <v/>
      </c>
    </row>
    <row r="138" spans="2:52" x14ac:dyDescent="0.35">
      <c r="G138"/>
      <c r="AZ138" s="5" t="str">
        <f>IF(Data!L131&gt;0,Data!Q131,"")</f>
        <v/>
      </c>
    </row>
    <row r="139" spans="2:52" x14ac:dyDescent="0.35">
      <c r="B139" s="44" t="s">
        <v>73</v>
      </c>
      <c r="C139" s="55">
        <f ca="1">B136</f>
        <v>11900</v>
      </c>
      <c r="D139" s="56" t="s">
        <v>41</v>
      </c>
      <c r="E139" s="56">
        <f ca="1">C136</f>
        <v>37</v>
      </c>
      <c r="G139" s="725" t="s">
        <v>100</v>
      </c>
      <c r="H139" s="725"/>
      <c r="I139" s="725"/>
      <c r="K139" s="724" t="s">
        <v>73</v>
      </c>
      <c r="L139" s="51">
        <f ca="1">K136</f>
        <v>0</v>
      </c>
      <c r="M139" s="52" t="s">
        <v>41</v>
      </c>
      <c r="N139" s="51">
        <f ca="1">L136</f>
        <v>0</v>
      </c>
      <c r="O139" s="58"/>
      <c r="AZ139" s="5" t="str">
        <f>IF(Data!L132&gt;0,Data!Q132,"")</f>
        <v/>
      </c>
    </row>
    <row r="140" spans="2:52" x14ac:dyDescent="0.35">
      <c r="B140" s="44"/>
      <c r="C140" s="55">
        <f ca="1">D136</f>
        <v>0</v>
      </c>
      <c r="D140" s="56" t="s">
        <v>42</v>
      </c>
      <c r="E140" s="56">
        <f ca="1">E136</f>
        <v>0</v>
      </c>
      <c r="G140" s="725"/>
      <c r="H140" s="725"/>
      <c r="I140" s="725"/>
      <c r="K140" s="724"/>
      <c r="L140" s="51">
        <f ca="1">M136</f>
        <v>0</v>
      </c>
      <c r="M140" s="53" t="s">
        <v>42</v>
      </c>
      <c r="N140" s="51">
        <f ca="1">N136</f>
        <v>0</v>
      </c>
      <c r="O140" s="58"/>
      <c r="AZ140" s="5" t="str">
        <f>IF(Data!L133&gt;0,Data!Q133,"")</f>
        <v/>
      </c>
    </row>
    <row r="141" spans="2:52" ht="15.5" x14ac:dyDescent="0.35">
      <c r="D141" s="57" t="s">
        <v>72</v>
      </c>
      <c r="E141" s="60">
        <f ca="1">IF($P$18="yes",IF($P$17="yes",E139+E140,""),"")</f>
        <v>37</v>
      </c>
      <c r="G141" s="725"/>
      <c r="H141" s="725"/>
      <c r="I141" s="725"/>
      <c r="M141" s="54" t="s">
        <v>72</v>
      </c>
      <c r="N141" s="59">
        <f ca="1">IF($P$18="yes",IF($P$17="yes",N139+N140,""),"")</f>
        <v>0</v>
      </c>
      <c r="O141" s="50"/>
      <c r="AZ141" s="5" t="str">
        <f>IF(Data!L134&gt;0,Data!Q134,"")</f>
        <v/>
      </c>
    </row>
    <row r="142" spans="2:52" x14ac:dyDescent="0.35">
      <c r="C142">
        <f ca="1">IF($P$18="yes",IF($P$17="yes",C139-C140,""),"")</f>
        <v>11900</v>
      </c>
      <c r="G142" s="725"/>
      <c r="H142" s="725"/>
      <c r="I142" s="725"/>
      <c r="L142">
        <f ca="1">IF($P$18="yes",IF($P$17="yes",L139-L140,""),"")</f>
        <v>0</v>
      </c>
      <c r="O142" s="50"/>
      <c r="AZ142" s="5" t="str">
        <f>IF(Data!L135&gt;0,Data!Q135,"")</f>
        <v/>
      </c>
    </row>
    <row r="143" spans="2:52" x14ac:dyDescent="0.35">
      <c r="B143" s="44" t="s">
        <v>74</v>
      </c>
      <c r="C143" s="57" t="str">
        <f ca="1">IF($P$18="yes",IF($P$17="yes",IF(AND(C142&gt;=0,C142&lt;=100),C139+100,""),""),"")</f>
        <v/>
      </c>
      <c r="D143" s="57" t="s">
        <v>41</v>
      </c>
      <c r="E143" s="57" t="str">
        <f ca="1">IF(C143&lt;&gt;"",SUMIF($H$124:$H$134,C143,$G$124:$G$134),"")</f>
        <v/>
      </c>
      <c r="G143" s="725"/>
      <c r="H143" s="725"/>
      <c r="I143" s="725"/>
      <c r="K143" s="724" t="s">
        <v>74</v>
      </c>
      <c r="L143" s="54">
        <f ca="1">IF($P$18="yes",IF($P$17="yes",IF(AND(L142&gt;=0,L142&lt;=100),L139,""),""),"")</f>
        <v>0</v>
      </c>
      <c r="M143" s="54" t="s">
        <v>41</v>
      </c>
      <c r="N143" s="54">
        <f ca="1">IF(L143&lt;&gt;"",SUMIF($H$124:$H$134,L143,$G$124:$G$134),"")</f>
        <v>0</v>
      </c>
      <c r="O143" s="58"/>
      <c r="AZ143" s="5" t="str">
        <f>IF(Data!L136&gt;0,Data!Q136,"")</f>
        <v/>
      </c>
    </row>
    <row r="144" spans="2:52" x14ac:dyDescent="0.35">
      <c r="B144" s="44"/>
      <c r="C144" s="57" t="str">
        <f ca="1">IF($P$18="yes",IF($P$17="yes",IF(AND(C142&gt;=0,C142&lt;=100),C140,""),""),"")</f>
        <v/>
      </c>
      <c r="D144" s="57" t="s">
        <v>42</v>
      </c>
      <c r="E144" s="57" t="str">
        <f ca="1">IF(C144&lt;&gt;"",SUMIF($H$124:$H$134,C144,$I$124:$I$134),"")</f>
        <v/>
      </c>
      <c r="G144" s="725"/>
      <c r="H144" s="725"/>
      <c r="I144" s="725"/>
      <c r="K144" s="724"/>
      <c r="L144" s="54">
        <f ca="1">IF($P$18="yes",IF($P$17="yes",IF(AND(L142&gt;=0,L142&lt;=100),L140-100,""),""),"")</f>
        <v>-100</v>
      </c>
      <c r="M144" s="54" t="s">
        <v>42</v>
      </c>
      <c r="N144" s="54">
        <f ca="1">IF(L144&lt;&gt;"",SUMIF($H$124:$H$134,L144,$I$124:$I$134),"")</f>
        <v>0</v>
      </c>
      <c r="O144" s="58"/>
      <c r="AZ144" s="5" t="str">
        <f>IF(Data!L137&gt;0,Data!Q137,"")</f>
        <v/>
      </c>
    </row>
    <row r="145" spans="2:52" ht="15.5" x14ac:dyDescent="0.35">
      <c r="D145" s="57" t="s">
        <v>72</v>
      </c>
      <c r="E145" s="60" t="str">
        <f ca="1">IF(AND(E143&lt;&gt;"",E144&lt;&gt;""),E143+E144,"")</f>
        <v/>
      </c>
      <c r="G145" s="725"/>
      <c r="H145" s="725"/>
      <c r="I145" s="725"/>
      <c r="M145" s="54" t="s">
        <v>72</v>
      </c>
      <c r="N145" s="59">
        <f ca="1">IF(AND(N143&lt;&gt;"",N144&lt;&gt;""),N143+N144,"")</f>
        <v>0</v>
      </c>
      <c r="AZ145" s="5" t="str">
        <f>IF(Data!L138&gt;0,Data!Q138,"")</f>
        <v/>
      </c>
    </row>
    <row r="146" spans="2:52" x14ac:dyDescent="0.35">
      <c r="G146"/>
    </row>
    <row r="147" spans="2:52" x14ac:dyDescent="0.35">
      <c r="G147"/>
    </row>
    <row r="148" spans="2:52" x14ac:dyDescent="0.35">
      <c r="B148" s="723" t="s">
        <v>77</v>
      </c>
      <c r="C148" s="723"/>
      <c r="D148" s="723"/>
      <c r="E148" s="723"/>
      <c r="F148" s="723"/>
      <c r="G148" s="723"/>
      <c r="H148" s="723"/>
      <c r="J148" s="723" t="s">
        <v>77</v>
      </c>
      <c r="K148" s="723"/>
      <c r="L148" s="723"/>
      <c r="M148" s="723"/>
      <c r="N148" s="723"/>
      <c r="O148" s="723"/>
      <c r="P148" s="723"/>
    </row>
    <row r="149" spans="2:52" x14ac:dyDescent="0.35">
      <c r="B149" s="103" t="s">
        <v>19</v>
      </c>
      <c r="C149" s="103" t="s">
        <v>75</v>
      </c>
      <c r="D149" s="103" t="s">
        <v>79</v>
      </c>
      <c r="E149" s="103" t="s">
        <v>36</v>
      </c>
      <c r="F149" s="103" t="s">
        <v>20</v>
      </c>
      <c r="G149" s="103" t="s">
        <v>76</v>
      </c>
      <c r="H149" s="103" t="s">
        <v>78</v>
      </c>
      <c r="J149" s="103" t="s">
        <v>19</v>
      </c>
      <c r="K149" s="103" t="s">
        <v>75</v>
      </c>
      <c r="L149" s="103" t="s">
        <v>79</v>
      </c>
      <c r="M149" s="103" t="s">
        <v>36</v>
      </c>
      <c r="N149" s="103" t="s">
        <v>20</v>
      </c>
      <c r="O149" s="103" t="s">
        <v>76</v>
      </c>
      <c r="P149" s="103" t="s">
        <v>78</v>
      </c>
    </row>
    <row r="150" spans="2:52" x14ac:dyDescent="0.35">
      <c r="B150" s="61">
        <f ca="1">SUMIF($H$6:$H$67,E150,$B$6:$B$67)</f>
        <v>338325</v>
      </c>
      <c r="C150" s="61">
        <f ca="1">SUMIF($H$6:$H$67,E150,$C$6:$C$67)</f>
        <v>33150</v>
      </c>
      <c r="D150" s="61">
        <f ca="1">SUMIF($H$6:$H$67,E150,$D$6:$D$67)</f>
        <v>2213</v>
      </c>
      <c r="E150" s="9">
        <f>IF(MAIN!I12="NIFTY",E151+100,E151+B3)</f>
        <v>12900</v>
      </c>
      <c r="F150" s="62">
        <f ca="1">SUMIF($H$6:$H$67,E150,$I$6:$I$67)</f>
        <v>300</v>
      </c>
      <c r="G150" s="62">
        <f ca="1">SUMIF($H$6:$H$67,E150,$J$6:$J$67)</f>
        <v>-750</v>
      </c>
      <c r="H150" s="62">
        <f ca="1">SUMIF($H$6:$H$67,E150,$K$6:$K$67)</f>
        <v>20</v>
      </c>
      <c r="J150" s="61">
        <f ca="1">SUMIF($H$6:$H$67,M150,$B$6:$B$67)</f>
        <v>1354500</v>
      </c>
      <c r="K150" s="61">
        <f ca="1">SUMIF($H$6:$H$67,M150,$C$6:$C$67)</f>
        <v>-83325</v>
      </c>
      <c r="L150" s="61">
        <f ca="1">SUMIF($H$6:$H$67,M150,$D$6:$D$67)</f>
        <v>3893</v>
      </c>
      <c r="M150" s="9">
        <f t="shared" ref="M150:M158" si="22">M151+50</f>
        <v>12400</v>
      </c>
      <c r="N150" s="62">
        <f ca="1">SUMIF($H$6:$H$67,M150,$I$6:$I$67)</f>
        <v>150</v>
      </c>
      <c r="O150" s="62">
        <f ca="1">SUMIF($H$6:$H$67,M150,$J$6:$J$67)</f>
        <v>-3225</v>
      </c>
      <c r="P150" s="62">
        <f ca="1">SUMIF($H$6:$H$67,M150,$K$6:$K$67)</f>
        <v>55</v>
      </c>
    </row>
    <row r="151" spans="2:52" x14ac:dyDescent="0.35">
      <c r="B151" s="61">
        <f t="shared" ref="B151:B170" ca="1" si="23">SUMIF($H$6:$H$67,E151,$B$6:$B$67)</f>
        <v>573225</v>
      </c>
      <c r="C151" s="61">
        <f t="shared" ref="C151:C170" ca="1" si="24">SUMIF($H$6:$H$67,E151,$C$6:$C$67)</f>
        <v>-33600</v>
      </c>
      <c r="D151" s="61">
        <f t="shared" ref="D151:D170" ca="1" si="25">SUMIF($H$6:$H$67,E151,$D$6:$D$67)</f>
        <v>2715</v>
      </c>
      <c r="E151" s="9">
        <f>IF(MAIN!I12="NIFTY",E152+100,E152+B3)</f>
        <v>12800</v>
      </c>
      <c r="F151" s="62">
        <f t="shared" ref="F151:F170" ca="1" si="26">SUMIF($H$6:$H$67,E151,$I$6:$I$67)</f>
        <v>225</v>
      </c>
      <c r="G151" s="62">
        <f t="shared" ref="G151:G170" ca="1" si="27">SUMIF($H$6:$H$67,E151,$J$6:$J$67)</f>
        <v>-600</v>
      </c>
      <c r="H151" s="62">
        <f t="shared" ref="H151:H170" ca="1" si="28">SUMIF($H$6:$H$67,E151,$K$6:$K$67)</f>
        <v>14</v>
      </c>
      <c r="J151" s="61">
        <f t="shared" ref="J151:J170" ca="1" si="29">SUMIF($H$6:$H$67,M151,$B$6:$B$67)</f>
        <v>24450</v>
      </c>
      <c r="K151" s="61">
        <f t="shared" ref="K151:K170" ca="1" si="30">SUMIF($H$6:$H$67,M151,$C$6:$C$67)</f>
        <v>825</v>
      </c>
      <c r="L151" s="61">
        <f t="shared" ref="L151:L170" ca="1" si="31">SUMIF($H$6:$H$67,M151,$D$6:$D$67)</f>
        <v>138</v>
      </c>
      <c r="M151" s="9">
        <f t="shared" si="22"/>
        <v>12350</v>
      </c>
      <c r="N151" s="62">
        <f t="shared" ref="N151:N170" ca="1" si="32">SUMIF($H$6:$H$67,M151,$I$6:$I$67)</f>
        <v>0</v>
      </c>
      <c r="O151" s="62">
        <f t="shared" ref="O151:O170" ca="1" si="33">SUMIF($H$6:$H$67,M151,$J$6:$J$67)</f>
        <v>0</v>
      </c>
      <c r="P151" s="62">
        <f t="shared" ref="P151:P170" ca="1" si="34">SUMIF($H$6:$H$67,M151,$K$6:$K$67)</f>
        <v>0</v>
      </c>
    </row>
    <row r="152" spans="2:52" x14ac:dyDescent="0.35">
      <c r="B152" s="61">
        <f t="shared" ca="1" si="23"/>
        <v>493950</v>
      </c>
      <c r="C152" s="61">
        <f t="shared" ca="1" si="24"/>
        <v>-12600</v>
      </c>
      <c r="D152" s="61">
        <f t="shared" ca="1" si="25"/>
        <v>1137</v>
      </c>
      <c r="E152" s="9">
        <f>IF(MAIN!I12="NIFTY",E153+100,E153+B3)</f>
        <v>12700</v>
      </c>
      <c r="F152" s="62">
        <f t="shared" ca="1" si="26"/>
        <v>75</v>
      </c>
      <c r="G152" s="62">
        <f t="shared" ca="1" si="27"/>
        <v>-1200</v>
      </c>
      <c r="H152" s="62">
        <f t="shared" ca="1" si="28"/>
        <v>17</v>
      </c>
      <c r="J152" s="61">
        <f t="shared" ca="1" si="29"/>
        <v>1590600</v>
      </c>
      <c r="K152" s="61">
        <f t="shared" ca="1" si="30"/>
        <v>-139575</v>
      </c>
      <c r="L152" s="61">
        <f t="shared" ca="1" si="31"/>
        <v>14633</v>
      </c>
      <c r="M152" s="9">
        <f t="shared" si="22"/>
        <v>12300</v>
      </c>
      <c r="N152" s="62">
        <f t="shared" ca="1" si="32"/>
        <v>375</v>
      </c>
      <c r="O152" s="62">
        <f t="shared" ca="1" si="33"/>
        <v>-2025</v>
      </c>
      <c r="P152" s="62">
        <f t="shared" ca="1" si="34"/>
        <v>53</v>
      </c>
    </row>
    <row r="153" spans="2:52" x14ac:dyDescent="0.35">
      <c r="B153" s="61">
        <f t="shared" ca="1" si="23"/>
        <v>719700</v>
      </c>
      <c r="C153" s="61">
        <f t="shared" ca="1" si="24"/>
        <v>-52725</v>
      </c>
      <c r="D153" s="61">
        <f t="shared" ca="1" si="25"/>
        <v>1244</v>
      </c>
      <c r="E153" s="9">
        <f>IF(MAIN!I12="NIFTY",E154+100,E154+B3)</f>
        <v>12600</v>
      </c>
      <c r="F153" s="62">
        <f t="shared" ca="1" si="26"/>
        <v>375</v>
      </c>
      <c r="G153" s="62">
        <f t="shared" ca="1" si="27"/>
        <v>-300</v>
      </c>
      <c r="H153" s="62">
        <f t="shared" ca="1" si="28"/>
        <v>7</v>
      </c>
      <c r="J153" s="61">
        <f t="shared" ca="1" si="29"/>
        <v>61425</v>
      </c>
      <c r="K153" s="61">
        <f t="shared" ca="1" si="30"/>
        <v>-11925</v>
      </c>
      <c r="L153" s="61">
        <f t="shared" ca="1" si="31"/>
        <v>1481</v>
      </c>
      <c r="M153" s="9">
        <f t="shared" si="22"/>
        <v>12250</v>
      </c>
      <c r="N153" s="62">
        <f t="shared" ca="1" si="32"/>
        <v>75</v>
      </c>
      <c r="O153" s="62">
        <f t="shared" ca="1" si="33"/>
        <v>0</v>
      </c>
      <c r="P153" s="62">
        <f t="shared" ca="1" si="34"/>
        <v>0</v>
      </c>
    </row>
    <row r="154" spans="2:52" x14ac:dyDescent="0.35">
      <c r="B154" s="61">
        <f t="shared" ca="1" si="23"/>
        <v>2739825</v>
      </c>
      <c r="C154" s="61">
        <f t="shared" ca="1" si="24"/>
        <v>-678675</v>
      </c>
      <c r="D154" s="61">
        <f t="shared" ca="1" si="25"/>
        <v>17026</v>
      </c>
      <c r="E154" s="9">
        <f>IF(MAIN!I12="NIFTY",E155+100,E155+B3)</f>
        <v>12500</v>
      </c>
      <c r="F154" s="62">
        <f t="shared" ca="1" si="26"/>
        <v>30600</v>
      </c>
      <c r="G154" s="62">
        <f t="shared" ca="1" si="27"/>
        <v>-279300</v>
      </c>
      <c r="H154" s="62">
        <f t="shared" ca="1" si="28"/>
        <v>4962</v>
      </c>
      <c r="J154" s="61">
        <f t="shared" ca="1" si="29"/>
        <v>1859175</v>
      </c>
      <c r="K154" s="61">
        <f t="shared" ca="1" si="30"/>
        <v>-398850</v>
      </c>
      <c r="L154" s="61">
        <f t="shared" ca="1" si="31"/>
        <v>49655</v>
      </c>
      <c r="M154" s="9">
        <f t="shared" si="22"/>
        <v>12200</v>
      </c>
      <c r="N154" s="62">
        <f t="shared" ca="1" si="32"/>
        <v>1200</v>
      </c>
      <c r="O154" s="62">
        <f t="shared" ca="1" si="33"/>
        <v>-28650</v>
      </c>
      <c r="P154" s="62">
        <f t="shared" ca="1" si="34"/>
        <v>920</v>
      </c>
    </row>
    <row r="155" spans="2:52" x14ac:dyDescent="0.35">
      <c r="B155" s="61">
        <f t="shared" ca="1" si="23"/>
        <v>1354500</v>
      </c>
      <c r="C155" s="61">
        <f t="shared" ca="1" si="24"/>
        <v>-83325</v>
      </c>
      <c r="D155" s="61">
        <f t="shared" ca="1" si="25"/>
        <v>3893</v>
      </c>
      <c r="E155" s="9">
        <f>IF(MAIN!I12="NIFTY",E156+100,E156+B3)</f>
        <v>12400</v>
      </c>
      <c r="F155" s="62">
        <f t="shared" ca="1" si="26"/>
        <v>150</v>
      </c>
      <c r="G155" s="62">
        <f t="shared" ca="1" si="27"/>
        <v>-3225</v>
      </c>
      <c r="H155" s="62">
        <f t="shared" ca="1" si="28"/>
        <v>55</v>
      </c>
      <c r="J155" s="61">
        <f t="shared" ca="1" si="29"/>
        <v>188775</v>
      </c>
      <c r="K155" s="61">
        <f t="shared" ca="1" si="30"/>
        <v>-59700</v>
      </c>
      <c r="L155" s="61">
        <f t="shared" ca="1" si="31"/>
        <v>6282</v>
      </c>
      <c r="M155" s="9">
        <f t="shared" si="22"/>
        <v>12150</v>
      </c>
      <c r="N155" s="62">
        <f t="shared" ca="1" si="32"/>
        <v>0</v>
      </c>
      <c r="O155" s="62">
        <f t="shared" ca="1" si="33"/>
        <v>-900</v>
      </c>
      <c r="P155" s="62">
        <f t="shared" ca="1" si="34"/>
        <v>42</v>
      </c>
    </row>
    <row r="156" spans="2:52" x14ac:dyDescent="0.35">
      <c r="B156" s="61">
        <f t="shared" ca="1" si="23"/>
        <v>1590600</v>
      </c>
      <c r="C156" s="61">
        <f t="shared" ca="1" si="24"/>
        <v>-139575</v>
      </c>
      <c r="D156" s="61">
        <f t="shared" ca="1" si="25"/>
        <v>14633</v>
      </c>
      <c r="E156" s="9">
        <f>IF(MAIN!I12="NIFTY",E157+100,E157+B3)</f>
        <v>12300</v>
      </c>
      <c r="F156" s="62">
        <f t="shared" ca="1" si="26"/>
        <v>375</v>
      </c>
      <c r="G156" s="62">
        <f t="shared" ca="1" si="27"/>
        <v>-2025</v>
      </c>
      <c r="H156" s="62">
        <f t="shared" ca="1" si="28"/>
        <v>53</v>
      </c>
      <c r="J156" s="61">
        <f t="shared" ca="1" si="29"/>
        <v>1329525</v>
      </c>
      <c r="K156" s="61">
        <f t="shared" ca="1" si="30"/>
        <v>-478575</v>
      </c>
      <c r="L156" s="61">
        <f t="shared" ca="1" si="31"/>
        <v>81662</v>
      </c>
      <c r="M156" s="9">
        <f t="shared" si="22"/>
        <v>12100</v>
      </c>
      <c r="N156" s="62">
        <f t="shared" ca="1" si="32"/>
        <v>2625</v>
      </c>
      <c r="O156" s="62">
        <f t="shared" ca="1" si="33"/>
        <v>-37650</v>
      </c>
      <c r="P156" s="62">
        <f t="shared" ca="1" si="34"/>
        <v>4764</v>
      </c>
    </row>
    <row r="157" spans="2:52" x14ac:dyDescent="0.35">
      <c r="B157" s="61">
        <f t="shared" ca="1" si="23"/>
        <v>1859175</v>
      </c>
      <c r="C157" s="61">
        <f t="shared" ca="1" si="24"/>
        <v>-398850</v>
      </c>
      <c r="D157" s="61">
        <f t="shared" ca="1" si="25"/>
        <v>49655</v>
      </c>
      <c r="E157" s="9">
        <f>IF(MAIN!I12="NIFTY",E158+100,E158+B3)</f>
        <v>12200</v>
      </c>
      <c r="F157" s="62">
        <f t="shared" ca="1" si="26"/>
        <v>1200</v>
      </c>
      <c r="G157" s="62">
        <f t="shared" ca="1" si="27"/>
        <v>-28650</v>
      </c>
      <c r="H157" s="62">
        <f t="shared" ca="1" si="28"/>
        <v>920</v>
      </c>
      <c r="J157" s="61">
        <f t="shared" ca="1" si="29"/>
        <v>1021950</v>
      </c>
      <c r="K157" s="61">
        <f t="shared" ca="1" si="30"/>
        <v>202875</v>
      </c>
      <c r="L157" s="61">
        <f t="shared" ca="1" si="31"/>
        <v>180672</v>
      </c>
      <c r="M157" s="9">
        <f t="shared" si="22"/>
        <v>12050</v>
      </c>
      <c r="N157" s="62">
        <f t="shared" ca="1" si="32"/>
        <v>6900</v>
      </c>
      <c r="O157" s="62">
        <f t="shared" ca="1" si="33"/>
        <v>1125</v>
      </c>
      <c r="P157" s="62">
        <f t="shared" ca="1" si="34"/>
        <v>2954</v>
      </c>
    </row>
    <row r="158" spans="2:52" x14ac:dyDescent="0.35">
      <c r="B158" s="61">
        <f t="shared" ca="1" si="23"/>
        <v>1329525</v>
      </c>
      <c r="C158" s="61">
        <f t="shared" ca="1" si="24"/>
        <v>-478575</v>
      </c>
      <c r="D158" s="61">
        <f t="shared" ca="1" si="25"/>
        <v>81662</v>
      </c>
      <c r="E158" s="9">
        <f>IF(MAIN!I12="NIFTY",E159+100,E159+B3)</f>
        <v>12100</v>
      </c>
      <c r="F158" s="62">
        <f t="shared" ca="1" si="26"/>
        <v>2625</v>
      </c>
      <c r="G158" s="62">
        <f t="shared" ca="1" si="27"/>
        <v>-37650</v>
      </c>
      <c r="H158" s="62">
        <f t="shared" ca="1" si="28"/>
        <v>4764</v>
      </c>
      <c r="J158" s="61">
        <f t="shared" ca="1" si="29"/>
        <v>3645450</v>
      </c>
      <c r="K158" s="61">
        <f t="shared" ca="1" si="30"/>
        <v>-1697025</v>
      </c>
      <c r="L158" s="61">
        <f t="shared" ca="1" si="31"/>
        <v>992859</v>
      </c>
      <c r="M158" s="9">
        <f t="shared" si="22"/>
        <v>12000</v>
      </c>
      <c r="N158" s="62">
        <f t="shared" ca="1" si="32"/>
        <v>57300</v>
      </c>
      <c r="O158" s="62">
        <f t="shared" ca="1" si="33"/>
        <v>-524325</v>
      </c>
      <c r="P158" s="62">
        <f t="shared" ca="1" si="34"/>
        <v>191932</v>
      </c>
    </row>
    <row r="159" spans="2:52" x14ac:dyDescent="0.35">
      <c r="B159" s="61">
        <f t="shared" ca="1" si="23"/>
        <v>3645450</v>
      </c>
      <c r="C159" s="61">
        <f t="shared" ca="1" si="24"/>
        <v>-1697025</v>
      </c>
      <c r="D159" s="61">
        <f t="shared" ca="1" si="25"/>
        <v>992859</v>
      </c>
      <c r="E159" s="9">
        <f>IF(MAIN!I12="NIFTY",E160+100,E160+B3)</f>
        <v>12000</v>
      </c>
      <c r="F159" s="62">
        <f t="shared" ca="1" si="26"/>
        <v>57300</v>
      </c>
      <c r="G159" s="62">
        <f t="shared" ca="1" si="27"/>
        <v>-524325</v>
      </c>
      <c r="H159" s="62">
        <f t="shared" ca="1" si="28"/>
        <v>191932</v>
      </c>
      <c r="J159" s="61">
        <f t="shared" ca="1" si="29"/>
        <v>1474350</v>
      </c>
      <c r="K159" s="61">
        <f t="shared" ca="1" si="30"/>
        <v>-311850</v>
      </c>
      <c r="L159" s="61">
        <f t="shared" ca="1" si="31"/>
        <v>822958</v>
      </c>
      <c r="M159" s="9">
        <f>M160+50</f>
        <v>11950</v>
      </c>
      <c r="N159" s="62">
        <f t="shared" ca="1" si="32"/>
        <v>467325</v>
      </c>
      <c r="O159" s="62">
        <f t="shared" ca="1" si="33"/>
        <v>331725</v>
      </c>
      <c r="P159" s="62">
        <f t="shared" ca="1" si="34"/>
        <v>442709</v>
      </c>
    </row>
    <row r="160" spans="2:52" x14ac:dyDescent="0.35">
      <c r="B160" s="61">
        <f t="shared" ca="1" si="23"/>
        <v>261300</v>
      </c>
      <c r="C160" s="61">
        <f t="shared" ca="1" si="24"/>
        <v>-2377800</v>
      </c>
      <c r="D160" s="61">
        <f t="shared" ca="1" si="25"/>
        <v>664908</v>
      </c>
      <c r="E160" s="9">
        <f>IF(MAIN!I12="NIFTY",ROUND(B1/100,0)*100,ROUND(B1/B3,0)*B3)</f>
        <v>11900</v>
      </c>
      <c r="F160" s="62">
        <f t="shared" ca="1" si="26"/>
        <v>3175200</v>
      </c>
      <c r="G160" s="62">
        <f t="shared" ca="1" si="27"/>
        <v>1984500</v>
      </c>
      <c r="H160" s="62">
        <f t="shared" ca="1" si="28"/>
        <v>930737</v>
      </c>
      <c r="J160" s="61">
        <f t="shared" ca="1" si="29"/>
        <v>261300</v>
      </c>
      <c r="K160" s="61">
        <f t="shared" ca="1" si="30"/>
        <v>-2377800</v>
      </c>
      <c r="L160" s="61">
        <f t="shared" ca="1" si="31"/>
        <v>664908</v>
      </c>
      <c r="M160" s="9">
        <f>IF(MAIN!I12="NIFTY",ROUND(B1/100,0)*100,"")</f>
        <v>11900</v>
      </c>
      <c r="N160" s="62">
        <f t="shared" ca="1" si="32"/>
        <v>3175200</v>
      </c>
      <c r="O160" s="62">
        <f t="shared" ca="1" si="33"/>
        <v>1984500</v>
      </c>
      <c r="P160" s="62">
        <f t="shared" ca="1" si="34"/>
        <v>930737</v>
      </c>
    </row>
    <row r="161" spans="2:16" x14ac:dyDescent="0.35">
      <c r="B161" s="61">
        <f t="shared" ca="1" si="23"/>
        <v>143475</v>
      </c>
      <c r="C161" s="61">
        <f t="shared" ca="1" si="24"/>
        <v>-960450</v>
      </c>
      <c r="D161" s="61">
        <f t="shared" ca="1" si="25"/>
        <v>111386</v>
      </c>
      <c r="E161" s="9">
        <f>IF(MAIN!I12="NIFTY",E160-100,E160-B3)</f>
        <v>11800</v>
      </c>
      <c r="F161" s="62">
        <f t="shared" ca="1" si="26"/>
        <v>2846775</v>
      </c>
      <c r="G161" s="62">
        <f t="shared" ca="1" si="27"/>
        <v>759225</v>
      </c>
      <c r="H161" s="62">
        <f t="shared" ca="1" si="28"/>
        <v>510611</v>
      </c>
      <c r="J161" s="61">
        <f t="shared" ca="1" si="29"/>
        <v>21525</v>
      </c>
      <c r="K161" s="61">
        <f t="shared" ca="1" si="30"/>
        <v>-598725</v>
      </c>
      <c r="L161" s="61">
        <f t="shared" ca="1" si="31"/>
        <v>138675</v>
      </c>
      <c r="M161" s="9">
        <f>M160-50</f>
        <v>11850</v>
      </c>
      <c r="N161" s="62">
        <f t="shared" ca="1" si="32"/>
        <v>1928700</v>
      </c>
      <c r="O161" s="62">
        <f t="shared" ca="1" si="33"/>
        <v>1151850</v>
      </c>
      <c r="P161" s="62">
        <f t="shared" ca="1" si="34"/>
        <v>481180</v>
      </c>
    </row>
    <row r="162" spans="2:16" x14ac:dyDescent="0.35">
      <c r="B162" s="61">
        <f t="shared" ca="1" si="23"/>
        <v>212025</v>
      </c>
      <c r="C162" s="61">
        <f t="shared" ca="1" si="24"/>
        <v>-628950</v>
      </c>
      <c r="D162" s="61">
        <f t="shared" ca="1" si="25"/>
        <v>21238</v>
      </c>
      <c r="E162" s="9">
        <f>IF(MAIN!I12="NIFTY",E161-100,E161-B3)</f>
        <v>11700</v>
      </c>
      <c r="F162" s="62">
        <f t="shared" ca="1" si="26"/>
        <v>1857975</v>
      </c>
      <c r="G162" s="62">
        <f t="shared" ca="1" si="27"/>
        <v>-390450</v>
      </c>
      <c r="H162" s="62">
        <f t="shared" ca="1" si="28"/>
        <v>89142</v>
      </c>
      <c r="J162" s="61">
        <f t="shared" ca="1" si="29"/>
        <v>143475</v>
      </c>
      <c r="K162" s="61">
        <f t="shared" ca="1" si="30"/>
        <v>-960450</v>
      </c>
      <c r="L162" s="61">
        <f t="shared" ca="1" si="31"/>
        <v>111386</v>
      </c>
      <c r="M162" s="9">
        <f>M161-50</f>
        <v>11800</v>
      </c>
      <c r="N162" s="62">
        <f t="shared" ca="1" si="32"/>
        <v>2846775</v>
      </c>
      <c r="O162" s="62">
        <f t="shared" ca="1" si="33"/>
        <v>759225</v>
      </c>
      <c r="P162" s="62">
        <f t="shared" ca="1" si="34"/>
        <v>510611</v>
      </c>
    </row>
    <row r="163" spans="2:16" x14ac:dyDescent="0.35">
      <c r="B163" s="61">
        <f t="shared" ca="1" si="23"/>
        <v>85500</v>
      </c>
      <c r="C163" s="61">
        <f t="shared" ca="1" si="24"/>
        <v>-326400</v>
      </c>
      <c r="D163" s="61">
        <f t="shared" ca="1" si="25"/>
        <v>9053</v>
      </c>
      <c r="E163" s="9">
        <f>IF(MAIN!I12="NIFTY",E162-100,E162-B3)</f>
        <v>11600</v>
      </c>
      <c r="F163" s="62">
        <f t="shared" ca="1" si="26"/>
        <v>1262625</v>
      </c>
      <c r="G163" s="62">
        <f t="shared" ca="1" si="27"/>
        <v>-320025</v>
      </c>
      <c r="H163" s="62">
        <f t="shared" ca="1" si="28"/>
        <v>21753</v>
      </c>
      <c r="J163" s="61">
        <f t="shared" ca="1" si="29"/>
        <v>4425</v>
      </c>
      <c r="K163" s="61">
        <f t="shared" ca="1" si="30"/>
        <v>-39375</v>
      </c>
      <c r="L163" s="61">
        <f t="shared" ca="1" si="31"/>
        <v>3930</v>
      </c>
      <c r="M163" s="9">
        <f>M162-50</f>
        <v>11750</v>
      </c>
      <c r="N163" s="62">
        <f t="shared" ca="1" si="32"/>
        <v>745275</v>
      </c>
      <c r="O163" s="62">
        <f t="shared" ca="1" si="33"/>
        <v>90075</v>
      </c>
      <c r="P163" s="62">
        <f t="shared" ca="1" si="34"/>
        <v>113374</v>
      </c>
    </row>
    <row r="164" spans="2:16" x14ac:dyDescent="0.35">
      <c r="B164" s="61">
        <f t="shared" ca="1" si="23"/>
        <v>112425</v>
      </c>
      <c r="C164" s="61">
        <f t="shared" ca="1" si="24"/>
        <v>-207075</v>
      </c>
      <c r="D164" s="61">
        <f t="shared" ca="1" si="25"/>
        <v>4229</v>
      </c>
      <c r="E164" s="9">
        <f>IF(MAIN!I12="NIFTY",E163-100,E163-B3)</f>
        <v>11500</v>
      </c>
      <c r="F164" s="62">
        <f t="shared" ca="1" si="26"/>
        <v>1674750</v>
      </c>
      <c r="G164" s="62">
        <f t="shared" ca="1" si="27"/>
        <v>-277500</v>
      </c>
      <c r="H164" s="62">
        <f t="shared" ca="1" si="28"/>
        <v>21593</v>
      </c>
      <c r="J164" s="61">
        <f t="shared" ca="1" si="29"/>
        <v>212025</v>
      </c>
      <c r="K164" s="61">
        <f t="shared" ca="1" si="30"/>
        <v>-628950</v>
      </c>
      <c r="L164" s="61">
        <f t="shared" ca="1" si="31"/>
        <v>21238</v>
      </c>
      <c r="M164" s="9">
        <f t="shared" ref="M164:M170" si="35">M163-50</f>
        <v>11700</v>
      </c>
      <c r="N164" s="62">
        <f t="shared" ca="1" si="32"/>
        <v>1857975</v>
      </c>
      <c r="O164" s="62">
        <f t="shared" ca="1" si="33"/>
        <v>-390450</v>
      </c>
      <c r="P164" s="62">
        <f t="shared" ca="1" si="34"/>
        <v>89142</v>
      </c>
    </row>
    <row r="165" spans="2:16" x14ac:dyDescent="0.35">
      <c r="B165" s="61">
        <f t="shared" ca="1" si="23"/>
        <v>28875</v>
      </c>
      <c r="C165" s="61">
        <f t="shared" ca="1" si="24"/>
        <v>-96900</v>
      </c>
      <c r="D165" s="61">
        <f t="shared" ca="1" si="25"/>
        <v>1727</v>
      </c>
      <c r="E165" s="9">
        <f>IF(MAIN!I12="NIFTY",E164-100,E164-B3)</f>
        <v>11400</v>
      </c>
      <c r="F165" s="62">
        <f t="shared" ca="1" si="26"/>
        <v>687375</v>
      </c>
      <c r="G165" s="62">
        <f t="shared" ca="1" si="27"/>
        <v>-107550</v>
      </c>
      <c r="H165" s="62">
        <f t="shared" ca="1" si="28"/>
        <v>10571</v>
      </c>
      <c r="J165" s="61">
        <f t="shared" ca="1" si="29"/>
        <v>1200</v>
      </c>
      <c r="K165" s="61">
        <f t="shared" ca="1" si="30"/>
        <v>-8850</v>
      </c>
      <c r="L165" s="61">
        <f t="shared" ca="1" si="31"/>
        <v>242</v>
      </c>
      <c r="M165" s="9">
        <f t="shared" si="35"/>
        <v>11650</v>
      </c>
      <c r="N165" s="62">
        <f t="shared" ca="1" si="32"/>
        <v>278925</v>
      </c>
      <c r="O165" s="62">
        <f t="shared" ca="1" si="33"/>
        <v>-29325</v>
      </c>
      <c r="P165" s="62">
        <f t="shared" ca="1" si="34"/>
        <v>12236</v>
      </c>
    </row>
    <row r="166" spans="2:16" x14ac:dyDescent="0.35">
      <c r="B166" s="61">
        <f t="shared" ca="1" si="23"/>
        <v>33825</v>
      </c>
      <c r="C166" s="61">
        <f t="shared" ca="1" si="24"/>
        <v>-338175</v>
      </c>
      <c r="D166" s="61">
        <f t="shared" ca="1" si="25"/>
        <v>5260</v>
      </c>
      <c r="E166" s="9">
        <f>IF(MAIN!I12="NIFTY",E165-100,E165-B3)</f>
        <v>11300</v>
      </c>
      <c r="F166" s="62">
        <f t="shared" ca="1" si="26"/>
        <v>711000</v>
      </c>
      <c r="G166" s="62">
        <f t="shared" ca="1" si="27"/>
        <v>-100425</v>
      </c>
      <c r="H166" s="62">
        <f t="shared" ca="1" si="28"/>
        <v>5191</v>
      </c>
      <c r="J166" s="61">
        <f t="shared" ca="1" si="29"/>
        <v>85500</v>
      </c>
      <c r="K166" s="61">
        <f t="shared" ca="1" si="30"/>
        <v>-326400</v>
      </c>
      <c r="L166" s="61">
        <f t="shared" ca="1" si="31"/>
        <v>9053</v>
      </c>
      <c r="M166" s="9">
        <f t="shared" si="35"/>
        <v>11600</v>
      </c>
      <c r="N166" s="62">
        <f t="shared" ca="1" si="32"/>
        <v>1262625</v>
      </c>
      <c r="O166" s="62">
        <f t="shared" ca="1" si="33"/>
        <v>-320025</v>
      </c>
      <c r="P166" s="62">
        <f t="shared" ca="1" si="34"/>
        <v>21753</v>
      </c>
    </row>
    <row r="167" spans="2:16" x14ac:dyDescent="0.35">
      <c r="B167" s="61">
        <f t="shared" ca="1" si="23"/>
        <v>25050</v>
      </c>
      <c r="C167" s="61">
        <f t="shared" ca="1" si="24"/>
        <v>-43125</v>
      </c>
      <c r="D167" s="61">
        <f t="shared" ca="1" si="25"/>
        <v>772</v>
      </c>
      <c r="E167" s="9">
        <f>IF(MAIN!I12="NIFTY",E166-100,E166-B3)</f>
        <v>11200</v>
      </c>
      <c r="F167" s="62">
        <f t="shared" ca="1" si="26"/>
        <v>1249125</v>
      </c>
      <c r="G167" s="62">
        <f t="shared" ca="1" si="27"/>
        <v>-119925</v>
      </c>
      <c r="H167" s="62">
        <f t="shared" ca="1" si="28"/>
        <v>11954</v>
      </c>
      <c r="J167" s="61">
        <f t="shared" ca="1" si="29"/>
        <v>5475</v>
      </c>
      <c r="K167" s="61">
        <f t="shared" ca="1" si="30"/>
        <v>-2400</v>
      </c>
      <c r="L167" s="61">
        <f t="shared" ca="1" si="31"/>
        <v>51</v>
      </c>
      <c r="M167" s="9">
        <f t="shared" si="35"/>
        <v>11550</v>
      </c>
      <c r="N167" s="62">
        <f t="shared" ca="1" si="32"/>
        <v>149925</v>
      </c>
      <c r="O167" s="62">
        <f t="shared" ca="1" si="33"/>
        <v>-1875</v>
      </c>
      <c r="P167" s="62">
        <f t="shared" ca="1" si="34"/>
        <v>3005</v>
      </c>
    </row>
    <row r="168" spans="2:16" x14ac:dyDescent="0.35">
      <c r="B168" s="61">
        <f t="shared" ca="1" si="23"/>
        <v>1725</v>
      </c>
      <c r="C168" s="61">
        <f t="shared" ca="1" si="24"/>
        <v>-12825</v>
      </c>
      <c r="D168" s="61">
        <f t="shared" ca="1" si="25"/>
        <v>219</v>
      </c>
      <c r="E168" s="9">
        <f>IF(MAIN!I12="NIFTY",E167-100,E167-B3)</f>
        <v>11100</v>
      </c>
      <c r="F168" s="62">
        <f t="shared" ca="1" si="26"/>
        <v>445050</v>
      </c>
      <c r="G168" s="62">
        <f t="shared" ca="1" si="27"/>
        <v>-85425</v>
      </c>
      <c r="H168" s="62">
        <f t="shared" ca="1" si="28"/>
        <v>5244</v>
      </c>
      <c r="J168" s="61">
        <f t="shared" ca="1" si="29"/>
        <v>112425</v>
      </c>
      <c r="K168" s="61">
        <f t="shared" ca="1" si="30"/>
        <v>-207075</v>
      </c>
      <c r="L168" s="61">
        <f t="shared" ca="1" si="31"/>
        <v>4229</v>
      </c>
      <c r="M168" s="9">
        <f t="shared" si="35"/>
        <v>11500</v>
      </c>
      <c r="N168" s="62">
        <f t="shared" ca="1" si="32"/>
        <v>1674750</v>
      </c>
      <c r="O168" s="62">
        <f t="shared" ca="1" si="33"/>
        <v>-277500</v>
      </c>
      <c r="P168" s="62">
        <f t="shared" ca="1" si="34"/>
        <v>21593</v>
      </c>
    </row>
    <row r="169" spans="2:16" x14ac:dyDescent="0.35">
      <c r="B169" s="61">
        <f t="shared" ca="1" si="23"/>
        <v>24000</v>
      </c>
      <c r="C169" s="61">
        <f t="shared" ca="1" si="24"/>
        <v>-124125</v>
      </c>
      <c r="D169" s="61">
        <f t="shared" ca="1" si="25"/>
        <v>1956</v>
      </c>
      <c r="E169" s="9">
        <f>IF(MAIN!I12="NIFTY",E168-100,E168-B3)</f>
        <v>11000</v>
      </c>
      <c r="F169" s="62">
        <f t="shared" ca="1" si="26"/>
        <v>3292500</v>
      </c>
      <c r="G169" s="62">
        <f t="shared" ca="1" si="27"/>
        <v>-87300</v>
      </c>
      <c r="H169" s="62">
        <f t="shared" ca="1" si="28"/>
        <v>12070</v>
      </c>
      <c r="J169" s="61">
        <f t="shared" ca="1" si="29"/>
        <v>1350</v>
      </c>
      <c r="K169" s="61">
        <f t="shared" ca="1" si="30"/>
        <v>-450</v>
      </c>
      <c r="L169" s="61">
        <f t="shared" ca="1" si="31"/>
        <v>12</v>
      </c>
      <c r="M169" s="9">
        <f t="shared" si="35"/>
        <v>11450</v>
      </c>
      <c r="N169" s="62">
        <f t="shared" ca="1" si="32"/>
        <v>60525</v>
      </c>
      <c r="O169" s="62">
        <f t="shared" ca="1" si="33"/>
        <v>3075</v>
      </c>
      <c r="P169" s="62">
        <f t="shared" ca="1" si="34"/>
        <v>808</v>
      </c>
    </row>
    <row r="170" spans="2:16" x14ac:dyDescent="0.35">
      <c r="B170" s="61">
        <f t="shared" ca="1" si="23"/>
        <v>450</v>
      </c>
      <c r="C170" s="61">
        <f t="shared" ca="1" si="24"/>
        <v>-13050</v>
      </c>
      <c r="D170" s="61">
        <f t="shared" ca="1" si="25"/>
        <v>208</v>
      </c>
      <c r="E170" s="9">
        <f>IF(MAIN!I12="NIFTY",E169-100,E169-B3)</f>
        <v>10900</v>
      </c>
      <c r="F170" s="62">
        <f t="shared" ca="1" si="26"/>
        <v>482100</v>
      </c>
      <c r="G170" s="62">
        <f t="shared" ca="1" si="27"/>
        <v>-35700</v>
      </c>
      <c r="H170" s="62">
        <f t="shared" ca="1" si="28"/>
        <v>2052</v>
      </c>
      <c r="J170" s="61">
        <f t="shared" ca="1" si="29"/>
        <v>28875</v>
      </c>
      <c r="K170" s="61">
        <f t="shared" ca="1" si="30"/>
        <v>-96900</v>
      </c>
      <c r="L170" s="61">
        <f t="shared" ca="1" si="31"/>
        <v>1727</v>
      </c>
      <c r="M170" s="9">
        <f t="shared" si="35"/>
        <v>11400</v>
      </c>
      <c r="N170" s="62">
        <f t="shared" ca="1" si="32"/>
        <v>687375</v>
      </c>
      <c r="O170" s="62">
        <f t="shared" ca="1" si="33"/>
        <v>-107550</v>
      </c>
      <c r="P170" s="62">
        <f t="shared" ca="1" si="34"/>
        <v>10571</v>
      </c>
    </row>
    <row r="171" spans="2:16" x14ac:dyDescent="0.35">
      <c r="G171"/>
    </row>
    <row r="172" spans="2:16" x14ac:dyDescent="0.35">
      <c r="G172"/>
    </row>
    <row r="173" spans="2:16" x14ac:dyDescent="0.35">
      <c r="B173" s="727" t="s">
        <v>27</v>
      </c>
      <c r="C173" s="727"/>
      <c r="D173" s="727"/>
      <c r="G173"/>
    </row>
    <row r="174" spans="2:16" x14ac:dyDescent="0.35">
      <c r="B174" s="19" t="s">
        <v>28</v>
      </c>
      <c r="C174" s="99">
        <f ca="1">IF($P$17="yes",C184/100,"")</f>
        <v>0</v>
      </c>
      <c r="D174" s="99">
        <f ca="1">IF($P$17="yes",D184/100,"")</f>
        <v>0</v>
      </c>
      <c r="G174"/>
    </row>
    <row r="175" spans="2:16" x14ac:dyDescent="0.35">
      <c r="B175" s="13"/>
      <c r="C175" s="13"/>
      <c r="D175" s="13"/>
      <c r="G175"/>
    </row>
    <row r="176" spans="2:16" x14ac:dyDescent="0.35">
      <c r="B176" s="97" t="s">
        <v>18</v>
      </c>
      <c r="C176" s="97" t="s">
        <v>25</v>
      </c>
      <c r="D176" s="97" t="s">
        <v>26</v>
      </c>
      <c r="G176"/>
    </row>
    <row r="177" spans="2:7" x14ac:dyDescent="0.35">
      <c r="B177" s="18">
        <f>IF(MAIN!I12="NIFTY",B178-100,B178-B3)</f>
        <v>11600</v>
      </c>
      <c r="C177" s="156">
        <f t="shared" ref="C177:C183" ca="1" si="36">SUMIF($H$16:$H$56,B177,$C$16:$C$56)</f>
        <v>-326400</v>
      </c>
      <c r="D177" s="156">
        <f ca="1">SUMIF($H$16:$H$56,B177,$J$16:$J$56)</f>
        <v>-320025</v>
      </c>
      <c r="E177" t="str">
        <f ca="1">IF(AND(C177&lt;0,D177&lt;0),"FLAT",IF(D177&gt;C177,"BULL","BEAR"))</f>
        <v>FLAT</v>
      </c>
      <c r="G177"/>
    </row>
    <row r="178" spans="2:7" x14ac:dyDescent="0.35">
      <c r="B178" s="18">
        <f>IF(MAIN!I12="NIFTY",B179-100,B179-B3)</f>
        <v>11700</v>
      </c>
      <c r="C178" s="156">
        <f t="shared" ca="1" si="36"/>
        <v>-628950</v>
      </c>
      <c r="D178" s="156">
        <f t="shared" ref="D178:D183" ca="1" si="37">SUMIF($H$16:$H$56,B178,$J$16:$J$56)</f>
        <v>-390450</v>
      </c>
      <c r="E178" t="str">
        <f t="shared" ref="E178:E183" ca="1" si="38">IF(AND(C178&lt;0,D178&lt;0),"FLAT",IF(D178&gt;C178,"BULL","BEAR"))</f>
        <v>FLAT</v>
      </c>
      <c r="G178"/>
    </row>
    <row r="179" spans="2:7" x14ac:dyDescent="0.35">
      <c r="B179" s="18">
        <f>IF(MAIN!I12="NIFTY",B180-100,B180-B3)</f>
        <v>11800</v>
      </c>
      <c r="C179" s="156">
        <f t="shared" ca="1" si="36"/>
        <v>-960450</v>
      </c>
      <c r="D179" s="156">
        <f t="shared" ca="1" si="37"/>
        <v>759225</v>
      </c>
      <c r="E179" t="str">
        <f t="shared" ca="1" si="38"/>
        <v>BULL</v>
      </c>
      <c r="G179"/>
    </row>
    <row r="180" spans="2:7" x14ac:dyDescent="0.35">
      <c r="B180" s="18">
        <f>IF(MAIN!I12="NIFTY",ROUND(B1/100,0)*100,ROUND(B1/B3,0)*B3)</f>
        <v>11900</v>
      </c>
      <c r="C180" s="156">
        <f t="shared" ca="1" si="36"/>
        <v>-2377800</v>
      </c>
      <c r="D180" s="156">
        <f t="shared" ca="1" si="37"/>
        <v>1984500</v>
      </c>
      <c r="E180" t="str">
        <f t="shared" ca="1" si="38"/>
        <v>BULL</v>
      </c>
      <c r="F180" s="722" t="str">
        <f ca="1">IF(E184="FLAT",E184,IF(COUNTIF(E177:E183,E184)&gt;3, "STRONG", "WEAK") &amp;" "&amp;E184)</f>
        <v>WEAK BULL</v>
      </c>
      <c r="G180" s="722"/>
    </row>
    <row r="181" spans="2:7" x14ac:dyDescent="0.35">
      <c r="B181" s="18">
        <f>IF(MAIN!I12="NIFTY",B180+100,B180+B3)</f>
        <v>12000</v>
      </c>
      <c r="C181" s="156">
        <f t="shared" ca="1" si="36"/>
        <v>-1697025</v>
      </c>
      <c r="D181" s="156">
        <f t="shared" ca="1" si="37"/>
        <v>-524325</v>
      </c>
      <c r="E181" t="str">
        <f t="shared" ca="1" si="38"/>
        <v>FLAT</v>
      </c>
      <c r="F181">
        <f ca="1">IF($P$18="yes",IF($P$17="yes",COUNTIF(E177:E183,"BULL"),""),"")</f>
        <v>2</v>
      </c>
      <c r="G181"/>
    </row>
    <row r="182" spans="2:7" x14ac:dyDescent="0.35">
      <c r="B182" s="18">
        <f>IF(MAIN!I12="NIFTY",B181+100,B181+B3)</f>
        <v>12100</v>
      </c>
      <c r="C182" s="156">
        <f t="shared" ca="1" si="36"/>
        <v>-478575</v>
      </c>
      <c r="D182" s="156">
        <f t="shared" ca="1" si="37"/>
        <v>-37650</v>
      </c>
      <c r="E182" t="str">
        <f t="shared" ca="1" si="38"/>
        <v>FLAT</v>
      </c>
      <c r="F182">
        <f ca="1">IF($P$18="yes",IF($P$17="yes",COUNTIF(E177:E183,"BEAR"),""),"")</f>
        <v>0</v>
      </c>
      <c r="G182"/>
    </row>
    <row r="183" spans="2:7" x14ac:dyDescent="0.35">
      <c r="B183" s="18">
        <f>IF(MAIN!I12="NIFTY",B182+100,B182+B3)</f>
        <v>12200</v>
      </c>
      <c r="C183" s="156">
        <f t="shared" ca="1" si="36"/>
        <v>-398850</v>
      </c>
      <c r="D183" s="156">
        <f t="shared" ca="1" si="37"/>
        <v>-28650</v>
      </c>
      <c r="E183" t="str">
        <f t="shared" ca="1" si="38"/>
        <v>FLAT</v>
      </c>
      <c r="F183" s="157">
        <f ca="1">IF($P$18="yes",IF($P$17="yes",F181/(F181+F182),""),"")</f>
        <v>1</v>
      </c>
      <c r="G183"/>
    </row>
    <row r="184" spans="2:7" x14ac:dyDescent="0.35">
      <c r="B184" s="18"/>
      <c r="C184" s="18"/>
      <c r="D184" s="18"/>
      <c r="E184" t="str">
        <f ca="1">IF(M85&gt;M86,"BEAR","BULL")</f>
        <v>BULL</v>
      </c>
      <c r="F184" s="157">
        <f ca="1">IF($P$18="yes",IF($P$17="yes",F182/(F182+F181),""),"")</f>
        <v>0</v>
      </c>
      <c r="G184"/>
    </row>
    <row r="185" spans="2:7" x14ac:dyDescent="0.35">
      <c r="G185"/>
    </row>
    <row r="186" spans="2:7" x14ac:dyDescent="0.35">
      <c r="G186"/>
    </row>
    <row r="187" spans="2:7" x14ac:dyDescent="0.35">
      <c r="G187"/>
    </row>
    <row r="188" spans="2:7" x14ac:dyDescent="0.35">
      <c r="G188"/>
    </row>
    <row r="189" spans="2:7" x14ac:dyDescent="0.35">
      <c r="G189"/>
    </row>
    <row r="190" spans="2:7" x14ac:dyDescent="0.35">
      <c r="G190"/>
    </row>
    <row r="191" spans="2:7" x14ac:dyDescent="0.35">
      <c r="G191"/>
    </row>
    <row r="192" spans="2:7" x14ac:dyDescent="0.35">
      <c r="G192"/>
    </row>
    <row r="193" spans="7:7" x14ac:dyDescent="0.35">
      <c r="G193"/>
    </row>
    <row r="194" spans="7:7" x14ac:dyDescent="0.35">
      <c r="G194"/>
    </row>
    <row r="195" spans="7:7" x14ac:dyDescent="0.35">
      <c r="G195"/>
    </row>
    <row r="196" spans="7:7" x14ac:dyDescent="0.35">
      <c r="G196"/>
    </row>
    <row r="197" spans="7:7" x14ac:dyDescent="0.35">
      <c r="G197"/>
    </row>
    <row r="198" spans="7:7" x14ac:dyDescent="0.35">
      <c r="G198"/>
    </row>
    <row r="199" spans="7:7" x14ac:dyDescent="0.35">
      <c r="G199"/>
    </row>
    <row r="200" spans="7:7" x14ac:dyDescent="0.35">
      <c r="G200"/>
    </row>
    <row r="201" spans="7:7" x14ac:dyDescent="0.35">
      <c r="G201"/>
    </row>
    <row r="202" spans="7:7" x14ac:dyDescent="0.35">
      <c r="G202"/>
    </row>
    <row r="203" spans="7:7" x14ac:dyDescent="0.35">
      <c r="G203"/>
    </row>
    <row r="204" spans="7:7" x14ac:dyDescent="0.35">
      <c r="G204"/>
    </row>
    <row r="205" spans="7:7" x14ac:dyDescent="0.35">
      <c r="G205"/>
    </row>
    <row r="206" spans="7:7" x14ac:dyDescent="0.35">
      <c r="G206"/>
    </row>
    <row r="207" spans="7:7" x14ac:dyDescent="0.35">
      <c r="G207"/>
    </row>
    <row r="208" spans="7:7" x14ac:dyDescent="0.35">
      <c r="G208"/>
    </row>
    <row r="209" spans="7:7" x14ac:dyDescent="0.35">
      <c r="G209"/>
    </row>
    <row r="210" spans="7:7" x14ac:dyDescent="0.35">
      <c r="G210"/>
    </row>
    <row r="211" spans="7:7" x14ac:dyDescent="0.35">
      <c r="G211"/>
    </row>
    <row r="212" spans="7:7" x14ac:dyDescent="0.35">
      <c r="G212"/>
    </row>
    <row r="213" spans="7:7" x14ac:dyDescent="0.35">
      <c r="G213"/>
    </row>
    <row r="214" spans="7:7" x14ac:dyDescent="0.35">
      <c r="G214"/>
    </row>
    <row r="215" spans="7:7" x14ac:dyDescent="0.35">
      <c r="G215"/>
    </row>
    <row r="216" spans="7:7" x14ac:dyDescent="0.35">
      <c r="G216"/>
    </row>
    <row r="217" spans="7:7" x14ac:dyDescent="0.35">
      <c r="G217"/>
    </row>
    <row r="218" spans="7:7" x14ac:dyDescent="0.35">
      <c r="G218"/>
    </row>
    <row r="219" spans="7:7" x14ac:dyDescent="0.35">
      <c r="G219"/>
    </row>
    <row r="220" spans="7:7" x14ac:dyDescent="0.35">
      <c r="G220"/>
    </row>
    <row r="221" spans="7:7" x14ac:dyDescent="0.35">
      <c r="G221"/>
    </row>
    <row r="222" spans="7:7" x14ac:dyDescent="0.35">
      <c r="G222"/>
    </row>
    <row r="223" spans="7:7" x14ac:dyDescent="0.35">
      <c r="G223" s="4" t="str">
        <f>IF(Data!L217&lt;&gt;"",Data!L217,"")</f>
        <v/>
      </c>
    </row>
    <row r="224" spans="7:7" x14ac:dyDescent="0.35">
      <c r="G224" s="4" t="str">
        <f>IF(Data!L218&lt;&gt;"",Data!L218,"")</f>
        <v/>
      </c>
    </row>
    <row r="225" spans="7:7" x14ac:dyDescent="0.35">
      <c r="G225" s="4" t="str">
        <f>IF(Data!L219&lt;&gt;"",Data!L219,"")</f>
        <v/>
      </c>
    </row>
    <row r="226" spans="7:7" x14ac:dyDescent="0.35">
      <c r="G226" s="4" t="str">
        <f>IF(Data!L220&lt;&gt;"",Data!L220,"")</f>
        <v/>
      </c>
    </row>
    <row r="227" spans="7:7" x14ac:dyDescent="0.35">
      <c r="G227" s="4" t="str">
        <f>IF(Data!L221&lt;&gt;"",Data!L221,"")</f>
        <v/>
      </c>
    </row>
  </sheetData>
  <customSheetViews>
    <customSheetView guid="{D12DFD61-4B7F-43F1-B07E-A848E00A354C}" state="hidden" topLeftCell="J1">
      <selection activeCell="P4" sqref="P4"/>
      <pageMargins left="0.7" right="0.7" top="0.75" bottom="0.75" header="0.3" footer="0.3"/>
      <pageSetup paperSize="9" orientation="portrait" horizontalDpi="300" verticalDpi="300" r:id="rId1"/>
    </customSheetView>
  </customSheetViews>
  <mergeCells count="28">
    <mergeCell ref="G1:L1"/>
    <mergeCell ref="K85:L85"/>
    <mergeCell ref="M85:N85"/>
    <mergeCell ref="B173:D173"/>
    <mergeCell ref="B122:E122"/>
    <mergeCell ref="G122:I122"/>
    <mergeCell ref="K123:N123"/>
    <mergeCell ref="B4:G4"/>
    <mergeCell ref="I4:N4"/>
    <mergeCell ref="B70:I70"/>
    <mergeCell ref="K70:M70"/>
    <mergeCell ref="K94:M94"/>
    <mergeCell ref="K86:L86"/>
    <mergeCell ref="M86:N86"/>
    <mergeCell ref="M88:N88"/>
    <mergeCell ref="M89:N89"/>
    <mergeCell ref="F180:G180"/>
    <mergeCell ref="B148:H148"/>
    <mergeCell ref="K139:K140"/>
    <mergeCell ref="K143:K144"/>
    <mergeCell ref="G139:I145"/>
    <mergeCell ref="J148:P148"/>
    <mergeCell ref="K88:L88"/>
    <mergeCell ref="K89:L89"/>
    <mergeCell ref="K92:L92"/>
    <mergeCell ref="M91:N91"/>
    <mergeCell ref="M92:N92"/>
    <mergeCell ref="K91:L91"/>
  </mergeCells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BT2149"/>
  <sheetViews>
    <sheetView workbookViewId="0">
      <selection activeCell="A5" sqref="A5"/>
    </sheetView>
  </sheetViews>
  <sheetFormatPr defaultRowHeight="14.5" x14ac:dyDescent="0.35"/>
  <cols>
    <col min="1" max="1" width="35.90625" customWidth="1"/>
    <col min="2" max="2" width="62.81640625" customWidth="1"/>
    <col min="3" max="3" width="10" bestFit="1" customWidth="1"/>
    <col min="4" max="4" width="10.08984375" bestFit="1" customWidth="1"/>
    <col min="5" max="5" width="6" customWidth="1"/>
    <col min="6" max="6" width="8.1796875" customWidth="1"/>
    <col min="7" max="7" width="8.36328125" bestFit="1" customWidth="1"/>
    <col min="8" max="8" width="11" customWidth="1"/>
    <col min="9" max="10" width="8.1796875" customWidth="1"/>
    <col min="11" max="11" width="6.54296875" customWidth="1"/>
    <col min="12" max="12" width="11" bestFit="1" customWidth="1"/>
    <col min="13" max="13" width="6.54296875" customWidth="1"/>
    <col min="14" max="15" width="8.1796875" customWidth="1"/>
    <col min="16" max="16" width="6.54296875" customWidth="1"/>
    <col min="18" max="18" width="8.1796875" customWidth="1"/>
    <col min="19" max="19" width="6" customWidth="1"/>
    <col min="20" max="20" width="8" customWidth="1"/>
    <col min="21" max="21" width="10" bestFit="1" customWidth="1"/>
    <col min="22" max="22" width="10.1796875" bestFit="1" customWidth="1"/>
    <col min="23" max="23" width="5.7265625" customWidth="1"/>
    <col min="34" max="34" width="13.26953125" bestFit="1" customWidth="1"/>
    <col min="35" max="35" width="28.7265625" customWidth="1"/>
    <col min="36" max="36" width="11" customWidth="1"/>
    <col min="37" max="37" width="11.81640625" customWidth="1"/>
    <col min="38" max="38" width="11" customWidth="1"/>
    <col min="39" max="39" width="10.7265625" customWidth="1"/>
    <col min="40" max="40" width="9.81640625" customWidth="1"/>
    <col min="41" max="41" width="9.453125" customWidth="1"/>
    <col min="42" max="42" width="10.81640625" customWidth="1"/>
    <col min="43" max="43" width="9.26953125" customWidth="1"/>
    <col min="44" max="44" width="8.1796875" customWidth="1"/>
    <col min="45" max="45" width="12.54296875" customWidth="1"/>
    <col min="46" max="46" width="10.7265625" customWidth="1"/>
    <col min="47" max="47" width="28.7265625" customWidth="1"/>
    <col min="48" max="48" width="11" customWidth="1"/>
    <col min="49" max="49" width="11.81640625" customWidth="1"/>
    <col min="50" max="50" width="11" customWidth="1"/>
    <col min="51" max="51" width="10.7265625" customWidth="1"/>
    <col min="52" max="52" width="9.81640625" customWidth="1"/>
    <col min="53" max="53" width="9.453125" customWidth="1"/>
    <col min="54" max="54" width="10.81640625" customWidth="1"/>
    <col min="55" max="55" width="9.26953125" customWidth="1"/>
    <col min="56" max="56" width="8.1796875" customWidth="1"/>
    <col min="57" max="58" width="10.7265625" customWidth="1"/>
    <col min="59" max="59" width="28.7265625" bestFit="1" customWidth="1"/>
    <col min="60" max="60" width="11" bestFit="1" customWidth="1"/>
    <col min="61" max="61" width="11.81640625" bestFit="1" customWidth="1"/>
    <col min="62" max="62" width="11" bestFit="1" customWidth="1"/>
    <col min="63" max="63" width="10.7265625" bestFit="1" customWidth="1"/>
    <col min="64" max="64" width="9.81640625" bestFit="1" customWidth="1"/>
    <col min="65" max="65" width="9.453125" bestFit="1" customWidth="1"/>
    <col min="66" max="66" width="10.81640625" bestFit="1" customWidth="1"/>
    <col min="67" max="67" width="9.26953125" bestFit="1" customWidth="1"/>
    <col min="68" max="68" width="8.1796875" customWidth="1"/>
    <col min="69" max="69" width="10.7265625" customWidth="1"/>
    <col min="70" max="70" width="10.7265625" bestFit="1" customWidth="1"/>
  </cols>
  <sheetData>
    <row r="1" spans="1:72" x14ac:dyDescent="0.35">
      <c r="C1" t="s">
        <v>173</v>
      </c>
      <c r="AH1" s="276" t="s">
        <v>587</v>
      </c>
      <c r="AI1" t="s">
        <v>679</v>
      </c>
    </row>
    <row r="2" spans="1:72" x14ac:dyDescent="0.35">
      <c r="C2" s="75">
        <f ca="1">TODAY()</f>
        <v>43615</v>
      </c>
      <c r="D2" s="277">
        <f ca="1">GetExpiryDate(DAY(C2),MONTH(C2),YEAR(C2))</f>
        <v>43615</v>
      </c>
      <c r="AH2" t="s">
        <v>588</v>
      </c>
    </row>
    <row r="3" spans="1:72" x14ac:dyDescent="0.35">
      <c r="A3" t="e">
        <f>VALUE(MID(B11,25,7))</f>
        <v>#VALUE!</v>
      </c>
      <c r="C3" s="75"/>
      <c r="D3" s="277">
        <f ca="1">GetExpiryDate(DAY(D2)+7,MONTH(D2),YEAR(D2))</f>
        <v>43622</v>
      </c>
    </row>
    <row r="4" spans="1:72" x14ac:dyDescent="0.35">
      <c r="A4" t="e">
        <f>ROUND(A3,-2)</f>
        <v>#VALUE!</v>
      </c>
      <c r="C4" s="75"/>
      <c r="D4" s="277">
        <f ca="1">GetExpiryDate(DAY(D3)+7,MONTH(D3),YEAR(D3))</f>
        <v>43629</v>
      </c>
      <c r="AH4" t="s">
        <v>589</v>
      </c>
      <c r="AI4" t="s">
        <v>590</v>
      </c>
      <c r="AJ4" t="s">
        <v>591</v>
      </c>
      <c r="AK4" t="s">
        <v>592</v>
      </c>
      <c r="AL4" t="s">
        <v>7</v>
      </c>
      <c r="AM4" t="s">
        <v>593</v>
      </c>
      <c r="AN4" t="s">
        <v>594</v>
      </c>
      <c r="AO4" t="s">
        <v>595</v>
      </c>
      <c r="AP4" t="s">
        <v>596</v>
      </c>
      <c r="AQ4" t="s">
        <v>597</v>
      </c>
      <c r="AR4" t="s">
        <v>2</v>
      </c>
      <c r="AS4" t="s">
        <v>598</v>
      </c>
      <c r="AT4" t="s">
        <v>590</v>
      </c>
    </row>
    <row r="5" spans="1:72" x14ac:dyDescent="0.35">
      <c r="AS5" t="s">
        <v>599</v>
      </c>
      <c r="AT5" t="s">
        <v>600</v>
      </c>
    </row>
    <row r="6" spans="1:72" x14ac:dyDescent="0.35">
      <c r="A6" t="e">
        <f>MID(B11,SEARCH(STOCK_SYMBOL,B11),2)</f>
        <v>#VALUE!</v>
      </c>
      <c r="C6">
        <f>LOOKUP(9.99E+307,B:B)</f>
        <v>21187050</v>
      </c>
      <c r="F6" t="e">
        <f>FIND(" ",B11)</f>
        <v>#VALUE!</v>
      </c>
      <c r="H6" t="e">
        <f>SEARCH(" ",B11)+2</f>
        <v>#VALUE!</v>
      </c>
      <c r="V6">
        <f>LOOKUP(9.99E+307,V:V)</f>
        <v>26076450</v>
      </c>
      <c r="AH6" t="s">
        <v>181</v>
      </c>
      <c r="AI6" t="s">
        <v>180</v>
      </c>
      <c r="AJ6" s="3">
        <v>43615</v>
      </c>
      <c r="AK6" t="s">
        <v>8</v>
      </c>
      <c r="AL6" s="1" t="s">
        <v>8</v>
      </c>
      <c r="AM6" s="1">
        <v>11865</v>
      </c>
      <c r="AN6" s="1">
        <v>11964.9</v>
      </c>
      <c r="AO6" s="1">
        <v>11856.9</v>
      </c>
      <c r="AP6" s="1">
        <v>11862.25</v>
      </c>
      <c r="AQ6" s="1">
        <v>11947.5</v>
      </c>
      <c r="AR6" s="2" t="s">
        <v>680</v>
      </c>
      <c r="AS6" s="1" t="s">
        <v>681</v>
      </c>
      <c r="AT6">
        <v>11945.9</v>
      </c>
      <c r="AV6" s="1">
        <f>AQ6-Sheet51!B1</f>
        <v>1.6000000000003638</v>
      </c>
      <c r="BT6" s="1"/>
    </row>
    <row r="7" spans="1:72" x14ac:dyDescent="0.35">
      <c r="AH7" t="s">
        <v>181</v>
      </c>
      <c r="AI7" t="s">
        <v>180</v>
      </c>
      <c r="AJ7" s="3">
        <v>43643</v>
      </c>
      <c r="AK7" t="s">
        <v>8</v>
      </c>
      <c r="AL7" s="1" t="s">
        <v>8</v>
      </c>
      <c r="AM7" s="1">
        <v>11902</v>
      </c>
      <c r="AN7" s="1">
        <v>12001.9</v>
      </c>
      <c r="AO7" s="1">
        <v>11896.1</v>
      </c>
      <c r="AP7" s="1">
        <v>11895.85</v>
      </c>
      <c r="AQ7" s="1">
        <v>11978</v>
      </c>
      <c r="AR7" s="2" t="s">
        <v>682</v>
      </c>
      <c r="AS7" s="1" t="s">
        <v>683</v>
      </c>
      <c r="AT7">
        <v>11945.9</v>
      </c>
      <c r="AV7" s="1">
        <f>AQ7-Sheet51!B1</f>
        <v>32.100000000000364</v>
      </c>
    </row>
    <row r="8" spans="1:72" x14ac:dyDescent="0.35">
      <c r="A8" t="str">
        <f>LEFT(B11,33)</f>
        <v>-</v>
      </c>
      <c r="G8" t="e">
        <f>MID(B11,SEARCH(" ",B11)+1,SEARCH(" ",B11,SEARCH(" ",B11)+1)-SEARCH(" ",B11)-2)</f>
        <v>#VALUE!</v>
      </c>
      <c r="H8" t="e">
        <f>LEFT(B11,FIND(" ",B11)-1)</f>
        <v>#VALUE!</v>
      </c>
      <c r="AH8" t="s">
        <v>181</v>
      </c>
      <c r="AI8" t="s">
        <v>180</v>
      </c>
      <c r="AJ8" s="3">
        <v>43671</v>
      </c>
      <c r="AK8" t="s">
        <v>8</v>
      </c>
      <c r="AL8" s="1" t="s">
        <v>8</v>
      </c>
      <c r="AM8" s="1">
        <v>11929.05</v>
      </c>
      <c r="AN8" s="1">
        <v>12034</v>
      </c>
      <c r="AO8" s="1">
        <v>11929.05</v>
      </c>
      <c r="AP8" s="1">
        <v>11932.55</v>
      </c>
      <c r="AQ8" s="1">
        <v>12015</v>
      </c>
      <c r="AR8" s="2">
        <v>2809</v>
      </c>
      <c r="AS8" s="1">
        <v>25278.37</v>
      </c>
      <c r="AT8">
        <v>11945.9</v>
      </c>
      <c r="AV8" s="1">
        <f>AQ8-Sheet51!B1</f>
        <v>69.100000000000364</v>
      </c>
    </row>
    <row r="9" spans="1:72" x14ac:dyDescent="0.35">
      <c r="G9" t="e">
        <f>MID(LEFT(B11,FIND(" ",B11)-1),FIND(" ",B11)+1,LEN(B11)-33)</f>
        <v>#VALUE!</v>
      </c>
      <c r="AH9" t="s">
        <v>204</v>
      </c>
      <c r="AI9" t="s">
        <v>180</v>
      </c>
      <c r="AJ9" s="3">
        <v>43615</v>
      </c>
      <c r="AK9" t="s">
        <v>41</v>
      </c>
      <c r="AL9" s="1">
        <v>11900</v>
      </c>
      <c r="AM9" s="1">
        <v>17.5</v>
      </c>
      <c r="AN9" s="1">
        <v>65.3</v>
      </c>
      <c r="AO9" s="1">
        <v>12.5</v>
      </c>
      <c r="AP9" s="1">
        <v>22</v>
      </c>
      <c r="AQ9" s="1">
        <v>42.5</v>
      </c>
      <c r="AR9" s="2" t="s">
        <v>620</v>
      </c>
      <c r="AS9" s="1" t="s">
        <v>621</v>
      </c>
      <c r="AT9">
        <v>11945.7</v>
      </c>
    </row>
    <row r="10" spans="1:72" x14ac:dyDescent="0.35">
      <c r="G10" t="e">
        <f>FIND(" ",SUBSTITUTE(B11," "," ",2))</f>
        <v>#VALUE!</v>
      </c>
      <c r="AH10" t="s">
        <v>204</v>
      </c>
      <c r="AI10" t="s">
        <v>180</v>
      </c>
      <c r="AJ10" s="3">
        <v>43615</v>
      </c>
      <c r="AK10" t="s">
        <v>42</v>
      </c>
      <c r="AL10" s="1">
        <v>11800</v>
      </c>
      <c r="AM10">
        <v>10.050000000000001</v>
      </c>
      <c r="AN10">
        <v>10.3</v>
      </c>
      <c r="AO10">
        <v>0.05</v>
      </c>
      <c r="AP10">
        <v>15.5</v>
      </c>
      <c r="AQ10">
        <v>0.05</v>
      </c>
      <c r="AR10" s="2" t="s">
        <v>622</v>
      </c>
      <c r="AS10" t="s">
        <v>623</v>
      </c>
      <c r="AT10">
        <v>11945.7</v>
      </c>
    </row>
    <row r="11" spans="1:72" x14ac:dyDescent="0.35">
      <c r="A11" s="276" t="s">
        <v>532</v>
      </c>
      <c r="B11" t="s">
        <v>8</v>
      </c>
      <c r="C11" t="s">
        <v>8</v>
      </c>
      <c r="D11" t="s">
        <v>8</v>
      </c>
      <c r="E11" t="s">
        <v>8</v>
      </c>
      <c r="F11" t="s">
        <v>8</v>
      </c>
      <c r="G11" t="s">
        <v>8</v>
      </c>
      <c r="H11">
        <v>375</v>
      </c>
      <c r="I11" s="1">
        <v>2428.75</v>
      </c>
      <c r="J11" s="1">
        <v>2832.35</v>
      </c>
      <c r="K11" s="2">
        <v>4950</v>
      </c>
      <c r="L11">
        <v>9350</v>
      </c>
      <c r="M11" t="s">
        <v>8</v>
      </c>
      <c r="N11" t="s">
        <v>8</v>
      </c>
      <c r="O11">
        <v>0.25</v>
      </c>
      <c r="P11" s="2">
        <v>4500</v>
      </c>
      <c r="Q11" t="s">
        <v>8</v>
      </c>
      <c r="R11">
        <v>0.2</v>
      </c>
      <c r="S11" t="s">
        <v>8</v>
      </c>
      <c r="T11" t="s">
        <v>8</v>
      </c>
      <c r="U11" t="s">
        <v>8</v>
      </c>
      <c r="V11">
        <v>225</v>
      </c>
      <c r="W11" t="s">
        <v>532</v>
      </c>
      <c r="AH11" t="s">
        <v>204</v>
      </c>
      <c r="AI11" t="s">
        <v>180</v>
      </c>
      <c r="AJ11" s="3">
        <v>43615</v>
      </c>
      <c r="AK11" t="s">
        <v>42</v>
      </c>
      <c r="AL11" s="1">
        <v>11850</v>
      </c>
      <c r="AM11" s="1">
        <v>24.75</v>
      </c>
      <c r="AN11" s="1">
        <v>24.8</v>
      </c>
      <c r="AO11" s="1">
        <v>0.05</v>
      </c>
      <c r="AP11" s="1">
        <v>30.3</v>
      </c>
      <c r="AQ11" s="1">
        <v>0.05</v>
      </c>
      <c r="AR11" s="2" t="s">
        <v>624</v>
      </c>
      <c r="AS11" t="s">
        <v>625</v>
      </c>
      <c r="AT11">
        <v>11945.7</v>
      </c>
    </row>
    <row r="12" spans="1:72" x14ac:dyDescent="0.35">
      <c r="A12" t="s">
        <v>532</v>
      </c>
      <c r="B12">
        <v>300</v>
      </c>
      <c r="C12">
        <v>-750</v>
      </c>
      <c r="D12">
        <v>11</v>
      </c>
      <c r="E12" t="s">
        <v>8</v>
      </c>
      <c r="F12" s="1">
        <v>2544</v>
      </c>
      <c r="G12">
        <v>86.25</v>
      </c>
      <c r="H12">
        <v>75</v>
      </c>
      <c r="I12" s="1">
        <v>2528.3000000000002</v>
      </c>
      <c r="J12" s="1">
        <v>2555.4499999999998</v>
      </c>
      <c r="K12">
        <v>75</v>
      </c>
      <c r="L12">
        <v>9400</v>
      </c>
      <c r="M12" t="s">
        <v>8</v>
      </c>
      <c r="N12" t="s">
        <v>8</v>
      </c>
      <c r="O12">
        <v>0.1</v>
      </c>
      <c r="P12" s="2">
        <v>4200</v>
      </c>
      <c r="Q12">
        <v>-0.15</v>
      </c>
      <c r="R12">
        <v>0.05</v>
      </c>
      <c r="S12" t="s">
        <v>8</v>
      </c>
      <c r="T12">
        <v>44</v>
      </c>
      <c r="U12">
        <v>-150</v>
      </c>
      <c r="V12" s="2">
        <v>17475</v>
      </c>
      <c r="W12" t="s">
        <v>532</v>
      </c>
      <c r="AH12" t="s">
        <v>204</v>
      </c>
      <c r="AI12" t="s">
        <v>180</v>
      </c>
      <c r="AJ12" s="3">
        <v>43615</v>
      </c>
      <c r="AK12" t="s">
        <v>42</v>
      </c>
      <c r="AL12" s="1">
        <v>11950</v>
      </c>
      <c r="AM12">
        <v>85.15</v>
      </c>
      <c r="AN12">
        <v>90.2</v>
      </c>
      <c r="AO12">
        <v>0.55000000000000004</v>
      </c>
      <c r="AP12">
        <v>92.35</v>
      </c>
      <c r="AQ12">
        <v>0.9</v>
      </c>
      <c r="AR12" s="2" t="s">
        <v>626</v>
      </c>
      <c r="AS12" t="s">
        <v>627</v>
      </c>
      <c r="AT12">
        <v>11945.7</v>
      </c>
    </row>
    <row r="13" spans="1:72" x14ac:dyDescent="0.35">
      <c r="A13" t="s">
        <v>532</v>
      </c>
      <c r="B13" t="s">
        <v>8</v>
      </c>
      <c r="C13" t="s">
        <v>8</v>
      </c>
      <c r="D13" t="s">
        <v>8</v>
      </c>
      <c r="E13" t="s">
        <v>8</v>
      </c>
      <c r="F13" t="s">
        <v>8</v>
      </c>
      <c r="G13" t="s">
        <v>8</v>
      </c>
      <c r="H13">
        <v>375</v>
      </c>
      <c r="I13" s="1">
        <v>2335.8000000000002</v>
      </c>
      <c r="J13" s="1">
        <v>2718.85</v>
      </c>
      <c r="K13" s="2">
        <v>4950</v>
      </c>
      <c r="L13">
        <v>9450</v>
      </c>
      <c r="M13" t="s">
        <v>8</v>
      </c>
      <c r="N13" t="s">
        <v>8</v>
      </c>
      <c r="O13">
        <v>0.25</v>
      </c>
      <c r="P13" s="2">
        <v>4500</v>
      </c>
      <c r="Q13" t="s">
        <v>8</v>
      </c>
      <c r="R13">
        <v>0.65</v>
      </c>
      <c r="S13" t="s">
        <v>8</v>
      </c>
      <c r="T13" t="s">
        <v>8</v>
      </c>
      <c r="U13" t="s">
        <v>8</v>
      </c>
      <c r="V13">
        <v>225</v>
      </c>
      <c r="W13" t="s">
        <v>532</v>
      </c>
      <c r="AH13" t="s">
        <v>204</v>
      </c>
      <c r="AI13" t="s">
        <v>180</v>
      </c>
      <c r="AJ13" s="3">
        <v>43615</v>
      </c>
      <c r="AK13" t="s">
        <v>42</v>
      </c>
      <c r="AL13" s="1">
        <v>12000</v>
      </c>
      <c r="AM13" s="1">
        <v>128.6</v>
      </c>
      <c r="AN13" s="1">
        <v>136</v>
      </c>
      <c r="AO13" s="1">
        <v>38.4</v>
      </c>
      <c r="AP13" s="1">
        <v>137</v>
      </c>
      <c r="AQ13" s="1">
        <v>49.8</v>
      </c>
      <c r="AR13" s="2" t="s">
        <v>628</v>
      </c>
      <c r="AS13" t="s">
        <v>629</v>
      </c>
      <c r="AT13">
        <v>11945.7</v>
      </c>
    </row>
    <row r="14" spans="1:72" x14ac:dyDescent="0.35">
      <c r="A14" t="s">
        <v>532</v>
      </c>
      <c r="B14" s="2">
        <v>4875</v>
      </c>
      <c r="C14" s="2">
        <v>-80850</v>
      </c>
      <c r="D14" s="2">
        <v>1328</v>
      </c>
      <c r="E14" t="s">
        <v>8</v>
      </c>
      <c r="F14" s="1">
        <v>2449.15</v>
      </c>
      <c r="G14">
        <v>92.3</v>
      </c>
      <c r="H14">
        <v>225</v>
      </c>
      <c r="I14" s="1">
        <v>2431.5500000000002</v>
      </c>
      <c r="J14" s="1">
        <v>2449.15</v>
      </c>
      <c r="K14" s="2">
        <v>3600</v>
      </c>
      <c r="L14">
        <v>9500</v>
      </c>
      <c r="M14" t="s">
        <v>8</v>
      </c>
      <c r="N14" t="s">
        <v>8</v>
      </c>
      <c r="O14">
        <v>0.05</v>
      </c>
      <c r="P14" s="2">
        <v>4800</v>
      </c>
      <c r="Q14">
        <v>-0.15</v>
      </c>
      <c r="R14">
        <v>0.05</v>
      </c>
      <c r="S14" t="s">
        <v>8</v>
      </c>
      <c r="T14">
        <v>366</v>
      </c>
      <c r="U14" s="2">
        <v>-11850</v>
      </c>
      <c r="V14" s="2">
        <v>336150</v>
      </c>
      <c r="W14" t="s">
        <v>532</v>
      </c>
      <c r="AH14" t="s">
        <v>204</v>
      </c>
      <c r="AI14" t="s">
        <v>180</v>
      </c>
      <c r="AJ14" s="3">
        <v>43615</v>
      </c>
      <c r="AK14" t="s">
        <v>41</v>
      </c>
      <c r="AL14" s="1">
        <v>12050</v>
      </c>
      <c r="AM14">
        <v>1</v>
      </c>
      <c r="AN14">
        <v>1.3</v>
      </c>
      <c r="AO14">
        <v>0.05</v>
      </c>
      <c r="AP14">
        <v>2.4500000000000002</v>
      </c>
      <c r="AQ14">
        <v>0.05</v>
      </c>
      <c r="AR14" s="2" t="s">
        <v>630</v>
      </c>
      <c r="AS14" t="s">
        <v>631</v>
      </c>
      <c r="AT14">
        <v>11945.7</v>
      </c>
    </row>
    <row r="15" spans="1:72" x14ac:dyDescent="0.35">
      <c r="A15" t="s">
        <v>532</v>
      </c>
      <c r="B15" t="s">
        <v>8</v>
      </c>
      <c r="C15" t="s">
        <v>8</v>
      </c>
      <c r="D15" t="s">
        <v>8</v>
      </c>
      <c r="E15" t="s">
        <v>8</v>
      </c>
      <c r="F15" t="s">
        <v>8</v>
      </c>
      <c r="G15" t="s">
        <v>8</v>
      </c>
      <c r="H15">
        <v>375</v>
      </c>
      <c r="I15" s="1">
        <v>2242.8000000000002</v>
      </c>
      <c r="J15" s="1">
        <v>2606.6999999999998</v>
      </c>
      <c r="K15" s="2">
        <v>4950</v>
      </c>
      <c r="L15">
        <v>9550</v>
      </c>
      <c r="M15" t="s">
        <v>8</v>
      </c>
      <c r="N15" t="s">
        <v>8</v>
      </c>
      <c r="O15">
        <v>0.2</v>
      </c>
      <c r="P15" s="2">
        <v>1500</v>
      </c>
      <c r="Q15" t="s">
        <v>8</v>
      </c>
      <c r="R15" t="s">
        <v>8</v>
      </c>
      <c r="S15" t="s">
        <v>8</v>
      </c>
      <c r="T15" t="s">
        <v>8</v>
      </c>
      <c r="U15" t="s">
        <v>8</v>
      </c>
      <c r="V15" t="s">
        <v>8</v>
      </c>
      <c r="W15" t="s">
        <v>532</v>
      </c>
      <c r="AH15" t="s">
        <v>204</v>
      </c>
      <c r="AI15" t="s">
        <v>180</v>
      </c>
      <c r="AJ15" s="3">
        <v>43615</v>
      </c>
      <c r="AK15" t="s">
        <v>41</v>
      </c>
      <c r="AL15" s="1">
        <v>11850</v>
      </c>
      <c r="AM15" s="1">
        <v>37</v>
      </c>
      <c r="AN15" s="1">
        <v>110</v>
      </c>
      <c r="AO15" s="1">
        <v>32</v>
      </c>
      <c r="AP15" s="1">
        <v>42.85</v>
      </c>
      <c r="AQ15" s="1">
        <v>85.25</v>
      </c>
      <c r="AR15" s="2" t="s">
        <v>632</v>
      </c>
      <c r="AS15" t="s">
        <v>633</v>
      </c>
      <c r="AT15">
        <v>11945.7</v>
      </c>
    </row>
    <row r="16" spans="1:72" x14ac:dyDescent="0.35">
      <c r="A16" t="s">
        <v>532</v>
      </c>
      <c r="B16" s="2">
        <v>1650</v>
      </c>
      <c r="C16" s="2">
        <v>-22575</v>
      </c>
      <c r="D16">
        <v>318</v>
      </c>
      <c r="E16" t="s">
        <v>8</v>
      </c>
      <c r="F16" s="1">
        <v>2340</v>
      </c>
      <c r="G16">
        <v>62</v>
      </c>
      <c r="H16">
        <v>75</v>
      </c>
      <c r="I16" s="1">
        <v>2331.15</v>
      </c>
      <c r="J16" s="1">
        <v>2348.6</v>
      </c>
      <c r="K16" s="2">
        <v>3675</v>
      </c>
      <c r="L16">
        <v>9600</v>
      </c>
      <c r="M16" t="s">
        <v>8</v>
      </c>
      <c r="N16" t="s">
        <v>8</v>
      </c>
      <c r="O16">
        <v>0.05</v>
      </c>
      <c r="P16">
        <v>75</v>
      </c>
      <c r="Q16" t="s">
        <v>8</v>
      </c>
      <c r="R16">
        <v>0.05</v>
      </c>
      <c r="S16" t="s">
        <v>8</v>
      </c>
      <c r="T16">
        <v>131</v>
      </c>
      <c r="U16">
        <v>525</v>
      </c>
      <c r="V16" s="2">
        <v>27975</v>
      </c>
      <c r="W16" t="s">
        <v>532</v>
      </c>
      <c r="AH16" t="s">
        <v>204</v>
      </c>
      <c r="AI16" t="s">
        <v>180</v>
      </c>
      <c r="AJ16" s="3">
        <v>43615</v>
      </c>
      <c r="AK16" t="s">
        <v>42</v>
      </c>
      <c r="AL16" s="1">
        <v>11750</v>
      </c>
      <c r="AM16" s="1">
        <v>3.2</v>
      </c>
      <c r="AN16" s="1">
        <v>4.4000000000000004</v>
      </c>
      <c r="AO16" s="1">
        <v>0.05</v>
      </c>
      <c r="AP16" s="1">
        <v>7.15</v>
      </c>
      <c r="AQ16" s="1">
        <v>0.05</v>
      </c>
      <c r="AR16" s="2" t="s">
        <v>634</v>
      </c>
      <c r="AS16" t="s">
        <v>635</v>
      </c>
      <c r="AT16">
        <v>11945.7</v>
      </c>
    </row>
    <row r="17" spans="1:46" x14ac:dyDescent="0.35">
      <c r="A17" t="s">
        <v>532</v>
      </c>
      <c r="B17" t="s">
        <v>8</v>
      </c>
      <c r="C17" t="s">
        <v>8</v>
      </c>
      <c r="D17" t="s">
        <v>8</v>
      </c>
      <c r="E17" t="s">
        <v>8</v>
      </c>
      <c r="F17" t="s">
        <v>8</v>
      </c>
      <c r="G17" t="s">
        <v>8</v>
      </c>
      <c r="H17">
        <v>375</v>
      </c>
      <c r="I17" s="1">
        <v>2149.75</v>
      </c>
      <c r="J17" s="1">
        <v>2495.1</v>
      </c>
      <c r="K17" s="2">
        <v>4950</v>
      </c>
      <c r="L17">
        <v>9650</v>
      </c>
      <c r="M17" t="s">
        <v>8</v>
      </c>
      <c r="N17" t="s">
        <v>8</v>
      </c>
      <c r="O17">
        <v>0.2</v>
      </c>
      <c r="P17" s="2">
        <v>1500</v>
      </c>
      <c r="Q17" t="s">
        <v>8</v>
      </c>
      <c r="R17" t="s">
        <v>8</v>
      </c>
      <c r="S17" t="s">
        <v>8</v>
      </c>
      <c r="T17" t="s">
        <v>8</v>
      </c>
      <c r="U17" t="s">
        <v>8</v>
      </c>
      <c r="V17" t="s">
        <v>8</v>
      </c>
      <c r="W17" t="s">
        <v>532</v>
      </c>
      <c r="AH17" t="s">
        <v>204</v>
      </c>
      <c r="AI17" t="s">
        <v>180</v>
      </c>
      <c r="AJ17" s="3">
        <v>43615</v>
      </c>
      <c r="AK17" t="s">
        <v>41</v>
      </c>
      <c r="AL17" s="1">
        <v>11800</v>
      </c>
      <c r="AM17">
        <v>81.099999999999994</v>
      </c>
      <c r="AN17">
        <v>159.80000000000001</v>
      </c>
      <c r="AO17">
        <v>66.5</v>
      </c>
      <c r="AP17">
        <v>76.650000000000006</v>
      </c>
      <c r="AQ17">
        <v>136</v>
      </c>
      <c r="AR17" s="2" t="s">
        <v>636</v>
      </c>
      <c r="AS17" t="s">
        <v>637</v>
      </c>
      <c r="AT17">
        <v>11945.7</v>
      </c>
    </row>
    <row r="18" spans="1:46" x14ac:dyDescent="0.35">
      <c r="A18" t="s">
        <v>532</v>
      </c>
      <c r="B18" s="2">
        <v>1200</v>
      </c>
      <c r="C18" s="2">
        <v>-65250</v>
      </c>
      <c r="D18" s="2">
        <v>1024</v>
      </c>
      <c r="E18" t="s">
        <v>8</v>
      </c>
      <c r="F18" s="1">
        <v>2249.3000000000002</v>
      </c>
      <c r="G18">
        <v>88.9</v>
      </c>
      <c r="H18" s="2">
        <v>1050</v>
      </c>
      <c r="I18" s="1">
        <v>2239.1999999999998</v>
      </c>
      <c r="J18" s="1">
        <v>2249.3000000000002</v>
      </c>
      <c r="K18" s="2">
        <v>2625</v>
      </c>
      <c r="L18">
        <v>9700</v>
      </c>
      <c r="M18" t="s">
        <v>8</v>
      </c>
      <c r="N18" t="s">
        <v>8</v>
      </c>
      <c r="O18">
        <v>0.05</v>
      </c>
      <c r="P18" s="2">
        <v>6450</v>
      </c>
      <c r="Q18">
        <v>-0.1</v>
      </c>
      <c r="R18">
        <v>0.05</v>
      </c>
      <c r="S18" t="s">
        <v>8</v>
      </c>
      <c r="T18">
        <v>334</v>
      </c>
      <c r="U18" s="2">
        <v>-18000</v>
      </c>
      <c r="V18" s="2">
        <v>31500</v>
      </c>
      <c r="W18" t="s">
        <v>532</v>
      </c>
      <c r="AH18" t="s">
        <v>204</v>
      </c>
      <c r="AI18" t="s">
        <v>180</v>
      </c>
      <c r="AJ18" s="3">
        <v>43615</v>
      </c>
      <c r="AK18" t="s">
        <v>42</v>
      </c>
      <c r="AL18" s="1">
        <v>11700</v>
      </c>
      <c r="AM18">
        <v>1.4</v>
      </c>
      <c r="AN18">
        <v>1.7</v>
      </c>
      <c r="AO18">
        <v>0.05</v>
      </c>
      <c r="AP18">
        <v>4.0999999999999996</v>
      </c>
      <c r="AQ18">
        <v>0.05</v>
      </c>
      <c r="AR18" s="2">
        <v>89124</v>
      </c>
      <c r="AS18" t="s">
        <v>638</v>
      </c>
      <c r="AT18">
        <v>11945.7</v>
      </c>
    </row>
    <row r="19" spans="1:46" x14ac:dyDescent="0.35">
      <c r="A19" t="s">
        <v>532</v>
      </c>
      <c r="B19" t="s">
        <v>8</v>
      </c>
      <c r="C19" t="s">
        <v>8</v>
      </c>
      <c r="D19" t="s">
        <v>8</v>
      </c>
      <c r="E19" t="s">
        <v>8</v>
      </c>
      <c r="F19" t="s">
        <v>8</v>
      </c>
      <c r="G19" t="s">
        <v>8</v>
      </c>
      <c r="H19">
        <v>375</v>
      </c>
      <c r="I19" s="1">
        <v>2056.75</v>
      </c>
      <c r="J19" s="1">
        <v>2249.85</v>
      </c>
      <c r="K19">
        <v>75</v>
      </c>
      <c r="L19">
        <v>9750</v>
      </c>
      <c r="M19" t="s">
        <v>8</v>
      </c>
      <c r="N19" t="s">
        <v>8</v>
      </c>
      <c r="O19">
        <v>0.1</v>
      </c>
      <c r="P19">
        <v>75</v>
      </c>
      <c r="Q19" t="s">
        <v>8</v>
      </c>
      <c r="R19">
        <v>0.1</v>
      </c>
      <c r="S19" t="s">
        <v>8</v>
      </c>
      <c r="T19" t="s">
        <v>8</v>
      </c>
      <c r="U19" t="s">
        <v>8</v>
      </c>
      <c r="V19">
        <v>75</v>
      </c>
      <c r="W19" t="s">
        <v>532</v>
      </c>
      <c r="AH19" t="s">
        <v>204</v>
      </c>
      <c r="AI19" t="s">
        <v>180</v>
      </c>
      <c r="AJ19" s="3">
        <v>43615</v>
      </c>
      <c r="AK19" t="s">
        <v>41</v>
      </c>
      <c r="AL19" s="1">
        <v>12100</v>
      </c>
      <c r="AM19">
        <v>0.55000000000000004</v>
      </c>
      <c r="AN19">
        <v>0.6</v>
      </c>
      <c r="AO19">
        <v>0.05</v>
      </c>
      <c r="AP19">
        <v>1.75</v>
      </c>
      <c r="AQ19">
        <v>0.05</v>
      </c>
      <c r="AR19" s="2">
        <v>81652</v>
      </c>
      <c r="AS19" s="1" t="s">
        <v>639</v>
      </c>
      <c r="AT19">
        <v>11945.7</v>
      </c>
    </row>
    <row r="20" spans="1:46" x14ac:dyDescent="0.35">
      <c r="A20" t="s">
        <v>532</v>
      </c>
      <c r="B20">
        <v>675</v>
      </c>
      <c r="C20" s="2">
        <v>-11100</v>
      </c>
      <c r="D20">
        <v>168</v>
      </c>
      <c r="E20" t="s">
        <v>8</v>
      </c>
      <c r="F20" s="1">
        <v>2145</v>
      </c>
      <c r="G20">
        <v>85.9</v>
      </c>
      <c r="H20">
        <v>450</v>
      </c>
      <c r="I20" s="1">
        <v>2145</v>
      </c>
      <c r="J20" s="1">
        <v>2147.65</v>
      </c>
      <c r="K20">
        <v>75</v>
      </c>
      <c r="L20">
        <v>9800</v>
      </c>
      <c r="M20" t="s">
        <v>8</v>
      </c>
      <c r="N20" t="s">
        <v>8</v>
      </c>
      <c r="O20">
        <v>0.05</v>
      </c>
      <c r="P20" s="2">
        <v>9675</v>
      </c>
      <c r="Q20">
        <v>-0.1</v>
      </c>
      <c r="R20">
        <v>0.1</v>
      </c>
      <c r="S20" t="s">
        <v>8</v>
      </c>
      <c r="T20">
        <v>142</v>
      </c>
      <c r="U20" s="2">
        <v>-6000</v>
      </c>
      <c r="V20" s="2">
        <v>33225</v>
      </c>
      <c r="W20" t="s">
        <v>532</v>
      </c>
      <c r="AH20" t="s">
        <v>204</v>
      </c>
      <c r="AI20" t="s">
        <v>180</v>
      </c>
      <c r="AJ20" s="3">
        <v>43622</v>
      </c>
      <c r="AK20" t="s">
        <v>41</v>
      </c>
      <c r="AL20" s="1">
        <v>12000</v>
      </c>
      <c r="AM20" s="1">
        <v>48.9</v>
      </c>
      <c r="AN20" s="1">
        <v>74.349999999999994</v>
      </c>
      <c r="AO20" s="1">
        <v>39.75</v>
      </c>
      <c r="AP20" s="1">
        <v>46.7</v>
      </c>
      <c r="AQ20" s="1">
        <v>65.099999999999994</v>
      </c>
      <c r="AR20" s="2">
        <v>70962</v>
      </c>
      <c r="AS20" s="1" t="s">
        <v>640</v>
      </c>
      <c r="AT20">
        <v>11945.7</v>
      </c>
    </row>
    <row r="21" spans="1:46" x14ac:dyDescent="0.35">
      <c r="A21" t="s">
        <v>532</v>
      </c>
      <c r="B21" s="2" t="s">
        <v>8</v>
      </c>
      <c r="C21" s="2" t="s">
        <v>8</v>
      </c>
      <c r="D21" t="s">
        <v>8</v>
      </c>
      <c r="E21" t="s">
        <v>8</v>
      </c>
      <c r="F21" s="1" t="s">
        <v>8</v>
      </c>
      <c r="G21" t="s">
        <v>8</v>
      </c>
      <c r="H21" s="2">
        <v>375</v>
      </c>
      <c r="I21" s="1">
        <v>1963.8</v>
      </c>
      <c r="J21" s="1">
        <v>2149.9</v>
      </c>
      <c r="K21" s="2">
        <v>3000</v>
      </c>
      <c r="L21">
        <v>9850</v>
      </c>
      <c r="M21" s="2" t="s">
        <v>8</v>
      </c>
      <c r="N21" t="s">
        <v>8</v>
      </c>
      <c r="O21">
        <v>0.2</v>
      </c>
      <c r="P21" s="2">
        <v>1500</v>
      </c>
      <c r="Q21" t="s">
        <v>8</v>
      </c>
      <c r="R21" t="s">
        <v>8</v>
      </c>
      <c r="S21" t="s">
        <v>8</v>
      </c>
      <c r="T21" s="2" t="s">
        <v>8</v>
      </c>
      <c r="U21" s="2" t="s">
        <v>8</v>
      </c>
      <c r="V21" s="2" t="s">
        <v>8</v>
      </c>
      <c r="W21" t="s">
        <v>532</v>
      </c>
      <c r="AH21" t="s">
        <v>204</v>
      </c>
      <c r="AI21" t="s">
        <v>180</v>
      </c>
      <c r="AJ21" s="3">
        <v>43622</v>
      </c>
      <c r="AK21" t="s">
        <v>42</v>
      </c>
      <c r="AL21" s="1">
        <v>11800</v>
      </c>
      <c r="AM21">
        <v>78.349999999999994</v>
      </c>
      <c r="AN21">
        <v>78.349999999999994</v>
      </c>
      <c r="AO21">
        <v>28</v>
      </c>
      <c r="AP21">
        <v>65.150000000000006</v>
      </c>
      <c r="AQ21">
        <v>34.65</v>
      </c>
      <c r="AR21" s="2">
        <v>62447</v>
      </c>
      <c r="AS21" s="1" t="s">
        <v>641</v>
      </c>
      <c r="AT21">
        <v>11945.7</v>
      </c>
    </row>
    <row r="22" spans="1:46" x14ac:dyDescent="0.35">
      <c r="A22" t="s">
        <v>532</v>
      </c>
      <c r="B22" s="2">
        <v>225</v>
      </c>
      <c r="C22" s="2">
        <v>-15900</v>
      </c>
      <c r="D22" s="2">
        <v>223</v>
      </c>
      <c r="E22" t="s">
        <v>8</v>
      </c>
      <c r="F22" s="1">
        <v>2052</v>
      </c>
      <c r="G22">
        <v>107.35</v>
      </c>
      <c r="H22" s="2">
        <v>150</v>
      </c>
      <c r="I22" s="1">
        <v>2031.4</v>
      </c>
      <c r="J22" s="1">
        <v>2042</v>
      </c>
      <c r="K22" s="2">
        <v>225</v>
      </c>
      <c r="L22">
        <v>9900</v>
      </c>
      <c r="M22" s="2" t="s">
        <v>8</v>
      </c>
      <c r="N22" t="s">
        <v>8</v>
      </c>
      <c r="O22">
        <v>0.05</v>
      </c>
      <c r="P22" s="2">
        <v>150</v>
      </c>
      <c r="Q22">
        <v>-0.1</v>
      </c>
      <c r="R22">
        <v>0.05</v>
      </c>
      <c r="S22" t="s">
        <v>8</v>
      </c>
      <c r="T22" s="2">
        <v>65</v>
      </c>
      <c r="U22" s="2">
        <v>-3300</v>
      </c>
      <c r="V22" s="2">
        <v>31725</v>
      </c>
      <c r="W22" t="s">
        <v>532</v>
      </c>
      <c r="AH22" t="s">
        <v>204</v>
      </c>
      <c r="AI22" t="s">
        <v>180</v>
      </c>
      <c r="AJ22" s="3">
        <v>43622</v>
      </c>
      <c r="AK22" t="s">
        <v>42</v>
      </c>
      <c r="AL22" s="1">
        <v>11900</v>
      </c>
      <c r="AM22">
        <v>100</v>
      </c>
      <c r="AN22">
        <v>104.95</v>
      </c>
      <c r="AO22">
        <v>56.7</v>
      </c>
      <c r="AP22">
        <v>108.35</v>
      </c>
      <c r="AQ22">
        <v>66.900000000000006</v>
      </c>
      <c r="AR22" s="2">
        <v>53677</v>
      </c>
      <c r="AS22" s="1" t="s">
        <v>642</v>
      </c>
      <c r="AT22">
        <v>11945.7</v>
      </c>
    </row>
    <row r="23" spans="1:46" x14ac:dyDescent="0.35">
      <c r="A23" t="s">
        <v>532</v>
      </c>
      <c r="B23" s="2" t="s">
        <v>8</v>
      </c>
      <c r="C23" t="s">
        <v>8</v>
      </c>
      <c r="D23" t="s">
        <v>8</v>
      </c>
      <c r="E23" t="s">
        <v>8</v>
      </c>
      <c r="F23" s="1" t="s">
        <v>8</v>
      </c>
      <c r="G23" t="s">
        <v>8</v>
      </c>
      <c r="H23" s="2">
        <v>375</v>
      </c>
      <c r="I23" s="1">
        <v>1870.7</v>
      </c>
      <c r="J23" s="1">
        <v>2049.9</v>
      </c>
      <c r="K23" s="2">
        <v>3000</v>
      </c>
      <c r="L23">
        <v>9950</v>
      </c>
      <c r="M23" s="2" t="s">
        <v>8</v>
      </c>
      <c r="N23" t="s">
        <v>8</v>
      </c>
      <c r="O23">
        <v>0.2</v>
      </c>
      <c r="P23" s="2">
        <v>1500</v>
      </c>
      <c r="Q23" t="s">
        <v>8</v>
      </c>
      <c r="R23" t="s">
        <v>8</v>
      </c>
      <c r="S23" t="s">
        <v>8</v>
      </c>
      <c r="T23" s="2" t="s">
        <v>8</v>
      </c>
      <c r="U23" s="2" t="s">
        <v>8</v>
      </c>
      <c r="V23" s="2" t="s">
        <v>8</v>
      </c>
      <c r="W23" t="s">
        <v>532</v>
      </c>
      <c r="AH23" t="s">
        <v>204</v>
      </c>
      <c r="AI23" t="s">
        <v>180</v>
      </c>
      <c r="AJ23" s="3">
        <v>43615</v>
      </c>
      <c r="AK23" t="s">
        <v>41</v>
      </c>
      <c r="AL23" s="1">
        <v>12200</v>
      </c>
      <c r="AM23">
        <v>0.25</v>
      </c>
      <c r="AN23">
        <v>0.4</v>
      </c>
      <c r="AO23">
        <v>0.05</v>
      </c>
      <c r="AP23">
        <v>1.1000000000000001</v>
      </c>
      <c r="AQ23">
        <v>0.05</v>
      </c>
      <c r="AR23" s="2">
        <v>49648</v>
      </c>
      <c r="AS23" s="1" t="s">
        <v>643</v>
      </c>
      <c r="AT23">
        <v>11945.7</v>
      </c>
    </row>
    <row r="24" spans="1:46" x14ac:dyDescent="0.35">
      <c r="A24" t="s">
        <v>532</v>
      </c>
      <c r="B24" s="2">
        <v>7350</v>
      </c>
      <c r="C24" s="2">
        <v>-129450</v>
      </c>
      <c r="D24" s="2">
        <v>1957</v>
      </c>
      <c r="E24" t="s">
        <v>8</v>
      </c>
      <c r="F24" s="1">
        <v>1941.05</v>
      </c>
      <c r="G24">
        <v>83.65</v>
      </c>
      <c r="H24" s="2">
        <v>375</v>
      </c>
      <c r="I24" s="1">
        <v>1931.65</v>
      </c>
      <c r="J24" s="1">
        <v>1941.45</v>
      </c>
      <c r="K24" s="2">
        <v>75</v>
      </c>
      <c r="L24">
        <v>10000</v>
      </c>
      <c r="M24" s="2" t="s">
        <v>8</v>
      </c>
      <c r="N24" t="s">
        <v>8</v>
      </c>
      <c r="O24">
        <v>0.05</v>
      </c>
      <c r="P24" s="2">
        <v>375</v>
      </c>
      <c r="Q24">
        <v>-0.5</v>
      </c>
      <c r="R24">
        <v>0.1</v>
      </c>
      <c r="S24" t="s">
        <v>8</v>
      </c>
      <c r="T24" s="2">
        <v>1839</v>
      </c>
      <c r="U24" s="2">
        <v>-16800</v>
      </c>
      <c r="V24" s="2">
        <v>873825</v>
      </c>
      <c r="W24" t="s">
        <v>532</v>
      </c>
      <c r="AH24" t="s">
        <v>204</v>
      </c>
      <c r="AI24" t="s">
        <v>180</v>
      </c>
      <c r="AJ24" s="3">
        <v>43622</v>
      </c>
      <c r="AK24" t="s">
        <v>41</v>
      </c>
      <c r="AL24" s="1">
        <v>11900</v>
      </c>
      <c r="AM24">
        <v>75</v>
      </c>
      <c r="AN24">
        <v>127.75</v>
      </c>
      <c r="AO24">
        <v>73.900000000000006</v>
      </c>
      <c r="AP24">
        <v>82.2</v>
      </c>
      <c r="AQ24">
        <v>115.3</v>
      </c>
      <c r="AR24" s="2">
        <v>45429</v>
      </c>
      <c r="AS24" s="1" t="s">
        <v>644</v>
      </c>
      <c r="AT24">
        <v>11945.7</v>
      </c>
    </row>
    <row r="25" spans="1:46" x14ac:dyDescent="0.35">
      <c r="A25" t="s">
        <v>532</v>
      </c>
      <c r="B25" s="2" t="s">
        <v>8</v>
      </c>
      <c r="C25" s="2" t="s">
        <v>8</v>
      </c>
      <c r="D25" s="2" t="s">
        <v>8</v>
      </c>
      <c r="E25" t="s">
        <v>8</v>
      </c>
      <c r="F25" s="1" t="s">
        <v>8</v>
      </c>
      <c r="G25" t="s">
        <v>8</v>
      </c>
      <c r="H25" s="2">
        <v>75</v>
      </c>
      <c r="I25" s="1">
        <v>1860.8</v>
      </c>
      <c r="J25" s="1">
        <v>1936.1</v>
      </c>
      <c r="K25" s="2">
        <v>75</v>
      </c>
      <c r="L25">
        <v>10050</v>
      </c>
      <c r="M25" s="2" t="s">
        <v>8</v>
      </c>
      <c r="N25" t="s">
        <v>8</v>
      </c>
      <c r="O25">
        <v>0.2</v>
      </c>
      <c r="P25" s="2">
        <v>1500</v>
      </c>
      <c r="Q25" t="s">
        <v>8</v>
      </c>
      <c r="R25">
        <v>0.4</v>
      </c>
      <c r="S25" t="s">
        <v>8</v>
      </c>
      <c r="T25" s="2" t="s">
        <v>8</v>
      </c>
      <c r="U25" s="2" t="s">
        <v>8</v>
      </c>
      <c r="V25" s="2">
        <v>75</v>
      </c>
      <c r="W25" t="s">
        <v>532</v>
      </c>
      <c r="AH25" t="s">
        <v>204</v>
      </c>
      <c r="AI25" t="s">
        <v>180</v>
      </c>
      <c r="AJ25" s="3">
        <v>43622</v>
      </c>
      <c r="AK25" t="s">
        <v>41</v>
      </c>
      <c r="AL25" s="1">
        <v>12100</v>
      </c>
      <c r="AM25" s="1">
        <v>23</v>
      </c>
      <c r="AN25" s="1">
        <v>38.4</v>
      </c>
      <c r="AO25" s="1">
        <v>17.399999999999999</v>
      </c>
      <c r="AP25" s="1">
        <v>25.15</v>
      </c>
      <c r="AQ25" s="1">
        <v>32</v>
      </c>
      <c r="AR25" s="2">
        <v>39277</v>
      </c>
      <c r="AS25" s="1" t="s">
        <v>645</v>
      </c>
      <c r="AT25">
        <v>11945.7</v>
      </c>
    </row>
    <row r="26" spans="1:46" x14ac:dyDescent="0.35">
      <c r="A26" t="s">
        <v>532</v>
      </c>
      <c r="B26" s="2">
        <v>225</v>
      </c>
      <c r="C26" s="2">
        <v>-750</v>
      </c>
      <c r="D26" s="2">
        <v>12</v>
      </c>
      <c r="E26" t="s">
        <v>8</v>
      </c>
      <c r="F26" s="1">
        <v>1845</v>
      </c>
      <c r="G26">
        <v>75</v>
      </c>
      <c r="H26" s="2">
        <v>150</v>
      </c>
      <c r="I26" s="1">
        <v>1831.7</v>
      </c>
      <c r="J26" s="1">
        <v>1845.35</v>
      </c>
      <c r="K26" s="2">
        <v>225</v>
      </c>
      <c r="L26">
        <v>10100</v>
      </c>
      <c r="M26" s="2" t="s">
        <v>8</v>
      </c>
      <c r="N26" t="s">
        <v>8</v>
      </c>
      <c r="O26">
        <v>0.1</v>
      </c>
      <c r="P26" s="2">
        <v>6075</v>
      </c>
      <c r="Q26">
        <v>-0.75</v>
      </c>
      <c r="R26">
        <v>0.05</v>
      </c>
      <c r="S26" t="s">
        <v>8</v>
      </c>
      <c r="T26" s="2">
        <v>558</v>
      </c>
      <c r="U26" s="2">
        <v>3300</v>
      </c>
      <c r="V26" s="2">
        <v>127350</v>
      </c>
      <c r="W26" t="s">
        <v>532</v>
      </c>
      <c r="AH26" t="s">
        <v>204</v>
      </c>
      <c r="AI26" t="s">
        <v>180</v>
      </c>
      <c r="AJ26" s="3">
        <v>43622</v>
      </c>
      <c r="AK26" t="s">
        <v>42</v>
      </c>
      <c r="AL26" s="1">
        <v>11700</v>
      </c>
      <c r="AM26">
        <v>33.4</v>
      </c>
      <c r="AN26">
        <v>35.65</v>
      </c>
      <c r="AO26">
        <v>13.9</v>
      </c>
      <c r="AP26">
        <v>36.15</v>
      </c>
      <c r="AQ26">
        <v>18.100000000000001</v>
      </c>
      <c r="AR26" s="2">
        <v>34086</v>
      </c>
      <c r="AS26" s="1" t="s">
        <v>646</v>
      </c>
      <c r="AT26">
        <v>11945.7</v>
      </c>
    </row>
    <row r="27" spans="1:46" x14ac:dyDescent="0.35">
      <c r="A27" t="s">
        <v>532</v>
      </c>
      <c r="B27" s="2" t="s">
        <v>8</v>
      </c>
      <c r="C27" s="2" t="s">
        <v>8</v>
      </c>
      <c r="D27" t="s">
        <v>8</v>
      </c>
      <c r="E27" t="s">
        <v>8</v>
      </c>
      <c r="F27" s="1" t="s">
        <v>8</v>
      </c>
      <c r="G27" t="s">
        <v>8</v>
      </c>
      <c r="H27" s="2">
        <v>4950</v>
      </c>
      <c r="I27" s="1">
        <v>1733.9</v>
      </c>
      <c r="J27" s="1">
        <v>1849.85</v>
      </c>
      <c r="K27" s="2">
        <v>75</v>
      </c>
      <c r="L27">
        <v>10150</v>
      </c>
      <c r="M27" s="2" t="s">
        <v>8</v>
      </c>
      <c r="N27" t="s">
        <v>8</v>
      </c>
      <c r="O27">
        <v>0.15</v>
      </c>
      <c r="P27" s="2">
        <v>1500</v>
      </c>
      <c r="Q27" t="s">
        <v>8</v>
      </c>
      <c r="R27" t="s">
        <v>8</v>
      </c>
      <c r="S27" t="s">
        <v>8</v>
      </c>
      <c r="T27" s="2" t="s">
        <v>8</v>
      </c>
      <c r="U27" s="2" t="s">
        <v>8</v>
      </c>
      <c r="V27" s="2" t="s">
        <v>8</v>
      </c>
      <c r="W27" t="s">
        <v>532</v>
      </c>
      <c r="AH27" t="s">
        <v>204</v>
      </c>
      <c r="AI27" t="s">
        <v>180</v>
      </c>
      <c r="AJ27" s="3">
        <v>43622</v>
      </c>
      <c r="AK27" t="s">
        <v>41</v>
      </c>
      <c r="AL27" s="1">
        <v>12200</v>
      </c>
      <c r="AM27">
        <v>7</v>
      </c>
      <c r="AN27">
        <v>18.25</v>
      </c>
      <c r="AO27">
        <v>7</v>
      </c>
      <c r="AP27">
        <v>13.15</v>
      </c>
      <c r="AQ27">
        <v>14.45</v>
      </c>
      <c r="AR27" s="2">
        <v>28064</v>
      </c>
      <c r="AS27" s="1" t="s">
        <v>647</v>
      </c>
      <c r="AT27">
        <v>11945.7</v>
      </c>
    </row>
    <row r="28" spans="1:46" x14ac:dyDescent="0.35">
      <c r="A28" t="s">
        <v>532</v>
      </c>
      <c r="B28" s="2">
        <v>225</v>
      </c>
      <c r="C28" s="2">
        <v>-1800</v>
      </c>
      <c r="D28">
        <v>31</v>
      </c>
      <c r="E28" t="s">
        <v>8</v>
      </c>
      <c r="F28" s="1">
        <v>1739.7</v>
      </c>
      <c r="G28">
        <v>93.55</v>
      </c>
      <c r="H28" s="2">
        <v>75</v>
      </c>
      <c r="I28" s="1">
        <v>1730.55</v>
      </c>
      <c r="J28" s="1">
        <v>1737.5</v>
      </c>
      <c r="K28" s="2">
        <v>75</v>
      </c>
      <c r="L28">
        <v>10200</v>
      </c>
      <c r="M28" s="2" t="s">
        <v>8</v>
      </c>
      <c r="N28" t="s">
        <v>8</v>
      </c>
      <c r="O28">
        <v>0.05</v>
      </c>
      <c r="P28" s="2">
        <v>1500</v>
      </c>
      <c r="Q28">
        <v>-0.6</v>
      </c>
      <c r="R28">
        <v>0.05</v>
      </c>
      <c r="S28" t="s">
        <v>8</v>
      </c>
      <c r="T28" s="2">
        <v>602</v>
      </c>
      <c r="U28" s="2">
        <v>8700</v>
      </c>
      <c r="V28" s="2">
        <v>140775</v>
      </c>
      <c r="W28" t="s">
        <v>532</v>
      </c>
      <c r="AH28" t="s">
        <v>204</v>
      </c>
      <c r="AI28" t="s">
        <v>180</v>
      </c>
      <c r="AJ28" s="3">
        <v>43643</v>
      </c>
      <c r="AK28" t="s">
        <v>42</v>
      </c>
      <c r="AL28" s="1">
        <v>11700</v>
      </c>
      <c r="AM28">
        <v>122.3</v>
      </c>
      <c r="AN28">
        <v>122.3</v>
      </c>
      <c r="AO28">
        <v>85.35</v>
      </c>
      <c r="AP28">
        <v>122.6</v>
      </c>
      <c r="AQ28">
        <v>92.95</v>
      </c>
      <c r="AR28" s="2">
        <v>26384</v>
      </c>
      <c r="AS28" s="1" t="s">
        <v>648</v>
      </c>
      <c r="AT28">
        <v>11945.7</v>
      </c>
    </row>
    <row r="29" spans="1:46" x14ac:dyDescent="0.35">
      <c r="A29" t="s">
        <v>532</v>
      </c>
      <c r="B29" s="2" t="s">
        <v>8</v>
      </c>
      <c r="C29" s="2" t="s">
        <v>8</v>
      </c>
      <c r="D29" s="2" t="s">
        <v>8</v>
      </c>
      <c r="E29" t="s">
        <v>8</v>
      </c>
      <c r="F29" s="1" t="s">
        <v>8</v>
      </c>
      <c r="G29" t="s">
        <v>8</v>
      </c>
      <c r="H29" s="2">
        <v>75</v>
      </c>
      <c r="I29" s="1">
        <v>1591.8</v>
      </c>
      <c r="J29" s="1">
        <v>1749.85</v>
      </c>
      <c r="K29" s="2">
        <v>75</v>
      </c>
      <c r="L29">
        <v>10250</v>
      </c>
      <c r="M29" s="2" t="s">
        <v>8</v>
      </c>
      <c r="N29" t="s">
        <v>8</v>
      </c>
      <c r="O29">
        <v>0.25</v>
      </c>
      <c r="P29" s="2">
        <v>4500</v>
      </c>
      <c r="Q29" t="s">
        <v>8</v>
      </c>
      <c r="R29" t="s">
        <v>8</v>
      </c>
      <c r="S29" t="s">
        <v>8</v>
      </c>
      <c r="T29" s="2" t="s">
        <v>8</v>
      </c>
      <c r="U29" s="2" t="s">
        <v>8</v>
      </c>
      <c r="V29" s="2" t="s">
        <v>8</v>
      </c>
      <c r="W29" t="s">
        <v>532</v>
      </c>
      <c r="AH29" t="s">
        <v>204</v>
      </c>
      <c r="AI29" t="s">
        <v>180</v>
      </c>
      <c r="AJ29" s="3">
        <v>43622</v>
      </c>
      <c r="AK29" t="s">
        <v>42</v>
      </c>
      <c r="AL29" s="1">
        <v>12000</v>
      </c>
      <c r="AM29">
        <v>162.6</v>
      </c>
      <c r="AN29">
        <v>168</v>
      </c>
      <c r="AO29">
        <v>102</v>
      </c>
      <c r="AP29">
        <v>172.75</v>
      </c>
      <c r="AQ29">
        <v>116.9</v>
      </c>
      <c r="AR29" s="2">
        <v>25514</v>
      </c>
      <c r="AS29" s="1" t="s">
        <v>649</v>
      </c>
      <c r="AT29">
        <v>11945.7</v>
      </c>
    </row>
    <row r="30" spans="1:46" x14ac:dyDescent="0.35">
      <c r="A30" t="s">
        <v>532</v>
      </c>
      <c r="B30" s="2">
        <v>1275</v>
      </c>
      <c r="C30" s="2">
        <v>-3750</v>
      </c>
      <c r="D30" s="2">
        <v>80</v>
      </c>
      <c r="E30" t="s">
        <v>8</v>
      </c>
      <c r="F30" s="1">
        <v>1647.1</v>
      </c>
      <c r="G30">
        <v>88.7</v>
      </c>
      <c r="H30" s="2">
        <v>75</v>
      </c>
      <c r="I30" s="1">
        <v>1635.15</v>
      </c>
      <c r="J30" s="1">
        <v>1645.9</v>
      </c>
      <c r="K30" s="2">
        <v>525</v>
      </c>
      <c r="L30">
        <v>10300</v>
      </c>
      <c r="M30" s="2" t="s">
        <v>8</v>
      </c>
      <c r="N30" t="s">
        <v>8</v>
      </c>
      <c r="O30">
        <v>0.05</v>
      </c>
      <c r="P30" s="2">
        <v>3825</v>
      </c>
      <c r="Q30">
        <v>-0.3</v>
      </c>
      <c r="R30">
        <v>0.05</v>
      </c>
      <c r="S30" t="s">
        <v>8</v>
      </c>
      <c r="T30" s="2">
        <v>428</v>
      </c>
      <c r="U30" s="2">
        <v>-6750</v>
      </c>
      <c r="V30" s="2">
        <v>105600</v>
      </c>
      <c r="W30" t="s">
        <v>532</v>
      </c>
      <c r="AH30" t="s">
        <v>204</v>
      </c>
      <c r="AI30" t="s">
        <v>180</v>
      </c>
      <c r="AJ30" s="3">
        <v>43643</v>
      </c>
      <c r="AK30" t="s">
        <v>42</v>
      </c>
      <c r="AL30" s="1">
        <v>11500</v>
      </c>
      <c r="AM30">
        <v>75.75</v>
      </c>
      <c r="AN30">
        <v>75.75</v>
      </c>
      <c r="AO30">
        <v>51.6</v>
      </c>
      <c r="AP30">
        <v>76.45</v>
      </c>
      <c r="AQ30">
        <v>55.9</v>
      </c>
      <c r="AR30" s="2">
        <v>23965</v>
      </c>
      <c r="AS30" s="1" t="s">
        <v>650</v>
      </c>
      <c r="AT30">
        <v>11945.7</v>
      </c>
    </row>
    <row r="31" spans="1:46" x14ac:dyDescent="0.35">
      <c r="A31" t="s">
        <v>532</v>
      </c>
      <c r="B31" s="2" t="s">
        <v>8</v>
      </c>
      <c r="C31" s="2" t="s">
        <v>8</v>
      </c>
      <c r="D31" s="2" t="s">
        <v>8</v>
      </c>
      <c r="E31" t="s">
        <v>8</v>
      </c>
      <c r="F31" s="1" t="s">
        <v>8</v>
      </c>
      <c r="G31" t="s">
        <v>8</v>
      </c>
      <c r="H31" s="2">
        <v>75</v>
      </c>
      <c r="I31" s="1">
        <v>1540.85</v>
      </c>
      <c r="J31" s="1">
        <v>1649.85</v>
      </c>
      <c r="K31" s="2">
        <v>75</v>
      </c>
      <c r="L31">
        <v>10350</v>
      </c>
      <c r="M31" s="2" t="s">
        <v>8</v>
      </c>
      <c r="N31" t="s">
        <v>8</v>
      </c>
      <c r="O31">
        <v>0.2</v>
      </c>
      <c r="P31" s="2">
        <v>1500</v>
      </c>
      <c r="Q31" t="s">
        <v>8</v>
      </c>
      <c r="R31" t="s">
        <v>8</v>
      </c>
      <c r="S31" t="s">
        <v>8</v>
      </c>
      <c r="T31" s="2" t="s">
        <v>8</v>
      </c>
      <c r="U31" s="2" t="s">
        <v>8</v>
      </c>
      <c r="V31" s="2" t="s">
        <v>8</v>
      </c>
      <c r="W31" t="s">
        <v>532</v>
      </c>
      <c r="AH31" t="s">
        <v>204</v>
      </c>
      <c r="AI31" t="s">
        <v>180</v>
      </c>
      <c r="AJ31" s="3">
        <v>43622</v>
      </c>
      <c r="AK31" t="s">
        <v>41</v>
      </c>
      <c r="AL31" s="1">
        <v>12300</v>
      </c>
      <c r="AM31">
        <v>6.9</v>
      </c>
      <c r="AN31">
        <v>8.1999999999999993</v>
      </c>
      <c r="AO31">
        <v>4.75</v>
      </c>
      <c r="AP31">
        <v>6.85</v>
      </c>
      <c r="AQ31">
        <v>6.05</v>
      </c>
      <c r="AR31" s="2">
        <v>22449</v>
      </c>
      <c r="AS31" s="1" t="s">
        <v>651</v>
      </c>
      <c r="AT31">
        <v>11945.7</v>
      </c>
    </row>
    <row r="32" spans="1:46" x14ac:dyDescent="0.35">
      <c r="A32" t="s">
        <v>532</v>
      </c>
      <c r="B32" s="2">
        <v>750</v>
      </c>
      <c r="C32" s="2">
        <v>-9900</v>
      </c>
      <c r="D32" s="2">
        <v>141</v>
      </c>
      <c r="E32" t="s">
        <v>8</v>
      </c>
      <c r="F32" s="1">
        <v>1539</v>
      </c>
      <c r="G32">
        <v>73.650000000000006</v>
      </c>
      <c r="H32" s="2">
        <v>75</v>
      </c>
      <c r="I32" s="1">
        <v>1532.2</v>
      </c>
      <c r="J32" s="1">
        <v>1540.5</v>
      </c>
      <c r="K32" s="2">
        <v>75</v>
      </c>
      <c r="L32">
        <v>10400</v>
      </c>
      <c r="M32" s="2" t="s">
        <v>8</v>
      </c>
      <c r="N32" t="s">
        <v>8</v>
      </c>
      <c r="O32">
        <v>0.05</v>
      </c>
      <c r="P32" s="2">
        <v>4275</v>
      </c>
      <c r="Q32">
        <v>-0.8</v>
      </c>
      <c r="R32">
        <v>0.05</v>
      </c>
      <c r="S32" t="s">
        <v>8</v>
      </c>
      <c r="T32" s="2">
        <v>329</v>
      </c>
      <c r="U32" s="2">
        <v>-1425</v>
      </c>
      <c r="V32" s="2">
        <v>133800</v>
      </c>
      <c r="W32" t="s">
        <v>532</v>
      </c>
      <c r="AH32" t="s">
        <v>204</v>
      </c>
      <c r="AI32" t="s">
        <v>180</v>
      </c>
      <c r="AJ32" s="3">
        <v>43643</v>
      </c>
      <c r="AK32" t="s">
        <v>41</v>
      </c>
      <c r="AL32" s="1">
        <v>12000</v>
      </c>
      <c r="AM32">
        <v>135</v>
      </c>
      <c r="AN32">
        <v>182.95</v>
      </c>
      <c r="AO32">
        <v>135</v>
      </c>
      <c r="AP32">
        <v>142.4</v>
      </c>
      <c r="AQ32">
        <v>174.75</v>
      </c>
      <c r="AR32" s="2">
        <v>21930</v>
      </c>
      <c r="AS32" s="1" t="s">
        <v>652</v>
      </c>
      <c r="AT32">
        <v>11945.7</v>
      </c>
    </row>
    <row r="33" spans="1:46" x14ac:dyDescent="0.35">
      <c r="A33" t="s">
        <v>532</v>
      </c>
      <c r="B33" s="2">
        <v>825</v>
      </c>
      <c r="C33" s="2" t="s">
        <v>8</v>
      </c>
      <c r="D33" s="2" t="s">
        <v>8</v>
      </c>
      <c r="E33" t="s">
        <v>8</v>
      </c>
      <c r="F33" s="1">
        <v>1480</v>
      </c>
      <c r="G33" t="s">
        <v>8</v>
      </c>
      <c r="H33" s="2">
        <v>3750</v>
      </c>
      <c r="I33" s="1">
        <v>1479.25</v>
      </c>
      <c r="J33" s="1">
        <v>1497.4</v>
      </c>
      <c r="K33" s="2">
        <v>75</v>
      </c>
      <c r="L33">
        <v>10450</v>
      </c>
      <c r="M33" s="2" t="s">
        <v>8</v>
      </c>
      <c r="N33" t="s">
        <v>8</v>
      </c>
      <c r="O33">
        <v>0.15</v>
      </c>
      <c r="P33" s="2">
        <v>525</v>
      </c>
      <c r="Q33" t="s">
        <v>8</v>
      </c>
      <c r="R33">
        <v>0.25</v>
      </c>
      <c r="S33" t="s">
        <v>8</v>
      </c>
      <c r="T33" s="2" t="s">
        <v>8</v>
      </c>
      <c r="U33" s="2" t="s">
        <v>8</v>
      </c>
      <c r="V33" s="2">
        <v>750</v>
      </c>
      <c r="W33" t="s">
        <v>532</v>
      </c>
      <c r="AH33" t="s">
        <v>204</v>
      </c>
      <c r="AI33" t="s">
        <v>180</v>
      </c>
      <c r="AJ33" s="3">
        <v>43643</v>
      </c>
      <c r="AK33" t="s">
        <v>42</v>
      </c>
      <c r="AL33" s="1">
        <v>11900</v>
      </c>
      <c r="AM33">
        <v>183.4</v>
      </c>
      <c r="AN33">
        <v>189.4</v>
      </c>
      <c r="AO33">
        <v>141.30000000000001</v>
      </c>
      <c r="AP33">
        <v>193.15</v>
      </c>
      <c r="AQ33">
        <v>152.05000000000001</v>
      </c>
      <c r="AR33" s="2">
        <v>21825</v>
      </c>
      <c r="AS33" s="1" t="s">
        <v>653</v>
      </c>
      <c r="AT33">
        <v>11945.7</v>
      </c>
    </row>
    <row r="34" spans="1:46" x14ac:dyDescent="0.35">
      <c r="A34" t="s">
        <v>532</v>
      </c>
      <c r="B34" s="2">
        <v>2775</v>
      </c>
      <c r="C34" s="2">
        <v>-51600</v>
      </c>
      <c r="D34" s="2">
        <v>720</v>
      </c>
      <c r="E34" t="s">
        <v>8</v>
      </c>
      <c r="F34" s="1">
        <v>1432.7</v>
      </c>
      <c r="G34">
        <v>74.599999999999994</v>
      </c>
      <c r="H34" s="2">
        <v>150</v>
      </c>
      <c r="I34" s="1">
        <v>1431.75</v>
      </c>
      <c r="J34" s="1">
        <v>1447.85</v>
      </c>
      <c r="K34" s="2">
        <v>3675</v>
      </c>
      <c r="L34">
        <v>10500</v>
      </c>
      <c r="M34" s="2" t="s">
        <v>8</v>
      </c>
      <c r="N34" t="s">
        <v>8</v>
      </c>
      <c r="O34">
        <v>0.05</v>
      </c>
      <c r="P34" s="2">
        <v>4650</v>
      </c>
      <c r="Q34">
        <v>-0.75</v>
      </c>
      <c r="R34">
        <v>0.05</v>
      </c>
      <c r="S34" t="s">
        <v>8</v>
      </c>
      <c r="T34" s="2">
        <v>2958</v>
      </c>
      <c r="U34" s="2">
        <v>-87750</v>
      </c>
      <c r="V34" s="2">
        <v>1191900</v>
      </c>
      <c r="W34" t="s">
        <v>532</v>
      </c>
      <c r="AH34" t="s">
        <v>204</v>
      </c>
      <c r="AI34" t="s">
        <v>180</v>
      </c>
      <c r="AJ34" s="3">
        <v>43615</v>
      </c>
      <c r="AK34" t="s">
        <v>42</v>
      </c>
      <c r="AL34" s="1">
        <v>11600</v>
      </c>
      <c r="AM34">
        <v>0.35</v>
      </c>
      <c r="AN34">
        <v>0.4</v>
      </c>
      <c r="AO34">
        <v>0.05</v>
      </c>
      <c r="AP34">
        <v>1.65</v>
      </c>
      <c r="AQ34">
        <v>0.05</v>
      </c>
      <c r="AR34" s="2">
        <v>21742</v>
      </c>
      <c r="AS34" s="1" t="s">
        <v>654</v>
      </c>
      <c r="AT34">
        <v>11945.7</v>
      </c>
    </row>
    <row r="35" spans="1:46" x14ac:dyDescent="0.35">
      <c r="A35" t="s">
        <v>532</v>
      </c>
      <c r="B35" s="2" t="s">
        <v>8</v>
      </c>
      <c r="C35" s="2" t="s">
        <v>8</v>
      </c>
      <c r="D35" s="2" t="s">
        <v>8</v>
      </c>
      <c r="E35" t="s">
        <v>8</v>
      </c>
      <c r="F35" s="1" t="s">
        <v>8</v>
      </c>
      <c r="G35" t="s">
        <v>8</v>
      </c>
      <c r="H35" s="2">
        <v>4950</v>
      </c>
      <c r="I35" s="1">
        <v>1312.75</v>
      </c>
      <c r="J35" s="1">
        <v>1449.55</v>
      </c>
      <c r="K35" s="2">
        <v>75</v>
      </c>
      <c r="L35">
        <v>10550</v>
      </c>
      <c r="M35" s="2" t="s">
        <v>8</v>
      </c>
      <c r="N35" t="s">
        <v>8</v>
      </c>
      <c r="O35">
        <v>0.15</v>
      </c>
      <c r="P35" s="2">
        <v>1500</v>
      </c>
      <c r="Q35" t="s">
        <v>8</v>
      </c>
      <c r="R35" t="s">
        <v>8</v>
      </c>
      <c r="S35" t="s">
        <v>8</v>
      </c>
      <c r="T35" s="2" t="s">
        <v>8</v>
      </c>
      <c r="U35" s="2" t="s">
        <v>8</v>
      </c>
      <c r="V35" s="2" t="s">
        <v>8</v>
      </c>
      <c r="W35" t="s">
        <v>532</v>
      </c>
      <c r="AH35" t="s">
        <v>204</v>
      </c>
      <c r="AI35" t="s">
        <v>180</v>
      </c>
      <c r="AJ35" s="3">
        <v>43622</v>
      </c>
      <c r="AK35" t="s">
        <v>42</v>
      </c>
      <c r="AL35" s="1">
        <v>11000</v>
      </c>
      <c r="AM35">
        <v>2.4500000000000002</v>
      </c>
      <c r="AN35">
        <v>3.35</v>
      </c>
      <c r="AO35">
        <v>1.2</v>
      </c>
      <c r="AP35">
        <v>2.85</v>
      </c>
      <c r="AQ35">
        <v>2.8</v>
      </c>
      <c r="AR35" s="2">
        <v>22659</v>
      </c>
      <c r="AS35" s="1" t="s">
        <v>655</v>
      </c>
      <c r="AT35">
        <v>11945.7</v>
      </c>
    </row>
    <row r="36" spans="1:46" x14ac:dyDescent="0.35">
      <c r="A36" t="s">
        <v>532</v>
      </c>
      <c r="B36" s="2">
        <v>375</v>
      </c>
      <c r="C36" s="2">
        <v>-8700</v>
      </c>
      <c r="D36" s="2">
        <v>130</v>
      </c>
      <c r="E36" t="s">
        <v>8</v>
      </c>
      <c r="F36" s="1">
        <v>1338.8</v>
      </c>
      <c r="G36" s="1">
        <v>83.35</v>
      </c>
      <c r="H36" s="2">
        <v>75</v>
      </c>
      <c r="I36" s="1">
        <v>1341</v>
      </c>
      <c r="J36" s="1">
        <v>1347.4</v>
      </c>
      <c r="K36" s="2">
        <v>75</v>
      </c>
      <c r="L36">
        <v>10600</v>
      </c>
      <c r="M36" s="2" t="s">
        <v>8</v>
      </c>
      <c r="N36" t="s">
        <v>8</v>
      </c>
      <c r="O36">
        <v>0.05</v>
      </c>
      <c r="P36" s="2">
        <v>3300</v>
      </c>
      <c r="Q36">
        <v>-0.5</v>
      </c>
      <c r="R36">
        <v>0.05</v>
      </c>
      <c r="S36" t="s">
        <v>8</v>
      </c>
      <c r="T36" s="2">
        <v>510</v>
      </c>
      <c r="U36" s="2">
        <v>-18300</v>
      </c>
      <c r="V36" s="2">
        <v>321000</v>
      </c>
      <c r="W36" t="s">
        <v>532</v>
      </c>
      <c r="AH36" t="s">
        <v>204</v>
      </c>
      <c r="AI36" t="s">
        <v>180</v>
      </c>
      <c r="AJ36" s="3">
        <v>43622</v>
      </c>
      <c r="AK36" t="s">
        <v>41</v>
      </c>
      <c r="AL36" s="1">
        <v>11950</v>
      </c>
      <c r="AM36">
        <v>62.65</v>
      </c>
      <c r="AN36">
        <v>98.85</v>
      </c>
      <c r="AO36">
        <v>54.95</v>
      </c>
      <c r="AP36">
        <v>63.1</v>
      </c>
      <c r="AQ36">
        <v>86.8</v>
      </c>
      <c r="AR36" s="2">
        <v>20654</v>
      </c>
      <c r="AS36" s="1" t="s">
        <v>656</v>
      </c>
      <c r="AT36">
        <v>11945.7</v>
      </c>
    </row>
    <row r="37" spans="1:46" x14ac:dyDescent="0.35">
      <c r="A37" t="s">
        <v>532</v>
      </c>
      <c r="B37" s="2">
        <v>150</v>
      </c>
      <c r="C37" s="2" t="s">
        <v>8</v>
      </c>
      <c r="D37" s="2">
        <v>1</v>
      </c>
      <c r="E37" t="s">
        <v>8</v>
      </c>
      <c r="F37" s="1">
        <v>1297.1500000000001</v>
      </c>
      <c r="G37">
        <v>67.7</v>
      </c>
      <c r="H37" s="2">
        <v>75</v>
      </c>
      <c r="I37" s="1">
        <v>1219.75</v>
      </c>
      <c r="J37" s="1">
        <v>1299.3</v>
      </c>
      <c r="K37" s="2">
        <v>75</v>
      </c>
      <c r="L37">
        <v>10650</v>
      </c>
      <c r="M37" s="2" t="s">
        <v>8</v>
      </c>
      <c r="N37" t="s">
        <v>8</v>
      </c>
      <c r="O37">
        <v>0.05</v>
      </c>
      <c r="P37" s="2">
        <v>975</v>
      </c>
      <c r="Q37">
        <v>-0.15</v>
      </c>
      <c r="R37">
        <v>0.05</v>
      </c>
      <c r="S37" t="s">
        <v>8</v>
      </c>
      <c r="T37" s="2">
        <v>2</v>
      </c>
      <c r="U37" s="2" t="s">
        <v>8</v>
      </c>
      <c r="V37" s="2">
        <v>675</v>
      </c>
      <c r="W37" t="s">
        <v>532</v>
      </c>
      <c r="AH37" t="s">
        <v>204</v>
      </c>
      <c r="AI37" t="s">
        <v>180</v>
      </c>
      <c r="AJ37" s="3">
        <v>43615</v>
      </c>
      <c r="AK37" t="s">
        <v>42</v>
      </c>
      <c r="AL37" s="1">
        <v>11500</v>
      </c>
      <c r="AM37">
        <v>0.3</v>
      </c>
      <c r="AN37">
        <v>0.55000000000000004</v>
      </c>
      <c r="AO37">
        <v>0.05</v>
      </c>
      <c r="AP37">
        <v>1.45</v>
      </c>
      <c r="AQ37">
        <v>0.05</v>
      </c>
      <c r="AR37" s="2">
        <v>21579</v>
      </c>
      <c r="AS37" s="1" t="s">
        <v>657</v>
      </c>
      <c r="AT37">
        <v>11945.7</v>
      </c>
    </row>
    <row r="38" spans="1:46" x14ac:dyDescent="0.35">
      <c r="A38" t="s">
        <v>532</v>
      </c>
      <c r="B38" s="2">
        <v>300</v>
      </c>
      <c r="C38" s="2">
        <v>-12675</v>
      </c>
      <c r="D38" s="2">
        <v>196</v>
      </c>
      <c r="E38" t="s">
        <v>8</v>
      </c>
      <c r="F38" s="1">
        <v>1235</v>
      </c>
      <c r="G38">
        <v>76.8</v>
      </c>
      <c r="H38" s="2">
        <v>75</v>
      </c>
      <c r="I38" s="1">
        <v>1235</v>
      </c>
      <c r="J38" s="1">
        <v>1243.5</v>
      </c>
      <c r="K38" s="2">
        <v>75</v>
      </c>
      <c r="L38">
        <v>10700</v>
      </c>
      <c r="M38" s="2" t="s">
        <v>8</v>
      </c>
      <c r="N38" t="s">
        <v>8</v>
      </c>
      <c r="O38">
        <v>0.05</v>
      </c>
      <c r="P38" s="2">
        <v>2100</v>
      </c>
      <c r="Q38">
        <v>-0.7</v>
      </c>
      <c r="R38">
        <v>0.05</v>
      </c>
      <c r="S38" t="s">
        <v>8</v>
      </c>
      <c r="T38" s="2">
        <v>1429</v>
      </c>
      <c r="U38" s="2">
        <v>-15300</v>
      </c>
      <c r="V38" s="2">
        <v>261675</v>
      </c>
      <c r="W38" t="s">
        <v>532</v>
      </c>
      <c r="AH38" t="s">
        <v>204</v>
      </c>
      <c r="AI38" t="s">
        <v>180</v>
      </c>
      <c r="AJ38" s="3">
        <v>43615</v>
      </c>
      <c r="AK38" t="s">
        <v>41</v>
      </c>
      <c r="AL38" s="1">
        <v>11700</v>
      </c>
      <c r="AM38">
        <v>167.4</v>
      </c>
      <c r="AN38">
        <v>257.39999999999998</v>
      </c>
      <c r="AO38">
        <v>156.65</v>
      </c>
      <c r="AP38">
        <v>164.05</v>
      </c>
      <c r="AQ38">
        <v>240.35</v>
      </c>
      <c r="AR38" s="2">
        <v>20585</v>
      </c>
      <c r="AS38" s="1" t="s">
        <v>658</v>
      </c>
      <c r="AT38">
        <v>11945.7</v>
      </c>
    </row>
    <row r="39" spans="1:46" x14ac:dyDescent="0.35">
      <c r="A39" t="s">
        <v>532</v>
      </c>
      <c r="B39" s="2">
        <v>75</v>
      </c>
      <c r="C39" s="2" t="s">
        <v>8</v>
      </c>
      <c r="D39" s="2" t="s">
        <v>8</v>
      </c>
      <c r="E39" t="s">
        <v>8</v>
      </c>
      <c r="F39" s="1">
        <v>1159.6500000000001</v>
      </c>
      <c r="G39" t="s">
        <v>8</v>
      </c>
      <c r="H39" s="2">
        <v>75</v>
      </c>
      <c r="I39" s="1">
        <v>1182.8499999999999</v>
      </c>
      <c r="J39" s="1">
        <v>1220.6500000000001</v>
      </c>
      <c r="K39" s="2">
        <v>75</v>
      </c>
      <c r="L39">
        <v>10750</v>
      </c>
      <c r="M39" s="2" t="s">
        <v>8</v>
      </c>
      <c r="N39" t="s">
        <v>8</v>
      </c>
      <c r="O39">
        <v>0.05</v>
      </c>
      <c r="P39" s="2">
        <v>5100</v>
      </c>
      <c r="Q39">
        <v>-1</v>
      </c>
      <c r="R39">
        <v>0.05</v>
      </c>
      <c r="S39" t="s">
        <v>8</v>
      </c>
      <c r="T39" s="2">
        <v>163</v>
      </c>
      <c r="U39" s="2">
        <v>-2175</v>
      </c>
      <c r="V39" s="2">
        <v>2850</v>
      </c>
      <c r="W39" t="s">
        <v>532</v>
      </c>
      <c r="AH39" t="s">
        <v>204</v>
      </c>
      <c r="AI39" t="s">
        <v>180</v>
      </c>
      <c r="AJ39" s="3">
        <v>43622</v>
      </c>
      <c r="AK39" t="s">
        <v>42</v>
      </c>
      <c r="AL39" s="1">
        <v>11600</v>
      </c>
      <c r="AM39">
        <v>17</v>
      </c>
      <c r="AN39">
        <v>20.05</v>
      </c>
      <c r="AO39">
        <v>7.9</v>
      </c>
      <c r="AP39">
        <v>19.8</v>
      </c>
      <c r="AQ39">
        <v>9.6999999999999993</v>
      </c>
      <c r="AR39" s="2">
        <v>20949</v>
      </c>
      <c r="AS39" s="1" t="s">
        <v>659</v>
      </c>
      <c r="AT39">
        <v>11945.7</v>
      </c>
    </row>
    <row r="40" spans="1:46" x14ac:dyDescent="0.35">
      <c r="A40" t="s">
        <v>532</v>
      </c>
      <c r="B40" s="2">
        <v>2325</v>
      </c>
      <c r="C40" s="2">
        <v>-19275</v>
      </c>
      <c r="D40" s="2">
        <v>333</v>
      </c>
      <c r="E40" t="s">
        <v>8</v>
      </c>
      <c r="F40" s="1">
        <v>1140.8499999999999</v>
      </c>
      <c r="G40">
        <v>85.55</v>
      </c>
      <c r="H40" s="2">
        <v>75</v>
      </c>
      <c r="I40" s="1">
        <v>1136.4000000000001</v>
      </c>
      <c r="J40" s="1">
        <v>1141.45</v>
      </c>
      <c r="K40" s="2">
        <v>75</v>
      </c>
      <c r="L40">
        <v>10800</v>
      </c>
      <c r="M40" s="2" t="s">
        <v>8</v>
      </c>
      <c r="N40" t="s">
        <v>8</v>
      </c>
      <c r="O40">
        <v>0.1</v>
      </c>
      <c r="P40" s="2">
        <v>6375</v>
      </c>
      <c r="Q40">
        <v>-0.9</v>
      </c>
      <c r="R40">
        <v>0.05</v>
      </c>
      <c r="S40" t="s">
        <v>8</v>
      </c>
      <c r="T40" s="2">
        <v>7734</v>
      </c>
      <c r="U40" s="2">
        <v>131025</v>
      </c>
      <c r="V40" s="2">
        <v>854325</v>
      </c>
      <c r="W40" t="s">
        <v>532</v>
      </c>
      <c r="AH40" t="s">
        <v>204</v>
      </c>
      <c r="AI40" t="s">
        <v>180</v>
      </c>
      <c r="AJ40" s="3">
        <v>43615</v>
      </c>
      <c r="AK40" t="s">
        <v>41</v>
      </c>
      <c r="AL40" s="1">
        <v>13000</v>
      </c>
      <c r="AM40">
        <v>0.1</v>
      </c>
      <c r="AN40">
        <v>0.2</v>
      </c>
      <c r="AO40">
        <v>0.05</v>
      </c>
      <c r="AP40">
        <v>0.5</v>
      </c>
      <c r="AQ40">
        <v>0.05</v>
      </c>
      <c r="AR40" s="2">
        <v>18100</v>
      </c>
      <c r="AS40" s="1" t="s">
        <v>660</v>
      </c>
      <c r="AT40">
        <v>11945.7</v>
      </c>
    </row>
    <row r="41" spans="1:46" x14ac:dyDescent="0.35">
      <c r="A41" t="s">
        <v>532</v>
      </c>
      <c r="B41" s="2" t="s">
        <v>8</v>
      </c>
      <c r="C41" s="2">
        <v>-75</v>
      </c>
      <c r="D41" s="2">
        <v>1</v>
      </c>
      <c r="E41" t="s">
        <v>8</v>
      </c>
      <c r="F41" s="1">
        <v>1092.7</v>
      </c>
      <c r="G41">
        <v>29.9</v>
      </c>
      <c r="H41" s="2">
        <v>75</v>
      </c>
      <c r="I41" s="1">
        <v>1070.4000000000001</v>
      </c>
      <c r="J41" s="1">
        <v>1119.8</v>
      </c>
      <c r="K41" s="2">
        <v>75</v>
      </c>
      <c r="L41">
        <v>10850</v>
      </c>
      <c r="M41" s="2" t="s">
        <v>8</v>
      </c>
      <c r="N41" t="s">
        <v>8</v>
      </c>
      <c r="O41">
        <v>0.15</v>
      </c>
      <c r="P41" s="2">
        <v>150</v>
      </c>
      <c r="Q41">
        <v>-0.45</v>
      </c>
      <c r="R41">
        <v>0.05</v>
      </c>
      <c r="S41" t="s">
        <v>8</v>
      </c>
      <c r="T41" s="2">
        <v>157</v>
      </c>
      <c r="U41" s="2">
        <v>1125</v>
      </c>
      <c r="V41" s="2">
        <v>4275</v>
      </c>
      <c r="W41" t="s">
        <v>532</v>
      </c>
      <c r="AH41" t="s">
        <v>204</v>
      </c>
      <c r="AI41" t="s">
        <v>180</v>
      </c>
      <c r="AJ41" s="3">
        <v>43643</v>
      </c>
      <c r="AK41" t="s">
        <v>41</v>
      </c>
      <c r="AL41" s="1">
        <v>12300</v>
      </c>
      <c r="AM41">
        <v>41.95</v>
      </c>
      <c r="AN41">
        <v>58.4</v>
      </c>
      <c r="AO41">
        <v>39.549999999999997</v>
      </c>
      <c r="AP41">
        <v>42.95</v>
      </c>
      <c r="AQ41">
        <v>54.7</v>
      </c>
      <c r="AR41" s="2">
        <v>18742</v>
      </c>
      <c r="AS41" s="1" t="s">
        <v>661</v>
      </c>
      <c r="AT41">
        <v>11945.7</v>
      </c>
    </row>
    <row r="42" spans="1:46" x14ac:dyDescent="0.35">
      <c r="A42" t="s">
        <v>532</v>
      </c>
      <c r="B42" s="2">
        <v>450</v>
      </c>
      <c r="C42" s="2">
        <v>-13050</v>
      </c>
      <c r="D42" s="2">
        <v>208</v>
      </c>
      <c r="E42" t="s">
        <v>8</v>
      </c>
      <c r="F42" s="1">
        <v>1040</v>
      </c>
      <c r="G42">
        <v>83.3</v>
      </c>
      <c r="H42" s="2">
        <v>375</v>
      </c>
      <c r="I42" s="1">
        <v>1033</v>
      </c>
      <c r="J42" s="1">
        <v>1040</v>
      </c>
      <c r="K42" s="2">
        <v>150</v>
      </c>
      <c r="L42">
        <v>10900</v>
      </c>
      <c r="M42" s="2" t="s">
        <v>8</v>
      </c>
      <c r="N42" t="s">
        <v>8</v>
      </c>
      <c r="O42">
        <v>0.05</v>
      </c>
      <c r="P42" s="2">
        <v>300</v>
      </c>
      <c r="Q42">
        <v>-0.8</v>
      </c>
      <c r="R42">
        <v>0.05</v>
      </c>
      <c r="S42" t="s">
        <v>8</v>
      </c>
      <c r="T42" s="2">
        <v>2052</v>
      </c>
      <c r="U42" s="2">
        <v>-35700</v>
      </c>
      <c r="V42" s="2">
        <v>482100</v>
      </c>
      <c r="W42" t="s">
        <v>532</v>
      </c>
      <c r="AH42" t="s">
        <v>204</v>
      </c>
      <c r="AI42" t="s">
        <v>180</v>
      </c>
      <c r="AJ42" s="3">
        <v>43643</v>
      </c>
      <c r="AK42" t="s">
        <v>41</v>
      </c>
      <c r="AL42" s="1">
        <v>12500</v>
      </c>
      <c r="AM42" s="1">
        <v>11.95</v>
      </c>
      <c r="AN42" s="1">
        <v>21.55</v>
      </c>
      <c r="AO42" s="1">
        <v>11.95</v>
      </c>
      <c r="AP42" s="1">
        <v>19.649999999999999</v>
      </c>
      <c r="AQ42" s="1">
        <v>19.45</v>
      </c>
      <c r="AR42" s="2">
        <v>17064</v>
      </c>
      <c r="AS42" s="1" t="s">
        <v>662</v>
      </c>
      <c r="AT42">
        <v>11945.7</v>
      </c>
    </row>
    <row r="43" spans="1:46" x14ac:dyDescent="0.35">
      <c r="A43" t="s">
        <v>532</v>
      </c>
      <c r="B43" s="2">
        <v>300</v>
      </c>
      <c r="C43" s="2" t="s">
        <v>8</v>
      </c>
      <c r="D43" s="2">
        <v>10</v>
      </c>
      <c r="E43" t="s">
        <v>8</v>
      </c>
      <c r="F43" s="1">
        <v>997.3</v>
      </c>
      <c r="G43">
        <v>59.3</v>
      </c>
      <c r="H43" s="2">
        <v>75</v>
      </c>
      <c r="I43" s="1">
        <v>980.4</v>
      </c>
      <c r="J43" s="1">
        <v>997.35</v>
      </c>
      <c r="K43" s="2">
        <v>1500</v>
      </c>
      <c r="L43">
        <v>10950</v>
      </c>
      <c r="M43" s="2" t="s">
        <v>8</v>
      </c>
      <c r="N43" t="s">
        <v>8</v>
      </c>
      <c r="O43">
        <v>0.1</v>
      </c>
      <c r="P43" s="2">
        <v>1500</v>
      </c>
      <c r="Q43">
        <v>-0.2</v>
      </c>
      <c r="R43">
        <v>0.15</v>
      </c>
      <c r="S43" t="s">
        <v>8</v>
      </c>
      <c r="T43" s="2">
        <v>3</v>
      </c>
      <c r="U43" s="2" t="s">
        <v>8</v>
      </c>
      <c r="V43" s="2">
        <v>3150</v>
      </c>
      <c r="W43" t="s">
        <v>532</v>
      </c>
      <c r="AH43" t="s">
        <v>204</v>
      </c>
      <c r="AI43" t="s">
        <v>180</v>
      </c>
      <c r="AJ43" s="3">
        <v>43615</v>
      </c>
      <c r="AK43" t="s">
        <v>41</v>
      </c>
      <c r="AL43" s="1">
        <v>12500</v>
      </c>
      <c r="AM43" s="1">
        <v>0.05</v>
      </c>
      <c r="AN43" s="1">
        <v>0.15</v>
      </c>
      <c r="AO43" s="1">
        <v>0.05</v>
      </c>
      <c r="AP43" s="1">
        <v>0.55000000000000004</v>
      </c>
      <c r="AQ43" s="1">
        <v>0.05</v>
      </c>
      <c r="AR43" s="2">
        <v>17006</v>
      </c>
      <c r="AS43" s="1" t="s">
        <v>663</v>
      </c>
      <c r="AT43">
        <v>11945.7</v>
      </c>
    </row>
    <row r="44" spans="1:46" x14ac:dyDescent="0.35">
      <c r="A44" t="s">
        <v>532</v>
      </c>
      <c r="B44" s="2">
        <v>24000</v>
      </c>
      <c r="C44" s="2">
        <v>-124125</v>
      </c>
      <c r="D44" s="2">
        <v>1956</v>
      </c>
      <c r="E44" t="s">
        <v>8</v>
      </c>
      <c r="F44" s="1">
        <v>947.35</v>
      </c>
      <c r="G44">
        <v>89.45</v>
      </c>
      <c r="H44" s="2">
        <v>300</v>
      </c>
      <c r="I44" s="1">
        <v>946</v>
      </c>
      <c r="J44" s="1">
        <v>947.2</v>
      </c>
      <c r="K44" s="2">
        <v>4425</v>
      </c>
      <c r="L44">
        <v>11000</v>
      </c>
      <c r="M44" s="2" t="s">
        <v>8</v>
      </c>
      <c r="N44" t="s">
        <v>8</v>
      </c>
      <c r="O44">
        <v>0.1</v>
      </c>
      <c r="P44" s="2">
        <v>14175</v>
      </c>
      <c r="Q44">
        <v>-0.85</v>
      </c>
      <c r="R44">
        <v>0.05</v>
      </c>
      <c r="S44" t="s">
        <v>8</v>
      </c>
      <c r="T44" s="2">
        <v>12070</v>
      </c>
      <c r="U44" s="2">
        <v>-87300</v>
      </c>
      <c r="V44" s="2">
        <v>3292500</v>
      </c>
      <c r="W44" t="s">
        <v>532</v>
      </c>
      <c r="AH44" t="s">
        <v>204</v>
      </c>
      <c r="AI44" t="s">
        <v>180</v>
      </c>
      <c r="AJ44" s="3">
        <v>43643</v>
      </c>
      <c r="AK44" t="s">
        <v>41</v>
      </c>
      <c r="AL44" s="1">
        <v>12400</v>
      </c>
      <c r="AM44" s="1">
        <v>26.75</v>
      </c>
      <c r="AN44" s="1">
        <v>35.450000000000003</v>
      </c>
      <c r="AO44" s="1">
        <v>24.25</v>
      </c>
      <c r="AP44" s="1">
        <v>27.35</v>
      </c>
      <c r="AQ44" s="1">
        <v>32.4</v>
      </c>
      <c r="AR44" s="2">
        <v>16731</v>
      </c>
      <c r="AS44" s="1" t="s">
        <v>664</v>
      </c>
      <c r="AT44">
        <v>11945.7</v>
      </c>
    </row>
    <row r="45" spans="1:46" x14ac:dyDescent="0.35">
      <c r="A45" t="s">
        <v>532</v>
      </c>
      <c r="B45" s="2">
        <v>75</v>
      </c>
      <c r="C45" s="2">
        <v>-375</v>
      </c>
      <c r="D45" s="2">
        <v>5</v>
      </c>
      <c r="E45" t="s">
        <v>8</v>
      </c>
      <c r="F45" s="1">
        <v>888.85</v>
      </c>
      <c r="G45">
        <v>88.15</v>
      </c>
      <c r="H45" s="2">
        <v>75</v>
      </c>
      <c r="I45" s="1">
        <v>880.15</v>
      </c>
      <c r="J45" s="1">
        <v>897.2</v>
      </c>
      <c r="K45" s="2">
        <v>75</v>
      </c>
      <c r="L45">
        <v>11050</v>
      </c>
      <c r="M45" s="2" t="s">
        <v>8</v>
      </c>
      <c r="N45" t="s">
        <v>8</v>
      </c>
      <c r="O45">
        <v>0.1</v>
      </c>
      <c r="P45" s="2">
        <v>1575</v>
      </c>
      <c r="Q45">
        <v>0.35</v>
      </c>
      <c r="R45">
        <v>0.7</v>
      </c>
      <c r="S45" t="s">
        <v>8</v>
      </c>
      <c r="T45" s="2" t="s">
        <v>8</v>
      </c>
      <c r="U45" s="2" t="s">
        <v>8</v>
      </c>
      <c r="V45" s="2">
        <v>7125</v>
      </c>
      <c r="W45" t="s">
        <v>532</v>
      </c>
      <c r="AH45" t="s">
        <v>204</v>
      </c>
      <c r="AI45" t="s">
        <v>180</v>
      </c>
      <c r="AJ45" s="3">
        <v>43643</v>
      </c>
      <c r="AK45" t="s">
        <v>42</v>
      </c>
      <c r="AL45" s="1">
        <v>11000</v>
      </c>
      <c r="AM45" s="1">
        <v>24.7</v>
      </c>
      <c r="AN45" s="1">
        <v>24.7</v>
      </c>
      <c r="AO45" s="1">
        <v>11.05</v>
      </c>
      <c r="AP45" s="1">
        <v>25.1</v>
      </c>
      <c r="AQ45" s="1">
        <v>16.3</v>
      </c>
      <c r="AR45" s="2">
        <v>18300</v>
      </c>
      <c r="AS45" s="1" t="s">
        <v>665</v>
      </c>
      <c r="AT45">
        <v>11945.7</v>
      </c>
    </row>
    <row r="46" spans="1:46" x14ac:dyDescent="0.35">
      <c r="A46" t="s">
        <v>532</v>
      </c>
      <c r="B46" s="2">
        <v>1725</v>
      </c>
      <c r="C46" s="2">
        <v>-12825</v>
      </c>
      <c r="D46" s="2">
        <v>219</v>
      </c>
      <c r="E46" t="s">
        <v>8</v>
      </c>
      <c r="F46" s="1">
        <v>840</v>
      </c>
      <c r="G46">
        <v>81.75</v>
      </c>
      <c r="H46" s="2">
        <v>75</v>
      </c>
      <c r="I46" s="1">
        <v>832.4</v>
      </c>
      <c r="J46" s="1">
        <v>840</v>
      </c>
      <c r="K46" s="2">
        <v>1425</v>
      </c>
      <c r="L46">
        <v>11100</v>
      </c>
      <c r="M46" s="2" t="s">
        <v>8</v>
      </c>
      <c r="N46" t="s">
        <v>8</v>
      </c>
      <c r="O46">
        <v>0.05</v>
      </c>
      <c r="P46" s="2">
        <v>825</v>
      </c>
      <c r="Q46">
        <v>-0.85</v>
      </c>
      <c r="R46">
        <v>0.05</v>
      </c>
      <c r="S46" t="s">
        <v>8</v>
      </c>
      <c r="T46" s="2">
        <v>5244</v>
      </c>
      <c r="U46" s="2">
        <v>-85425</v>
      </c>
      <c r="V46" s="2">
        <v>445050</v>
      </c>
      <c r="W46" t="s">
        <v>532</v>
      </c>
      <c r="AH46" t="s">
        <v>204</v>
      </c>
      <c r="AI46" t="s">
        <v>180</v>
      </c>
      <c r="AJ46" s="3">
        <v>43643</v>
      </c>
      <c r="AK46" t="s">
        <v>42</v>
      </c>
      <c r="AL46" s="1">
        <v>12000</v>
      </c>
      <c r="AM46">
        <v>234.05</v>
      </c>
      <c r="AN46">
        <v>242.95</v>
      </c>
      <c r="AO46">
        <v>181</v>
      </c>
      <c r="AP46">
        <v>245.15</v>
      </c>
      <c r="AQ46">
        <v>192.15</v>
      </c>
      <c r="AR46" s="2">
        <v>15121</v>
      </c>
      <c r="AS46" s="1" t="s">
        <v>666</v>
      </c>
      <c r="AT46">
        <v>11945.7</v>
      </c>
    </row>
    <row r="47" spans="1:46" x14ac:dyDescent="0.35">
      <c r="A47" t="s">
        <v>532</v>
      </c>
      <c r="B47" s="2">
        <v>750</v>
      </c>
      <c r="C47" s="2">
        <v>-600</v>
      </c>
      <c r="D47" s="2">
        <v>21</v>
      </c>
      <c r="E47" t="s">
        <v>8</v>
      </c>
      <c r="F47" s="1">
        <v>790</v>
      </c>
      <c r="G47">
        <v>94</v>
      </c>
      <c r="H47" s="2">
        <v>150</v>
      </c>
      <c r="I47" s="1">
        <v>780.9</v>
      </c>
      <c r="J47" s="1">
        <v>787</v>
      </c>
      <c r="K47" s="2">
        <v>225</v>
      </c>
      <c r="L47">
        <v>11150</v>
      </c>
      <c r="M47" s="2" t="s">
        <v>8</v>
      </c>
      <c r="N47" t="s">
        <v>8</v>
      </c>
      <c r="O47">
        <v>0.05</v>
      </c>
      <c r="P47" s="2">
        <v>300</v>
      </c>
      <c r="Q47">
        <v>-1.2</v>
      </c>
      <c r="R47">
        <v>0.05</v>
      </c>
      <c r="S47" t="s">
        <v>8</v>
      </c>
      <c r="T47" s="2">
        <v>54</v>
      </c>
      <c r="U47" s="2">
        <v>-1875</v>
      </c>
      <c r="V47" s="2">
        <v>11325</v>
      </c>
      <c r="W47" t="s">
        <v>532</v>
      </c>
      <c r="AH47" t="s">
        <v>204</v>
      </c>
      <c r="AI47" t="s">
        <v>180</v>
      </c>
      <c r="AJ47" s="3">
        <v>43643</v>
      </c>
      <c r="AK47" t="s">
        <v>41</v>
      </c>
      <c r="AL47" s="1">
        <v>12200</v>
      </c>
      <c r="AM47">
        <v>67.25</v>
      </c>
      <c r="AN47">
        <v>89.8</v>
      </c>
      <c r="AO47">
        <v>62.6</v>
      </c>
      <c r="AP47">
        <v>66.650000000000006</v>
      </c>
      <c r="AQ47">
        <v>84</v>
      </c>
      <c r="AR47" s="2">
        <v>14697</v>
      </c>
      <c r="AS47" s="1" t="s">
        <v>667</v>
      </c>
      <c r="AT47">
        <v>11945.7</v>
      </c>
    </row>
    <row r="48" spans="1:46" x14ac:dyDescent="0.35">
      <c r="A48" t="s">
        <v>532</v>
      </c>
      <c r="B48" s="2">
        <v>25050</v>
      </c>
      <c r="C48" s="2">
        <v>-43125</v>
      </c>
      <c r="D48" s="2">
        <v>772</v>
      </c>
      <c r="E48" t="s">
        <v>8</v>
      </c>
      <c r="F48" s="1">
        <v>735.05</v>
      </c>
      <c r="G48">
        <v>79.25</v>
      </c>
      <c r="H48" s="2">
        <v>75</v>
      </c>
      <c r="I48" s="1">
        <v>731.3</v>
      </c>
      <c r="J48" s="1">
        <v>735</v>
      </c>
      <c r="K48" s="2">
        <v>600</v>
      </c>
      <c r="L48">
        <v>11200</v>
      </c>
      <c r="M48" s="2" t="s">
        <v>8</v>
      </c>
      <c r="N48" t="s">
        <v>8</v>
      </c>
      <c r="O48">
        <v>0.05</v>
      </c>
      <c r="P48" s="2">
        <v>4350</v>
      </c>
      <c r="Q48">
        <v>-1</v>
      </c>
      <c r="R48">
        <v>0.05</v>
      </c>
      <c r="S48" t="s">
        <v>8</v>
      </c>
      <c r="T48" s="2">
        <v>11954</v>
      </c>
      <c r="U48" s="2">
        <v>-119925</v>
      </c>
      <c r="V48" s="2">
        <v>1249125</v>
      </c>
      <c r="W48" t="s">
        <v>532</v>
      </c>
      <c r="AH48" t="s">
        <v>204</v>
      </c>
      <c r="AI48" t="s">
        <v>180</v>
      </c>
      <c r="AJ48" s="3">
        <v>43615</v>
      </c>
      <c r="AK48" t="s">
        <v>41</v>
      </c>
      <c r="AL48" s="1">
        <v>12300</v>
      </c>
      <c r="AM48">
        <v>0.3</v>
      </c>
      <c r="AN48">
        <v>0.3</v>
      </c>
      <c r="AO48">
        <v>0.05</v>
      </c>
      <c r="AP48">
        <v>0.95</v>
      </c>
      <c r="AQ48">
        <v>0.05</v>
      </c>
      <c r="AR48" s="2">
        <v>14586</v>
      </c>
      <c r="AS48" s="1" t="s">
        <v>668</v>
      </c>
      <c r="AT48">
        <v>11945.7</v>
      </c>
    </row>
    <row r="49" spans="1:46" x14ac:dyDescent="0.35">
      <c r="A49" t="s">
        <v>532</v>
      </c>
      <c r="B49" s="2">
        <v>525</v>
      </c>
      <c r="C49" s="2">
        <v>-825</v>
      </c>
      <c r="D49" s="2">
        <v>19</v>
      </c>
      <c r="E49" t="s">
        <v>8</v>
      </c>
      <c r="F49" s="1">
        <v>701</v>
      </c>
      <c r="G49">
        <v>90.15</v>
      </c>
      <c r="H49" s="2">
        <v>75</v>
      </c>
      <c r="I49" s="1">
        <v>683.4</v>
      </c>
      <c r="J49" s="1">
        <v>697</v>
      </c>
      <c r="K49" s="2">
        <v>3750</v>
      </c>
      <c r="L49">
        <v>11250</v>
      </c>
      <c r="M49" s="2" t="s">
        <v>8</v>
      </c>
      <c r="N49" t="s">
        <v>8</v>
      </c>
      <c r="O49">
        <v>0.1</v>
      </c>
      <c r="P49" s="2">
        <v>4650</v>
      </c>
      <c r="Q49">
        <v>-0.95</v>
      </c>
      <c r="R49">
        <v>0.05</v>
      </c>
      <c r="S49" t="s">
        <v>8</v>
      </c>
      <c r="T49" s="2">
        <v>164</v>
      </c>
      <c r="U49" s="2">
        <v>1350</v>
      </c>
      <c r="V49" s="2">
        <v>12975</v>
      </c>
      <c r="W49" t="s">
        <v>532</v>
      </c>
      <c r="AH49" t="s">
        <v>204</v>
      </c>
      <c r="AI49" t="s">
        <v>180</v>
      </c>
      <c r="AJ49" s="3">
        <v>43622</v>
      </c>
      <c r="AK49" t="s">
        <v>42</v>
      </c>
      <c r="AL49" s="1">
        <v>11850</v>
      </c>
      <c r="AM49">
        <v>87</v>
      </c>
      <c r="AN49">
        <v>87</v>
      </c>
      <c r="AO49">
        <v>40.299999999999997</v>
      </c>
      <c r="AP49">
        <v>84.65</v>
      </c>
      <c r="AQ49">
        <v>48.5</v>
      </c>
      <c r="AR49" s="2">
        <v>14304</v>
      </c>
      <c r="AS49" s="1" t="s">
        <v>669</v>
      </c>
      <c r="AT49">
        <v>11945.7</v>
      </c>
    </row>
    <row r="50" spans="1:46" x14ac:dyDescent="0.35">
      <c r="A50" t="s">
        <v>532</v>
      </c>
      <c r="B50" s="2">
        <v>33825</v>
      </c>
      <c r="C50" s="2">
        <v>-338175</v>
      </c>
      <c r="D50" s="2">
        <v>5260</v>
      </c>
      <c r="E50" t="s">
        <v>8</v>
      </c>
      <c r="F50" s="1">
        <v>630.65</v>
      </c>
      <c r="G50">
        <v>73.150000000000006</v>
      </c>
      <c r="H50" s="2">
        <v>75</v>
      </c>
      <c r="I50" s="1">
        <v>630.35</v>
      </c>
      <c r="J50" s="1">
        <v>635.95000000000005</v>
      </c>
      <c r="K50" s="2">
        <v>150</v>
      </c>
      <c r="L50">
        <v>11300</v>
      </c>
      <c r="M50" s="2" t="s">
        <v>8</v>
      </c>
      <c r="N50" t="s">
        <v>8</v>
      </c>
      <c r="O50">
        <v>0.05</v>
      </c>
      <c r="P50" s="2">
        <v>1425</v>
      </c>
      <c r="Q50">
        <v>-0.95</v>
      </c>
      <c r="R50">
        <v>0.1</v>
      </c>
      <c r="S50" t="s">
        <v>8</v>
      </c>
      <c r="T50" s="2">
        <v>5191</v>
      </c>
      <c r="U50" s="2">
        <v>-100425</v>
      </c>
      <c r="V50" s="2">
        <v>711000</v>
      </c>
      <c r="W50" t="s">
        <v>532</v>
      </c>
      <c r="AH50" t="s">
        <v>204</v>
      </c>
      <c r="AI50" t="s">
        <v>180</v>
      </c>
      <c r="AJ50" s="3">
        <v>43643</v>
      </c>
      <c r="AK50" t="s">
        <v>41</v>
      </c>
      <c r="AL50" s="1">
        <v>11900</v>
      </c>
      <c r="AM50">
        <v>191.15</v>
      </c>
      <c r="AN50">
        <v>240.8</v>
      </c>
      <c r="AO50">
        <v>186</v>
      </c>
      <c r="AP50">
        <v>190.25</v>
      </c>
      <c r="AQ50">
        <v>231.35</v>
      </c>
      <c r="AR50" s="2">
        <v>13886</v>
      </c>
      <c r="AS50" s="1" t="s">
        <v>670</v>
      </c>
      <c r="AT50">
        <v>11945.7</v>
      </c>
    </row>
    <row r="51" spans="1:46" x14ac:dyDescent="0.35">
      <c r="A51" t="s">
        <v>532</v>
      </c>
      <c r="B51" s="2">
        <v>2025</v>
      </c>
      <c r="C51" s="2">
        <v>-6900</v>
      </c>
      <c r="D51" s="2">
        <v>133</v>
      </c>
      <c r="E51" t="s">
        <v>8</v>
      </c>
      <c r="F51" s="1">
        <v>590</v>
      </c>
      <c r="G51">
        <v>82.55</v>
      </c>
      <c r="H51" s="2">
        <v>75</v>
      </c>
      <c r="I51" s="1">
        <v>583.70000000000005</v>
      </c>
      <c r="J51" s="1">
        <v>587</v>
      </c>
      <c r="K51" s="2">
        <v>1725</v>
      </c>
      <c r="L51">
        <v>11350</v>
      </c>
      <c r="M51" s="2" t="s">
        <v>8</v>
      </c>
      <c r="N51" t="s">
        <v>8</v>
      </c>
      <c r="O51" s="1">
        <v>0.1</v>
      </c>
      <c r="P51" s="2">
        <v>1875</v>
      </c>
      <c r="Q51">
        <v>-0.8</v>
      </c>
      <c r="R51">
        <v>0.1</v>
      </c>
      <c r="S51" t="s">
        <v>8</v>
      </c>
      <c r="T51" s="2">
        <v>206</v>
      </c>
      <c r="U51" s="2">
        <v>-1500</v>
      </c>
      <c r="V51" s="2">
        <v>16950</v>
      </c>
      <c r="W51" t="s">
        <v>532</v>
      </c>
      <c r="AH51" t="s">
        <v>204</v>
      </c>
      <c r="AI51" t="s">
        <v>180</v>
      </c>
      <c r="AJ51" s="3">
        <v>43643</v>
      </c>
      <c r="AK51" t="s">
        <v>42</v>
      </c>
      <c r="AL51" s="1">
        <v>11600</v>
      </c>
      <c r="AM51" s="1">
        <v>90.6</v>
      </c>
      <c r="AN51" s="1">
        <v>95.55</v>
      </c>
      <c r="AO51" s="1">
        <v>67.3</v>
      </c>
      <c r="AP51" s="1">
        <v>96.4</v>
      </c>
      <c r="AQ51" s="1">
        <v>72.349999999999994</v>
      </c>
      <c r="AR51" s="2">
        <v>13279</v>
      </c>
      <c r="AS51" s="1" t="s">
        <v>671</v>
      </c>
      <c r="AT51">
        <v>11945.7</v>
      </c>
    </row>
    <row r="52" spans="1:46" x14ac:dyDescent="0.35">
      <c r="A52" t="s">
        <v>532</v>
      </c>
      <c r="B52" s="2">
        <v>28875</v>
      </c>
      <c r="C52" s="2">
        <v>-96900</v>
      </c>
      <c r="D52" s="2">
        <v>1727</v>
      </c>
      <c r="E52" t="s">
        <v>8</v>
      </c>
      <c r="F52" s="1">
        <v>542.75</v>
      </c>
      <c r="G52">
        <v>86.75</v>
      </c>
      <c r="H52" s="2">
        <v>75</v>
      </c>
      <c r="I52" s="1">
        <v>541</v>
      </c>
      <c r="J52" s="1">
        <v>543</v>
      </c>
      <c r="K52" s="2">
        <v>75</v>
      </c>
      <c r="L52">
        <v>11400</v>
      </c>
      <c r="M52" s="2" t="s">
        <v>8</v>
      </c>
      <c r="N52" s="1" t="s">
        <v>8</v>
      </c>
      <c r="O52" s="1">
        <v>0.05</v>
      </c>
      <c r="P52" s="2">
        <v>47325</v>
      </c>
      <c r="Q52">
        <v>-1.1499999999999999</v>
      </c>
      <c r="R52" s="1">
        <v>0.05</v>
      </c>
      <c r="S52" t="s">
        <v>8</v>
      </c>
      <c r="T52" s="2">
        <v>10571</v>
      </c>
      <c r="U52" s="2">
        <v>-107550</v>
      </c>
      <c r="V52" s="2">
        <v>687375</v>
      </c>
      <c r="W52" t="s">
        <v>532</v>
      </c>
      <c r="AH52" t="s">
        <v>204</v>
      </c>
      <c r="AI52" t="s">
        <v>180</v>
      </c>
      <c r="AJ52" s="3">
        <v>43622</v>
      </c>
      <c r="AK52" t="s">
        <v>42</v>
      </c>
      <c r="AL52" s="1">
        <v>11500</v>
      </c>
      <c r="AM52">
        <v>12.05</v>
      </c>
      <c r="AN52">
        <v>12.05</v>
      </c>
      <c r="AO52">
        <v>5.6</v>
      </c>
      <c r="AP52">
        <v>12.45</v>
      </c>
      <c r="AQ52">
        <v>6.35</v>
      </c>
      <c r="AR52" s="2">
        <v>12964</v>
      </c>
      <c r="AS52" s="1" t="s">
        <v>672</v>
      </c>
      <c r="AT52">
        <v>11945.7</v>
      </c>
    </row>
    <row r="53" spans="1:46" x14ac:dyDescent="0.35">
      <c r="A53" t="s">
        <v>532</v>
      </c>
      <c r="B53" s="2">
        <v>1350</v>
      </c>
      <c r="C53" s="2">
        <v>-450</v>
      </c>
      <c r="D53" s="2">
        <v>12</v>
      </c>
      <c r="E53" t="s">
        <v>8</v>
      </c>
      <c r="F53" s="1">
        <v>490</v>
      </c>
      <c r="G53">
        <v>100</v>
      </c>
      <c r="H53" s="2">
        <v>75</v>
      </c>
      <c r="I53" s="1">
        <v>484</v>
      </c>
      <c r="J53" s="1">
        <v>488</v>
      </c>
      <c r="K53" s="2">
        <v>150</v>
      </c>
      <c r="L53">
        <v>11450</v>
      </c>
      <c r="M53" s="2" t="s">
        <v>8</v>
      </c>
      <c r="N53" s="1" t="s">
        <v>8</v>
      </c>
      <c r="O53" s="1">
        <v>0.05</v>
      </c>
      <c r="P53" s="2">
        <v>150</v>
      </c>
      <c r="Q53">
        <v>-1.2</v>
      </c>
      <c r="R53" s="1">
        <v>0.05</v>
      </c>
      <c r="S53" t="s">
        <v>8</v>
      </c>
      <c r="T53" s="2">
        <v>808</v>
      </c>
      <c r="U53" s="2">
        <v>3075</v>
      </c>
      <c r="V53" s="2">
        <v>60525</v>
      </c>
      <c r="W53" t="s">
        <v>532</v>
      </c>
      <c r="AH53" t="s">
        <v>204</v>
      </c>
      <c r="AI53" t="s">
        <v>180</v>
      </c>
      <c r="AJ53" s="3">
        <v>43643</v>
      </c>
      <c r="AK53" t="s">
        <v>42</v>
      </c>
      <c r="AL53" s="1">
        <v>11800</v>
      </c>
      <c r="AM53">
        <v>150.44999999999999</v>
      </c>
      <c r="AN53">
        <v>152.05000000000001</v>
      </c>
      <c r="AO53">
        <v>111</v>
      </c>
      <c r="AP53">
        <v>154.9</v>
      </c>
      <c r="AQ53">
        <v>119</v>
      </c>
      <c r="AR53" s="2">
        <v>12427</v>
      </c>
      <c r="AS53" s="1" t="s">
        <v>673</v>
      </c>
      <c r="AT53">
        <v>11945.7</v>
      </c>
    </row>
    <row r="54" spans="1:46" x14ac:dyDescent="0.35">
      <c r="A54" t="s">
        <v>532</v>
      </c>
      <c r="B54" s="2">
        <v>112425</v>
      </c>
      <c r="C54" s="2">
        <v>-207075</v>
      </c>
      <c r="D54" s="2">
        <v>4229</v>
      </c>
      <c r="E54" t="s">
        <v>8</v>
      </c>
      <c r="F54" s="1">
        <v>441</v>
      </c>
      <c r="G54">
        <v>81.75</v>
      </c>
      <c r="H54" s="2">
        <v>1200</v>
      </c>
      <c r="I54" s="1">
        <v>437.1</v>
      </c>
      <c r="J54" s="1">
        <v>440</v>
      </c>
      <c r="K54" s="2">
        <v>75</v>
      </c>
      <c r="L54">
        <v>11500</v>
      </c>
      <c r="M54" s="2" t="s">
        <v>8</v>
      </c>
      <c r="N54" s="1" t="s">
        <v>8</v>
      </c>
      <c r="O54" s="1">
        <v>0.05</v>
      </c>
      <c r="P54" s="2">
        <v>4575</v>
      </c>
      <c r="Q54">
        <v>-1.4</v>
      </c>
      <c r="R54" s="1">
        <v>0.05</v>
      </c>
      <c r="S54" t="s">
        <v>8</v>
      </c>
      <c r="T54" s="2">
        <v>21593</v>
      </c>
      <c r="U54" s="2">
        <v>-277500</v>
      </c>
      <c r="V54" s="2">
        <v>1674750</v>
      </c>
      <c r="W54" t="s">
        <v>532</v>
      </c>
      <c r="AH54" t="s">
        <v>204</v>
      </c>
      <c r="AI54" t="s">
        <v>180</v>
      </c>
      <c r="AJ54" s="3">
        <v>43643</v>
      </c>
      <c r="AK54" t="s">
        <v>41</v>
      </c>
      <c r="AL54" s="1">
        <v>12100</v>
      </c>
      <c r="AM54">
        <v>91</v>
      </c>
      <c r="AN54">
        <v>130.94999999999999</v>
      </c>
      <c r="AO54">
        <v>91</v>
      </c>
      <c r="AP54">
        <v>99.35</v>
      </c>
      <c r="AQ54">
        <v>123.35</v>
      </c>
      <c r="AR54" s="2">
        <v>12096</v>
      </c>
      <c r="AS54" s="1" t="s">
        <v>674</v>
      </c>
      <c r="AT54">
        <v>11945.7</v>
      </c>
    </row>
    <row r="55" spans="1:46" x14ac:dyDescent="0.35">
      <c r="A55" t="s">
        <v>532</v>
      </c>
      <c r="B55" s="2">
        <v>5475</v>
      </c>
      <c r="C55" s="2">
        <v>-2400</v>
      </c>
      <c r="D55" s="2">
        <v>51</v>
      </c>
      <c r="E55" t="s">
        <v>8</v>
      </c>
      <c r="F55" s="1">
        <v>386.6</v>
      </c>
      <c r="G55">
        <v>76.45</v>
      </c>
      <c r="H55" s="2">
        <v>150</v>
      </c>
      <c r="I55" s="1">
        <v>382</v>
      </c>
      <c r="J55" s="1">
        <v>386</v>
      </c>
      <c r="K55" s="2">
        <v>4350</v>
      </c>
      <c r="L55">
        <v>11550</v>
      </c>
      <c r="M55" s="2" t="s">
        <v>8</v>
      </c>
      <c r="N55" s="1" t="s">
        <v>8</v>
      </c>
      <c r="O55" s="1">
        <v>0.1</v>
      </c>
      <c r="P55" s="2">
        <v>1575</v>
      </c>
      <c r="Q55">
        <v>-1.55</v>
      </c>
      <c r="R55" s="1">
        <v>0.05</v>
      </c>
      <c r="S55" t="s">
        <v>8</v>
      </c>
      <c r="T55" s="2">
        <v>3005</v>
      </c>
      <c r="U55" s="2">
        <v>-1875</v>
      </c>
      <c r="V55" s="2">
        <v>149925</v>
      </c>
      <c r="W55" t="s">
        <v>532</v>
      </c>
      <c r="AH55" t="s">
        <v>204</v>
      </c>
      <c r="AI55" t="s">
        <v>180</v>
      </c>
      <c r="AJ55" s="3">
        <v>43622</v>
      </c>
      <c r="AK55" t="s">
        <v>41</v>
      </c>
      <c r="AL55" s="1">
        <v>12050</v>
      </c>
      <c r="AM55">
        <v>37.950000000000003</v>
      </c>
      <c r="AN55">
        <v>53.6</v>
      </c>
      <c r="AO55">
        <v>28.95</v>
      </c>
      <c r="AP55">
        <v>34.799999999999997</v>
      </c>
      <c r="AQ55">
        <v>46.95</v>
      </c>
      <c r="AR55" s="2">
        <v>11993</v>
      </c>
      <c r="AS55" s="1" t="s">
        <v>675</v>
      </c>
      <c r="AT55">
        <v>11945.7</v>
      </c>
    </row>
    <row r="56" spans="1:46" x14ac:dyDescent="0.35">
      <c r="A56" t="s">
        <v>532</v>
      </c>
      <c r="B56" s="2">
        <v>85500</v>
      </c>
      <c r="C56" s="2">
        <v>-326400</v>
      </c>
      <c r="D56" s="2">
        <v>9053</v>
      </c>
      <c r="E56" t="s">
        <v>8</v>
      </c>
      <c r="F56">
        <v>346.35</v>
      </c>
      <c r="G56">
        <v>87.25</v>
      </c>
      <c r="H56" s="2">
        <v>75</v>
      </c>
      <c r="I56">
        <v>346.15</v>
      </c>
      <c r="J56" s="1">
        <v>346.35</v>
      </c>
      <c r="K56" s="2">
        <v>1725</v>
      </c>
      <c r="L56">
        <v>11600</v>
      </c>
      <c r="M56" s="2" t="s">
        <v>8</v>
      </c>
      <c r="N56" s="1" t="s">
        <v>8</v>
      </c>
      <c r="O56" s="1">
        <v>0.05</v>
      </c>
      <c r="P56" s="2">
        <v>72675</v>
      </c>
      <c r="Q56">
        <v>-1.6</v>
      </c>
      <c r="R56" s="1">
        <v>0.05</v>
      </c>
      <c r="S56" t="s">
        <v>8</v>
      </c>
      <c r="T56" s="2">
        <v>21753</v>
      </c>
      <c r="U56" s="2">
        <v>-320025</v>
      </c>
      <c r="V56" s="2">
        <v>1262625</v>
      </c>
      <c r="W56" t="s">
        <v>532</v>
      </c>
      <c r="AH56" t="s">
        <v>204</v>
      </c>
      <c r="AI56" t="s">
        <v>180</v>
      </c>
      <c r="AJ56" s="3">
        <v>43615</v>
      </c>
      <c r="AK56" t="s">
        <v>42</v>
      </c>
      <c r="AL56" s="1">
        <v>11650</v>
      </c>
      <c r="AM56">
        <v>0.55000000000000004</v>
      </c>
      <c r="AN56">
        <v>0.8</v>
      </c>
      <c r="AO56">
        <v>0.05</v>
      </c>
      <c r="AP56">
        <v>2.2000000000000002</v>
      </c>
      <c r="AQ56">
        <v>0.05</v>
      </c>
      <c r="AR56" s="2">
        <v>12236</v>
      </c>
      <c r="AS56" s="1" t="s">
        <v>676</v>
      </c>
      <c r="AT56">
        <v>11945.7</v>
      </c>
    </row>
    <row r="57" spans="1:46" x14ac:dyDescent="0.35">
      <c r="A57" t="s">
        <v>532</v>
      </c>
      <c r="B57" s="2">
        <v>1200</v>
      </c>
      <c r="C57" s="2">
        <v>-8850</v>
      </c>
      <c r="D57" s="2">
        <v>242</v>
      </c>
      <c r="E57" t="s">
        <v>8</v>
      </c>
      <c r="F57">
        <v>283</v>
      </c>
      <c r="G57">
        <v>71.25</v>
      </c>
      <c r="H57" s="2">
        <v>150</v>
      </c>
      <c r="I57">
        <v>281.64999999999998</v>
      </c>
      <c r="J57" s="1">
        <v>287.95</v>
      </c>
      <c r="K57" s="2">
        <v>150</v>
      </c>
      <c r="L57">
        <v>11650</v>
      </c>
      <c r="M57" s="2" t="s">
        <v>8</v>
      </c>
      <c r="N57" s="1" t="s">
        <v>8</v>
      </c>
      <c r="O57" s="1">
        <v>0.05</v>
      </c>
      <c r="P57" s="2">
        <v>2250</v>
      </c>
      <c r="Q57">
        <v>-2.15</v>
      </c>
      <c r="R57" s="1">
        <v>0.05</v>
      </c>
      <c r="S57" t="s">
        <v>8</v>
      </c>
      <c r="T57" s="2">
        <v>12236</v>
      </c>
      <c r="U57" s="2">
        <v>-29325</v>
      </c>
      <c r="V57" s="2">
        <v>278925</v>
      </c>
      <c r="W57" t="s">
        <v>532</v>
      </c>
      <c r="AH57" t="s">
        <v>204</v>
      </c>
      <c r="AI57" t="s">
        <v>180</v>
      </c>
      <c r="AJ57" s="3">
        <v>43643</v>
      </c>
      <c r="AK57" t="s">
        <v>42</v>
      </c>
      <c r="AL57" s="1">
        <v>11200</v>
      </c>
      <c r="AM57">
        <v>39.549999999999997</v>
      </c>
      <c r="AN57">
        <v>39.549999999999997</v>
      </c>
      <c r="AO57">
        <v>25.15</v>
      </c>
      <c r="AP57">
        <v>40.950000000000003</v>
      </c>
      <c r="AQ57">
        <v>26.85</v>
      </c>
      <c r="AR57" s="2">
        <v>12281</v>
      </c>
      <c r="AS57" s="1" t="s">
        <v>677</v>
      </c>
      <c r="AT57">
        <v>11945.7</v>
      </c>
    </row>
    <row r="58" spans="1:46" x14ac:dyDescent="0.35">
      <c r="A58" t="s">
        <v>532</v>
      </c>
      <c r="B58" s="2">
        <v>212025</v>
      </c>
      <c r="C58" s="2">
        <v>-628950</v>
      </c>
      <c r="D58" s="2">
        <v>21238</v>
      </c>
      <c r="E58" t="s">
        <v>8</v>
      </c>
      <c r="F58">
        <v>235</v>
      </c>
      <c r="G58">
        <v>70.95</v>
      </c>
      <c r="H58" s="2">
        <v>3150</v>
      </c>
      <c r="I58">
        <v>235</v>
      </c>
      <c r="J58" s="1">
        <v>241.45</v>
      </c>
      <c r="K58" s="2">
        <v>75</v>
      </c>
      <c r="L58">
        <v>11700</v>
      </c>
      <c r="M58" s="2" t="s">
        <v>8</v>
      </c>
      <c r="N58" s="1" t="s">
        <v>8</v>
      </c>
      <c r="O58" s="1">
        <v>0.05</v>
      </c>
      <c r="P58" s="2">
        <v>98550</v>
      </c>
      <c r="Q58">
        <v>-4.05</v>
      </c>
      <c r="R58" s="1">
        <v>0.05</v>
      </c>
      <c r="S58" t="s">
        <v>8</v>
      </c>
      <c r="T58" s="2">
        <v>89142</v>
      </c>
      <c r="U58" s="2">
        <v>-390450</v>
      </c>
      <c r="V58" s="2">
        <v>1857975</v>
      </c>
      <c r="W58" t="s">
        <v>532</v>
      </c>
      <c r="AH58" t="s">
        <v>204</v>
      </c>
      <c r="AI58" t="s">
        <v>180</v>
      </c>
      <c r="AJ58" s="3">
        <v>43643</v>
      </c>
      <c r="AK58" t="s">
        <v>42</v>
      </c>
      <c r="AL58" s="1">
        <v>11400</v>
      </c>
      <c r="AM58">
        <v>59.15</v>
      </c>
      <c r="AN58">
        <v>59.9</v>
      </c>
      <c r="AO58">
        <v>40.35</v>
      </c>
      <c r="AP58">
        <v>63.25</v>
      </c>
      <c r="AQ58">
        <v>43.25</v>
      </c>
      <c r="AR58" s="2">
        <v>11808</v>
      </c>
      <c r="AS58" s="1" t="s">
        <v>678</v>
      </c>
      <c r="AT58">
        <v>11945.7</v>
      </c>
    </row>
    <row r="59" spans="1:46" x14ac:dyDescent="0.35">
      <c r="A59" t="s">
        <v>532</v>
      </c>
      <c r="B59" s="2">
        <v>4425</v>
      </c>
      <c r="C59" s="2">
        <v>-39375</v>
      </c>
      <c r="D59" s="2">
        <v>3930</v>
      </c>
      <c r="E59" t="s">
        <v>8</v>
      </c>
      <c r="F59">
        <v>188</v>
      </c>
      <c r="G59">
        <v>72.95</v>
      </c>
      <c r="H59" s="2">
        <v>75</v>
      </c>
      <c r="I59">
        <v>182.1</v>
      </c>
      <c r="J59">
        <v>188</v>
      </c>
      <c r="K59" s="2">
        <v>1575</v>
      </c>
      <c r="L59">
        <v>11750</v>
      </c>
      <c r="M59" s="2" t="s">
        <v>8</v>
      </c>
      <c r="N59" s="1" t="s">
        <v>8</v>
      </c>
      <c r="O59" s="1">
        <v>0.05</v>
      </c>
      <c r="P59" s="2">
        <v>33150</v>
      </c>
      <c r="Q59">
        <v>-7.1</v>
      </c>
      <c r="R59" s="1">
        <v>0.05</v>
      </c>
      <c r="S59" t="s">
        <v>8</v>
      </c>
      <c r="T59" s="2">
        <v>113374</v>
      </c>
      <c r="U59" s="2">
        <v>90075</v>
      </c>
      <c r="V59" s="2">
        <v>745275</v>
      </c>
      <c r="W59" t="s">
        <v>532</v>
      </c>
      <c r="AH59" t="s">
        <v>204</v>
      </c>
      <c r="AI59" t="s">
        <v>180</v>
      </c>
      <c r="AJ59" s="3">
        <v>43615</v>
      </c>
      <c r="AK59" t="s">
        <v>42</v>
      </c>
      <c r="AL59" s="1">
        <v>11200</v>
      </c>
      <c r="AM59">
        <v>0.3</v>
      </c>
      <c r="AN59">
        <v>0.3</v>
      </c>
      <c r="AO59">
        <v>0.05</v>
      </c>
      <c r="AP59">
        <v>1.05</v>
      </c>
      <c r="AQ59">
        <v>0.05</v>
      </c>
      <c r="AR59" s="2">
        <v>11514</v>
      </c>
      <c r="AS59" s="1">
        <v>96718.38</v>
      </c>
      <c r="AT59">
        <v>11945.7</v>
      </c>
    </row>
    <row r="60" spans="1:46" x14ac:dyDescent="0.35">
      <c r="A60" t="s">
        <v>532</v>
      </c>
      <c r="B60" s="2">
        <v>143475</v>
      </c>
      <c r="C60" s="2">
        <v>-960450</v>
      </c>
      <c r="D60" s="2">
        <v>111386</v>
      </c>
      <c r="E60" t="s">
        <v>8</v>
      </c>
      <c r="F60">
        <v>132.6</v>
      </c>
      <c r="G60">
        <v>55.95</v>
      </c>
      <c r="H60" s="2">
        <v>75</v>
      </c>
      <c r="I60">
        <v>131.9</v>
      </c>
      <c r="J60">
        <v>132.6</v>
      </c>
      <c r="K60" s="2">
        <v>150</v>
      </c>
      <c r="L60">
        <v>11800</v>
      </c>
      <c r="M60" s="2" t="s">
        <v>8</v>
      </c>
      <c r="N60" s="1" t="s">
        <v>8</v>
      </c>
      <c r="O60" s="1">
        <v>0.05</v>
      </c>
      <c r="P60" s="2">
        <v>177450</v>
      </c>
      <c r="Q60">
        <v>-15.45</v>
      </c>
      <c r="R60" s="1">
        <v>0.05</v>
      </c>
      <c r="S60" t="s">
        <v>8</v>
      </c>
      <c r="T60" s="2">
        <v>510611</v>
      </c>
      <c r="U60" s="2">
        <v>759225</v>
      </c>
      <c r="V60" s="2">
        <v>2846775</v>
      </c>
      <c r="W60" t="s">
        <v>532</v>
      </c>
      <c r="AH60" t="s">
        <v>204</v>
      </c>
      <c r="AI60" t="s">
        <v>180</v>
      </c>
      <c r="AJ60" s="3">
        <v>43615</v>
      </c>
      <c r="AK60" t="s">
        <v>42</v>
      </c>
      <c r="AL60" s="1">
        <v>11000</v>
      </c>
      <c r="AM60">
        <v>0.15</v>
      </c>
      <c r="AN60">
        <v>0.25</v>
      </c>
      <c r="AO60">
        <v>0.05</v>
      </c>
      <c r="AP60">
        <v>0.9</v>
      </c>
      <c r="AQ60">
        <v>0.05</v>
      </c>
      <c r="AR60" s="2">
        <v>11309</v>
      </c>
      <c r="AS60" s="1">
        <v>93300.1</v>
      </c>
      <c r="AT60">
        <v>11945.7</v>
      </c>
    </row>
    <row r="61" spans="1:46" x14ac:dyDescent="0.35">
      <c r="A61" t="s">
        <v>532</v>
      </c>
      <c r="B61" s="2">
        <v>21525</v>
      </c>
      <c r="C61" s="2">
        <v>-598725</v>
      </c>
      <c r="D61" s="2">
        <v>138675</v>
      </c>
      <c r="E61" t="s">
        <v>8</v>
      </c>
      <c r="F61">
        <v>81.099999999999994</v>
      </c>
      <c r="G61">
        <v>38.25</v>
      </c>
      <c r="H61" s="2">
        <v>4425</v>
      </c>
      <c r="I61">
        <v>81.099999999999994</v>
      </c>
      <c r="J61">
        <v>84.5</v>
      </c>
      <c r="K61" s="2">
        <v>75</v>
      </c>
      <c r="L61">
        <v>11850</v>
      </c>
      <c r="M61" s="2">
        <v>36000</v>
      </c>
      <c r="N61" s="1">
        <v>0.05</v>
      </c>
      <c r="O61" s="1">
        <v>0.1</v>
      </c>
      <c r="P61" s="2">
        <v>75150</v>
      </c>
      <c r="Q61">
        <v>-30.25</v>
      </c>
      <c r="R61" s="1">
        <v>0.05</v>
      </c>
      <c r="S61" t="s">
        <v>8</v>
      </c>
      <c r="T61" s="2">
        <v>481180</v>
      </c>
      <c r="U61" s="2">
        <v>1151850</v>
      </c>
      <c r="V61" s="2">
        <v>1928700</v>
      </c>
      <c r="W61" t="s">
        <v>532</v>
      </c>
      <c r="AH61" t="s">
        <v>204</v>
      </c>
      <c r="AI61" t="s">
        <v>180</v>
      </c>
      <c r="AJ61" s="3">
        <v>43615</v>
      </c>
      <c r="AK61" t="s">
        <v>42</v>
      </c>
      <c r="AL61" s="1">
        <v>11400</v>
      </c>
      <c r="AM61">
        <v>0.2</v>
      </c>
      <c r="AN61">
        <v>0.3</v>
      </c>
      <c r="AO61">
        <v>0.05</v>
      </c>
      <c r="AP61">
        <v>1.2</v>
      </c>
      <c r="AQ61">
        <v>0.05</v>
      </c>
      <c r="AR61" s="2">
        <v>10562</v>
      </c>
      <c r="AS61" s="1">
        <v>90305.73</v>
      </c>
      <c r="AT61">
        <v>11945.7</v>
      </c>
    </row>
    <row r="62" spans="1:46" x14ac:dyDescent="0.35">
      <c r="A62" t="s">
        <v>532</v>
      </c>
      <c r="B62" s="2">
        <v>261300</v>
      </c>
      <c r="C62" s="2">
        <v>-2377800</v>
      </c>
      <c r="D62" s="2">
        <v>664908</v>
      </c>
      <c r="E62" t="s">
        <v>8</v>
      </c>
      <c r="F62">
        <v>37</v>
      </c>
      <c r="G62">
        <v>15</v>
      </c>
      <c r="H62" s="2">
        <v>1875</v>
      </c>
      <c r="I62">
        <v>36.799999999999997</v>
      </c>
      <c r="J62">
        <v>37.9</v>
      </c>
      <c r="K62" s="2">
        <v>150</v>
      </c>
      <c r="L62">
        <v>11900</v>
      </c>
      <c r="M62" s="2" t="s">
        <v>8</v>
      </c>
      <c r="N62" s="1" t="s">
        <v>8</v>
      </c>
      <c r="O62" s="1">
        <v>0.05</v>
      </c>
      <c r="P62" s="2">
        <v>72300</v>
      </c>
      <c r="Q62">
        <v>-55.95</v>
      </c>
      <c r="R62" s="1">
        <v>0.05</v>
      </c>
      <c r="S62" t="s">
        <v>8</v>
      </c>
      <c r="T62" s="2">
        <v>930737</v>
      </c>
      <c r="U62" s="2">
        <v>1984500</v>
      </c>
      <c r="V62" s="2">
        <v>3175200</v>
      </c>
      <c r="W62" t="s">
        <v>532</v>
      </c>
      <c r="AH62" t="s">
        <v>204</v>
      </c>
      <c r="AI62" t="s">
        <v>180</v>
      </c>
      <c r="AJ62" s="3">
        <v>43622</v>
      </c>
      <c r="AK62" t="s">
        <v>41</v>
      </c>
      <c r="AL62" s="1">
        <v>13000</v>
      </c>
      <c r="AM62">
        <v>1</v>
      </c>
      <c r="AN62">
        <v>1.6</v>
      </c>
      <c r="AO62">
        <v>0.7</v>
      </c>
      <c r="AP62">
        <v>1.35</v>
      </c>
      <c r="AQ62">
        <v>1</v>
      </c>
      <c r="AR62" s="2">
        <v>9142</v>
      </c>
      <c r="AS62" s="1">
        <v>89142.86</v>
      </c>
      <c r="AT62">
        <v>11945.7</v>
      </c>
    </row>
    <row r="63" spans="1:46" x14ac:dyDescent="0.35">
      <c r="A63" t="s">
        <v>532</v>
      </c>
      <c r="B63" s="2">
        <v>1474350</v>
      </c>
      <c r="C63" s="2">
        <v>-311850</v>
      </c>
      <c r="D63" s="2">
        <v>822958</v>
      </c>
      <c r="E63" t="s">
        <v>8</v>
      </c>
      <c r="F63">
        <v>0.05</v>
      </c>
      <c r="G63">
        <v>-10.199999999999999</v>
      </c>
      <c r="H63" s="2" t="s">
        <v>8</v>
      </c>
      <c r="I63" t="s">
        <v>8</v>
      </c>
      <c r="J63">
        <v>0.05</v>
      </c>
      <c r="K63" s="2">
        <v>19725</v>
      </c>
      <c r="L63">
        <v>11950</v>
      </c>
      <c r="M63" s="2">
        <v>5175</v>
      </c>
      <c r="N63" s="1">
        <v>0.3</v>
      </c>
      <c r="O63" s="1">
        <v>0.35</v>
      </c>
      <c r="P63" s="2">
        <v>1275</v>
      </c>
      <c r="Q63">
        <v>-92.05</v>
      </c>
      <c r="R63" s="1">
        <v>0.3</v>
      </c>
      <c r="S63" t="s">
        <v>8</v>
      </c>
      <c r="T63" s="2">
        <v>442709</v>
      </c>
      <c r="U63" s="2">
        <v>331725</v>
      </c>
      <c r="V63" s="2">
        <v>467325</v>
      </c>
      <c r="W63" t="s">
        <v>532</v>
      </c>
      <c r="AH63" t="s">
        <v>204</v>
      </c>
      <c r="AI63" t="s">
        <v>180</v>
      </c>
      <c r="AJ63" s="3">
        <v>43622</v>
      </c>
      <c r="AK63" t="s">
        <v>41</v>
      </c>
      <c r="AL63" s="1">
        <v>12500</v>
      </c>
      <c r="AM63">
        <v>3.65</v>
      </c>
      <c r="AN63">
        <v>3.85</v>
      </c>
      <c r="AO63">
        <v>1.05</v>
      </c>
      <c r="AP63">
        <v>3.3</v>
      </c>
      <c r="AQ63">
        <v>1.45</v>
      </c>
      <c r="AR63" s="2">
        <v>9404</v>
      </c>
      <c r="AS63" s="1">
        <v>88176.89</v>
      </c>
      <c r="AT63">
        <v>11945.7</v>
      </c>
    </row>
    <row r="64" spans="1:46" x14ac:dyDescent="0.35">
      <c r="A64" t="s">
        <v>532</v>
      </c>
      <c r="B64" s="2">
        <v>3645450</v>
      </c>
      <c r="C64" s="2">
        <v>-1697025</v>
      </c>
      <c r="D64" s="2">
        <v>992859</v>
      </c>
      <c r="E64" t="s">
        <v>8</v>
      </c>
      <c r="F64">
        <v>0.05</v>
      </c>
      <c r="G64">
        <v>-5.45</v>
      </c>
      <c r="H64" s="2" t="s">
        <v>8</v>
      </c>
      <c r="I64" t="s">
        <v>8</v>
      </c>
      <c r="J64">
        <v>0.05</v>
      </c>
      <c r="K64" s="2">
        <v>21675</v>
      </c>
      <c r="L64">
        <v>12000</v>
      </c>
      <c r="M64" s="2">
        <v>375</v>
      </c>
      <c r="N64" s="1">
        <v>50</v>
      </c>
      <c r="O64" s="1">
        <v>50.5</v>
      </c>
      <c r="P64" s="2">
        <v>75</v>
      </c>
      <c r="Q64">
        <v>-87</v>
      </c>
      <c r="R64" s="1">
        <v>50</v>
      </c>
      <c r="S64" t="s">
        <v>8</v>
      </c>
      <c r="T64" s="2">
        <v>191932</v>
      </c>
      <c r="U64" s="2">
        <v>-524325</v>
      </c>
      <c r="V64" s="2">
        <v>57300</v>
      </c>
      <c r="W64" t="s">
        <v>532</v>
      </c>
      <c r="AH64" t="s">
        <v>204</v>
      </c>
      <c r="AI64" t="s">
        <v>180</v>
      </c>
      <c r="AJ64" s="3">
        <v>43622</v>
      </c>
      <c r="AK64" t="s">
        <v>41</v>
      </c>
      <c r="AL64" s="1">
        <v>11800</v>
      </c>
      <c r="AM64" s="1">
        <v>127.5</v>
      </c>
      <c r="AN64" s="1">
        <v>197</v>
      </c>
      <c r="AO64" s="1">
        <v>127.5</v>
      </c>
      <c r="AP64" s="1">
        <v>134.6</v>
      </c>
      <c r="AQ64" s="1">
        <v>181.8</v>
      </c>
      <c r="AR64" s="2">
        <v>9768</v>
      </c>
      <c r="AS64" s="1">
        <v>87660.21</v>
      </c>
      <c r="AT64">
        <v>11945.7</v>
      </c>
    </row>
    <row r="65" spans="1:46" x14ac:dyDescent="0.35">
      <c r="A65" t="s">
        <v>532</v>
      </c>
      <c r="B65" s="2">
        <v>1021950</v>
      </c>
      <c r="C65" s="2">
        <v>202875</v>
      </c>
      <c r="D65" s="2">
        <v>180672</v>
      </c>
      <c r="E65" t="s">
        <v>8</v>
      </c>
      <c r="F65">
        <v>0.05</v>
      </c>
      <c r="G65">
        <v>-2.4</v>
      </c>
      <c r="H65" s="2" t="s">
        <v>8</v>
      </c>
      <c r="I65" t="s">
        <v>8</v>
      </c>
      <c r="J65">
        <v>0.05</v>
      </c>
      <c r="K65" s="2">
        <v>28500</v>
      </c>
      <c r="L65">
        <v>12050</v>
      </c>
      <c r="M65" s="2">
        <v>225</v>
      </c>
      <c r="N65" s="1">
        <v>96.9</v>
      </c>
      <c r="O65" s="1">
        <v>102.8</v>
      </c>
      <c r="P65" s="2">
        <v>1275</v>
      </c>
      <c r="Q65">
        <v>-80.95</v>
      </c>
      <c r="R65" s="1">
        <v>99</v>
      </c>
      <c r="S65" t="s">
        <v>8</v>
      </c>
      <c r="T65" s="2">
        <v>2954</v>
      </c>
      <c r="U65" s="2">
        <v>1125</v>
      </c>
      <c r="V65" s="2">
        <v>6900</v>
      </c>
      <c r="W65" t="s">
        <v>532</v>
      </c>
      <c r="AH65" t="s">
        <v>204</v>
      </c>
      <c r="AI65" t="s">
        <v>180</v>
      </c>
      <c r="AJ65" s="3">
        <v>43622</v>
      </c>
      <c r="AK65" t="s">
        <v>42</v>
      </c>
      <c r="AL65" s="1">
        <v>11750</v>
      </c>
      <c r="AM65">
        <v>48</v>
      </c>
      <c r="AN65">
        <v>48</v>
      </c>
      <c r="AO65">
        <v>19.95</v>
      </c>
      <c r="AP65">
        <v>48.45</v>
      </c>
      <c r="AQ65">
        <v>24.35</v>
      </c>
      <c r="AR65" s="2">
        <v>9771</v>
      </c>
      <c r="AS65" s="1">
        <v>86309.71</v>
      </c>
      <c r="AT65">
        <v>11945.7</v>
      </c>
    </row>
    <row r="66" spans="1:46" x14ac:dyDescent="0.35">
      <c r="A66" t="s">
        <v>532</v>
      </c>
      <c r="B66" s="2">
        <v>1329525</v>
      </c>
      <c r="C66" s="2">
        <v>-478575</v>
      </c>
      <c r="D66" s="2">
        <v>81662</v>
      </c>
      <c r="E66" t="s">
        <v>8</v>
      </c>
      <c r="F66">
        <v>0.05</v>
      </c>
      <c r="G66">
        <v>-1.7</v>
      </c>
      <c r="H66" s="2" t="s">
        <v>8</v>
      </c>
      <c r="I66" t="s">
        <v>8</v>
      </c>
      <c r="J66">
        <v>0.05</v>
      </c>
      <c r="K66" s="2">
        <v>24975</v>
      </c>
      <c r="L66">
        <v>12100</v>
      </c>
      <c r="M66" s="2">
        <v>75</v>
      </c>
      <c r="N66" s="1">
        <v>151.69999999999999</v>
      </c>
      <c r="O66" s="1">
        <v>154</v>
      </c>
      <c r="P66" s="2">
        <v>2850</v>
      </c>
      <c r="Q66">
        <v>-77.5</v>
      </c>
      <c r="R66">
        <v>154</v>
      </c>
      <c r="S66" t="s">
        <v>8</v>
      </c>
      <c r="T66" s="2">
        <v>4764</v>
      </c>
      <c r="U66" s="2">
        <v>-37650</v>
      </c>
      <c r="V66" s="2">
        <v>2625</v>
      </c>
      <c r="W66" t="s">
        <v>532</v>
      </c>
      <c r="AH66" t="s">
        <v>204</v>
      </c>
      <c r="AI66" t="s">
        <v>180</v>
      </c>
      <c r="AJ66" s="3">
        <v>43622</v>
      </c>
      <c r="AK66" t="s">
        <v>42</v>
      </c>
      <c r="AL66" s="1">
        <v>11950</v>
      </c>
      <c r="AM66">
        <v>130.25</v>
      </c>
      <c r="AN66">
        <v>130.25</v>
      </c>
      <c r="AO66">
        <v>77</v>
      </c>
      <c r="AP66">
        <v>139.55000000000001</v>
      </c>
      <c r="AQ66">
        <v>89</v>
      </c>
      <c r="AR66" s="2">
        <v>9328</v>
      </c>
      <c r="AS66" s="1">
        <v>84235.41</v>
      </c>
      <c r="AT66">
        <v>11945.7</v>
      </c>
    </row>
    <row r="67" spans="1:46" x14ac:dyDescent="0.35">
      <c r="A67" t="s">
        <v>532</v>
      </c>
      <c r="B67" s="2">
        <v>188775</v>
      </c>
      <c r="C67" s="2">
        <v>-59700</v>
      </c>
      <c r="D67" s="2">
        <v>6282</v>
      </c>
      <c r="E67" t="s">
        <v>8</v>
      </c>
      <c r="F67">
        <v>0.05</v>
      </c>
      <c r="G67">
        <v>-1.1499999999999999</v>
      </c>
      <c r="H67" s="2" t="s">
        <v>8</v>
      </c>
      <c r="I67" t="s">
        <v>8</v>
      </c>
      <c r="J67">
        <v>0.05</v>
      </c>
      <c r="K67" s="2">
        <v>1425</v>
      </c>
      <c r="L67">
        <v>12150</v>
      </c>
      <c r="M67" s="2">
        <v>75</v>
      </c>
      <c r="N67" s="1">
        <v>190.95</v>
      </c>
      <c r="O67" s="1">
        <v>204.65</v>
      </c>
      <c r="P67" s="2">
        <v>1500</v>
      </c>
      <c r="Q67">
        <v>-42.25</v>
      </c>
      <c r="R67" s="1">
        <v>202.95</v>
      </c>
      <c r="S67" t="s">
        <v>8</v>
      </c>
      <c r="T67" s="2">
        <v>42</v>
      </c>
      <c r="U67" s="2">
        <v>-900</v>
      </c>
      <c r="V67" s="2" t="s">
        <v>8</v>
      </c>
      <c r="W67" t="s">
        <v>532</v>
      </c>
      <c r="AH67" t="s">
        <v>204</v>
      </c>
      <c r="AI67" t="s">
        <v>180</v>
      </c>
      <c r="AJ67" s="3">
        <v>43615</v>
      </c>
      <c r="AK67" t="s">
        <v>41</v>
      </c>
      <c r="AL67" s="1">
        <v>11600</v>
      </c>
      <c r="AM67">
        <v>253.7</v>
      </c>
      <c r="AN67">
        <v>357.5</v>
      </c>
      <c r="AO67">
        <v>253.5</v>
      </c>
      <c r="AP67">
        <v>259.10000000000002</v>
      </c>
      <c r="AQ67">
        <v>345.95</v>
      </c>
      <c r="AR67" s="2">
        <v>8723</v>
      </c>
      <c r="AS67" s="1">
        <v>78031.64</v>
      </c>
      <c r="AT67">
        <v>11945.7</v>
      </c>
    </row>
    <row r="68" spans="1:46" x14ac:dyDescent="0.35">
      <c r="A68" t="s">
        <v>532</v>
      </c>
      <c r="B68" s="2">
        <v>1859175</v>
      </c>
      <c r="C68" s="2">
        <v>-398850</v>
      </c>
      <c r="D68" s="2">
        <v>49655</v>
      </c>
      <c r="E68" t="s">
        <v>8</v>
      </c>
      <c r="F68">
        <v>0.05</v>
      </c>
      <c r="G68">
        <v>-1.05</v>
      </c>
      <c r="H68" s="2" t="s">
        <v>8</v>
      </c>
      <c r="I68" t="s">
        <v>8</v>
      </c>
      <c r="J68">
        <v>0.05</v>
      </c>
      <c r="K68" s="2">
        <v>59700</v>
      </c>
      <c r="L68">
        <v>12200</v>
      </c>
      <c r="M68" s="2">
        <v>375</v>
      </c>
      <c r="N68" s="1">
        <v>252.8</v>
      </c>
      <c r="O68" s="1">
        <v>253.7</v>
      </c>
      <c r="P68" s="2">
        <v>4725</v>
      </c>
      <c r="Q68">
        <v>-73.7</v>
      </c>
      <c r="R68" s="1">
        <v>253.7</v>
      </c>
      <c r="S68" t="s">
        <v>8</v>
      </c>
      <c r="T68" s="2">
        <v>920</v>
      </c>
      <c r="U68" s="2">
        <v>-28650</v>
      </c>
      <c r="V68" s="2">
        <v>1200</v>
      </c>
      <c r="W68" t="s">
        <v>532</v>
      </c>
      <c r="AH68" t="s">
        <v>204</v>
      </c>
      <c r="AI68" t="s">
        <v>180</v>
      </c>
      <c r="AJ68" s="3">
        <v>43643</v>
      </c>
      <c r="AK68" t="s">
        <v>42</v>
      </c>
      <c r="AL68" s="1">
        <v>11300</v>
      </c>
      <c r="AM68">
        <v>49.05</v>
      </c>
      <c r="AN68">
        <v>51.45</v>
      </c>
      <c r="AO68">
        <v>32</v>
      </c>
      <c r="AP68">
        <v>50.5</v>
      </c>
      <c r="AQ68">
        <v>34.049999999999997</v>
      </c>
      <c r="AR68" s="2">
        <v>8705</v>
      </c>
      <c r="AS68" s="1">
        <v>74009.98</v>
      </c>
      <c r="AT68">
        <v>11945.7</v>
      </c>
    </row>
    <row r="69" spans="1:46" x14ac:dyDescent="0.35">
      <c r="A69" t="s">
        <v>532</v>
      </c>
      <c r="B69" s="2">
        <v>61425</v>
      </c>
      <c r="C69" s="2">
        <v>-11925</v>
      </c>
      <c r="D69" s="2">
        <v>1481</v>
      </c>
      <c r="E69" t="s">
        <v>8</v>
      </c>
      <c r="F69">
        <v>0.05</v>
      </c>
      <c r="G69">
        <v>-0.95</v>
      </c>
      <c r="H69" s="2" t="s">
        <v>8</v>
      </c>
      <c r="I69" t="s">
        <v>8</v>
      </c>
      <c r="J69">
        <v>0.05</v>
      </c>
      <c r="K69" s="2">
        <v>3975</v>
      </c>
      <c r="L69">
        <v>12250</v>
      </c>
      <c r="M69" s="2">
        <v>750</v>
      </c>
      <c r="N69" s="1">
        <v>290.7</v>
      </c>
      <c r="O69" s="1">
        <v>304.45</v>
      </c>
      <c r="P69" s="2">
        <v>75</v>
      </c>
      <c r="Q69" t="s">
        <v>8</v>
      </c>
      <c r="R69" s="1">
        <v>354.95</v>
      </c>
      <c r="S69" t="s">
        <v>8</v>
      </c>
      <c r="T69" s="2" t="s">
        <v>8</v>
      </c>
      <c r="U69" s="2" t="s">
        <v>8</v>
      </c>
      <c r="V69" s="2">
        <v>75</v>
      </c>
      <c r="W69" t="s">
        <v>532</v>
      </c>
      <c r="AH69" t="s">
        <v>204</v>
      </c>
      <c r="AI69" t="s">
        <v>180</v>
      </c>
      <c r="AJ69" s="3">
        <v>43622</v>
      </c>
      <c r="AK69" t="s">
        <v>41</v>
      </c>
      <c r="AL69" s="1">
        <v>12400</v>
      </c>
      <c r="AM69">
        <v>4.05</v>
      </c>
      <c r="AN69">
        <v>4.05</v>
      </c>
      <c r="AO69">
        <v>2.25</v>
      </c>
      <c r="AP69">
        <v>4.2</v>
      </c>
      <c r="AQ69">
        <v>2.35</v>
      </c>
      <c r="AR69" s="2">
        <v>7786</v>
      </c>
      <c r="AS69" s="1">
        <v>72426.44</v>
      </c>
      <c r="AT69">
        <v>11945.7</v>
      </c>
    </row>
    <row r="70" spans="1:46" x14ac:dyDescent="0.35">
      <c r="A70" t="s">
        <v>532</v>
      </c>
      <c r="B70" s="2">
        <v>1590600</v>
      </c>
      <c r="C70" s="2">
        <v>-139575</v>
      </c>
      <c r="D70" s="2">
        <v>14633</v>
      </c>
      <c r="E70" t="s">
        <v>8</v>
      </c>
      <c r="F70">
        <v>0.05</v>
      </c>
      <c r="G70">
        <v>-0.9</v>
      </c>
      <c r="H70" s="2" t="s">
        <v>8</v>
      </c>
      <c r="I70" t="s">
        <v>8</v>
      </c>
      <c r="J70">
        <v>0.05</v>
      </c>
      <c r="K70" s="2">
        <v>7875</v>
      </c>
      <c r="L70">
        <v>12300</v>
      </c>
      <c r="M70" s="2">
        <v>750</v>
      </c>
      <c r="N70" s="1">
        <v>340.7</v>
      </c>
      <c r="O70" s="1">
        <v>347.85</v>
      </c>
      <c r="P70" s="2">
        <v>225</v>
      </c>
      <c r="Q70">
        <v>-84.3</v>
      </c>
      <c r="R70" s="1">
        <v>340.7</v>
      </c>
      <c r="S70" t="s">
        <v>8</v>
      </c>
      <c r="T70" s="2">
        <v>53</v>
      </c>
      <c r="U70" s="2">
        <v>-2025</v>
      </c>
      <c r="V70" s="2">
        <v>375</v>
      </c>
      <c r="W70" t="s">
        <v>532</v>
      </c>
      <c r="AH70" t="s">
        <v>204</v>
      </c>
      <c r="AI70" t="s">
        <v>180</v>
      </c>
      <c r="AJ70" s="3">
        <v>43615</v>
      </c>
      <c r="AK70" t="s">
        <v>42</v>
      </c>
      <c r="AL70" s="1">
        <v>10800</v>
      </c>
      <c r="AM70">
        <v>0.95</v>
      </c>
      <c r="AN70">
        <v>0.95</v>
      </c>
      <c r="AO70">
        <v>0.05</v>
      </c>
      <c r="AP70">
        <v>0.95</v>
      </c>
      <c r="AQ70">
        <v>0.1</v>
      </c>
      <c r="AR70" s="2">
        <v>7729</v>
      </c>
      <c r="AS70" s="1">
        <v>62605.89</v>
      </c>
      <c r="AT70">
        <v>11945.7</v>
      </c>
    </row>
    <row r="71" spans="1:46" x14ac:dyDescent="0.35">
      <c r="A71" t="s">
        <v>532</v>
      </c>
      <c r="B71" s="2">
        <v>24450</v>
      </c>
      <c r="C71" s="2">
        <v>825</v>
      </c>
      <c r="D71" s="2">
        <v>138</v>
      </c>
      <c r="E71" t="s">
        <v>8</v>
      </c>
      <c r="F71">
        <v>0.05</v>
      </c>
      <c r="G71">
        <v>-0.5</v>
      </c>
      <c r="H71" s="2" t="s">
        <v>8</v>
      </c>
      <c r="I71" t="s">
        <v>8</v>
      </c>
      <c r="J71">
        <v>0.1</v>
      </c>
      <c r="K71" s="2">
        <v>1575</v>
      </c>
      <c r="L71">
        <v>12350</v>
      </c>
      <c r="M71" s="2">
        <v>750</v>
      </c>
      <c r="N71" s="1">
        <v>390.7</v>
      </c>
      <c r="O71" s="1">
        <v>404.85</v>
      </c>
      <c r="P71" s="2">
        <v>1575</v>
      </c>
      <c r="Q71" t="s">
        <v>8</v>
      </c>
      <c r="R71" t="s">
        <v>8</v>
      </c>
      <c r="S71" t="s">
        <v>8</v>
      </c>
      <c r="T71" s="2" t="s">
        <v>8</v>
      </c>
      <c r="U71" s="2" t="s">
        <v>8</v>
      </c>
      <c r="V71" s="2" t="s">
        <v>8</v>
      </c>
      <c r="W71" t="s">
        <v>532</v>
      </c>
      <c r="AH71" t="s">
        <v>204</v>
      </c>
      <c r="AI71" t="s">
        <v>180</v>
      </c>
      <c r="AJ71" s="3">
        <v>43643</v>
      </c>
      <c r="AK71" t="s">
        <v>42</v>
      </c>
      <c r="AL71" s="1">
        <v>11100</v>
      </c>
      <c r="AM71" s="1">
        <v>28.1</v>
      </c>
      <c r="AN71" s="1">
        <v>28.6</v>
      </c>
      <c r="AO71" s="1">
        <v>19</v>
      </c>
      <c r="AP71" s="1">
        <v>31.1</v>
      </c>
      <c r="AQ71" s="1">
        <v>20.55</v>
      </c>
      <c r="AR71" s="2">
        <v>7456</v>
      </c>
      <c r="AS71" s="1">
        <v>62191.6</v>
      </c>
      <c r="AT71">
        <v>11945.7</v>
      </c>
    </row>
    <row r="72" spans="1:46" x14ac:dyDescent="0.35">
      <c r="A72" t="s">
        <v>532</v>
      </c>
      <c r="B72" s="2">
        <v>1354500</v>
      </c>
      <c r="C72" s="2">
        <v>-83325</v>
      </c>
      <c r="D72" s="2">
        <v>3893</v>
      </c>
      <c r="E72" t="s">
        <v>8</v>
      </c>
      <c r="F72">
        <v>0.05</v>
      </c>
      <c r="G72">
        <v>-0.6</v>
      </c>
      <c r="H72" s="2" t="s">
        <v>8</v>
      </c>
      <c r="I72" t="s">
        <v>8</v>
      </c>
      <c r="J72">
        <v>0.05</v>
      </c>
      <c r="K72" s="2">
        <v>11400</v>
      </c>
      <c r="L72">
        <v>12400</v>
      </c>
      <c r="M72" s="2">
        <v>750</v>
      </c>
      <c r="N72" s="1">
        <v>440.7</v>
      </c>
      <c r="O72" s="1">
        <v>453.9</v>
      </c>
      <c r="P72" s="2">
        <v>1500</v>
      </c>
      <c r="Q72">
        <v>-81.3</v>
      </c>
      <c r="R72" s="1">
        <v>445.7</v>
      </c>
      <c r="S72" t="s">
        <v>8</v>
      </c>
      <c r="T72" s="2">
        <v>55</v>
      </c>
      <c r="U72" s="2">
        <v>-3225</v>
      </c>
      <c r="V72" s="2">
        <v>150</v>
      </c>
      <c r="W72" t="s">
        <v>532</v>
      </c>
      <c r="AH72" t="s">
        <v>204</v>
      </c>
      <c r="AI72" t="s">
        <v>180</v>
      </c>
      <c r="AJ72" s="3">
        <v>43622</v>
      </c>
      <c r="AK72" t="s">
        <v>42</v>
      </c>
      <c r="AL72" s="1">
        <v>11400</v>
      </c>
      <c r="AM72">
        <v>8.9499999999999993</v>
      </c>
      <c r="AN72">
        <v>8.9499999999999993</v>
      </c>
      <c r="AO72">
        <v>3.65</v>
      </c>
      <c r="AP72">
        <v>7.3</v>
      </c>
      <c r="AQ72">
        <v>4.5999999999999996</v>
      </c>
      <c r="AR72" s="2">
        <v>6973</v>
      </c>
      <c r="AS72" s="1">
        <v>59641.85</v>
      </c>
      <c r="AT72">
        <v>11945.7</v>
      </c>
    </row>
    <row r="73" spans="1:46" x14ac:dyDescent="0.35">
      <c r="A73" t="s">
        <v>532</v>
      </c>
      <c r="B73" s="2">
        <v>10950</v>
      </c>
      <c r="C73" s="2">
        <v>-3300</v>
      </c>
      <c r="D73" s="2">
        <v>75</v>
      </c>
      <c r="E73" t="s">
        <v>8</v>
      </c>
      <c r="F73">
        <v>0.05</v>
      </c>
      <c r="G73">
        <v>-0.65</v>
      </c>
      <c r="H73" s="2" t="s">
        <v>8</v>
      </c>
      <c r="I73" t="s">
        <v>8</v>
      </c>
      <c r="J73">
        <v>0.1</v>
      </c>
      <c r="K73" s="2">
        <v>1575</v>
      </c>
      <c r="L73">
        <v>12450</v>
      </c>
      <c r="M73" s="2">
        <v>75</v>
      </c>
      <c r="N73" s="1">
        <v>488.75</v>
      </c>
      <c r="O73" s="1">
        <v>504.95</v>
      </c>
      <c r="P73" s="2">
        <v>75</v>
      </c>
      <c r="Q73" t="s">
        <v>8</v>
      </c>
      <c r="R73" s="1" t="s">
        <v>8</v>
      </c>
      <c r="S73" t="s">
        <v>8</v>
      </c>
      <c r="T73" s="2" t="s">
        <v>8</v>
      </c>
      <c r="U73" s="2" t="s">
        <v>8</v>
      </c>
      <c r="V73" s="2" t="s">
        <v>8</v>
      </c>
      <c r="W73" t="s">
        <v>532</v>
      </c>
      <c r="AH73" t="s">
        <v>204</v>
      </c>
      <c r="AI73" t="s">
        <v>180</v>
      </c>
      <c r="AJ73" s="3">
        <v>43615</v>
      </c>
      <c r="AK73" t="s">
        <v>41</v>
      </c>
      <c r="AL73" s="1">
        <v>12150</v>
      </c>
      <c r="AM73" s="1">
        <v>0.3</v>
      </c>
      <c r="AN73" s="1">
        <v>0.3</v>
      </c>
      <c r="AO73" s="1">
        <v>0.05</v>
      </c>
      <c r="AP73" s="1">
        <v>1.2</v>
      </c>
      <c r="AQ73" s="1">
        <v>0.05</v>
      </c>
      <c r="AR73" s="2">
        <v>6282</v>
      </c>
      <c r="AS73" s="1">
        <v>57245.15</v>
      </c>
      <c r="AT73">
        <v>11945.7</v>
      </c>
    </row>
    <row r="74" spans="1:46" x14ac:dyDescent="0.35">
      <c r="A74" t="s">
        <v>532</v>
      </c>
      <c r="B74" s="2">
        <v>2739825</v>
      </c>
      <c r="C74" s="2">
        <v>-678675</v>
      </c>
      <c r="D74" s="2">
        <v>17026</v>
      </c>
      <c r="E74" t="s">
        <v>8</v>
      </c>
      <c r="F74">
        <v>0.05</v>
      </c>
      <c r="G74">
        <v>-0.5</v>
      </c>
      <c r="H74" s="2" t="s">
        <v>8</v>
      </c>
      <c r="I74" t="s">
        <v>8</v>
      </c>
      <c r="J74">
        <v>0.05</v>
      </c>
      <c r="K74" s="2">
        <v>12150</v>
      </c>
      <c r="L74">
        <v>12500</v>
      </c>
      <c r="M74" s="2">
        <v>75</v>
      </c>
      <c r="N74" s="1">
        <v>538.70000000000005</v>
      </c>
      <c r="O74" s="1">
        <v>540</v>
      </c>
      <c r="P74" s="2">
        <v>4500</v>
      </c>
      <c r="Q74">
        <v>-91.25</v>
      </c>
      <c r="R74" s="1">
        <v>538.45000000000005</v>
      </c>
      <c r="S74" t="s">
        <v>8</v>
      </c>
      <c r="T74" s="2">
        <v>4962</v>
      </c>
      <c r="U74" s="2">
        <v>-279300</v>
      </c>
      <c r="V74" s="2">
        <v>30600</v>
      </c>
      <c r="W74" t="s">
        <v>532</v>
      </c>
      <c r="AH74" t="s">
        <v>204</v>
      </c>
      <c r="AI74" t="s">
        <v>180</v>
      </c>
      <c r="AJ74" s="3">
        <v>43643</v>
      </c>
      <c r="AK74" t="s">
        <v>41</v>
      </c>
      <c r="AL74" s="1">
        <v>13000</v>
      </c>
      <c r="AM74" s="1">
        <v>6.5</v>
      </c>
      <c r="AN74" s="1">
        <v>6.5</v>
      </c>
      <c r="AO74" s="1">
        <v>4</v>
      </c>
      <c r="AP74" s="1">
        <v>6.5</v>
      </c>
      <c r="AQ74" s="1">
        <v>5.15</v>
      </c>
      <c r="AR74" s="2">
        <v>5433</v>
      </c>
      <c r="AS74" s="1">
        <v>52992.41</v>
      </c>
      <c r="AT74">
        <v>11945.7</v>
      </c>
    </row>
    <row r="75" spans="1:46" x14ac:dyDescent="0.35">
      <c r="A75" t="s">
        <v>532</v>
      </c>
      <c r="B75" s="2">
        <v>9375</v>
      </c>
      <c r="C75" s="2">
        <v>975</v>
      </c>
      <c r="D75" s="2">
        <v>35</v>
      </c>
      <c r="E75" t="s">
        <v>8</v>
      </c>
      <c r="F75">
        <v>0.05</v>
      </c>
      <c r="G75">
        <v>-0.6</v>
      </c>
      <c r="H75" s="2" t="s">
        <v>8</v>
      </c>
      <c r="I75" t="s">
        <v>8</v>
      </c>
      <c r="J75">
        <v>0.05</v>
      </c>
      <c r="K75" s="2">
        <v>150</v>
      </c>
      <c r="L75">
        <v>12550</v>
      </c>
      <c r="M75" s="2">
        <v>1500</v>
      </c>
      <c r="N75" s="1">
        <v>588.4</v>
      </c>
      <c r="O75" s="1">
        <v>605.1</v>
      </c>
      <c r="P75" s="2">
        <v>1500</v>
      </c>
      <c r="Q75" t="s">
        <v>8</v>
      </c>
      <c r="R75" s="1" t="s">
        <v>8</v>
      </c>
      <c r="S75" t="s">
        <v>8</v>
      </c>
      <c r="T75" s="2" t="s">
        <v>8</v>
      </c>
      <c r="U75" s="2" t="s">
        <v>8</v>
      </c>
      <c r="V75" s="2" t="s">
        <v>8</v>
      </c>
      <c r="W75" t="s">
        <v>532</v>
      </c>
      <c r="AH75" t="s">
        <v>204</v>
      </c>
      <c r="AI75" t="s">
        <v>180</v>
      </c>
      <c r="AJ75" s="3">
        <v>43615</v>
      </c>
      <c r="AK75" t="s">
        <v>42</v>
      </c>
      <c r="AL75" s="1">
        <v>12500</v>
      </c>
      <c r="AM75" s="1">
        <v>627.95000000000005</v>
      </c>
      <c r="AN75" s="1">
        <v>627.95000000000005</v>
      </c>
      <c r="AO75" s="1">
        <v>527.15</v>
      </c>
      <c r="AP75" s="1">
        <v>629.70000000000005</v>
      </c>
      <c r="AQ75" s="1">
        <v>541.79999999999995</v>
      </c>
      <c r="AR75" s="2">
        <v>4903</v>
      </c>
      <c r="AS75" s="1">
        <v>48036.800000000003</v>
      </c>
      <c r="AT75">
        <v>11945.7</v>
      </c>
    </row>
    <row r="76" spans="1:46" x14ac:dyDescent="0.35">
      <c r="A76" t="s">
        <v>532</v>
      </c>
      <c r="B76" s="2">
        <v>719700</v>
      </c>
      <c r="C76" s="2">
        <v>-52725</v>
      </c>
      <c r="D76" s="2">
        <v>1244</v>
      </c>
      <c r="E76" t="s">
        <v>8</v>
      </c>
      <c r="F76">
        <v>0.05</v>
      </c>
      <c r="G76">
        <v>-0.15</v>
      </c>
      <c r="H76" s="2" t="s">
        <v>8</v>
      </c>
      <c r="I76" t="s">
        <v>8</v>
      </c>
      <c r="J76">
        <v>0.05</v>
      </c>
      <c r="K76" s="2">
        <v>20550</v>
      </c>
      <c r="L76">
        <v>12600</v>
      </c>
      <c r="M76" s="2">
        <v>150</v>
      </c>
      <c r="N76" s="1">
        <v>638.70000000000005</v>
      </c>
      <c r="O76" s="1">
        <v>655.15</v>
      </c>
      <c r="P76" s="2">
        <v>1500</v>
      </c>
      <c r="Q76">
        <v>-55.15</v>
      </c>
      <c r="R76" s="1">
        <v>670</v>
      </c>
      <c r="S76" t="s">
        <v>8</v>
      </c>
      <c r="T76" s="2">
        <v>7</v>
      </c>
      <c r="U76" s="2">
        <v>-300</v>
      </c>
      <c r="V76" s="2">
        <v>375</v>
      </c>
      <c r="W76" t="s">
        <v>532</v>
      </c>
      <c r="AH76" t="s">
        <v>204</v>
      </c>
      <c r="AI76" t="s">
        <v>180</v>
      </c>
      <c r="AJ76" s="3">
        <v>43615</v>
      </c>
      <c r="AK76" t="s">
        <v>41</v>
      </c>
      <c r="AL76" s="1">
        <v>11300</v>
      </c>
      <c r="AM76" s="1">
        <v>560</v>
      </c>
      <c r="AN76" s="1">
        <v>658.35</v>
      </c>
      <c r="AO76" s="1">
        <v>558.15</v>
      </c>
      <c r="AP76" s="1">
        <v>557.5</v>
      </c>
      <c r="AQ76" s="1">
        <v>640</v>
      </c>
      <c r="AR76" s="2">
        <v>5231</v>
      </c>
      <c r="AS76" s="1">
        <v>46744.19</v>
      </c>
      <c r="AT76">
        <v>11945.7</v>
      </c>
    </row>
    <row r="77" spans="1:46" x14ac:dyDescent="0.35">
      <c r="A77" t="s">
        <v>532</v>
      </c>
      <c r="B77" s="2" t="s">
        <v>8</v>
      </c>
      <c r="C77" s="2" t="s">
        <v>8</v>
      </c>
      <c r="D77" s="2" t="s">
        <v>8</v>
      </c>
      <c r="E77" t="s">
        <v>8</v>
      </c>
      <c r="F77" t="s">
        <v>8</v>
      </c>
      <c r="G77" t="s">
        <v>8</v>
      </c>
      <c r="H77" s="2" t="s">
        <v>8</v>
      </c>
      <c r="I77" t="s">
        <v>8</v>
      </c>
      <c r="J77">
        <v>0.1</v>
      </c>
      <c r="K77" s="2">
        <v>1500</v>
      </c>
      <c r="L77">
        <v>12650</v>
      </c>
      <c r="M77" s="2">
        <v>1500</v>
      </c>
      <c r="N77" s="1">
        <v>688.35</v>
      </c>
      <c r="O77" s="1">
        <v>705.2</v>
      </c>
      <c r="P77" s="2">
        <v>1500</v>
      </c>
      <c r="Q77" t="s">
        <v>8</v>
      </c>
      <c r="R77" s="1" t="s">
        <v>8</v>
      </c>
      <c r="S77" t="s">
        <v>8</v>
      </c>
      <c r="T77" s="2" t="s">
        <v>8</v>
      </c>
      <c r="U77" s="2" t="s">
        <v>8</v>
      </c>
      <c r="V77" s="2" t="s">
        <v>8</v>
      </c>
      <c r="W77" t="s">
        <v>532</v>
      </c>
      <c r="AH77" t="s">
        <v>204</v>
      </c>
      <c r="AI77" t="s">
        <v>180</v>
      </c>
      <c r="AJ77" s="3">
        <v>43615</v>
      </c>
      <c r="AK77" t="s">
        <v>42</v>
      </c>
      <c r="AL77" s="1">
        <v>11300</v>
      </c>
      <c r="AM77" s="1">
        <v>0.15</v>
      </c>
      <c r="AN77" s="1">
        <v>0.25</v>
      </c>
      <c r="AO77" s="1">
        <v>0.05</v>
      </c>
      <c r="AP77" s="1">
        <v>1.05</v>
      </c>
      <c r="AQ77" s="1">
        <v>0.05</v>
      </c>
      <c r="AR77" s="2">
        <v>5170</v>
      </c>
      <c r="AS77" s="1">
        <v>43816.1</v>
      </c>
      <c r="AT77">
        <v>11945.7</v>
      </c>
    </row>
    <row r="78" spans="1:46" x14ac:dyDescent="0.35">
      <c r="A78" t="s">
        <v>532</v>
      </c>
      <c r="B78" s="2">
        <v>493950</v>
      </c>
      <c r="C78" s="2">
        <v>-12600</v>
      </c>
      <c r="D78" s="2">
        <v>1137</v>
      </c>
      <c r="E78" t="s">
        <v>8</v>
      </c>
      <c r="F78">
        <v>0.05</v>
      </c>
      <c r="G78">
        <v>-0.3</v>
      </c>
      <c r="H78" s="2" t="s">
        <v>8</v>
      </c>
      <c r="I78" t="s">
        <v>8</v>
      </c>
      <c r="J78">
        <v>0.05</v>
      </c>
      <c r="K78" s="2">
        <v>31500</v>
      </c>
      <c r="L78">
        <v>12700</v>
      </c>
      <c r="M78" s="2">
        <v>1500</v>
      </c>
      <c r="N78" s="1">
        <v>738.35</v>
      </c>
      <c r="O78" s="1">
        <v>755.25</v>
      </c>
      <c r="P78" s="2">
        <v>1500</v>
      </c>
      <c r="Q78">
        <v>12.2</v>
      </c>
      <c r="R78">
        <v>782.2</v>
      </c>
      <c r="S78" t="s">
        <v>8</v>
      </c>
      <c r="T78" s="2">
        <v>17</v>
      </c>
      <c r="U78" s="2">
        <v>-1200</v>
      </c>
      <c r="V78" s="2">
        <v>75</v>
      </c>
      <c r="W78" t="s">
        <v>532</v>
      </c>
      <c r="AH78" t="s">
        <v>204</v>
      </c>
      <c r="AI78" t="s">
        <v>180</v>
      </c>
      <c r="AJ78" s="3">
        <v>43615</v>
      </c>
      <c r="AK78" t="s">
        <v>42</v>
      </c>
      <c r="AL78" s="1">
        <v>11100</v>
      </c>
      <c r="AM78">
        <v>0.15</v>
      </c>
      <c r="AN78">
        <v>0.2</v>
      </c>
      <c r="AO78">
        <v>0.05</v>
      </c>
      <c r="AP78">
        <v>0.9</v>
      </c>
      <c r="AQ78">
        <v>0.05</v>
      </c>
      <c r="AR78" s="2">
        <v>5243</v>
      </c>
      <c r="AS78" s="1">
        <v>43648.29</v>
      </c>
      <c r="AT78">
        <v>11945.7</v>
      </c>
    </row>
    <row r="79" spans="1:46" x14ac:dyDescent="0.35">
      <c r="A79" t="s">
        <v>532</v>
      </c>
      <c r="B79" s="2">
        <v>150</v>
      </c>
      <c r="C79" s="2" t="s">
        <v>8</v>
      </c>
      <c r="D79" s="2">
        <v>6</v>
      </c>
      <c r="E79" t="s">
        <v>8</v>
      </c>
      <c r="F79">
        <v>0.05</v>
      </c>
      <c r="G79">
        <v>-0.45</v>
      </c>
      <c r="H79" s="2" t="s">
        <v>8</v>
      </c>
      <c r="I79" t="s">
        <v>8</v>
      </c>
      <c r="J79">
        <v>0.1</v>
      </c>
      <c r="K79" s="2">
        <v>1500</v>
      </c>
      <c r="L79">
        <v>12750</v>
      </c>
      <c r="M79" s="2">
        <v>1500</v>
      </c>
      <c r="N79" s="1">
        <v>788.3</v>
      </c>
      <c r="O79" s="1">
        <v>805.3</v>
      </c>
      <c r="P79" s="2">
        <v>1500</v>
      </c>
      <c r="Q79" t="s">
        <v>8</v>
      </c>
      <c r="R79" s="1" t="s">
        <v>8</v>
      </c>
      <c r="S79" t="s">
        <v>8</v>
      </c>
      <c r="T79" s="2" t="s">
        <v>8</v>
      </c>
      <c r="U79" s="2" t="s">
        <v>8</v>
      </c>
      <c r="V79" s="2" t="s">
        <v>8</v>
      </c>
      <c r="W79" t="s">
        <v>532</v>
      </c>
      <c r="AH79" t="s">
        <v>204</v>
      </c>
      <c r="AI79" t="s">
        <v>180</v>
      </c>
      <c r="AJ79" s="3">
        <v>43615</v>
      </c>
      <c r="AK79" t="s">
        <v>42</v>
      </c>
      <c r="AL79" s="1">
        <v>12100</v>
      </c>
      <c r="AM79">
        <v>231.8</v>
      </c>
      <c r="AN79">
        <v>232.05</v>
      </c>
      <c r="AO79">
        <v>126.9</v>
      </c>
      <c r="AP79">
        <v>231.5</v>
      </c>
      <c r="AQ79">
        <v>147.69999999999999</v>
      </c>
      <c r="AR79" s="2">
        <v>4717</v>
      </c>
      <c r="AS79" s="1">
        <v>43371.19</v>
      </c>
      <c r="AT79">
        <v>11945.7</v>
      </c>
    </row>
    <row r="80" spans="1:46" x14ac:dyDescent="0.35">
      <c r="A80" t="s">
        <v>532</v>
      </c>
      <c r="B80" s="2">
        <v>573225</v>
      </c>
      <c r="C80" s="2">
        <v>-33600</v>
      </c>
      <c r="D80" s="2">
        <v>2715</v>
      </c>
      <c r="E80" t="s">
        <v>8</v>
      </c>
      <c r="F80">
        <v>0.05</v>
      </c>
      <c r="G80">
        <v>-0.45</v>
      </c>
      <c r="H80" s="2" t="s">
        <v>8</v>
      </c>
      <c r="I80" t="s">
        <v>8</v>
      </c>
      <c r="J80">
        <v>0.05</v>
      </c>
      <c r="K80" s="2">
        <v>12900</v>
      </c>
      <c r="L80">
        <v>12800</v>
      </c>
      <c r="M80" s="2">
        <v>1500</v>
      </c>
      <c r="N80" s="1">
        <v>838.3</v>
      </c>
      <c r="O80" s="1">
        <v>844</v>
      </c>
      <c r="P80" s="2">
        <v>225</v>
      </c>
      <c r="Q80">
        <v>-58</v>
      </c>
      <c r="R80" s="1">
        <v>850</v>
      </c>
      <c r="S80" t="s">
        <v>8</v>
      </c>
      <c r="T80" s="2">
        <v>14</v>
      </c>
      <c r="U80" s="2">
        <v>-600</v>
      </c>
      <c r="V80" s="2">
        <v>225</v>
      </c>
      <c r="W80" t="s">
        <v>532</v>
      </c>
      <c r="AH80" t="s">
        <v>204</v>
      </c>
      <c r="AI80" t="s">
        <v>180</v>
      </c>
      <c r="AJ80" s="3">
        <v>43643</v>
      </c>
      <c r="AK80" t="s">
        <v>41</v>
      </c>
      <c r="AL80" s="1">
        <v>11800</v>
      </c>
      <c r="AM80" s="1">
        <v>250.35</v>
      </c>
      <c r="AN80" s="1">
        <v>307.95</v>
      </c>
      <c r="AO80" s="1">
        <v>246.15</v>
      </c>
      <c r="AP80" s="1">
        <v>250</v>
      </c>
      <c r="AQ80" s="1">
        <v>296.64999999999998</v>
      </c>
      <c r="AR80" s="2">
        <v>4653</v>
      </c>
      <c r="AS80" s="1">
        <v>42168.53</v>
      </c>
      <c r="AT80">
        <v>11945.7</v>
      </c>
    </row>
    <row r="81" spans="1:46" x14ac:dyDescent="0.35">
      <c r="A81" t="s">
        <v>532</v>
      </c>
      <c r="B81" s="2">
        <v>225</v>
      </c>
      <c r="C81" s="2">
        <v>-150</v>
      </c>
      <c r="D81" s="2">
        <v>4</v>
      </c>
      <c r="E81" t="s">
        <v>8</v>
      </c>
      <c r="F81">
        <v>0.05</v>
      </c>
      <c r="G81">
        <v>-0.7</v>
      </c>
      <c r="H81" s="2" t="s">
        <v>8</v>
      </c>
      <c r="I81" t="s">
        <v>8</v>
      </c>
      <c r="J81">
        <v>0.1</v>
      </c>
      <c r="K81" s="2">
        <v>1500</v>
      </c>
      <c r="L81">
        <v>12850</v>
      </c>
      <c r="M81" s="2">
        <v>1500</v>
      </c>
      <c r="N81" s="1">
        <v>888.25</v>
      </c>
      <c r="O81" s="1">
        <v>905.45</v>
      </c>
      <c r="P81" s="2">
        <v>1500</v>
      </c>
      <c r="Q81" t="s">
        <v>8</v>
      </c>
      <c r="R81" s="1" t="s">
        <v>8</v>
      </c>
      <c r="S81" t="s">
        <v>8</v>
      </c>
      <c r="T81" t="s">
        <v>8</v>
      </c>
      <c r="U81" s="2" t="s">
        <v>8</v>
      </c>
      <c r="V81" s="2" t="s">
        <v>8</v>
      </c>
      <c r="W81" t="s">
        <v>532</v>
      </c>
      <c r="AH81" t="s">
        <v>204</v>
      </c>
      <c r="AI81" t="s">
        <v>180</v>
      </c>
      <c r="AJ81" s="3">
        <v>43671</v>
      </c>
      <c r="AK81" t="s">
        <v>42</v>
      </c>
      <c r="AL81" s="1">
        <v>11000</v>
      </c>
      <c r="AM81" s="1">
        <v>51.5</v>
      </c>
      <c r="AN81" s="1">
        <v>51.5</v>
      </c>
      <c r="AO81" s="1">
        <v>40</v>
      </c>
      <c r="AP81" s="1">
        <v>51.75</v>
      </c>
      <c r="AQ81" s="1">
        <v>42.1</v>
      </c>
      <c r="AR81" s="2">
        <v>5075</v>
      </c>
      <c r="AS81" s="1">
        <v>42032.27</v>
      </c>
      <c r="AT81">
        <v>11945.7</v>
      </c>
    </row>
    <row r="82" spans="1:46" x14ac:dyDescent="0.35">
      <c r="A82" t="s">
        <v>532</v>
      </c>
      <c r="B82" s="2">
        <v>338325</v>
      </c>
      <c r="C82" s="2">
        <v>33150</v>
      </c>
      <c r="D82" s="2">
        <v>2213</v>
      </c>
      <c r="E82" t="s">
        <v>8</v>
      </c>
      <c r="F82">
        <v>0.05</v>
      </c>
      <c r="G82">
        <v>-0.5</v>
      </c>
      <c r="H82" s="2" t="s">
        <v>8</v>
      </c>
      <c r="I82" t="s">
        <v>8</v>
      </c>
      <c r="J82">
        <v>0.05</v>
      </c>
      <c r="K82" s="2">
        <v>4800</v>
      </c>
      <c r="L82">
        <v>12900</v>
      </c>
      <c r="M82" s="2">
        <v>75</v>
      </c>
      <c r="N82" s="1">
        <v>938.3</v>
      </c>
      <c r="O82" s="1">
        <v>955.45</v>
      </c>
      <c r="P82" s="2">
        <v>1500</v>
      </c>
      <c r="Q82">
        <v>18.45</v>
      </c>
      <c r="R82" s="1">
        <v>957.2</v>
      </c>
      <c r="S82" t="s">
        <v>8</v>
      </c>
      <c r="T82" s="2">
        <v>20</v>
      </c>
      <c r="U82" s="2">
        <v>-750</v>
      </c>
      <c r="V82" s="2">
        <v>300</v>
      </c>
      <c r="W82" t="s">
        <v>532</v>
      </c>
      <c r="AH82" t="s">
        <v>204</v>
      </c>
      <c r="AI82" t="s">
        <v>180</v>
      </c>
      <c r="AJ82" s="3">
        <v>43622</v>
      </c>
      <c r="AK82" t="s">
        <v>41</v>
      </c>
      <c r="AL82" s="1">
        <v>12800</v>
      </c>
      <c r="AM82">
        <v>1.5</v>
      </c>
      <c r="AN82">
        <v>1.5</v>
      </c>
      <c r="AO82">
        <v>0.75</v>
      </c>
      <c r="AP82">
        <v>1.45</v>
      </c>
      <c r="AQ82">
        <v>1.2</v>
      </c>
      <c r="AR82" s="2">
        <v>4279</v>
      </c>
      <c r="AS82" s="1">
        <v>41081.71</v>
      </c>
      <c r="AT82">
        <v>11945.7</v>
      </c>
    </row>
    <row r="83" spans="1:46" x14ac:dyDescent="0.35">
      <c r="A83" t="s">
        <v>532</v>
      </c>
      <c r="B83" s="2">
        <v>4275</v>
      </c>
      <c r="C83" s="2">
        <v>-225</v>
      </c>
      <c r="D83" s="2">
        <v>23</v>
      </c>
      <c r="E83" t="s">
        <v>8</v>
      </c>
      <c r="F83">
        <v>0.05</v>
      </c>
      <c r="G83">
        <v>-0.05</v>
      </c>
      <c r="H83" s="2" t="s">
        <v>8</v>
      </c>
      <c r="I83" t="s">
        <v>8</v>
      </c>
      <c r="J83">
        <v>0.05</v>
      </c>
      <c r="K83" s="2">
        <v>750</v>
      </c>
      <c r="L83">
        <v>12950</v>
      </c>
      <c r="M83" s="2">
        <v>975</v>
      </c>
      <c r="N83" s="1">
        <v>943</v>
      </c>
      <c r="O83" s="1">
        <v>1028.25</v>
      </c>
      <c r="P83" s="2">
        <v>975</v>
      </c>
      <c r="Q83" t="s">
        <v>8</v>
      </c>
      <c r="R83" s="1" t="s">
        <v>8</v>
      </c>
      <c r="S83" t="s">
        <v>8</v>
      </c>
      <c r="T83" s="2" t="s">
        <v>8</v>
      </c>
      <c r="U83" s="2" t="s">
        <v>8</v>
      </c>
      <c r="V83" s="2" t="s">
        <v>8</v>
      </c>
      <c r="W83" t="s">
        <v>532</v>
      </c>
      <c r="AH83" t="s">
        <v>204</v>
      </c>
      <c r="AI83" t="s">
        <v>180</v>
      </c>
      <c r="AJ83" s="3">
        <v>43622</v>
      </c>
      <c r="AK83" t="s">
        <v>41</v>
      </c>
      <c r="AL83" s="1">
        <v>12150</v>
      </c>
      <c r="AM83">
        <v>2.5</v>
      </c>
      <c r="AN83">
        <v>26.6</v>
      </c>
      <c r="AO83">
        <v>2.5</v>
      </c>
      <c r="AP83">
        <v>17.8</v>
      </c>
      <c r="AQ83">
        <v>21.5</v>
      </c>
      <c r="AR83" s="2">
        <v>4407</v>
      </c>
      <c r="AS83" s="1">
        <v>40226.639999999999</v>
      </c>
      <c r="AT83">
        <v>11945.7</v>
      </c>
    </row>
    <row r="84" spans="1:46" x14ac:dyDescent="0.35">
      <c r="A84" t="s">
        <v>532</v>
      </c>
      <c r="B84" s="2">
        <v>2017275</v>
      </c>
      <c r="C84" s="2">
        <v>-56475</v>
      </c>
      <c r="D84" s="2">
        <v>18100</v>
      </c>
      <c r="E84" t="s">
        <v>8</v>
      </c>
      <c r="F84">
        <v>0.05</v>
      </c>
      <c r="G84">
        <v>-0.45</v>
      </c>
      <c r="H84" s="2" t="s">
        <v>8</v>
      </c>
      <c r="I84" t="s">
        <v>8</v>
      </c>
      <c r="J84">
        <v>0.05</v>
      </c>
      <c r="K84" s="2">
        <v>38250</v>
      </c>
      <c r="L84">
        <v>13000</v>
      </c>
      <c r="M84" s="2">
        <v>75</v>
      </c>
      <c r="N84" s="1">
        <v>1038.8</v>
      </c>
      <c r="O84" s="1">
        <v>1048.6500000000001</v>
      </c>
      <c r="P84" s="2">
        <v>75</v>
      </c>
      <c r="Q84">
        <v>-88.75</v>
      </c>
      <c r="R84" s="1">
        <v>1039.75</v>
      </c>
      <c r="S84" t="s">
        <v>8</v>
      </c>
      <c r="T84" s="2">
        <v>2571</v>
      </c>
      <c r="U84" s="2">
        <v>-136350</v>
      </c>
      <c r="V84" s="2">
        <v>6525</v>
      </c>
      <c r="W84" t="s">
        <v>532</v>
      </c>
      <c r="AH84" t="s">
        <v>204</v>
      </c>
      <c r="AI84" t="s">
        <v>180</v>
      </c>
      <c r="AJ84" s="3">
        <v>43622</v>
      </c>
      <c r="AK84" t="s">
        <v>41</v>
      </c>
      <c r="AL84" s="1">
        <v>11850</v>
      </c>
      <c r="AM84">
        <v>101.5</v>
      </c>
      <c r="AN84">
        <v>160.30000000000001</v>
      </c>
      <c r="AO84">
        <v>98.2</v>
      </c>
      <c r="AP84">
        <v>105.95</v>
      </c>
      <c r="AQ84">
        <v>145.80000000000001</v>
      </c>
      <c r="AR84" s="2">
        <v>4194</v>
      </c>
      <c r="AS84" s="1">
        <v>37673.97</v>
      </c>
      <c r="AT84">
        <v>11945.7</v>
      </c>
    </row>
    <row r="85" spans="1:46" x14ac:dyDescent="0.35">
      <c r="A85" t="s">
        <v>532</v>
      </c>
      <c r="B85" s="2">
        <v>38400</v>
      </c>
      <c r="C85" s="2">
        <v>38400</v>
      </c>
      <c r="D85" s="2">
        <v>512</v>
      </c>
      <c r="E85" t="s">
        <v>8</v>
      </c>
      <c r="F85">
        <v>0.05</v>
      </c>
      <c r="G85">
        <v>-7.6</v>
      </c>
      <c r="H85" s="2" t="s">
        <v>8</v>
      </c>
      <c r="I85" t="s">
        <v>8</v>
      </c>
      <c r="J85">
        <v>0.05</v>
      </c>
      <c r="K85" s="2">
        <v>38400</v>
      </c>
      <c r="L85">
        <v>13050</v>
      </c>
      <c r="M85" s="2">
        <v>975</v>
      </c>
      <c r="N85" s="1">
        <v>1045.7</v>
      </c>
      <c r="O85" s="1">
        <v>1175</v>
      </c>
      <c r="P85" s="2">
        <v>975</v>
      </c>
      <c r="Q85" t="s">
        <v>8</v>
      </c>
      <c r="R85" s="1" t="s">
        <v>8</v>
      </c>
      <c r="S85" t="s">
        <v>8</v>
      </c>
      <c r="T85" s="2" t="s">
        <v>8</v>
      </c>
      <c r="U85" s="2" t="s">
        <v>8</v>
      </c>
      <c r="V85" s="2" t="s">
        <v>8</v>
      </c>
      <c r="W85" t="s">
        <v>532</v>
      </c>
      <c r="AH85" t="s">
        <v>204</v>
      </c>
      <c r="AI85" t="s">
        <v>180</v>
      </c>
      <c r="AJ85" s="3">
        <v>43622</v>
      </c>
      <c r="AK85" t="s">
        <v>42</v>
      </c>
      <c r="AL85" s="1">
        <v>11300</v>
      </c>
      <c r="AM85" s="1">
        <v>5.05</v>
      </c>
      <c r="AN85" s="1">
        <v>5.05</v>
      </c>
      <c r="AO85" s="1">
        <v>2.0499999999999998</v>
      </c>
      <c r="AP85" s="1">
        <v>4.3499999999999996</v>
      </c>
      <c r="AQ85" s="1">
        <v>3.95</v>
      </c>
      <c r="AR85" s="2">
        <v>4306</v>
      </c>
      <c r="AS85" s="1">
        <v>36503.94</v>
      </c>
      <c r="AT85">
        <v>11945.7</v>
      </c>
    </row>
    <row r="86" spans="1:46" x14ac:dyDescent="0.35">
      <c r="A86" t="s">
        <v>532</v>
      </c>
      <c r="B86" s="2">
        <v>116850</v>
      </c>
      <c r="C86" s="2">
        <v>6450</v>
      </c>
      <c r="D86" s="2">
        <v>683</v>
      </c>
      <c r="E86" t="s">
        <v>8</v>
      </c>
      <c r="F86">
        <v>0.1</v>
      </c>
      <c r="G86">
        <v>-0.35</v>
      </c>
      <c r="H86" s="2" t="s">
        <v>8</v>
      </c>
      <c r="I86" t="s">
        <v>8</v>
      </c>
      <c r="J86">
        <v>0.05</v>
      </c>
      <c r="K86" s="2">
        <v>975</v>
      </c>
      <c r="L86">
        <v>13100</v>
      </c>
      <c r="M86" s="2">
        <v>75</v>
      </c>
      <c r="N86" s="1">
        <v>1133.0999999999999</v>
      </c>
      <c r="O86" s="1">
        <v>1155.6500000000001</v>
      </c>
      <c r="P86" s="2">
        <v>75</v>
      </c>
      <c r="Q86">
        <v>-28.95</v>
      </c>
      <c r="R86" s="1">
        <v>1151.3</v>
      </c>
      <c r="S86" t="s">
        <v>8</v>
      </c>
      <c r="T86" s="2">
        <v>3</v>
      </c>
      <c r="U86" s="2">
        <v>-225</v>
      </c>
      <c r="V86" s="2" t="s">
        <v>8</v>
      </c>
      <c r="W86" t="s">
        <v>532</v>
      </c>
      <c r="AH86" t="s">
        <v>204</v>
      </c>
      <c r="AI86" t="s">
        <v>180</v>
      </c>
      <c r="AJ86" s="3">
        <v>43615</v>
      </c>
      <c r="AK86" t="s">
        <v>41</v>
      </c>
      <c r="AL86" s="1">
        <v>11500</v>
      </c>
      <c r="AM86">
        <v>340.5</v>
      </c>
      <c r="AN86">
        <v>457.2</v>
      </c>
      <c r="AO86">
        <v>330.6</v>
      </c>
      <c r="AP86">
        <v>359.25</v>
      </c>
      <c r="AQ86">
        <v>439.2</v>
      </c>
      <c r="AR86" s="2">
        <v>4055</v>
      </c>
      <c r="AS86" s="1">
        <v>36223.839999999997</v>
      </c>
      <c r="AT86">
        <v>11945.7</v>
      </c>
    </row>
    <row r="87" spans="1:46" x14ac:dyDescent="0.35">
      <c r="A87" t="s">
        <v>532</v>
      </c>
      <c r="B87" s="2">
        <v>19200</v>
      </c>
      <c r="C87" s="2">
        <v>19200</v>
      </c>
      <c r="D87" s="2">
        <v>256</v>
      </c>
      <c r="E87" t="s">
        <v>8</v>
      </c>
      <c r="F87">
        <v>0.05</v>
      </c>
      <c r="G87">
        <v>-5.25</v>
      </c>
      <c r="H87" s="2" t="s">
        <v>8</v>
      </c>
      <c r="I87" t="s">
        <v>8</v>
      </c>
      <c r="J87">
        <v>0.05</v>
      </c>
      <c r="K87" s="2">
        <v>19200</v>
      </c>
      <c r="L87">
        <v>13150</v>
      </c>
      <c r="M87" s="2">
        <v>975</v>
      </c>
      <c r="N87" s="1">
        <v>1138.5</v>
      </c>
      <c r="O87" s="1">
        <v>1361.45</v>
      </c>
      <c r="P87" s="2">
        <v>975</v>
      </c>
      <c r="Q87" t="s">
        <v>8</v>
      </c>
      <c r="R87" s="1" t="s">
        <v>8</v>
      </c>
      <c r="S87" t="s">
        <v>8</v>
      </c>
      <c r="T87" t="s">
        <v>8</v>
      </c>
      <c r="U87" s="2" t="s">
        <v>8</v>
      </c>
      <c r="V87" s="2" t="s">
        <v>8</v>
      </c>
      <c r="W87" t="s">
        <v>532</v>
      </c>
      <c r="AH87" t="s">
        <v>204</v>
      </c>
      <c r="AI87" t="s">
        <v>180</v>
      </c>
      <c r="AJ87" s="3">
        <v>43615</v>
      </c>
      <c r="AK87" t="s">
        <v>41</v>
      </c>
      <c r="AL87" s="1">
        <v>12400</v>
      </c>
      <c r="AM87">
        <v>0.1</v>
      </c>
      <c r="AN87">
        <v>0.15</v>
      </c>
      <c r="AO87">
        <v>0.05</v>
      </c>
      <c r="AP87">
        <v>0.65</v>
      </c>
      <c r="AQ87">
        <v>0.05</v>
      </c>
      <c r="AR87" s="2">
        <v>3886</v>
      </c>
      <c r="AS87" s="1">
        <v>36140</v>
      </c>
      <c r="AT87">
        <v>11945.7</v>
      </c>
    </row>
    <row r="88" spans="1:46" x14ac:dyDescent="0.35">
      <c r="A88" t="s">
        <v>532</v>
      </c>
      <c r="B88" s="2">
        <v>121125</v>
      </c>
      <c r="C88" s="2">
        <v>-3000</v>
      </c>
      <c r="D88" s="2">
        <v>386</v>
      </c>
      <c r="E88" t="s">
        <v>8</v>
      </c>
      <c r="F88">
        <v>0.05</v>
      </c>
      <c r="G88">
        <v>-0.4</v>
      </c>
      <c r="H88" s="2" t="s">
        <v>8</v>
      </c>
      <c r="I88" t="s">
        <v>8</v>
      </c>
      <c r="J88">
        <v>0.05</v>
      </c>
      <c r="K88" s="2">
        <v>16050</v>
      </c>
      <c r="L88">
        <v>13200</v>
      </c>
      <c r="M88" s="2">
        <v>75</v>
      </c>
      <c r="N88" s="1">
        <v>1238.75</v>
      </c>
      <c r="O88" s="1">
        <v>1255.25</v>
      </c>
      <c r="P88" s="2">
        <v>75</v>
      </c>
      <c r="Q88">
        <v>-21.8</v>
      </c>
      <c r="R88" s="1">
        <v>1254.8</v>
      </c>
      <c r="S88" t="s">
        <v>8</v>
      </c>
      <c r="T88">
        <v>44</v>
      </c>
      <c r="U88" s="2">
        <v>-2775</v>
      </c>
      <c r="V88" s="2">
        <v>300</v>
      </c>
      <c r="W88" t="s">
        <v>532</v>
      </c>
      <c r="AH88" t="s">
        <v>204</v>
      </c>
      <c r="AI88" t="s">
        <v>180</v>
      </c>
      <c r="AJ88" s="3">
        <v>43643</v>
      </c>
      <c r="AK88" t="s">
        <v>41</v>
      </c>
      <c r="AL88" s="1">
        <v>12600</v>
      </c>
      <c r="AM88">
        <v>13.15</v>
      </c>
      <c r="AN88">
        <v>14.95</v>
      </c>
      <c r="AO88">
        <v>10.9</v>
      </c>
      <c r="AP88">
        <v>13.4</v>
      </c>
      <c r="AQ88">
        <v>11.9</v>
      </c>
      <c r="AR88" s="2">
        <v>3803</v>
      </c>
      <c r="AS88" s="1">
        <v>35973.089999999997</v>
      </c>
      <c r="AT88">
        <v>11945.7</v>
      </c>
    </row>
    <row r="89" spans="1:46" x14ac:dyDescent="0.35">
      <c r="A89" t="s">
        <v>532</v>
      </c>
      <c r="B89" s="2">
        <v>9600</v>
      </c>
      <c r="C89" s="2">
        <v>9600</v>
      </c>
      <c r="D89" s="2">
        <v>128</v>
      </c>
      <c r="E89" t="s">
        <v>8</v>
      </c>
      <c r="F89">
        <v>0.05</v>
      </c>
      <c r="G89">
        <v>-0.6</v>
      </c>
      <c r="H89" s="2" t="s">
        <v>8</v>
      </c>
      <c r="I89" t="s">
        <v>8</v>
      </c>
      <c r="J89">
        <v>0.05</v>
      </c>
      <c r="K89" s="2">
        <v>9600</v>
      </c>
      <c r="L89">
        <v>13250</v>
      </c>
      <c r="M89" s="2">
        <v>975</v>
      </c>
      <c r="N89" s="1">
        <v>1046.2</v>
      </c>
      <c r="O89" s="1">
        <v>1472.85</v>
      </c>
      <c r="P89" s="2">
        <v>975</v>
      </c>
      <c r="Q89" t="s">
        <v>8</v>
      </c>
      <c r="R89" s="1" t="s">
        <v>8</v>
      </c>
      <c r="S89" t="s">
        <v>8</v>
      </c>
      <c r="T89" s="2" t="s">
        <v>8</v>
      </c>
      <c r="U89" s="2" t="s">
        <v>8</v>
      </c>
      <c r="V89" s="2" t="s">
        <v>8</v>
      </c>
      <c r="W89" t="s">
        <v>532</v>
      </c>
      <c r="AH89" t="s">
        <v>204</v>
      </c>
      <c r="AI89" t="s">
        <v>180</v>
      </c>
      <c r="AJ89" s="3">
        <v>43615</v>
      </c>
      <c r="AK89" t="s">
        <v>41</v>
      </c>
      <c r="AL89" s="1">
        <v>11750</v>
      </c>
      <c r="AM89">
        <v>113.8</v>
      </c>
      <c r="AN89">
        <v>208.85</v>
      </c>
      <c r="AO89">
        <v>108.5</v>
      </c>
      <c r="AP89">
        <v>115.05</v>
      </c>
      <c r="AQ89">
        <v>188.4</v>
      </c>
      <c r="AR89" s="2">
        <v>3872</v>
      </c>
      <c r="AS89" s="1">
        <v>34582.370000000003</v>
      </c>
      <c r="AT89">
        <v>11945.7</v>
      </c>
    </row>
    <row r="90" spans="1:46" x14ac:dyDescent="0.35">
      <c r="A90" t="s">
        <v>532</v>
      </c>
      <c r="B90" s="2">
        <v>426150</v>
      </c>
      <c r="C90" s="2">
        <v>-24975</v>
      </c>
      <c r="D90" s="2">
        <v>1477</v>
      </c>
      <c r="E90" t="s">
        <v>8</v>
      </c>
      <c r="F90">
        <v>0.05</v>
      </c>
      <c r="G90">
        <v>-0.4</v>
      </c>
      <c r="H90" s="2" t="s">
        <v>8</v>
      </c>
      <c r="I90" t="s">
        <v>8</v>
      </c>
      <c r="J90">
        <v>0.05</v>
      </c>
      <c r="K90" s="2">
        <v>18000</v>
      </c>
      <c r="L90">
        <v>13300</v>
      </c>
      <c r="M90" s="2">
        <v>75</v>
      </c>
      <c r="N90" s="1">
        <v>1338.2</v>
      </c>
      <c r="O90" s="1">
        <v>1355.65</v>
      </c>
      <c r="P90" s="2">
        <v>75</v>
      </c>
      <c r="Q90">
        <v>-71.400000000000006</v>
      </c>
      <c r="R90" s="1">
        <v>1355</v>
      </c>
      <c r="S90" t="s">
        <v>8</v>
      </c>
      <c r="T90" s="2">
        <v>41</v>
      </c>
      <c r="U90" s="2">
        <v>-3075</v>
      </c>
      <c r="V90" s="2">
        <v>225</v>
      </c>
      <c r="W90" t="s">
        <v>532</v>
      </c>
      <c r="AH90" t="s">
        <v>204</v>
      </c>
      <c r="AI90" t="s">
        <v>180</v>
      </c>
      <c r="AJ90" s="3">
        <v>43622</v>
      </c>
      <c r="AK90" t="s">
        <v>42</v>
      </c>
      <c r="AL90" s="1">
        <v>11650</v>
      </c>
      <c r="AM90">
        <v>25.05</v>
      </c>
      <c r="AN90">
        <v>27.6</v>
      </c>
      <c r="AO90">
        <v>10.3</v>
      </c>
      <c r="AP90">
        <v>27.05</v>
      </c>
      <c r="AQ90">
        <v>12.7</v>
      </c>
      <c r="AR90" s="2">
        <v>3689</v>
      </c>
      <c r="AS90" s="1">
        <v>32273.17</v>
      </c>
      <c r="AT90">
        <v>11945.7</v>
      </c>
    </row>
    <row r="91" spans="1:46" x14ac:dyDescent="0.35">
      <c r="A91" t="s">
        <v>532</v>
      </c>
      <c r="B91" s="2">
        <v>3900</v>
      </c>
      <c r="C91" s="2" t="s">
        <v>8</v>
      </c>
      <c r="D91" s="2" t="s">
        <v>8</v>
      </c>
      <c r="E91" t="s">
        <v>8</v>
      </c>
      <c r="F91">
        <v>0.25</v>
      </c>
      <c r="G91" t="s">
        <v>8</v>
      </c>
      <c r="H91" s="2" t="s">
        <v>8</v>
      </c>
      <c r="I91" t="s">
        <v>8</v>
      </c>
      <c r="J91">
        <v>0.05</v>
      </c>
      <c r="K91" s="2">
        <v>525</v>
      </c>
      <c r="L91">
        <v>13350</v>
      </c>
      <c r="M91" s="2">
        <v>900</v>
      </c>
      <c r="N91" s="1">
        <v>1108.3499999999999</v>
      </c>
      <c r="O91" s="1">
        <v>1586.15</v>
      </c>
      <c r="P91" s="2">
        <v>900</v>
      </c>
      <c r="Q91" t="s">
        <v>8</v>
      </c>
      <c r="R91" s="1" t="s">
        <v>8</v>
      </c>
      <c r="S91" t="s">
        <v>8</v>
      </c>
      <c r="T91" t="s">
        <v>8</v>
      </c>
      <c r="U91" s="2" t="s">
        <v>8</v>
      </c>
      <c r="V91" s="2" t="s">
        <v>8</v>
      </c>
      <c r="W91" t="s">
        <v>532</v>
      </c>
      <c r="AH91" t="s">
        <v>204</v>
      </c>
      <c r="AI91" t="s">
        <v>180</v>
      </c>
      <c r="AJ91" s="3">
        <v>43643</v>
      </c>
      <c r="AK91" t="s">
        <v>42</v>
      </c>
      <c r="AL91" s="1">
        <v>12500</v>
      </c>
      <c r="AM91" s="1">
        <v>603.45000000000005</v>
      </c>
      <c r="AN91" s="1">
        <v>603.45000000000005</v>
      </c>
      <c r="AO91" s="1">
        <v>509</v>
      </c>
      <c r="AP91" s="1">
        <v>610.15</v>
      </c>
      <c r="AQ91" s="1">
        <v>525.65</v>
      </c>
      <c r="AR91" s="2">
        <v>3095</v>
      </c>
      <c r="AS91" s="1">
        <v>30264.62</v>
      </c>
      <c r="AT91">
        <v>11945.7</v>
      </c>
    </row>
    <row r="92" spans="1:46" x14ac:dyDescent="0.35">
      <c r="A92" t="s">
        <v>532</v>
      </c>
      <c r="B92" s="2" t="s">
        <v>8</v>
      </c>
      <c r="C92" s="2" t="s">
        <v>8</v>
      </c>
      <c r="D92" s="2" t="s">
        <v>8</v>
      </c>
      <c r="E92" t="s">
        <v>8</v>
      </c>
      <c r="F92" t="s">
        <v>8</v>
      </c>
      <c r="G92" t="s">
        <v>8</v>
      </c>
      <c r="H92" s="2" t="s">
        <v>8</v>
      </c>
      <c r="I92" t="s">
        <v>8</v>
      </c>
      <c r="J92">
        <v>0.5</v>
      </c>
      <c r="K92" s="2">
        <v>30000</v>
      </c>
      <c r="L92">
        <v>13400</v>
      </c>
      <c r="M92" s="2">
        <v>75</v>
      </c>
      <c r="N92" s="1">
        <v>1370.7</v>
      </c>
      <c r="O92" s="1">
        <v>1633</v>
      </c>
      <c r="P92" s="2">
        <v>75</v>
      </c>
      <c r="Q92" t="s">
        <v>8</v>
      </c>
      <c r="R92" s="1" t="s">
        <v>8</v>
      </c>
      <c r="S92" t="s">
        <v>8</v>
      </c>
      <c r="T92" s="2" t="s">
        <v>8</v>
      </c>
      <c r="U92" s="2" t="s">
        <v>8</v>
      </c>
      <c r="V92" s="2" t="s">
        <v>8</v>
      </c>
      <c r="W92" t="s">
        <v>532</v>
      </c>
      <c r="AH92" t="s">
        <v>204</v>
      </c>
      <c r="AI92" t="s">
        <v>180</v>
      </c>
      <c r="AJ92" s="3">
        <v>43643</v>
      </c>
      <c r="AK92" t="s">
        <v>42</v>
      </c>
      <c r="AL92" s="1">
        <v>13000</v>
      </c>
      <c r="AM92" s="1">
        <v>1076</v>
      </c>
      <c r="AN92" s="1">
        <v>1091.05</v>
      </c>
      <c r="AO92">
        <v>990</v>
      </c>
      <c r="AP92" s="1">
        <v>1094</v>
      </c>
      <c r="AQ92" s="1">
        <v>1007.85</v>
      </c>
      <c r="AR92" s="2">
        <v>2867</v>
      </c>
      <c r="AS92" s="1">
        <v>30149.32</v>
      </c>
      <c r="AT92">
        <v>11945.7</v>
      </c>
    </row>
    <row r="93" spans="1:46" x14ac:dyDescent="0.35">
      <c r="A93" t="s">
        <v>532</v>
      </c>
      <c r="B93" s="2" t="s">
        <v>8</v>
      </c>
      <c r="C93" s="2" t="s">
        <v>8</v>
      </c>
      <c r="D93" s="2" t="s">
        <v>8</v>
      </c>
      <c r="E93" t="s">
        <v>8</v>
      </c>
      <c r="F93" t="s">
        <v>8</v>
      </c>
      <c r="G93" t="s">
        <v>8</v>
      </c>
      <c r="H93" s="2" t="s">
        <v>8</v>
      </c>
      <c r="I93" t="s">
        <v>8</v>
      </c>
      <c r="J93">
        <v>2.5</v>
      </c>
      <c r="K93" s="2">
        <v>4500</v>
      </c>
      <c r="L93">
        <v>13450</v>
      </c>
      <c r="M93" s="2">
        <v>4950</v>
      </c>
      <c r="N93" s="1">
        <v>1401.85</v>
      </c>
      <c r="O93" s="1">
        <v>2096.65</v>
      </c>
      <c r="P93" s="2">
        <v>900</v>
      </c>
      <c r="Q93" t="s">
        <v>8</v>
      </c>
      <c r="R93" s="1" t="s">
        <v>8</v>
      </c>
      <c r="S93" t="s">
        <v>8</v>
      </c>
      <c r="T93" s="2" t="s">
        <v>8</v>
      </c>
      <c r="U93" s="2" t="s">
        <v>8</v>
      </c>
      <c r="V93" s="2" t="s">
        <v>8</v>
      </c>
      <c r="W93" t="s">
        <v>532</v>
      </c>
      <c r="AH93" t="s">
        <v>204</v>
      </c>
      <c r="AI93" t="s">
        <v>180</v>
      </c>
      <c r="AJ93" s="3">
        <v>43622</v>
      </c>
      <c r="AK93" t="s">
        <v>41</v>
      </c>
      <c r="AL93" s="1">
        <v>11700</v>
      </c>
      <c r="AM93" s="1">
        <v>202.85</v>
      </c>
      <c r="AN93" s="1">
        <v>280</v>
      </c>
      <c r="AO93" s="1">
        <v>195.9</v>
      </c>
      <c r="AP93" s="1">
        <v>202.5</v>
      </c>
      <c r="AQ93" s="1">
        <v>262.2</v>
      </c>
      <c r="AR93" s="2">
        <v>3348</v>
      </c>
      <c r="AS93" s="1">
        <v>30003.49</v>
      </c>
      <c r="AT93">
        <v>11945.7</v>
      </c>
    </row>
    <row r="94" spans="1:46" x14ac:dyDescent="0.35">
      <c r="A94" t="s">
        <v>9</v>
      </c>
      <c r="B94" s="2">
        <v>21187050</v>
      </c>
      <c r="C94" s="2"/>
      <c r="D94" s="2">
        <v>3171206</v>
      </c>
      <c r="H94" s="2"/>
      <c r="K94" s="2"/>
      <c r="M94" s="2"/>
      <c r="N94" s="1"/>
      <c r="O94" s="1"/>
      <c r="P94" s="2"/>
      <c r="R94" s="1"/>
      <c r="T94" s="2">
        <v>2901043</v>
      </c>
      <c r="V94" s="2">
        <v>26076450</v>
      </c>
      <c r="W94" t="s">
        <v>9</v>
      </c>
      <c r="AH94" t="s">
        <v>204</v>
      </c>
      <c r="AI94" t="s">
        <v>180</v>
      </c>
      <c r="AJ94" s="3">
        <v>43643</v>
      </c>
      <c r="AK94" t="s">
        <v>42</v>
      </c>
      <c r="AL94" s="1">
        <v>10500</v>
      </c>
      <c r="AM94">
        <v>7.35</v>
      </c>
      <c r="AN94">
        <v>8</v>
      </c>
      <c r="AO94">
        <v>5.85</v>
      </c>
      <c r="AP94">
        <v>8.1999999999999993</v>
      </c>
      <c r="AQ94">
        <v>7</v>
      </c>
      <c r="AR94" s="2">
        <v>3445</v>
      </c>
      <c r="AS94" s="1">
        <v>27146.84</v>
      </c>
      <c r="AT94">
        <v>11945.7</v>
      </c>
    </row>
    <row r="95" spans="1:46" x14ac:dyDescent="0.35">
      <c r="B95" s="2"/>
      <c r="C95" s="2"/>
      <c r="D95" s="2"/>
      <c r="H95" s="2"/>
      <c r="K95" s="2"/>
      <c r="M95" s="2"/>
      <c r="N95" s="1"/>
      <c r="O95" s="1"/>
      <c r="P95" s="2"/>
      <c r="R95" s="1"/>
      <c r="T95" s="2"/>
      <c r="U95" s="2"/>
      <c r="V95" s="2"/>
      <c r="AH95" t="s">
        <v>204</v>
      </c>
      <c r="AI95" t="s">
        <v>180</v>
      </c>
      <c r="AJ95" s="3">
        <v>43615</v>
      </c>
      <c r="AK95" t="s">
        <v>42</v>
      </c>
      <c r="AL95" s="1">
        <v>13000</v>
      </c>
      <c r="AM95" s="1">
        <v>1114.3</v>
      </c>
      <c r="AN95" s="1">
        <v>1125</v>
      </c>
      <c r="AO95" s="1">
        <v>1025</v>
      </c>
      <c r="AP95" s="1">
        <v>1128.5</v>
      </c>
      <c r="AQ95" s="1">
        <v>1040.55</v>
      </c>
      <c r="AR95" s="2">
        <v>2562</v>
      </c>
      <c r="AS95" s="1">
        <v>27018.81</v>
      </c>
      <c r="AT95">
        <v>11945.7</v>
      </c>
    </row>
    <row r="96" spans="1:46" x14ac:dyDescent="0.35">
      <c r="A96" t="s">
        <v>533</v>
      </c>
      <c r="B96" s="2"/>
      <c r="C96" s="2"/>
      <c r="D96" s="2"/>
      <c r="H96" s="2"/>
      <c r="K96" s="2"/>
      <c r="M96" s="2"/>
      <c r="N96" s="1"/>
      <c r="O96" s="1"/>
      <c r="P96" s="2"/>
      <c r="R96" s="1"/>
      <c r="T96" s="2"/>
      <c r="U96" s="2"/>
      <c r="V96" s="2"/>
      <c r="AH96" t="s">
        <v>204</v>
      </c>
      <c r="AI96" t="s">
        <v>180</v>
      </c>
      <c r="AJ96" s="3">
        <v>43643</v>
      </c>
      <c r="AK96" t="s">
        <v>42</v>
      </c>
      <c r="AL96" s="1">
        <v>12100</v>
      </c>
      <c r="AM96">
        <v>286</v>
      </c>
      <c r="AN96">
        <v>291.35000000000002</v>
      </c>
      <c r="AO96">
        <v>226.6</v>
      </c>
      <c r="AP96">
        <v>297.39999999999998</v>
      </c>
      <c r="AQ96">
        <v>239.65</v>
      </c>
      <c r="AR96" s="2">
        <v>2845</v>
      </c>
      <c r="AS96" s="1">
        <v>26340.29</v>
      </c>
      <c r="AT96">
        <v>11945.7</v>
      </c>
    </row>
    <row r="97" spans="1:46" x14ac:dyDescent="0.35">
      <c r="A97" t="s">
        <v>534</v>
      </c>
      <c r="B97" s="2"/>
      <c r="C97" s="2"/>
      <c r="D97" s="2"/>
      <c r="H97" s="2"/>
      <c r="K97" s="2"/>
      <c r="M97" s="2"/>
      <c r="N97" s="1"/>
      <c r="O97" s="1"/>
      <c r="P97" s="2"/>
      <c r="R97" s="1"/>
      <c r="T97" s="2"/>
      <c r="V97" s="2"/>
      <c r="AH97" t="s">
        <v>204</v>
      </c>
      <c r="AI97" t="s">
        <v>180</v>
      </c>
      <c r="AJ97" s="3">
        <v>43615</v>
      </c>
      <c r="AK97" t="s">
        <v>42</v>
      </c>
      <c r="AL97" s="1">
        <v>12050</v>
      </c>
      <c r="AM97" s="1">
        <v>176.15</v>
      </c>
      <c r="AN97" s="1">
        <v>176.15</v>
      </c>
      <c r="AO97" s="1">
        <v>81.150000000000006</v>
      </c>
      <c r="AP97" s="1">
        <v>179.95</v>
      </c>
      <c r="AQ97" s="1">
        <v>101</v>
      </c>
      <c r="AR97" s="2">
        <v>2861</v>
      </c>
      <c r="AS97" s="1">
        <v>26084.53</v>
      </c>
      <c r="AT97">
        <v>11945.7</v>
      </c>
    </row>
    <row r="98" spans="1:46" x14ac:dyDescent="0.35">
      <c r="B98" s="2"/>
      <c r="C98" s="2"/>
      <c r="D98" s="2"/>
      <c r="H98" s="2"/>
      <c r="K98" s="2"/>
      <c r="M98" s="2"/>
      <c r="N98" s="1"/>
      <c r="O98" s="1"/>
      <c r="P98" s="2"/>
      <c r="R98" s="1"/>
      <c r="T98" s="2"/>
      <c r="V98" s="2"/>
      <c r="AH98" t="s">
        <v>204</v>
      </c>
      <c r="AI98" t="s">
        <v>180</v>
      </c>
      <c r="AJ98" s="3">
        <v>43615</v>
      </c>
      <c r="AK98" t="s">
        <v>41</v>
      </c>
      <c r="AL98" s="1">
        <v>12800</v>
      </c>
      <c r="AM98">
        <v>0.05</v>
      </c>
      <c r="AN98">
        <v>0.1</v>
      </c>
      <c r="AO98">
        <v>0.05</v>
      </c>
      <c r="AP98">
        <v>0.5</v>
      </c>
      <c r="AQ98">
        <v>0.05</v>
      </c>
      <c r="AR98" s="2">
        <v>2715</v>
      </c>
      <c r="AS98" s="1">
        <v>26064.1</v>
      </c>
      <c r="AT98">
        <v>11945.7</v>
      </c>
    </row>
    <row r="99" spans="1:46" x14ac:dyDescent="0.35">
      <c r="A99" t="s">
        <v>535</v>
      </c>
      <c r="B99" s="2"/>
      <c r="C99" s="2"/>
      <c r="D99" s="2"/>
      <c r="H99" s="2"/>
      <c r="K99" s="2"/>
      <c r="M99" s="2"/>
      <c r="N99" s="1"/>
      <c r="O99" s="1"/>
      <c r="P99" s="2"/>
      <c r="R99" s="1"/>
      <c r="T99" s="2"/>
      <c r="U99" s="2"/>
      <c r="V99" s="2"/>
      <c r="AH99" t="s">
        <v>204</v>
      </c>
      <c r="AI99" t="s">
        <v>180</v>
      </c>
      <c r="AJ99" s="3">
        <v>43615</v>
      </c>
      <c r="AK99" t="s">
        <v>42</v>
      </c>
      <c r="AL99" s="1">
        <v>11550</v>
      </c>
      <c r="AM99">
        <v>0.6</v>
      </c>
      <c r="AN99">
        <v>0.6</v>
      </c>
      <c r="AO99">
        <v>0.05</v>
      </c>
      <c r="AP99">
        <v>1.6</v>
      </c>
      <c r="AQ99">
        <v>0.05</v>
      </c>
      <c r="AR99" s="2">
        <v>2996</v>
      </c>
      <c r="AS99" s="1">
        <v>25953.23</v>
      </c>
      <c r="AT99">
        <v>11945.7</v>
      </c>
    </row>
    <row r="100" spans="1:46" x14ac:dyDescent="0.35">
      <c r="B100" s="2"/>
      <c r="C100" s="2"/>
      <c r="D100" s="2"/>
      <c r="H100" s="2"/>
      <c r="K100" s="2"/>
      <c r="M100" s="2"/>
      <c r="N100" s="1"/>
      <c r="O100" s="1"/>
      <c r="P100" s="2"/>
      <c r="R100" s="1"/>
      <c r="T100" s="2"/>
      <c r="U100" s="2"/>
      <c r="V100" s="2"/>
      <c r="AH100" t="s">
        <v>204</v>
      </c>
      <c r="AI100" t="s">
        <v>180</v>
      </c>
      <c r="AJ100" s="3">
        <v>43622</v>
      </c>
      <c r="AK100" t="s">
        <v>42</v>
      </c>
      <c r="AL100" s="1">
        <v>11100</v>
      </c>
      <c r="AM100">
        <v>2.4500000000000002</v>
      </c>
      <c r="AN100">
        <v>3.5</v>
      </c>
      <c r="AO100">
        <v>1.2</v>
      </c>
      <c r="AP100">
        <v>3.25</v>
      </c>
      <c r="AQ100">
        <v>3</v>
      </c>
      <c r="AR100" s="2">
        <v>2984</v>
      </c>
      <c r="AS100" s="1">
        <v>24847.46</v>
      </c>
      <c r="AT100">
        <v>11945.7</v>
      </c>
    </row>
    <row r="101" spans="1:46" x14ac:dyDescent="0.35">
      <c r="B101" s="2"/>
      <c r="C101" s="2"/>
      <c r="D101" s="2"/>
      <c r="H101" s="2"/>
      <c r="K101" s="2"/>
      <c r="M101" s="2"/>
      <c r="N101" s="1"/>
      <c r="O101" s="1"/>
      <c r="P101" s="2"/>
      <c r="R101" s="1"/>
      <c r="U101" s="2"/>
      <c r="V101" s="2"/>
      <c r="AH101" t="s">
        <v>204</v>
      </c>
      <c r="AI101" t="s">
        <v>180</v>
      </c>
      <c r="AJ101" s="3">
        <v>43622</v>
      </c>
      <c r="AK101" t="s">
        <v>42</v>
      </c>
      <c r="AL101" s="1">
        <v>11200</v>
      </c>
      <c r="AM101">
        <v>2.75</v>
      </c>
      <c r="AN101">
        <v>3.7</v>
      </c>
      <c r="AO101">
        <v>1.35</v>
      </c>
      <c r="AP101">
        <v>2.95</v>
      </c>
      <c r="AQ101">
        <v>3.4</v>
      </c>
      <c r="AR101" s="2">
        <v>2837</v>
      </c>
      <c r="AS101" s="1">
        <v>23836.03</v>
      </c>
      <c r="AT101">
        <v>11945.7</v>
      </c>
    </row>
    <row r="102" spans="1:46" x14ac:dyDescent="0.35">
      <c r="A102" t="s">
        <v>585</v>
      </c>
      <c r="B102" s="2"/>
      <c r="C102" s="2"/>
      <c r="D102" s="2"/>
      <c r="H102" s="2"/>
      <c r="K102" s="2"/>
      <c r="M102" s="2"/>
      <c r="N102" s="1"/>
      <c r="O102" s="1"/>
      <c r="P102" s="2"/>
      <c r="R102" s="1"/>
      <c r="T102" s="2"/>
      <c r="U102" s="2"/>
      <c r="V102" s="2"/>
      <c r="AH102" t="s">
        <v>204</v>
      </c>
      <c r="AI102" t="s">
        <v>180</v>
      </c>
      <c r="AJ102" s="3">
        <v>43643</v>
      </c>
      <c r="AK102" t="s">
        <v>41</v>
      </c>
      <c r="AL102" s="1">
        <v>10000</v>
      </c>
      <c r="AM102" s="1">
        <v>1885.5</v>
      </c>
      <c r="AN102" s="1">
        <v>1983.7</v>
      </c>
      <c r="AO102" s="1">
        <v>1884</v>
      </c>
      <c r="AP102" s="1">
        <v>1878</v>
      </c>
      <c r="AQ102" s="1">
        <v>1962</v>
      </c>
      <c r="AR102" s="2">
        <v>2611</v>
      </c>
      <c r="AS102" s="1">
        <v>23397.7</v>
      </c>
      <c r="AT102">
        <v>11945.7</v>
      </c>
    </row>
    <row r="103" spans="1:46" x14ac:dyDescent="0.35">
      <c r="A103" t="s">
        <v>586</v>
      </c>
      <c r="B103" s="2"/>
      <c r="C103" s="2"/>
      <c r="D103" s="2"/>
      <c r="H103" s="2"/>
      <c r="K103" s="2"/>
      <c r="M103" s="2"/>
      <c r="N103" s="1"/>
      <c r="O103" s="1"/>
      <c r="P103" s="2"/>
      <c r="R103" s="1"/>
      <c r="T103" s="2"/>
      <c r="V103" s="2"/>
      <c r="AH103" t="s">
        <v>204</v>
      </c>
      <c r="AI103" t="s">
        <v>180</v>
      </c>
      <c r="AJ103" s="3">
        <v>43615</v>
      </c>
      <c r="AK103" t="s">
        <v>42</v>
      </c>
      <c r="AL103" s="1">
        <v>10500</v>
      </c>
      <c r="AM103" s="1">
        <v>0.2</v>
      </c>
      <c r="AN103" s="1">
        <v>0.2</v>
      </c>
      <c r="AO103" s="1">
        <v>0.05</v>
      </c>
      <c r="AP103" s="1">
        <v>0.8</v>
      </c>
      <c r="AQ103" s="1">
        <v>0.05</v>
      </c>
      <c r="AR103" s="2">
        <v>2942</v>
      </c>
      <c r="AS103" s="1">
        <v>23168.38</v>
      </c>
      <c r="AT103">
        <v>11945.7</v>
      </c>
    </row>
    <row r="104" spans="1:46" x14ac:dyDescent="0.35">
      <c r="B104" s="2"/>
      <c r="C104" s="2"/>
      <c r="D104" s="2"/>
      <c r="H104" s="2"/>
      <c r="K104" s="2"/>
      <c r="M104" s="2"/>
      <c r="N104" s="1"/>
      <c r="O104" s="1"/>
      <c r="P104" s="2"/>
      <c r="R104" s="1"/>
      <c r="T104" s="2"/>
      <c r="V104" s="2"/>
      <c r="AH104" t="s">
        <v>204</v>
      </c>
      <c r="AI104" t="s">
        <v>180</v>
      </c>
      <c r="AJ104" s="3">
        <v>43643</v>
      </c>
      <c r="AK104" t="s">
        <v>41</v>
      </c>
      <c r="AL104" s="1">
        <v>11500</v>
      </c>
      <c r="AM104" s="1">
        <v>466.65</v>
      </c>
      <c r="AN104" s="1">
        <v>544</v>
      </c>
      <c r="AO104" s="1">
        <v>466</v>
      </c>
      <c r="AP104" s="1">
        <v>465.2</v>
      </c>
      <c r="AQ104" s="1">
        <v>528.6</v>
      </c>
      <c r="AR104" s="2">
        <v>2440</v>
      </c>
      <c r="AS104" s="1">
        <v>21981.08</v>
      </c>
      <c r="AT104">
        <v>11945.7</v>
      </c>
    </row>
    <row r="105" spans="1:46" x14ac:dyDescent="0.35">
      <c r="B105" s="2"/>
      <c r="C105" s="2"/>
      <c r="D105" s="2"/>
      <c r="H105" s="2"/>
      <c r="K105" s="2"/>
      <c r="M105" s="2"/>
      <c r="N105" s="1"/>
      <c r="O105" s="1"/>
      <c r="P105" s="2"/>
      <c r="R105" s="1"/>
      <c r="T105" s="2"/>
      <c r="V105" s="2"/>
      <c r="AH105" t="s">
        <v>204</v>
      </c>
      <c r="AI105" t="s">
        <v>180</v>
      </c>
      <c r="AJ105" s="3">
        <v>43615</v>
      </c>
      <c r="AK105" t="s">
        <v>41</v>
      </c>
      <c r="AL105" s="1">
        <v>12900</v>
      </c>
      <c r="AM105" s="1">
        <v>0.1</v>
      </c>
      <c r="AN105" s="1">
        <v>0.1</v>
      </c>
      <c r="AO105" s="1">
        <v>0.05</v>
      </c>
      <c r="AP105" s="1">
        <v>0.55000000000000004</v>
      </c>
      <c r="AQ105" s="1">
        <v>0.05</v>
      </c>
      <c r="AR105" s="2">
        <v>2213</v>
      </c>
      <c r="AS105" s="1">
        <v>21410.86</v>
      </c>
      <c r="AT105">
        <v>11945.7</v>
      </c>
    </row>
    <row r="106" spans="1:46" x14ac:dyDescent="0.35">
      <c r="B106" s="2"/>
      <c r="D106" s="2"/>
      <c r="H106" s="2"/>
      <c r="K106" s="2"/>
      <c r="M106" s="2"/>
      <c r="N106" s="1"/>
      <c r="O106" s="1"/>
      <c r="P106" s="2"/>
      <c r="R106" s="1"/>
      <c r="T106" s="2"/>
      <c r="V106" s="2"/>
      <c r="AH106" t="s">
        <v>204</v>
      </c>
      <c r="AI106" t="s">
        <v>180</v>
      </c>
      <c r="AJ106" s="3">
        <v>43643</v>
      </c>
      <c r="AK106" t="s">
        <v>41</v>
      </c>
      <c r="AL106" s="1">
        <v>11700</v>
      </c>
      <c r="AM106" s="1">
        <v>316.64999999999998</v>
      </c>
      <c r="AN106" s="1">
        <v>382.85</v>
      </c>
      <c r="AO106" s="1">
        <v>314.8</v>
      </c>
      <c r="AP106" s="1">
        <v>315.85000000000002</v>
      </c>
      <c r="AQ106" s="1">
        <v>368.8</v>
      </c>
      <c r="AR106" s="2">
        <v>2274</v>
      </c>
      <c r="AS106" s="1">
        <v>20550.37</v>
      </c>
      <c r="AT106">
        <v>11945.7</v>
      </c>
    </row>
    <row r="107" spans="1:46" x14ac:dyDescent="0.35">
      <c r="B107" s="2"/>
      <c r="D107" s="2"/>
      <c r="H107" s="2"/>
      <c r="N107" s="1"/>
      <c r="O107" s="1"/>
      <c r="R107" s="1"/>
      <c r="T107" s="2"/>
      <c r="V107" s="2"/>
      <c r="AH107" t="s">
        <v>204</v>
      </c>
      <c r="AI107" t="s">
        <v>180</v>
      </c>
      <c r="AJ107" s="3">
        <v>43643</v>
      </c>
      <c r="AK107" t="s">
        <v>42</v>
      </c>
      <c r="AL107" s="1">
        <v>10000</v>
      </c>
      <c r="AM107" s="1">
        <v>4.3499999999999996</v>
      </c>
      <c r="AN107" s="1">
        <v>5.4</v>
      </c>
      <c r="AO107" s="1">
        <v>3.5</v>
      </c>
      <c r="AP107" s="1">
        <v>4.6500000000000004</v>
      </c>
      <c r="AQ107" s="1">
        <v>5</v>
      </c>
      <c r="AR107" s="2">
        <v>2617</v>
      </c>
      <c r="AS107" s="1">
        <v>19636.45</v>
      </c>
      <c r="AT107">
        <v>11945.7</v>
      </c>
    </row>
    <row r="108" spans="1:46" x14ac:dyDescent="0.35">
      <c r="H108" s="2"/>
      <c r="M108" s="2"/>
      <c r="N108" s="1"/>
      <c r="O108" s="1"/>
      <c r="P108" s="2"/>
      <c r="AH108" t="s">
        <v>204</v>
      </c>
      <c r="AI108" t="s">
        <v>180</v>
      </c>
      <c r="AJ108" s="3">
        <v>43643</v>
      </c>
      <c r="AK108" t="s">
        <v>41</v>
      </c>
      <c r="AL108" s="1">
        <v>12700</v>
      </c>
      <c r="AM108">
        <v>10.75</v>
      </c>
      <c r="AN108">
        <v>10.75</v>
      </c>
      <c r="AO108">
        <v>7.2</v>
      </c>
      <c r="AP108">
        <v>9</v>
      </c>
      <c r="AQ108">
        <v>7.5</v>
      </c>
      <c r="AR108" s="2">
        <v>1867</v>
      </c>
      <c r="AS108" s="1">
        <v>17794.46</v>
      </c>
      <c r="AT108">
        <v>11945.7</v>
      </c>
    </row>
    <row r="109" spans="1:46" x14ac:dyDescent="0.35">
      <c r="H109" s="2"/>
      <c r="M109" s="2"/>
      <c r="N109" s="1"/>
      <c r="O109" s="1"/>
      <c r="P109" s="2"/>
      <c r="AH109" t="s">
        <v>204</v>
      </c>
      <c r="AI109" t="s">
        <v>180</v>
      </c>
      <c r="AJ109" s="3">
        <v>43615</v>
      </c>
      <c r="AK109" t="s">
        <v>41</v>
      </c>
      <c r="AL109" s="1">
        <v>10000</v>
      </c>
      <c r="AM109" s="1">
        <v>1869.35</v>
      </c>
      <c r="AN109" s="1">
        <v>1957.05</v>
      </c>
      <c r="AO109" s="1">
        <v>1861</v>
      </c>
      <c r="AP109" s="1">
        <v>1857.4</v>
      </c>
      <c r="AQ109" s="1">
        <v>1941</v>
      </c>
      <c r="AR109" s="2">
        <v>1946</v>
      </c>
      <c r="AS109" s="1">
        <v>17407.7</v>
      </c>
      <c r="AT109">
        <v>11945.7</v>
      </c>
    </row>
    <row r="110" spans="1:46" x14ac:dyDescent="0.35">
      <c r="H110" s="2"/>
      <c r="M110" s="2"/>
      <c r="N110" s="1"/>
      <c r="O110" s="1"/>
      <c r="P110" s="2"/>
      <c r="AH110" t="s">
        <v>204</v>
      </c>
      <c r="AI110" t="s">
        <v>180</v>
      </c>
      <c r="AJ110" s="3">
        <v>43615</v>
      </c>
      <c r="AK110" t="s">
        <v>41</v>
      </c>
      <c r="AL110" s="1">
        <v>11000</v>
      </c>
      <c r="AM110">
        <v>859.35</v>
      </c>
      <c r="AN110">
        <v>957</v>
      </c>
      <c r="AO110">
        <v>859.35</v>
      </c>
      <c r="AP110">
        <v>857.9</v>
      </c>
      <c r="AQ110">
        <v>945</v>
      </c>
      <c r="AR110" s="2">
        <v>1916</v>
      </c>
      <c r="AS110" s="1">
        <v>17138.29</v>
      </c>
      <c r="AT110">
        <v>11945.7</v>
      </c>
    </row>
    <row r="111" spans="1:46" x14ac:dyDescent="0.35">
      <c r="H111" s="2"/>
      <c r="M111" s="2"/>
      <c r="N111" s="1"/>
      <c r="O111" s="1"/>
      <c r="P111" s="2"/>
      <c r="AH111" t="s">
        <v>204</v>
      </c>
      <c r="AI111" t="s">
        <v>180</v>
      </c>
      <c r="AJ111" s="3">
        <v>43643</v>
      </c>
      <c r="AK111" t="s">
        <v>42</v>
      </c>
      <c r="AL111" s="1">
        <v>10800</v>
      </c>
      <c r="AM111">
        <v>14.9</v>
      </c>
      <c r="AN111">
        <v>14.9</v>
      </c>
      <c r="AO111">
        <v>9.65</v>
      </c>
      <c r="AP111">
        <v>15.45</v>
      </c>
      <c r="AQ111">
        <v>9.9499999999999993</v>
      </c>
      <c r="AR111" s="2">
        <v>2083</v>
      </c>
      <c r="AS111" s="1">
        <v>16889.72</v>
      </c>
      <c r="AT111">
        <v>11945.7</v>
      </c>
    </row>
    <row r="112" spans="1:46" x14ac:dyDescent="0.35">
      <c r="H112" s="2"/>
      <c r="N112" s="1"/>
      <c r="O112" s="1"/>
      <c r="R112" s="1"/>
      <c r="V112" s="2"/>
      <c r="AH112" t="s">
        <v>204</v>
      </c>
      <c r="AI112" t="s">
        <v>180</v>
      </c>
      <c r="AJ112" s="3">
        <v>43643</v>
      </c>
      <c r="AK112" t="s">
        <v>42</v>
      </c>
      <c r="AL112" s="1">
        <v>10900</v>
      </c>
      <c r="AM112" s="1">
        <v>17.3</v>
      </c>
      <c r="AN112" s="1">
        <v>17.5</v>
      </c>
      <c r="AO112" s="1">
        <v>12.05</v>
      </c>
      <c r="AP112" s="1">
        <v>19.399999999999999</v>
      </c>
      <c r="AQ112" s="1">
        <v>12.65</v>
      </c>
      <c r="AR112" s="2">
        <v>2045</v>
      </c>
      <c r="AS112" s="1">
        <v>16738.95</v>
      </c>
      <c r="AT112">
        <v>11945.7</v>
      </c>
    </row>
    <row r="113" spans="2:46" x14ac:dyDescent="0.35">
      <c r="H113" s="2"/>
      <c r="M113" s="2"/>
      <c r="N113" s="1"/>
      <c r="O113" s="1"/>
      <c r="P113" s="2"/>
      <c r="AH113" t="s">
        <v>204</v>
      </c>
      <c r="AI113" t="s">
        <v>180</v>
      </c>
      <c r="AJ113" s="3">
        <v>43615</v>
      </c>
      <c r="AK113" t="s">
        <v>42</v>
      </c>
      <c r="AL113" s="1">
        <v>10900</v>
      </c>
      <c r="AM113" s="1">
        <v>0.25</v>
      </c>
      <c r="AN113" s="1">
        <v>0.95</v>
      </c>
      <c r="AO113" s="1">
        <v>0.05</v>
      </c>
      <c r="AP113" s="1">
        <v>0.85</v>
      </c>
      <c r="AQ113" s="1">
        <v>0.05</v>
      </c>
      <c r="AR113" s="2">
        <v>2001</v>
      </c>
      <c r="AS113" s="1">
        <v>16358.31</v>
      </c>
      <c r="AT113">
        <v>11945.7</v>
      </c>
    </row>
    <row r="114" spans="2:46" x14ac:dyDescent="0.35">
      <c r="H114" s="2"/>
      <c r="M114" s="2"/>
      <c r="N114" s="1"/>
      <c r="O114" s="1"/>
      <c r="P114" s="2"/>
      <c r="AH114" t="s">
        <v>204</v>
      </c>
      <c r="AI114" t="s">
        <v>180</v>
      </c>
      <c r="AJ114" s="3">
        <v>43622</v>
      </c>
      <c r="AK114" t="s">
        <v>42</v>
      </c>
      <c r="AL114" s="1">
        <v>11550</v>
      </c>
      <c r="AM114" s="1">
        <v>11.1</v>
      </c>
      <c r="AN114" s="1">
        <v>12.15</v>
      </c>
      <c r="AO114" s="1">
        <v>5.95</v>
      </c>
      <c r="AP114" s="1">
        <v>14.75</v>
      </c>
      <c r="AQ114" s="1">
        <v>7.2</v>
      </c>
      <c r="AR114" s="2">
        <v>1850</v>
      </c>
      <c r="AS114" s="1">
        <v>16036.42</v>
      </c>
      <c r="AT114">
        <v>11945.7</v>
      </c>
    </row>
    <row r="115" spans="2:46" x14ac:dyDescent="0.35">
      <c r="H115" s="2"/>
      <c r="M115" s="2"/>
      <c r="N115" s="1"/>
      <c r="O115" s="1"/>
      <c r="P115" s="2"/>
      <c r="AH115" t="s">
        <v>204</v>
      </c>
      <c r="AI115" t="s">
        <v>180</v>
      </c>
      <c r="AJ115" s="3">
        <v>43643</v>
      </c>
      <c r="AK115" t="s">
        <v>41</v>
      </c>
      <c r="AL115" s="1">
        <v>12800</v>
      </c>
      <c r="AM115" s="1">
        <v>7.05</v>
      </c>
      <c r="AN115" s="1">
        <v>7.2</v>
      </c>
      <c r="AO115" s="1">
        <v>5.7</v>
      </c>
      <c r="AP115" s="1">
        <v>7.25</v>
      </c>
      <c r="AQ115" s="1">
        <v>6.5</v>
      </c>
      <c r="AR115" s="2">
        <v>1662</v>
      </c>
      <c r="AS115" s="1">
        <v>15963.17</v>
      </c>
      <c r="AT115">
        <v>11945.7</v>
      </c>
    </row>
    <row r="116" spans="2:46" x14ac:dyDescent="0.35">
      <c r="H116" s="2"/>
      <c r="M116" s="2"/>
      <c r="N116" s="1"/>
      <c r="O116" s="1"/>
      <c r="P116" s="2"/>
      <c r="AH116" t="s">
        <v>204</v>
      </c>
      <c r="AI116" t="s">
        <v>180</v>
      </c>
      <c r="AJ116" s="3">
        <v>43643</v>
      </c>
      <c r="AK116" t="s">
        <v>42</v>
      </c>
      <c r="AL116" s="1">
        <v>14000</v>
      </c>
      <c r="AM116" s="1">
        <v>2080</v>
      </c>
      <c r="AN116" s="1">
        <v>2080</v>
      </c>
      <c r="AO116" s="1">
        <v>1981.3</v>
      </c>
      <c r="AP116" s="1">
        <v>2086.1</v>
      </c>
      <c r="AQ116" s="1">
        <v>1998</v>
      </c>
      <c r="AR116" s="2">
        <v>1237</v>
      </c>
      <c r="AS116" s="1">
        <v>14868.76</v>
      </c>
      <c r="AT116">
        <v>11945.7</v>
      </c>
    </row>
    <row r="117" spans="2:46" x14ac:dyDescent="0.35">
      <c r="B117" s="2"/>
      <c r="V117" s="2"/>
      <c r="AH117" t="s">
        <v>204</v>
      </c>
      <c r="AI117" t="s">
        <v>180</v>
      </c>
      <c r="AJ117" s="3">
        <v>43615</v>
      </c>
      <c r="AK117" t="s">
        <v>41</v>
      </c>
      <c r="AL117" s="1">
        <v>13300</v>
      </c>
      <c r="AM117" s="1">
        <v>0.05</v>
      </c>
      <c r="AN117" s="1">
        <v>0.1</v>
      </c>
      <c r="AO117" s="1">
        <v>0.05</v>
      </c>
      <c r="AP117" s="1">
        <v>0.45</v>
      </c>
      <c r="AQ117" s="1">
        <v>0.05</v>
      </c>
      <c r="AR117" s="2">
        <v>1477</v>
      </c>
      <c r="AS117" s="1">
        <v>14733.13</v>
      </c>
      <c r="AT117">
        <v>11945.7</v>
      </c>
    </row>
    <row r="118" spans="2:46" x14ac:dyDescent="0.35">
      <c r="AH118" t="s">
        <v>204</v>
      </c>
      <c r="AI118" t="s">
        <v>180</v>
      </c>
      <c r="AJ118" s="3">
        <v>43622</v>
      </c>
      <c r="AK118" t="s">
        <v>42</v>
      </c>
      <c r="AL118" s="1">
        <v>10500</v>
      </c>
      <c r="AM118" s="1">
        <v>1.5</v>
      </c>
      <c r="AN118" s="1">
        <v>1.85</v>
      </c>
      <c r="AO118" s="1">
        <v>0.9</v>
      </c>
      <c r="AP118" s="1">
        <v>0.9</v>
      </c>
      <c r="AQ118" s="1">
        <v>1.5</v>
      </c>
      <c r="AR118" s="2">
        <v>1851</v>
      </c>
      <c r="AS118" s="1">
        <v>14578.47</v>
      </c>
      <c r="AT118">
        <v>11945.7</v>
      </c>
    </row>
    <row r="119" spans="2:46" x14ac:dyDescent="0.35">
      <c r="AH119" t="s">
        <v>204</v>
      </c>
      <c r="AI119" t="s">
        <v>180</v>
      </c>
      <c r="AJ119" s="3">
        <v>43615</v>
      </c>
      <c r="AK119" t="s">
        <v>41</v>
      </c>
      <c r="AL119" s="1">
        <v>11400</v>
      </c>
      <c r="AM119">
        <v>461.95</v>
      </c>
      <c r="AN119">
        <v>556.6</v>
      </c>
      <c r="AO119">
        <v>461.95</v>
      </c>
      <c r="AP119">
        <v>456</v>
      </c>
      <c r="AQ119">
        <v>542</v>
      </c>
      <c r="AR119" s="2">
        <v>1586</v>
      </c>
      <c r="AS119" s="1">
        <v>14186.49</v>
      </c>
      <c r="AT119">
        <v>11945.7</v>
      </c>
    </row>
    <row r="120" spans="2:46" x14ac:dyDescent="0.35">
      <c r="AH120" t="s">
        <v>204</v>
      </c>
      <c r="AI120" t="s">
        <v>180</v>
      </c>
      <c r="AJ120" s="3">
        <v>43615</v>
      </c>
      <c r="AK120" t="s">
        <v>42</v>
      </c>
      <c r="AL120" s="1">
        <v>10000</v>
      </c>
      <c r="AM120" s="1">
        <v>0.2</v>
      </c>
      <c r="AN120" s="1">
        <v>0.2</v>
      </c>
      <c r="AO120" s="1">
        <v>0.05</v>
      </c>
      <c r="AP120" s="1">
        <v>0.6</v>
      </c>
      <c r="AQ120" s="1">
        <v>0.1</v>
      </c>
      <c r="AR120" s="2">
        <v>1839</v>
      </c>
      <c r="AS120" s="1">
        <v>13792.58</v>
      </c>
      <c r="AT120">
        <v>11945.7</v>
      </c>
    </row>
    <row r="121" spans="2:46" x14ac:dyDescent="0.35">
      <c r="AH121" t="s">
        <v>204</v>
      </c>
      <c r="AI121" t="s">
        <v>180</v>
      </c>
      <c r="AJ121" s="3">
        <v>43615</v>
      </c>
      <c r="AK121" t="s">
        <v>41</v>
      </c>
      <c r="AL121" s="1">
        <v>12250</v>
      </c>
      <c r="AM121" s="1">
        <v>0.5</v>
      </c>
      <c r="AN121" s="1">
        <v>0.5</v>
      </c>
      <c r="AO121" s="1">
        <v>0.05</v>
      </c>
      <c r="AP121" s="1">
        <v>1</v>
      </c>
      <c r="AQ121" s="1">
        <v>0.05</v>
      </c>
      <c r="AR121" s="2">
        <v>1481</v>
      </c>
      <c r="AS121" s="1">
        <v>13606.79</v>
      </c>
      <c r="AT121">
        <v>11945.7</v>
      </c>
    </row>
    <row r="122" spans="2:46" x14ac:dyDescent="0.35">
      <c r="AH122" t="s">
        <v>204</v>
      </c>
      <c r="AI122" t="s">
        <v>180</v>
      </c>
      <c r="AJ122" s="3">
        <v>43629</v>
      </c>
      <c r="AK122" t="s">
        <v>41</v>
      </c>
      <c r="AL122" s="1">
        <v>12000</v>
      </c>
      <c r="AM122">
        <v>77</v>
      </c>
      <c r="AN122">
        <v>112.55</v>
      </c>
      <c r="AO122">
        <v>74.400000000000006</v>
      </c>
      <c r="AP122">
        <v>81.099999999999994</v>
      </c>
      <c r="AQ122">
        <v>105</v>
      </c>
      <c r="AR122" s="2">
        <v>1411</v>
      </c>
      <c r="AS122" s="1">
        <v>12803.77</v>
      </c>
      <c r="AT122">
        <v>11945.7</v>
      </c>
    </row>
    <row r="123" spans="2:46" x14ac:dyDescent="0.35">
      <c r="AH123" t="s">
        <v>204</v>
      </c>
      <c r="AI123" t="s">
        <v>180</v>
      </c>
      <c r="AJ123" s="3">
        <v>43643</v>
      </c>
      <c r="AK123" t="s">
        <v>41</v>
      </c>
      <c r="AL123" s="1">
        <v>9700</v>
      </c>
      <c r="AM123" s="1">
        <v>2182</v>
      </c>
      <c r="AN123" s="1">
        <v>2270</v>
      </c>
      <c r="AO123" s="1">
        <v>2178</v>
      </c>
      <c r="AP123" s="1">
        <v>2170.6</v>
      </c>
      <c r="AQ123" s="1">
        <v>2255</v>
      </c>
      <c r="AR123" s="2">
        <v>1361</v>
      </c>
      <c r="AS123" s="1">
        <v>12172.37</v>
      </c>
      <c r="AT123">
        <v>11945.7</v>
      </c>
    </row>
    <row r="124" spans="2:46" x14ac:dyDescent="0.35">
      <c r="AH124" t="s">
        <v>204</v>
      </c>
      <c r="AI124" t="s">
        <v>180</v>
      </c>
      <c r="AJ124" s="3">
        <v>43643</v>
      </c>
      <c r="AK124" t="s">
        <v>41</v>
      </c>
      <c r="AL124" s="1">
        <v>14000</v>
      </c>
      <c r="AM124" s="1">
        <v>1.95</v>
      </c>
      <c r="AN124" s="1">
        <v>2.35</v>
      </c>
      <c r="AO124" s="1">
        <v>1.35</v>
      </c>
      <c r="AP124" s="1">
        <v>1.9</v>
      </c>
      <c r="AQ124" s="1">
        <v>1.65</v>
      </c>
      <c r="AR124" s="2">
        <v>1157</v>
      </c>
      <c r="AS124" s="1">
        <v>12150.04</v>
      </c>
      <c r="AT124">
        <v>11945.7</v>
      </c>
    </row>
    <row r="125" spans="2:46" x14ac:dyDescent="0.35">
      <c r="AH125" t="s">
        <v>204</v>
      </c>
      <c r="AI125" t="s">
        <v>180</v>
      </c>
      <c r="AJ125" s="3">
        <v>43615</v>
      </c>
      <c r="AK125" t="s">
        <v>41</v>
      </c>
      <c r="AL125" s="1">
        <v>9500</v>
      </c>
      <c r="AM125" s="1">
        <v>2372.35</v>
      </c>
      <c r="AN125" s="1">
        <v>2459.0500000000002</v>
      </c>
      <c r="AO125" s="1">
        <v>2360</v>
      </c>
      <c r="AP125" s="1">
        <v>2356.85</v>
      </c>
      <c r="AQ125" s="1">
        <v>2438.5</v>
      </c>
      <c r="AR125" s="2">
        <v>1327</v>
      </c>
      <c r="AS125" s="1">
        <v>11871.4</v>
      </c>
      <c r="AT125">
        <v>11945.7</v>
      </c>
    </row>
    <row r="126" spans="2:46" x14ac:dyDescent="0.35">
      <c r="AH126" t="s">
        <v>204</v>
      </c>
      <c r="AI126" t="s">
        <v>180</v>
      </c>
      <c r="AJ126" s="3">
        <v>43615</v>
      </c>
      <c r="AK126" t="s">
        <v>41</v>
      </c>
      <c r="AL126" s="1">
        <v>12600</v>
      </c>
      <c r="AM126" s="1">
        <v>0.05</v>
      </c>
      <c r="AN126" s="1">
        <v>0.1</v>
      </c>
      <c r="AO126" s="1">
        <v>0.05</v>
      </c>
      <c r="AP126" s="1">
        <v>0.2</v>
      </c>
      <c r="AQ126" s="1">
        <v>0.05</v>
      </c>
      <c r="AR126" s="2">
        <v>1244</v>
      </c>
      <c r="AS126" s="1">
        <v>11755.85</v>
      </c>
      <c r="AT126">
        <v>11945.7</v>
      </c>
    </row>
    <row r="127" spans="2:46" x14ac:dyDescent="0.35">
      <c r="AH127" t="s">
        <v>204</v>
      </c>
      <c r="AI127" t="s">
        <v>180</v>
      </c>
      <c r="AJ127" s="3">
        <v>43671</v>
      </c>
      <c r="AK127" t="s">
        <v>41</v>
      </c>
      <c r="AL127" s="1">
        <v>12500</v>
      </c>
      <c r="AM127" s="1">
        <v>65.349999999999994</v>
      </c>
      <c r="AN127" s="1">
        <v>79.8</v>
      </c>
      <c r="AO127" s="1">
        <v>62.1</v>
      </c>
      <c r="AP127" s="1">
        <v>65.349999999999994</v>
      </c>
      <c r="AQ127" s="1">
        <v>75.8</v>
      </c>
      <c r="AR127" s="2">
        <v>1220</v>
      </c>
      <c r="AS127" s="1">
        <v>11505.71</v>
      </c>
      <c r="AT127">
        <v>11945.7</v>
      </c>
    </row>
    <row r="128" spans="2:46" x14ac:dyDescent="0.35">
      <c r="AH128" t="s">
        <v>204</v>
      </c>
      <c r="AI128" t="s">
        <v>180</v>
      </c>
      <c r="AJ128" s="3">
        <v>43643</v>
      </c>
      <c r="AK128" t="s">
        <v>41</v>
      </c>
      <c r="AL128" s="1">
        <v>11000</v>
      </c>
      <c r="AM128">
        <v>916.35</v>
      </c>
      <c r="AN128">
        <v>999.95</v>
      </c>
      <c r="AO128">
        <v>909.45</v>
      </c>
      <c r="AP128">
        <v>905.6</v>
      </c>
      <c r="AQ128">
        <v>985.6</v>
      </c>
      <c r="AR128" s="2">
        <v>1277</v>
      </c>
      <c r="AS128" s="1">
        <v>11453.94</v>
      </c>
      <c r="AT128">
        <v>11945.7</v>
      </c>
    </row>
    <row r="129" spans="34:46" x14ac:dyDescent="0.35">
      <c r="AH129" t="s">
        <v>204</v>
      </c>
      <c r="AI129" t="s">
        <v>180</v>
      </c>
      <c r="AJ129" s="3">
        <v>43615</v>
      </c>
      <c r="AK129" t="s">
        <v>42</v>
      </c>
      <c r="AL129" s="1">
        <v>10700</v>
      </c>
      <c r="AM129" s="1">
        <v>0.1</v>
      </c>
      <c r="AN129" s="1">
        <v>0.15</v>
      </c>
      <c r="AO129" s="1">
        <v>0.05</v>
      </c>
      <c r="AP129" s="1">
        <v>0.75</v>
      </c>
      <c r="AQ129" s="1">
        <v>0.05</v>
      </c>
      <c r="AR129" s="2">
        <v>1427</v>
      </c>
      <c r="AS129" s="1">
        <v>11451.74</v>
      </c>
      <c r="AT129">
        <v>11945.7</v>
      </c>
    </row>
    <row r="130" spans="34:46" x14ac:dyDescent="0.35">
      <c r="AH130" t="s">
        <v>204</v>
      </c>
      <c r="AI130" t="s">
        <v>180</v>
      </c>
      <c r="AJ130" s="3">
        <v>43629</v>
      </c>
      <c r="AK130" t="s">
        <v>42</v>
      </c>
      <c r="AL130" s="1">
        <v>11900</v>
      </c>
      <c r="AM130" s="1">
        <v>142.30000000000001</v>
      </c>
      <c r="AN130" s="1">
        <v>142.30000000000001</v>
      </c>
      <c r="AO130" s="1">
        <v>91</v>
      </c>
      <c r="AP130" s="1">
        <v>142.19999999999999</v>
      </c>
      <c r="AQ130" s="1">
        <v>101.9</v>
      </c>
      <c r="AR130" s="2">
        <v>1221</v>
      </c>
      <c r="AS130" s="1">
        <v>10991.93</v>
      </c>
      <c r="AT130">
        <v>11945.7</v>
      </c>
    </row>
    <row r="131" spans="34:46" x14ac:dyDescent="0.35">
      <c r="AH131" t="s">
        <v>204</v>
      </c>
      <c r="AI131" t="s">
        <v>180</v>
      </c>
      <c r="AJ131" s="3">
        <v>43615</v>
      </c>
      <c r="AK131" t="s">
        <v>41</v>
      </c>
      <c r="AL131" s="1">
        <v>12700</v>
      </c>
      <c r="AM131">
        <v>0.1</v>
      </c>
      <c r="AN131">
        <v>0.1</v>
      </c>
      <c r="AO131">
        <v>0.05</v>
      </c>
      <c r="AP131">
        <v>0.35</v>
      </c>
      <c r="AQ131">
        <v>0.05</v>
      </c>
      <c r="AR131" s="2">
        <v>1137</v>
      </c>
      <c r="AS131" s="1">
        <v>10829.97</v>
      </c>
      <c r="AT131">
        <v>11945.7</v>
      </c>
    </row>
    <row r="132" spans="34:46" x14ac:dyDescent="0.35">
      <c r="AH132" t="s">
        <v>204</v>
      </c>
      <c r="AI132" t="s">
        <v>180</v>
      </c>
      <c r="AJ132" s="3">
        <v>43622</v>
      </c>
      <c r="AK132" t="s">
        <v>42</v>
      </c>
      <c r="AL132" s="1">
        <v>12100</v>
      </c>
      <c r="AM132" s="1">
        <v>229.5</v>
      </c>
      <c r="AN132" s="1">
        <v>239.75</v>
      </c>
      <c r="AO132" s="1">
        <v>161.5</v>
      </c>
      <c r="AP132" s="1">
        <v>247.05</v>
      </c>
      <c r="AQ132" s="1">
        <v>181.75</v>
      </c>
      <c r="AR132" s="2">
        <v>1148</v>
      </c>
      <c r="AS132" s="1">
        <v>10579.79</v>
      </c>
      <c r="AT132">
        <v>11945.7</v>
      </c>
    </row>
    <row r="133" spans="34:46" x14ac:dyDescent="0.35">
      <c r="AH133" t="s">
        <v>204</v>
      </c>
      <c r="AI133" t="s">
        <v>180</v>
      </c>
      <c r="AJ133" s="3">
        <v>43622</v>
      </c>
      <c r="AK133" t="s">
        <v>41</v>
      </c>
      <c r="AL133" s="1">
        <v>12600</v>
      </c>
      <c r="AM133" s="1">
        <v>3.45</v>
      </c>
      <c r="AN133" s="1">
        <v>3.45</v>
      </c>
      <c r="AO133" s="1">
        <v>0.95</v>
      </c>
      <c r="AP133" s="1">
        <v>2.0499999999999998</v>
      </c>
      <c r="AQ133" s="1">
        <v>1.4</v>
      </c>
      <c r="AR133" s="2">
        <v>1013</v>
      </c>
      <c r="AS133" s="1">
        <v>9573.85</v>
      </c>
      <c r="AT133">
        <v>11945.7</v>
      </c>
    </row>
    <row r="134" spans="34:46" x14ac:dyDescent="0.35">
      <c r="AH134" t="s">
        <v>204</v>
      </c>
      <c r="AI134" t="s">
        <v>180</v>
      </c>
      <c r="AJ134" s="3">
        <v>43615</v>
      </c>
      <c r="AK134" t="s">
        <v>41</v>
      </c>
      <c r="AL134" s="1">
        <v>9700</v>
      </c>
      <c r="AM134" s="1">
        <v>2158.9499999999998</v>
      </c>
      <c r="AN134" s="1">
        <v>2255.9499999999998</v>
      </c>
      <c r="AO134" s="1">
        <v>2158.9</v>
      </c>
      <c r="AP134" s="1">
        <v>2160.4</v>
      </c>
      <c r="AQ134" s="1">
        <v>2249.4</v>
      </c>
      <c r="AR134" s="2">
        <v>1023</v>
      </c>
      <c r="AS134" s="1">
        <v>9125.33</v>
      </c>
      <c r="AT134">
        <v>11945.7</v>
      </c>
    </row>
    <row r="135" spans="34:46" x14ac:dyDescent="0.35">
      <c r="AH135" t="s">
        <v>204</v>
      </c>
      <c r="AI135" t="s">
        <v>180</v>
      </c>
      <c r="AJ135" s="3">
        <v>43643</v>
      </c>
      <c r="AK135" t="s">
        <v>42</v>
      </c>
      <c r="AL135" s="1">
        <v>9500</v>
      </c>
      <c r="AM135" s="1">
        <v>2.5</v>
      </c>
      <c r="AN135" s="1">
        <v>2.65</v>
      </c>
      <c r="AO135" s="1">
        <v>2.1</v>
      </c>
      <c r="AP135" s="1">
        <v>2.65</v>
      </c>
      <c r="AQ135" s="1">
        <v>2.2999999999999998</v>
      </c>
      <c r="AR135" s="2">
        <v>1259</v>
      </c>
      <c r="AS135" s="1">
        <v>8972.56</v>
      </c>
      <c r="AT135">
        <v>11945.7</v>
      </c>
    </row>
    <row r="136" spans="34:46" x14ac:dyDescent="0.35">
      <c r="AH136" t="s">
        <v>204</v>
      </c>
      <c r="AI136" t="s">
        <v>180</v>
      </c>
      <c r="AJ136" s="3">
        <v>43643</v>
      </c>
      <c r="AK136" t="s">
        <v>41</v>
      </c>
      <c r="AL136" s="1">
        <v>9500</v>
      </c>
      <c r="AM136" s="1">
        <v>2384</v>
      </c>
      <c r="AN136" s="1">
        <v>2482</v>
      </c>
      <c r="AO136" s="1">
        <v>2384</v>
      </c>
      <c r="AP136" s="1">
        <v>2375.1999999999998</v>
      </c>
      <c r="AQ136" s="1">
        <v>2456.5</v>
      </c>
      <c r="AR136">
        <v>989</v>
      </c>
      <c r="AS136" s="1">
        <v>8861.8799999999992</v>
      </c>
      <c r="AT136">
        <v>11945.7</v>
      </c>
    </row>
    <row r="137" spans="34:46" x14ac:dyDescent="0.35">
      <c r="AH137" t="s">
        <v>204</v>
      </c>
      <c r="AI137" t="s">
        <v>180</v>
      </c>
      <c r="AJ137" s="3">
        <v>43671</v>
      </c>
      <c r="AK137" t="s">
        <v>42</v>
      </c>
      <c r="AL137" s="1">
        <v>12000</v>
      </c>
      <c r="AM137" s="1">
        <v>294</v>
      </c>
      <c r="AN137" s="1">
        <v>296</v>
      </c>
      <c r="AO137" s="1">
        <v>248.05</v>
      </c>
      <c r="AP137" s="1">
        <v>300.8</v>
      </c>
      <c r="AQ137" s="1">
        <v>257.55</v>
      </c>
      <c r="AR137">
        <v>956</v>
      </c>
      <c r="AS137" s="1">
        <v>8795.32</v>
      </c>
      <c r="AT137">
        <v>11945.7</v>
      </c>
    </row>
    <row r="138" spans="34:46" x14ac:dyDescent="0.35">
      <c r="AH138" t="s">
        <v>204</v>
      </c>
      <c r="AI138" t="s">
        <v>180</v>
      </c>
      <c r="AJ138" s="3">
        <v>43671</v>
      </c>
      <c r="AK138" t="s">
        <v>41</v>
      </c>
      <c r="AL138" s="1">
        <v>12000</v>
      </c>
      <c r="AM138" s="1">
        <v>241</v>
      </c>
      <c r="AN138" s="1">
        <v>281</v>
      </c>
      <c r="AO138" s="1">
        <v>233.5</v>
      </c>
      <c r="AP138" s="1">
        <v>237.4</v>
      </c>
      <c r="AQ138" s="1">
        <v>271.3</v>
      </c>
      <c r="AR138">
        <v>943</v>
      </c>
      <c r="AS138" s="1">
        <v>8673.86</v>
      </c>
      <c r="AT138">
        <v>11945.7</v>
      </c>
    </row>
    <row r="139" spans="34:46" x14ac:dyDescent="0.35">
      <c r="AH139" t="s">
        <v>204</v>
      </c>
      <c r="AI139" t="s">
        <v>180</v>
      </c>
      <c r="AJ139" s="3">
        <v>43615</v>
      </c>
      <c r="AK139" t="s">
        <v>42</v>
      </c>
      <c r="AL139" s="1">
        <v>12200</v>
      </c>
      <c r="AM139" s="1">
        <v>325</v>
      </c>
      <c r="AN139" s="1">
        <v>327.05</v>
      </c>
      <c r="AO139" s="1">
        <v>231.15</v>
      </c>
      <c r="AP139" s="1">
        <v>327.39999999999998</v>
      </c>
      <c r="AQ139" s="1">
        <v>247.65</v>
      </c>
      <c r="AR139">
        <v>913</v>
      </c>
      <c r="AS139" s="1">
        <v>8530.98</v>
      </c>
      <c r="AT139">
        <v>11945.7</v>
      </c>
    </row>
    <row r="140" spans="34:46" x14ac:dyDescent="0.35">
      <c r="AH140" t="s">
        <v>204</v>
      </c>
      <c r="AI140" t="s">
        <v>180</v>
      </c>
      <c r="AJ140" s="3">
        <v>43671</v>
      </c>
      <c r="AK140" t="s">
        <v>42</v>
      </c>
      <c r="AL140" s="1">
        <v>11500</v>
      </c>
      <c r="AM140" s="1">
        <v>125</v>
      </c>
      <c r="AN140" s="1">
        <v>127.05</v>
      </c>
      <c r="AO140" s="1">
        <v>101.25</v>
      </c>
      <c r="AP140" s="1">
        <v>129.65</v>
      </c>
      <c r="AQ140" s="1">
        <v>104.15</v>
      </c>
      <c r="AR140">
        <v>909</v>
      </c>
      <c r="AS140" s="1">
        <v>7915.32</v>
      </c>
      <c r="AT140">
        <v>11945.7</v>
      </c>
    </row>
    <row r="141" spans="34:46" x14ac:dyDescent="0.35">
      <c r="AH141" t="s">
        <v>204</v>
      </c>
      <c r="AI141" t="s">
        <v>180</v>
      </c>
      <c r="AJ141" s="3">
        <v>43643</v>
      </c>
      <c r="AK141" t="s">
        <v>42</v>
      </c>
      <c r="AL141" s="1">
        <v>10600</v>
      </c>
      <c r="AM141">
        <v>8.1999999999999993</v>
      </c>
      <c r="AN141">
        <v>9</v>
      </c>
      <c r="AO141">
        <v>6.75</v>
      </c>
      <c r="AP141">
        <v>10.1</v>
      </c>
      <c r="AQ141">
        <v>7.35</v>
      </c>
      <c r="AR141">
        <v>993</v>
      </c>
      <c r="AS141" s="1">
        <v>7900.07</v>
      </c>
      <c r="AT141">
        <v>11945.7</v>
      </c>
    </row>
    <row r="142" spans="34:46" x14ac:dyDescent="0.35">
      <c r="AH142" t="s">
        <v>204</v>
      </c>
      <c r="AI142" t="s">
        <v>180</v>
      </c>
      <c r="AJ142" s="3">
        <v>43643</v>
      </c>
      <c r="AK142" t="s">
        <v>42</v>
      </c>
      <c r="AL142" s="1">
        <v>12200</v>
      </c>
      <c r="AM142" s="1">
        <v>355.7</v>
      </c>
      <c r="AN142" s="1">
        <v>358.9</v>
      </c>
      <c r="AO142" s="1">
        <v>280.64999999999998</v>
      </c>
      <c r="AP142" s="1">
        <v>360.05</v>
      </c>
      <c r="AQ142" s="1">
        <v>298</v>
      </c>
      <c r="AR142">
        <v>811</v>
      </c>
      <c r="AS142" s="1">
        <v>7606.25</v>
      </c>
      <c r="AT142">
        <v>11945.7</v>
      </c>
    </row>
    <row r="143" spans="34:46" x14ac:dyDescent="0.35">
      <c r="AH143" t="s">
        <v>204</v>
      </c>
      <c r="AI143" t="s">
        <v>180</v>
      </c>
      <c r="AJ143" s="3">
        <v>43643</v>
      </c>
      <c r="AK143" t="s">
        <v>42</v>
      </c>
      <c r="AL143" s="1">
        <v>10700</v>
      </c>
      <c r="AM143">
        <v>11.3</v>
      </c>
      <c r="AN143">
        <v>12.35</v>
      </c>
      <c r="AO143">
        <v>8.1999999999999993</v>
      </c>
      <c r="AP143">
        <v>12.95</v>
      </c>
      <c r="AQ143">
        <v>8.6</v>
      </c>
      <c r="AR143">
        <v>944</v>
      </c>
      <c r="AS143" s="1">
        <v>7582.29</v>
      </c>
      <c r="AT143">
        <v>11945.7</v>
      </c>
    </row>
    <row r="144" spans="34:46" x14ac:dyDescent="0.35">
      <c r="AH144" t="s">
        <v>204</v>
      </c>
      <c r="AI144" t="s">
        <v>180</v>
      </c>
      <c r="AJ144" s="3">
        <v>43643</v>
      </c>
      <c r="AK144" t="s">
        <v>41</v>
      </c>
      <c r="AL144" s="1">
        <v>13500</v>
      </c>
      <c r="AM144">
        <v>2.8</v>
      </c>
      <c r="AN144">
        <v>3.85</v>
      </c>
      <c r="AO144">
        <v>2.5499999999999998</v>
      </c>
      <c r="AP144">
        <v>3.4</v>
      </c>
      <c r="AQ144">
        <v>3.2</v>
      </c>
      <c r="AR144">
        <v>723</v>
      </c>
      <c r="AS144" s="1">
        <v>7322.04</v>
      </c>
      <c r="AT144">
        <v>11945.7</v>
      </c>
    </row>
    <row r="145" spans="34:46" x14ac:dyDescent="0.35">
      <c r="AH145" t="s">
        <v>204</v>
      </c>
      <c r="AI145" t="s">
        <v>180</v>
      </c>
      <c r="AJ145" s="3">
        <v>43643</v>
      </c>
      <c r="AK145" t="s">
        <v>41</v>
      </c>
      <c r="AL145" s="1">
        <v>10500</v>
      </c>
      <c r="AM145" s="1">
        <v>1398</v>
      </c>
      <c r="AN145" s="1">
        <v>1488</v>
      </c>
      <c r="AO145" s="1">
        <v>1392.5</v>
      </c>
      <c r="AP145" s="1">
        <v>1385</v>
      </c>
      <c r="AQ145" s="1">
        <v>1467.65</v>
      </c>
      <c r="AR145">
        <v>798</v>
      </c>
      <c r="AS145" s="1">
        <v>7153.78</v>
      </c>
      <c r="AT145">
        <v>11945.7</v>
      </c>
    </row>
    <row r="146" spans="34:46" x14ac:dyDescent="0.35">
      <c r="AH146" t="s">
        <v>204</v>
      </c>
      <c r="AI146" t="s">
        <v>180</v>
      </c>
      <c r="AJ146" s="3">
        <v>43643</v>
      </c>
      <c r="AK146" t="s">
        <v>41</v>
      </c>
      <c r="AL146" s="1">
        <v>11400</v>
      </c>
      <c r="AM146" s="1">
        <v>554.04999999999995</v>
      </c>
      <c r="AN146" s="1">
        <v>629.70000000000005</v>
      </c>
      <c r="AO146" s="1">
        <v>554.04999999999995</v>
      </c>
      <c r="AP146" s="1">
        <v>553.79999999999995</v>
      </c>
      <c r="AQ146" s="1">
        <v>614.5</v>
      </c>
      <c r="AR146">
        <v>776</v>
      </c>
      <c r="AS146" s="1">
        <v>6977.86</v>
      </c>
      <c r="AT146">
        <v>11945.7</v>
      </c>
    </row>
    <row r="147" spans="34:46" x14ac:dyDescent="0.35">
      <c r="AH147" t="s">
        <v>204</v>
      </c>
      <c r="AI147" t="s">
        <v>180</v>
      </c>
      <c r="AJ147" s="3">
        <v>43615</v>
      </c>
      <c r="AK147" t="s">
        <v>41</v>
      </c>
      <c r="AL147" s="1">
        <v>11200</v>
      </c>
      <c r="AM147">
        <v>657.4</v>
      </c>
      <c r="AN147">
        <v>756</v>
      </c>
      <c r="AO147">
        <v>655.7</v>
      </c>
      <c r="AP147">
        <v>655.8</v>
      </c>
      <c r="AQ147">
        <v>732.75</v>
      </c>
      <c r="AR147">
        <v>757</v>
      </c>
      <c r="AS147" s="1">
        <v>6764.93</v>
      </c>
      <c r="AT147">
        <v>11945.7</v>
      </c>
    </row>
    <row r="148" spans="34:46" x14ac:dyDescent="0.35">
      <c r="AH148" t="s">
        <v>204</v>
      </c>
      <c r="AI148" t="s">
        <v>180</v>
      </c>
      <c r="AJ148" s="3">
        <v>43615</v>
      </c>
      <c r="AK148" t="s">
        <v>41</v>
      </c>
      <c r="AL148" s="1">
        <v>13100</v>
      </c>
      <c r="AM148" s="1">
        <v>0.05</v>
      </c>
      <c r="AN148" s="1">
        <v>0.1</v>
      </c>
      <c r="AO148" s="1">
        <v>0.05</v>
      </c>
      <c r="AP148" s="1">
        <v>0.45</v>
      </c>
      <c r="AQ148" s="1">
        <v>0.1</v>
      </c>
      <c r="AR148">
        <v>683</v>
      </c>
      <c r="AS148" s="1">
        <v>6710.5</v>
      </c>
      <c r="AT148">
        <v>11945.7</v>
      </c>
    </row>
    <row r="149" spans="34:46" x14ac:dyDescent="0.35">
      <c r="AH149" t="s">
        <v>204</v>
      </c>
      <c r="AI149" t="s">
        <v>180</v>
      </c>
      <c r="AJ149" s="3">
        <v>43615</v>
      </c>
      <c r="AK149" t="s">
        <v>41</v>
      </c>
      <c r="AL149" s="1">
        <v>10500</v>
      </c>
      <c r="AM149" s="1">
        <v>1370</v>
      </c>
      <c r="AN149" s="1">
        <v>1460</v>
      </c>
      <c r="AO149" s="1">
        <v>1361.9</v>
      </c>
      <c r="AP149" s="1">
        <v>1358.1</v>
      </c>
      <c r="AQ149" s="1">
        <v>1440</v>
      </c>
      <c r="AR149">
        <v>703</v>
      </c>
      <c r="AS149" s="1">
        <v>6283.31</v>
      </c>
      <c r="AT149">
        <v>11945.7</v>
      </c>
    </row>
    <row r="150" spans="34:46" x14ac:dyDescent="0.35">
      <c r="AH150" t="s">
        <v>204</v>
      </c>
      <c r="AI150" t="s">
        <v>180</v>
      </c>
      <c r="AJ150" s="3">
        <v>43615</v>
      </c>
      <c r="AK150" t="s">
        <v>42</v>
      </c>
      <c r="AL150" s="1">
        <v>11450</v>
      </c>
      <c r="AM150">
        <v>0.5</v>
      </c>
      <c r="AN150">
        <v>0.5</v>
      </c>
      <c r="AO150">
        <v>0.05</v>
      </c>
      <c r="AP150" s="1">
        <v>1.25</v>
      </c>
      <c r="AQ150">
        <v>0.1</v>
      </c>
      <c r="AR150">
        <v>710</v>
      </c>
      <c r="AS150" s="1">
        <v>6097.19</v>
      </c>
      <c r="AT150">
        <v>11945.7</v>
      </c>
    </row>
    <row r="151" spans="34:46" x14ac:dyDescent="0.35">
      <c r="AH151" t="s">
        <v>204</v>
      </c>
      <c r="AI151" t="s">
        <v>180</v>
      </c>
      <c r="AJ151" s="3">
        <v>43643</v>
      </c>
      <c r="AK151" t="s">
        <v>42</v>
      </c>
      <c r="AL151" s="1">
        <v>13500</v>
      </c>
      <c r="AM151" s="1">
        <v>1585.5</v>
      </c>
      <c r="AN151" s="1">
        <v>1585.5</v>
      </c>
      <c r="AO151" s="1">
        <v>1484</v>
      </c>
      <c r="AP151" s="1">
        <v>1589.05</v>
      </c>
      <c r="AQ151" s="1">
        <v>1500</v>
      </c>
      <c r="AR151">
        <v>526</v>
      </c>
      <c r="AS151" s="1">
        <v>5926.27</v>
      </c>
      <c r="AT151">
        <v>11945.7</v>
      </c>
    </row>
    <row r="152" spans="34:46" x14ac:dyDescent="0.35">
      <c r="AH152" t="s">
        <v>204</v>
      </c>
      <c r="AI152" t="s">
        <v>180</v>
      </c>
      <c r="AJ152" s="3">
        <v>43629</v>
      </c>
      <c r="AK152" t="s">
        <v>42</v>
      </c>
      <c r="AL152" s="1">
        <v>11800</v>
      </c>
      <c r="AM152" s="1">
        <v>70.25</v>
      </c>
      <c r="AN152" s="1">
        <v>91.15</v>
      </c>
      <c r="AO152" s="1">
        <v>59.35</v>
      </c>
      <c r="AP152" s="1">
        <v>96</v>
      </c>
      <c r="AQ152" s="1">
        <v>67.3</v>
      </c>
      <c r="AR152">
        <v>624</v>
      </c>
      <c r="AS152" s="1">
        <v>5555.19</v>
      </c>
      <c r="AT152">
        <v>11945.7</v>
      </c>
    </row>
    <row r="153" spans="34:46" x14ac:dyDescent="0.35">
      <c r="AH153" t="s">
        <v>204</v>
      </c>
      <c r="AI153" t="s">
        <v>180</v>
      </c>
      <c r="AJ153" s="3">
        <v>43643</v>
      </c>
      <c r="AK153" t="s">
        <v>41</v>
      </c>
      <c r="AL153" s="1">
        <v>11950</v>
      </c>
      <c r="AM153" s="1">
        <v>164</v>
      </c>
      <c r="AN153" s="1">
        <v>209.9</v>
      </c>
      <c r="AO153">
        <v>162.55000000000001</v>
      </c>
      <c r="AP153" s="1">
        <v>166.1</v>
      </c>
      <c r="AQ153" s="1">
        <v>199.05</v>
      </c>
      <c r="AR153">
        <v>599</v>
      </c>
      <c r="AS153" s="1">
        <v>5455.98</v>
      </c>
      <c r="AT153">
        <v>11945.7</v>
      </c>
    </row>
    <row r="154" spans="34:46" x14ac:dyDescent="0.35">
      <c r="AH154" t="s">
        <v>204</v>
      </c>
      <c r="AI154" t="s">
        <v>180</v>
      </c>
      <c r="AJ154" s="3">
        <v>43622</v>
      </c>
      <c r="AK154" t="s">
        <v>42</v>
      </c>
      <c r="AL154" s="1">
        <v>10800</v>
      </c>
      <c r="AM154" s="1">
        <v>1.5</v>
      </c>
      <c r="AN154" s="1">
        <v>2.9</v>
      </c>
      <c r="AO154" s="1">
        <v>0.3</v>
      </c>
      <c r="AP154" s="1">
        <v>2.75</v>
      </c>
      <c r="AQ154" s="1">
        <v>2.25</v>
      </c>
      <c r="AR154">
        <v>656</v>
      </c>
      <c r="AS154" s="1">
        <v>5314.45</v>
      </c>
      <c r="AT154">
        <v>11945.7</v>
      </c>
    </row>
    <row r="155" spans="34:46" x14ac:dyDescent="0.35">
      <c r="AH155" t="s">
        <v>204</v>
      </c>
      <c r="AI155" t="s">
        <v>180</v>
      </c>
      <c r="AJ155" s="3">
        <v>43622</v>
      </c>
      <c r="AK155" t="s">
        <v>41</v>
      </c>
      <c r="AL155" s="1">
        <v>12250</v>
      </c>
      <c r="AM155">
        <v>10.9</v>
      </c>
      <c r="AN155">
        <v>11.95</v>
      </c>
      <c r="AO155">
        <v>6.15</v>
      </c>
      <c r="AP155" s="1">
        <v>19</v>
      </c>
      <c r="AQ155">
        <v>9.5500000000000007</v>
      </c>
      <c r="AR155">
        <v>566</v>
      </c>
      <c r="AS155" s="1">
        <v>5204.04</v>
      </c>
      <c r="AT155">
        <v>11945.7</v>
      </c>
    </row>
    <row r="156" spans="34:46" x14ac:dyDescent="0.35">
      <c r="AH156" t="s">
        <v>204</v>
      </c>
      <c r="AI156" t="s">
        <v>180</v>
      </c>
      <c r="AJ156" s="3">
        <v>43615</v>
      </c>
      <c r="AK156" t="s">
        <v>41</v>
      </c>
      <c r="AL156" s="1">
        <v>13050</v>
      </c>
      <c r="AM156" s="1">
        <v>0.05</v>
      </c>
      <c r="AN156" s="1">
        <v>0.05</v>
      </c>
      <c r="AO156" s="1">
        <v>0.05</v>
      </c>
      <c r="AP156" s="1">
        <v>7.65</v>
      </c>
      <c r="AQ156" s="1">
        <v>0.05</v>
      </c>
      <c r="AR156">
        <v>512</v>
      </c>
      <c r="AS156" s="1">
        <v>5011.22</v>
      </c>
      <c r="AT156">
        <v>11945.7</v>
      </c>
    </row>
    <row r="157" spans="34:46" x14ac:dyDescent="0.35">
      <c r="AH157" t="s">
        <v>204</v>
      </c>
      <c r="AI157" t="s">
        <v>180</v>
      </c>
      <c r="AJ157" s="3">
        <v>43615</v>
      </c>
      <c r="AK157" t="s">
        <v>42</v>
      </c>
      <c r="AL157" s="1">
        <v>10200</v>
      </c>
      <c r="AM157">
        <v>0.1</v>
      </c>
      <c r="AN157">
        <v>0.15</v>
      </c>
      <c r="AO157">
        <v>0.05</v>
      </c>
      <c r="AP157" s="1">
        <v>0.65</v>
      </c>
      <c r="AQ157">
        <v>0.05</v>
      </c>
      <c r="AR157">
        <v>602</v>
      </c>
      <c r="AS157" s="1">
        <v>4605.33</v>
      </c>
      <c r="AT157">
        <v>11945.7</v>
      </c>
    </row>
    <row r="158" spans="34:46" x14ac:dyDescent="0.35">
      <c r="AH158" t="s">
        <v>204</v>
      </c>
      <c r="AI158" t="s">
        <v>180</v>
      </c>
      <c r="AJ158" s="3">
        <v>43629</v>
      </c>
      <c r="AK158" t="s">
        <v>41</v>
      </c>
      <c r="AL158" s="1">
        <v>12200</v>
      </c>
      <c r="AM158" s="1">
        <v>29.85</v>
      </c>
      <c r="AN158" s="1">
        <v>40</v>
      </c>
      <c r="AO158" s="1">
        <v>28.2</v>
      </c>
      <c r="AP158" s="1">
        <v>31.65</v>
      </c>
      <c r="AQ158" s="1">
        <v>36.85</v>
      </c>
      <c r="AR158">
        <v>493</v>
      </c>
      <c r="AS158" s="1">
        <v>4523.88</v>
      </c>
      <c r="AT158">
        <v>11945.7</v>
      </c>
    </row>
    <row r="159" spans="34:46" x14ac:dyDescent="0.35">
      <c r="AH159" t="s">
        <v>204</v>
      </c>
      <c r="AI159" t="s">
        <v>180</v>
      </c>
      <c r="AJ159" s="3">
        <v>43643</v>
      </c>
      <c r="AK159" t="s">
        <v>41</v>
      </c>
      <c r="AL159" s="1">
        <v>11600</v>
      </c>
      <c r="AM159">
        <v>395</v>
      </c>
      <c r="AN159">
        <v>459.5</v>
      </c>
      <c r="AO159">
        <v>390</v>
      </c>
      <c r="AP159">
        <v>387.6</v>
      </c>
      <c r="AQ159">
        <v>447.35</v>
      </c>
      <c r="AR159">
        <v>488</v>
      </c>
      <c r="AS159" s="1">
        <v>4406.01</v>
      </c>
      <c r="AT159">
        <v>11945.7</v>
      </c>
    </row>
    <row r="160" spans="34:46" x14ac:dyDescent="0.35">
      <c r="AH160" t="s">
        <v>204</v>
      </c>
      <c r="AI160" t="s">
        <v>180</v>
      </c>
      <c r="AJ160" s="3">
        <v>43629</v>
      </c>
      <c r="AK160" t="s">
        <v>42</v>
      </c>
      <c r="AL160" s="1">
        <v>11500</v>
      </c>
      <c r="AM160" s="1">
        <v>28.15</v>
      </c>
      <c r="AN160" s="1">
        <v>28.15</v>
      </c>
      <c r="AO160" s="1">
        <v>16.55</v>
      </c>
      <c r="AP160" s="1">
        <v>35.35</v>
      </c>
      <c r="AQ160" s="1">
        <v>19.25</v>
      </c>
      <c r="AR160">
        <v>507</v>
      </c>
      <c r="AS160" s="1">
        <v>4380.45</v>
      </c>
      <c r="AT160">
        <v>11945.7</v>
      </c>
    </row>
    <row r="161" spans="34:46" x14ac:dyDescent="0.35">
      <c r="AH161" t="s">
        <v>204</v>
      </c>
      <c r="AI161" t="s">
        <v>180</v>
      </c>
      <c r="AJ161" s="3">
        <v>43629</v>
      </c>
      <c r="AK161" t="s">
        <v>41</v>
      </c>
      <c r="AL161" s="1">
        <v>12300</v>
      </c>
      <c r="AM161" s="1">
        <v>16.75</v>
      </c>
      <c r="AN161" s="1">
        <v>33.75</v>
      </c>
      <c r="AO161" s="1">
        <v>14.15</v>
      </c>
      <c r="AP161" s="1">
        <v>19.5</v>
      </c>
      <c r="AQ161" s="1">
        <v>20.100000000000001</v>
      </c>
      <c r="AR161">
        <v>443</v>
      </c>
      <c r="AS161" s="1">
        <v>4093.41</v>
      </c>
      <c r="AT161">
        <v>11945.7</v>
      </c>
    </row>
    <row r="162" spans="34:46" x14ac:dyDescent="0.35">
      <c r="AH162" t="s">
        <v>204</v>
      </c>
      <c r="AI162" t="s">
        <v>180</v>
      </c>
      <c r="AJ162" s="3">
        <v>43615</v>
      </c>
      <c r="AK162" t="s">
        <v>42</v>
      </c>
      <c r="AL162" s="1">
        <v>10600</v>
      </c>
      <c r="AM162" s="1">
        <v>0.1</v>
      </c>
      <c r="AN162" s="1">
        <v>0.3</v>
      </c>
      <c r="AO162" s="1">
        <v>0.05</v>
      </c>
      <c r="AP162" s="1">
        <v>0.55000000000000004</v>
      </c>
      <c r="AQ162" s="1">
        <v>0.05</v>
      </c>
      <c r="AR162">
        <v>509</v>
      </c>
      <c r="AS162" s="1">
        <v>4046.58</v>
      </c>
      <c r="AT162">
        <v>11945.7</v>
      </c>
    </row>
    <row r="163" spans="34:46" x14ac:dyDescent="0.35">
      <c r="AH163" t="s">
        <v>204</v>
      </c>
      <c r="AI163" t="s">
        <v>180</v>
      </c>
      <c r="AJ163" s="3">
        <v>43629</v>
      </c>
      <c r="AK163" t="s">
        <v>41</v>
      </c>
      <c r="AL163" s="1">
        <v>12100</v>
      </c>
      <c r="AM163">
        <v>47.5</v>
      </c>
      <c r="AN163">
        <v>70.25</v>
      </c>
      <c r="AO163">
        <v>38.5</v>
      </c>
      <c r="AP163" s="1">
        <v>50.8</v>
      </c>
      <c r="AQ163">
        <v>64</v>
      </c>
      <c r="AR163">
        <v>439</v>
      </c>
      <c r="AS163" s="1">
        <v>4003.66</v>
      </c>
      <c r="AT163">
        <v>11945.7</v>
      </c>
    </row>
    <row r="164" spans="34:46" x14ac:dyDescent="0.35">
      <c r="AH164" t="s">
        <v>204</v>
      </c>
      <c r="AI164" t="s">
        <v>180</v>
      </c>
      <c r="AJ164" s="3">
        <v>43643</v>
      </c>
      <c r="AK164" t="s">
        <v>42</v>
      </c>
      <c r="AL164" s="1">
        <v>11950</v>
      </c>
      <c r="AM164" s="1">
        <v>210.35</v>
      </c>
      <c r="AN164" s="1">
        <v>210.35</v>
      </c>
      <c r="AO164" s="1">
        <v>158.65</v>
      </c>
      <c r="AP164" s="1">
        <v>216.45</v>
      </c>
      <c r="AQ164" s="1">
        <v>172.3</v>
      </c>
      <c r="AR164">
        <v>440</v>
      </c>
      <c r="AS164" s="1">
        <v>4000.64</v>
      </c>
      <c r="AT164">
        <v>11945.7</v>
      </c>
    </row>
    <row r="165" spans="34:46" x14ac:dyDescent="0.35">
      <c r="AH165" t="s">
        <v>204</v>
      </c>
      <c r="AI165" t="s">
        <v>180</v>
      </c>
      <c r="AJ165" s="3">
        <v>43643</v>
      </c>
      <c r="AK165" t="s">
        <v>41</v>
      </c>
      <c r="AL165" s="1">
        <v>11200</v>
      </c>
      <c r="AM165" s="1">
        <v>731.15</v>
      </c>
      <c r="AN165" s="1">
        <v>811</v>
      </c>
      <c r="AO165" s="1">
        <v>728</v>
      </c>
      <c r="AP165" s="1">
        <v>724.5</v>
      </c>
      <c r="AQ165" s="1">
        <v>795.9</v>
      </c>
      <c r="AR165">
        <v>442</v>
      </c>
      <c r="AS165" s="1">
        <v>3969.05</v>
      </c>
      <c r="AT165">
        <v>11945.7</v>
      </c>
    </row>
    <row r="166" spans="34:46" x14ac:dyDescent="0.35">
      <c r="AH166" t="s">
        <v>204</v>
      </c>
      <c r="AI166" t="s">
        <v>180</v>
      </c>
      <c r="AJ166" s="3">
        <v>43629</v>
      </c>
      <c r="AK166" t="s">
        <v>41</v>
      </c>
      <c r="AL166" s="1">
        <v>11900</v>
      </c>
      <c r="AM166" s="1">
        <v>118.6</v>
      </c>
      <c r="AN166" s="1">
        <v>165.5</v>
      </c>
      <c r="AO166" s="1">
        <v>117.55</v>
      </c>
      <c r="AP166" s="1">
        <v>121.3</v>
      </c>
      <c r="AQ166" s="1">
        <v>154.69999999999999</v>
      </c>
      <c r="AR166">
        <v>429</v>
      </c>
      <c r="AS166" s="1">
        <v>3876.02</v>
      </c>
      <c r="AT166">
        <v>11945.7</v>
      </c>
    </row>
    <row r="167" spans="34:46" x14ac:dyDescent="0.35">
      <c r="AH167" t="s">
        <v>204</v>
      </c>
      <c r="AI167" t="s">
        <v>180</v>
      </c>
      <c r="AJ167" s="3">
        <v>43622</v>
      </c>
      <c r="AK167" t="s">
        <v>41</v>
      </c>
      <c r="AL167" s="1">
        <v>12900</v>
      </c>
      <c r="AM167" s="1">
        <v>1.25</v>
      </c>
      <c r="AN167" s="1">
        <v>1.5</v>
      </c>
      <c r="AO167" s="1">
        <v>0.9</v>
      </c>
      <c r="AP167" s="1">
        <v>8.9499999999999993</v>
      </c>
      <c r="AQ167" s="1">
        <v>0.9</v>
      </c>
      <c r="AR167">
        <v>397</v>
      </c>
      <c r="AS167" s="1">
        <v>3841.31</v>
      </c>
      <c r="AT167">
        <v>11945.7</v>
      </c>
    </row>
    <row r="168" spans="34:46" x14ac:dyDescent="0.35">
      <c r="AH168" t="s">
        <v>204</v>
      </c>
      <c r="AI168" t="s">
        <v>180</v>
      </c>
      <c r="AJ168" s="3">
        <v>43615</v>
      </c>
      <c r="AK168" t="s">
        <v>41</v>
      </c>
      <c r="AL168" s="1">
        <v>13200</v>
      </c>
      <c r="AM168" s="1">
        <v>0.05</v>
      </c>
      <c r="AN168" s="1">
        <v>0.1</v>
      </c>
      <c r="AO168" s="1">
        <v>0.05</v>
      </c>
      <c r="AP168" s="1">
        <v>0.45</v>
      </c>
      <c r="AQ168" s="1">
        <v>0.05</v>
      </c>
      <c r="AR168">
        <v>386</v>
      </c>
      <c r="AS168" s="1">
        <v>3821.41</v>
      </c>
      <c r="AT168">
        <v>11945.7</v>
      </c>
    </row>
    <row r="169" spans="34:46" x14ac:dyDescent="0.35">
      <c r="AH169" t="s">
        <v>204</v>
      </c>
      <c r="AI169" t="s">
        <v>180</v>
      </c>
      <c r="AJ169" s="3">
        <v>43615</v>
      </c>
      <c r="AK169" t="s">
        <v>42</v>
      </c>
      <c r="AL169" s="1">
        <v>10100</v>
      </c>
      <c r="AM169" s="1">
        <v>0.1</v>
      </c>
      <c r="AN169" s="1">
        <v>0.15</v>
      </c>
      <c r="AO169" s="1">
        <v>0.05</v>
      </c>
      <c r="AP169" s="1">
        <v>0.8</v>
      </c>
      <c r="AQ169" s="1">
        <v>0.05</v>
      </c>
      <c r="AR169">
        <v>503</v>
      </c>
      <c r="AS169" s="1">
        <v>3810.25</v>
      </c>
      <c r="AT169">
        <v>11945.7</v>
      </c>
    </row>
    <row r="170" spans="34:46" x14ac:dyDescent="0.35">
      <c r="AH170" t="s">
        <v>204</v>
      </c>
      <c r="AI170" t="s">
        <v>180</v>
      </c>
      <c r="AJ170" s="3">
        <v>43643</v>
      </c>
      <c r="AK170" t="s">
        <v>41</v>
      </c>
      <c r="AL170" s="1">
        <v>12900</v>
      </c>
      <c r="AM170">
        <v>6</v>
      </c>
      <c r="AN170">
        <v>7.9</v>
      </c>
      <c r="AO170">
        <v>4.45</v>
      </c>
      <c r="AP170">
        <v>7.75</v>
      </c>
      <c r="AQ170">
        <v>5.9</v>
      </c>
      <c r="AR170">
        <v>377</v>
      </c>
      <c r="AS170" s="1">
        <v>3649.12</v>
      </c>
      <c r="AT170">
        <v>11945.7</v>
      </c>
    </row>
    <row r="171" spans="34:46" x14ac:dyDescent="0.35">
      <c r="AH171" t="s">
        <v>204</v>
      </c>
      <c r="AI171" t="s">
        <v>180</v>
      </c>
      <c r="AJ171" s="3">
        <v>43643</v>
      </c>
      <c r="AK171" t="s">
        <v>42</v>
      </c>
      <c r="AL171" s="1">
        <v>9700</v>
      </c>
      <c r="AM171" s="1">
        <v>2.4</v>
      </c>
      <c r="AN171" s="1">
        <v>2.7</v>
      </c>
      <c r="AO171" s="1">
        <v>1.85</v>
      </c>
      <c r="AP171" s="1">
        <v>1.9</v>
      </c>
      <c r="AQ171" s="1">
        <v>2</v>
      </c>
      <c r="AR171">
        <v>497</v>
      </c>
      <c r="AS171" s="1">
        <v>3616.49</v>
      </c>
      <c r="AT171">
        <v>11945.7</v>
      </c>
    </row>
    <row r="172" spans="34:46" x14ac:dyDescent="0.35">
      <c r="AH172" t="s">
        <v>204</v>
      </c>
      <c r="AI172" t="s">
        <v>180</v>
      </c>
      <c r="AJ172" s="3">
        <v>43629</v>
      </c>
      <c r="AK172" t="s">
        <v>42</v>
      </c>
      <c r="AL172" s="1">
        <v>11700</v>
      </c>
      <c r="AM172" s="1">
        <v>60.35</v>
      </c>
      <c r="AN172" s="1">
        <v>61.2</v>
      </c>
      <c r="AO172" s="1">
        <v>38.25</v>
      </c>
      <c r="AP172" s="1">
        <v>67.599999999999994</v>
      </c>
      <c r="AQ172" s="1">
        <v>42.9</v>
      </c>
      <c r="AR172">
        <v>409</v>
      </c>
      <c r="AS172" s="1">
        <v>3602.42</v>
      </c>
      <c r="AT172">
        <v>11945.7</v>
      </c>
    </row>
    <row r="173" spans="34:46" x14ac:dyDescent="0.35">
      <c r="AH173" t="s">
        <v>204</v>
      </c>
      <c r="AI173" t="s">
        <v>180</v>
      </c>
      <c r="AJ173" s="3">
        <v>43615</v>
      </c>
      <c r="AK173" t="s">
        <v>42</v>
      </c>
      <c r="AL173" s="1">
        <v>10300</v>
      </c>
      <c r="AM173" s="1">
        <v>0.1</v>
      </c>
      <c r="AN173" s="1">
        <v>0.15</v>
      </c>
      <c r="AO173" s="1">
        <v>0.05</v>
      </c>
      <c r="AP173" s="1">
        <v>0.35</v>
      </c>
      <c r="AQ173" s="1">
        <v>0.05</v>
      </c>
      <c r="AR173">
        <v>428</v>
      </c>
      <c r="AS173" s="1">
        <v>3306.32</v>
      </c>
      <c r="AT173">
        <v>11945.7</v>
      </c>
    </row>
    <row r="174" spans="34:46" x14ac:dyDescent="0.35">
      <c r="AH174" t="s">
        <v>204</v>
      </c>
      <c r="AI174" t="s">
        <v>180</v>
      </c>
      <c r="AJ174" s="3">
        <v>43643</v>
      </c>
      <c r="AK174" t="s">
        <v>42</v>
      </c>
      <c r="AL174" s="1">
        <v>11850</v>
      </c>
      <c r="AM174" s="1">
        <v>170.95</v>
      </c>
      <c r="AN174" s="1">
        <v>170.95</v>
      </c>
      <c r="AO174" s="1">
        <v>122.9</v>
      </c>
      <c r="AP174" s="1">
        <v>171.65</v>
      </c>
      <c r="AQ174" s="1">
        <v>131.9</v>
      </c>
      <c r="AR174">
        <v>343</v>
      </c>
      <c r="AS174" s="1">
        <v>3084.19</v>
      </c>
      <c r="AT174">
        <v>11945.7</v>
      </c>
    </row>
    <row r="175" spans="34:46" x14ac:dyDescent="0.35">
      <c r="AH175" t="s">
        <v>204</v>
      </c>
      <c r="AI175" t="s">
        <v>180</v>
      </c>
      <c r="AJ175" s="3">
        <v>43615</v>
      </c>
      <c r="AK175" t="s">
        <v>41</v>
      </c>
      <c r="AL175" s="1">
        <v>10800</v>
      </c>
      <c r="AM175" s="1">
        <v>1060</v>
      </c>
      <c r="AN175" s="1">
        <v>1157.1500000000001</v>
      </c>
      <c r="AO175" s="1">
        <v>1060</v>
      </c>
      <c r="AP175" s="1">
        <v>1055.3</v>
      </c>
      <c r="AQ175" s="1">
        <v>1141.7</v>
      </c>
      <c r="AR175">
        <v>330</v>
      </c>
      <c r="AS175" s="1">
        <v>2952.78</v>
      </c>
      <c r="AT175">
        <v>11945.7</v>
      </c>
    </row>
    <row r="176" spans="34:46" x14ac:dyDescent="0.35">
      <c r="AH176" t="s">
        <v>204</v>
      </c>
      <c r="AI176" t="s">
        <v>180</v>
      </c>
      <c r="AJ176" s="3">
        <v>43622</v>
      </c>
      <c r="AK176" t="s">
        <v>41</v>
      </c>
      <c r="AL176" s="1">
        <v>12550</v>
      </c>
      <c r="AM176" s="1">
        <v>3.45</v>
      </c>
      <c r="AN176" s="1">
        <v>3.45</v>
      </c>
      <c r="AO176" s="1">
        <v>1.6</v>
      </c>
      <c r="AP176" s="1">
        <v>3.6</v>
      </c>
      <c r="AQ176" s="1">
        <v>2.4500000000000002</v>
      </c>
      <c r="AR176">
        <v>309</v>
      </c>
      <c r="AS176" s="1">
        <v>2908.93</v>
      </c>
      <c r="AT176">
        <v>11945.7</v>
      </c>
    </row>
    <row r="177" spans="34:46" x14ac:dyDescent="0.35">
      <c r="AH177" t="s">
        <v>204</v>
      </c>
      <c r="AI177" t="s">
        <v>180</v>
      </c>
      <c r="AJ177" s="3">
        <v>43629</v>
      </c>
      <c r="AK177" t="s">
        <v>41</v>
      </c>
      <c r="AL177" s="1">
        <v>12400</v>
      </c>
      <c r="AM177">
        <v>11.3</v>
      </c>
      <c r="AN177">
        <v>12.25</v>
      </c>
      <c r="AO177">
        <v>9.75</v>
      </c>
      <c r="AP177">
        <v>13.3</v>
      </c>
      <c r="AQ177">
        <v>10</v>
      </c>
      <c r="AR177">
        <v>310</v>
      </c>
      <c r="AS177" s="1">
        <v>2885.51</v>
      </c>
      <c r="AT177">
        <v>11945.7</v>
      </c>
    </row>
    <row r="178" spans="34:46" x14ac:dyDescent="0.35">
      <c r="AH178" t="s">
        <v>204</v>
      </c>
      <c r="AI178" t="s">
        <v>180</v>
      </c>
      <c r="AJ178" s="3">
        <v>43615</v>
      </c>
      <c r="AK178" t="s">
        <v>41</v>
      </c>
      <c r="AL178" s="1">
        <v>9600</v>
      </c>
      <c r="AM178" s="1">
        <v>2262</v>
      </c>
      <c r="AN178" s="1">
        <v>2357.9499999999998</v>
      </c>
      <c r="AO178" s="1">
        <v>2262</v>
      </c>
      <c r="AP178" s="1">
        <v>2278</v>
      </c>
      <c r="AQ178" s="1">
        <v>2343</v>
      </c>
      <c r="AR178">
        <v>317</v>
      </c>
      <c r="AS178" s="1">
        <v>2827.64</v>
      </c>
      <c r="AT178">
        <v>11945.7</v>
      </c>
    </row>
    <row r="179" spans="34:46" x14ac:dyDescent="0.35">
      <c r="AH179" t="s">
        <v>204</v>
      </c>
      <c r="AI179" t="s">
        <v>180</v>
      </c>
      <c r="AJ179" s="3">
        <v>43825</v>
      </c>
      <c r="AK179" t="s">
        <v>41</v>
      </c>
      <c r="AL179" s="1">
        <v>12000</v>
      </c>
      <c r="AM179" s="1">
        <v>603</v>
      </c>
      <c r="AN179" s="1">
        <v>659</v>
      </c>
      <c r="AO179" s="1">
        <v>600</v>
      </c>
      <c r="AP179" s="1">
        <v>608.85</v>
      </c>
      <c r="AQ179" s="1">
        <v>648.95000000000005</v>
      </c>
      <c r="AR179">
        <v>278</v>
      </c>
      <c r="AS179" s="1">
        <v>2633.09</v>
      </c>
      <c r="AT179">
        <v>11945.7</v>
      </c>
    </row>
    <row r="180" spans="34:46" x14ac:dyDescent="0.35">
      <c r="AH180" t="s">
        <v>204</v>
      </c>
      <c r="AI180" t="s">
        <v>180</v>
      </c>
      <c r="AJ180" s="3">
        <v>43615</v>
      </c>
      <c r="AK180" t="s">
        <v>42</v>
      </c>
      <c r="AL180" s="1">
        <v>9500</v>
      </c>
      <c r="AM180" s="1">
        <v>0.1</v>
      </c>
      <c r="AN180" s="1">
        <v>0.1</v>
      </c>
      <c r="AO180" s="1">
        <v>0.05</v>
      </c>
      <c r="AP180" s="1">
        <v>0.2</v>
      </c>
      <c r="AQ180" s="1">
        <v>0.05</v>
      </c>
      <c r="AR180">
        <v>366</v>
      </c>
      <c r="AS180" s="1">
        <v>2607.77</v>
      </c>
      <c r="AT180">
        <v>11945.7</v>
      </c>
    </row>
    <row r="181" spans="34:46" x14ac:dyDescent="0.35">
      <c r="AH181" t="s">
        <v>204</v>
      </c>
      <c r="AI181" t="s">
        <v>180</v>
      </c>
      <c r="AJ181" s="3">
        <v>43615</v>
      </c>
      <c r="AK181" t="s">
        <v>42</v>
      </c>
      <c r="AL181" s="1">
        <v>10400</v>
      </c>
      <c r="AM181" s="1">
        <v>0.15</v>
      </c>
      <c r="AN181" s="1">
        <v>0.2</v>
      </c>
      <c r="AO181" s="1">
        <v>0.05</v>
      </c>
      <c r="AP181" s="1">
        <v>0.85</v>
      </c>
      <c r="AQ181" s="1">
        <v>0.05</v>
      </c>
      <c r="AR181">
        <v>329</v>
      </c>
      <c r="AS181" s="1">
        <v>2566.2199999999998</v>
      </c>
      <c r="AT181">
        <v>11945.7</v>
      </c>
    </row>
    <row r="182" spans="34:46" x14ac:dyDescent="0.35">
      <c r="AH182" t="s">
        <v>204</v>
      </c>
      <c r="AI182" t="s">
        <v>180</v>
      </c>
      <c r="AJ182" s="3">
        <v>43615</v>
      </c>
      <c r="AK182" t="s">
        <v>41</v>
      </c>
      <c r="AL182" s="1">
        <v>13150</v>
      </c>
      <c r="AM182" s="1">
        <v>0.05</v>
      </c>
      <c r="AN182" s="1">
        <v>0.05</v>
      </c>
      <c r="AO182" s="1">
        <v>0.05</v>
      </c>
      <c r="AP182" s="1">
        <v>5.3</v>
      </c>
      <c r="AQ182" s="1">
        <v>0.05</v>
      </c>
      <c r="AR182">
        <v>256</v>
      </c>
      <c r="AS182" s="1">
        <v>2524.81</v>
      </c>
      <c r="AT182">
        <v>11945.7</v>
      </c>
    </row>
    <row r="183" spans="34:46" x14ac:dyDescent="0.35">
      <c r="AH183" t="s">
        <v>204</v>
      </c>
      <c r="AI183" t="s">
        <v>180</v>
      </c>
      <c r="AJ183" s="3">
        <v>43622</v>
      </c>
      <c r="AK183" t="s">
        <v>42</v>
      </c>
      <c r="AL183" s="1">
        <v>11450</v>
      </c>
      <c r="AM183" s="1">
        <v>6.95</v>
      </c>
      <c r="AN183" s="1">
        <v>6.95</v>
      </c>
      <c r="AO183" s="1">
        <v>3.7</v>
      </c>
      <c r="AP183" s="1">
        <v>9.5</v>
      </c>
      <c r="AQ183" s="1">
        <v>5.45</v>
      </c>
      <c r="AR183">
        <v>287</v>
      </c>
      <c r="AS183" s="1">
        <v>2465.65</v>
      </c>
      <c r="AT183">
        <v>11945.7</v>
      </c>
    </row>
    <row r="184" spans="34:46" x14ac:dyDescent="0.35">
      <c r="AH184" t="s">
        <v>204</v>
      </c>
      <c r="AI184" t="s">
        <v>180</v>
      </c>
      <c r="AJ184" s="3">
        <v>43615</v>
      </c>
      <c r="AK184" t="s">
        <v>42</v>
      </c>
      <c r="AL184" s="1">
        <v>9700</v>
      </c>
      <c r="AM184" s="1">
        <v>2.2999999999999998</v>
      </c>
      <c r="AN184" s="1">
        <v>2.5</v>
      </c>
      <c r="AO184" s="1">
        <v>0.05</v>
      </c>
      <c r="AP184" s="1">
        <v>0.15</v>
      </c>
      <c r="AQ184" s="1">
        <v>0.05</v>
      </c>
      <c r="AR184">
        <v>334</v>
      </c>
      <c r="AS184" s="1">
        <v>2429.89</v>
      </c>
      <c r="AT184">
        <v>11945.7</v>
      </c>
    </row>
    <row r="185" spans="34:46" x14ac:dyDescent="0.35">
      <c r="AH185" t="s">
        <v>204</v>
      </c>
      <c r="AI185" t="s">
        <v>180</v>
      </c>
      <c r="AJ185" s="3">
        <v>43643</v>
      </c>
      <c r="AK185" t="s">
        <v>41</v>
      </c>
      <c r="AL185" s="1">
        <v>11300</v>
      </c>
      <c r="AM185" s="1">
        <v>640</v>
      </c>
      <c r="AN185" s="1">
        <v>730</v>
      </c>
      <c r="AO185" s="1">
        <v>640</v>
      </c>
      <c r="AP185" s="1">
        <v>637.70000000000005</v>
      </c>
      <c r="AQ185" s="1">
        <v>700.85</v>
      </c>
      <c r="AR185">
        <v>265</v>
      </c>
      <c r="AS185" s="1">
        <v>2382.56</v>
      </c>
      <c r="AT185">
        <v>11945.7</v>
      </c>
    </row>
    <row r="186" spans="34:46" x14ac:dyDescent="0.35">
      <c r="AH186" t="s">
        <v>204</v>
      </c>
      <c r="AI186" t="s">
        <v>180</v>
      </c>
      <c r="AJ186" s="3">
        <v>43671</v>
      </c>
      <c r="AK186" t="s">
        <v>41</v>
      </c>
      <c r="AL186" s="1">
        <v>13000</v>
      </c>
      <c r="AM186" s="1">
        <v>17.8</v>
      </c>
      <c r="AN186" s="1">
        <v>18.600000000000001</v>
      </c>
      <c r="AO186" s="1">
        <v>16.149999999999999</v>
      </c>
      <c r="AP186" s="1">
        <v>17.55</v>
      </c>
      <c r="AQ186" s="1">
        <v>18.45</v>
      </c>
      <c r="AR186">
        <v>243</v>
      </c>
      <c r="AS186" s="1">
        <v>2372.46</v>
      </c>
      <c r="AT186">
        <v>11945.7</v>
      </c>
    </row>
    <row r="187" spans="34:46" x14ac:dyDescent="0.35">
      <c r="AH187" t="s">
        <v>204</v>
      </c>
      <c r="AI187" t="s">
        <v>180</v>
      </c>
      <c r="AJ187" s="3">
        <v>43825</v>
      </c>
      <c r="AK187" t="s">
        <v>42</v>
      </c>
      <c r="AL187" s="1">
        <v>12000</v>
      </c>
      <c r="AM187">
        <v>455.35</v>
      </c>
      <c r="AN187">
        <v>455.35</v>
      </c>
      <c r="AO187">
        <v>411</v>
      </c>
      <c r="AP187">
        <v>466.25</v>
      </c>
      <c r="AQ187">
        <v>423</v>
      </c>
      <c r="AR187">
        <v>252</v>
      </c>
      <c r="AS187" s="1">
        <v>2349.5100000000002</v>
      </c>
      <c r="AT187">
        <v>11945.7</v>
      </c>
    </row>
    <row r="188" spans="34:46" x14ac:dyDescent="0.35">
      <c r="AH188" t="s">
        <v>204</v>
      </c>
      <c r="AI188" t="s">
        <v>180</v>
      </c>
      <c r="AJ188" s="3">
        <v>43622</v>
      </c>
      <c r="AK188" t="s">
        <v>41</v>
      </c>
      <c r="AL188" s="1">
        <v>12350</v>
      </c>
      <c r="AM188" s="1">
        <v>6</v>
      </c>
      <c r="AN188" s="1">
        <v>12.95</v>
      </c>
      <c r="AO188" s="1">
        <v>2.15</v>
      </c>
      <c r="AP188" s="1">
        <v>7</v>
      </c>
      <c r="AQ188" s="1">
        <v>2.7</v>
      </c>
      <c r="AR188">
        <v>247</v>
      </c>
      <c r="AS188" s="1">
        <v>2288.7800000000002</v>
      </c>
      <c r="AT188">
        <v>11945.7</v>
      </c>
    </row>
    <row r="189" spans="34:46" x14ac:dyDescent="0.35">
      <c r="AH189" t="s">
        <v>204</v>
      </c>
      <c r="AI189" t="s">
        <v>180</v>
      </c>
      <c r="AJ189" s="3">
        <v>43622</v>
      </c>
      <c r="AK189" t="s">
        <v>42</v>
      </c>
      <c r="AL189" s="1">
        <v>12200</v>
      </c>
      <c r="AM189" s="1">
        <v>320</v>
      </c>
      <c r="AN189" s="1">
        <v>320</v>
      </c>
      <c r="AO189" s="1">
        <v>240.45</v>
      </c>
      <c r="AP189" s="1">
        <v>338.2</v>
      </c>
      <c r="AQ189" s="1">
        <v>261.05</v>
      </c>
      <c r="AR189">
        <v>235</v>
      </c>
      <c r="AS189" s="1">
        <v>2197.7600000000002</v>
      </c>
      <c r="AT189">
        <v>11945.7</v>
      </c>
    </row>
    <row r="190" spans="34:46" x14ac:dyDescent="0.35">
      <c r="AH190" t="s">
        <v>204</v>
      </c>
      <c r="AI190" t="s">
        <v>180</v>
      </c>
      <c r="AJ190" s="3">
        <v>43825</v>
      </c>
      <c r="AK190" t="s">
        <v>41</v>
      </c>
      <c r="AL190" s="1">
        <v>12500</v>
      </c>
      <c r="AM190" s="1">
        <v>360</v>
      </c>
      <c r="AN190" s="1">
        <v>385</v>
      </c>
      <c r="AO190" s="1">
        <v>350</v>
      </c>
      <c r="AP190" s="1">
        <v>355.65</v>
      </c>
      <c r="AQ190" s="1">
        <v>383.9</v>
      </c>
      <c r="AR190">
        <v>227</v>
      </c>
      <c r="AS190" s="1">
        <v>2189.8200000000002</v>
      </c>
      <c r="AT190">
        <v>11945.7</v>
      </c>
    </row>
    <row r="191" spans="34:46" x14ac:dyDescent="0.35">
      <c r="AH191" t="s">
        <v>204</v>
      </c>
      <c r="AI191" t="s">
        <v>180</v>
      </c>
      <c r="AJ191" s="3">
        <v>43643</v>
      </c>
      <c r="AK191" t="s">
        <v>41</v>
      </c>
      <c r="AL191" s="1">
        <v>12250</v>
      </c>
      <c r="AM191" s="1">
        <v>54.1</v>
      </c>
      <c r="AN191" s="1">
        <v>73</v>
      </c>
      <c r="AO191" s="1">
        <v>51.35</v>
      </c>
      <c r="AP191" s="1">
        <v>56.3</v>
      </c>
      <c r="AQ191" s="1">
        <v>65.900000000000006</v>
      </c>
      <c r="AR191">
        <v>231</v>
      </c>
      <c r="AS191" s="1">
        <v>2133.7399999999998</v>
      </c>
      <c r="AT191">
        <v>11945.7</v>
      </c>
    </row>
    <row r="192" spans="34:46" x14ac:dyDescent="0.35">
      <c r="AH192" t="s">
        <v>204</v>
      </c>
      <c r="AI192" t="s">
        <v>180</v>
      </c>
      <c r="AJ192" s="3">
        <v>43643</v>
      </c>
      <c r="AK192" t="s">
        <v>42</v>
      </c>
      <c r="AL192" s="1">
        <v>10400</v>
      </c>
      <c r="AM192" s="1">
        <v>5.15</v>
      </c>
      <c r="AN192" s="1">
        <v>6.3</v>
      </c>
      <c r="AO192" s="1">
        <v>4</v>
      </c>
      <c r="AP192" s="1">
        <v>5.15</v>
      </c>
      <c r="AQ192" s="1">
        <v>6.3</v>
      </c>
      <c r="AR192">
        <v>263</v>
      </c>
      <c r="AS192" s="1">
        <v>2052.38</v>
      </c>
      <c r="AT192">
        <v>11945.7</v>
      </c>
    </row>
    <row r="193" spans="34:46" x14ac:dyDescent="0.35">
      <c r="AH193" t="s">
        <v>204</v>
      </c>
      <c r="AI193" t="s">
        <v>180</v>
      </c>
      <c r="AJ193" s="3">
        <v>43629</v>
      </c>
      <c r="AK193" t="s">
        <v>41</v>
      </c>
      <c r="AL193" s="1">
        <v>12500</v>
      </c>
      <c r="AM193">
        <v>10.25</v>
      </c>
      <c r="AN193">
        <v>10.25</v>
      </c>
      <c r="AO193">
        <v>4.5999999999999996</v>
      </c>
      <c r="AP193" s="1">
        <v>9.25</v>
      </c>
      <c r="AQ193">
        <v>6.95</v>
      </c>
      <c r="AR193">
        <v>218</v>
      </c>
      <c r="AS193" s="1">
        <v>2044.89</v>
      </c>
      <c r="AT193">
        <v>11945.7</v>
      </c>
    </row>
    <row r="194" spans="34:46" x14ac:dyDescent="0.35">
      <c r="AH194" t="s">
        <v>204</v>
      </c>
      <c r="AI194" t="s">
        <v>180</v>
      </c>
      <c r="AJ194" s="3">
        <v>43615</v>
      </c>
      <c r="AK194" t="s">
        <v>41</v>
      </c>
      <c r="AL194" s="1">
        <v>9900</v>
      </c>
      <c r="AM194" s="1">
        <v>1995.05</v>
      </c>
      <c r="AN194" s="1">
        <v>2059.15</v>
      </c>
      <c r="AO194" s="1">
        <v>1995.05</v>
      </c>
      <c r="AP194" s="1">
        <v>1944.65</v>
      </c>
      <c r="AQ194" s="1">
        <v>2052</v>
      </c>
      <c r="AR194">
        <v>223</v>
      </c>
      <c r="AS194" s="1">
        <v>1995.1</v>
      </c>
      <c r="AT194">
        <v>11945.7</v>
      </c>
    </row>
    <row r="195" spans="34:46" x14ac:dyDescent="0.35">
      <c r="AH195" t="s">
        <v>204</v>
      </c>
      <c r="AI195" t="s">
        <v>180</v>
      </c>
      <c r="AJ195" s="3">
        <v>43615</v>
      </c>
      <c r="AK195" t="s">
        <v>41</v>
      </c>
      <c r="AL195" s="1">
        <v>11650</v>
      </c>
      <c r="AM195" s="1">
        <v>240</v>
      </c>
      <c r="AN195" s="1">
        <v>310.05</v>
      </c>
      <c r="AO195" s="1">
        <v>238</v>
      </c>
      <c r="AP195" s="1">
        <v>211.75</v>
      </c>
      <c r="AQ195" s="1">
        <v>294.95</v>
      </c>
      <c r="AR195">
        <v>222</v>
      </c>
      <c r="AS195" s="1">
        <v>1985.8</v>
      </c>
      <c r="AT195">
        <v>11945.7</v>
      </c>
    </row>
    <row r="196" spans="34:46" x14ac:dyDescent="0.35">
      <c r="AH196" t="s">
        <v>204</v>
      </c>
      <c r="AI196" t="s">
        <v>180</v>
      </c>
      <c r="AJ196" s="3">
        <v>43615</v>
      </c>
      <c r="AK196" t="s">
        <v>41</v>
      </c>
      <c r="AL196" s="1">
        <v>9300</v>
      </c>
      <c r="AM196" s="1">
        <v>2570.3000000000002</v>
      </c>
      <c r="AN196" s="1">
        <v>2666.75</v>
      </c>
      <c r="AO196" s="1">
        <v>2570.3000000000002</v>
      </c>
      <c r="AP196" s="1">
        <v>2559.5500000000002</v>
      </c>
      <c r="AQ196" s="1">
        <v>2649.1</v>
      </c>
      <c r="AR196">
        <v>219</v>
      </c>
      <c r="AS196" s="1">
        <v>1960.09</v>
      </c>
      <c r="AT196">
        <v>11945.7</v>
      </c>
    </row>
    <row r="197" spans="34:46" x14ac:dyDescent="0.35">
      <c r="AH197" t="s">
        <v>204</v>
      </c>
      <c r="AI197" t="s">
        <v>180</v>
      </c>
      <c r="AJ197" s="3">
        <v>43643</v>
      </c>
      <c r="AK197" t="s">
        <v>41</v>
      </c>
      <c r="AL197" s="1">
        <v>11100</v>
      </c>
      <c r="AM197">
        <v>820.85</v>
      </c>
      <c r="AN197">
        <v>903.3</v>
      </c>
      <c r="AO197">
        <v>820.85</v>
      </c>
      <c r="AP197">
        <v>811.35</v>
      </c>
      <c r="AQ197">
        <v>886.8</v>
      </c>
      <c r="AR197">
        <v>214</v>
      </c>
      <c r="AS197" s="1">
        <v>1921.87</v>
      </c>
      <c r="AT197">
        <v>11945.7</v>
      </c>
    </row>
    <row r="198" spans="34:46" x14ac:dyDescent="0.35">
      <c r="AH198" t="s">
        <v>204</v>
      </c>
      <c r="AI198" t="s">
        <v>180</v>
      </c>
      <c r="AJ198" s="3">
        <v>43643</v>
      </c>
      <c r="AK198" t="s">
        <v>41</v>
      </c>
      <c r="AL198" s="1">
        <v>9900</v>
      </c>
      <c r="AM198" s="1">
        <v>2008.85</v>
      </c>
      <c r="AN198" s="1">
        <v>2060</v>
      </c>
      <c r="AO198" s="1">
        <v>2008.85</v>
      </c>
      <c r="AP198" s="1">
        <v>1971</v>
      </c>
      <c r="AQ198" s="1">
        <v>2056.75</v>
      </c>
      <c r="AR198">
        <v>212</v>
      </c>
      <c r="AS198" s="1">
        <v>1899.1</v>
      </c>
      <c r="AT198">
        <v>11945.7</v>
      </c>
    </row>
    <row r="199" spans="34:46" x14ac:dyDescent="0.35">
      <c r="AH199" t="s">
        <v>204</v>
      </c>
      <c r="AI199" t="s">
        <v>180</v>
      </c>
      <c r="AJ199" s="3">
        <v>43825</v>
      </c>
      <c r="AK199" t="s">
        <v>42</v>
      </c>
      <c r="AL199" s="1">
        <v>11000</v>
      </c>
      <c r="AM199">
        <v>181.55</v>
      </c>
      <c r="AN199">
        <v>181.55</v>
      </c>
      <c r="AO199">
        <v>165</v>
      </c>
      <c r="AP199" s="1">
        <v>185.1</v>
      </c>
      <c r="AQ199">
        <v>178</v>
      </c>
      <c r="AR199">
        <v>224</v>
      </c>
      <c r="AS199" s="1">
        <v>1877.72</v>
      </c>
      <c r="AT199">
        <v>11945.7</v>
      </c>
    </row>
    <row r="200" spans="34:46" x14ac:dyDescent="0.35">
      <c r="AH200" t="s">
        <v>204</v>
      </c>
      <c r="AI200" t="s">
        <v>180</v>
      </c>
      <c r="AJ200" s="3">
        <v>43615</v>
      </c>
      <c r="AK200" t="s">
        <v>41</v>
      </c>
      <c r="AL200" s="1">
        <v>11100</v>
      </c>
      <c r="AM200" s="1">
        <v>777.1</v>
      </c>
      <c r="AN200" s="1">
        <v>851.25</v>
      </c>
      <c r="AO200" s="1">
        <v>771.75</v>
      </c>
      <c r="AP200" s="1">
        <v>758.25</v>
      </c>
      <c r="AQ200" s="1">
        <v>840</v>
      </c>
      <c r="AR200">
        <v>207</v>
      </c>
      <c r="AS200" s="1">
        <v>1850.89</v>
      </c>
      <c r="AT200">
        <v>11945.7</v>
      </c>
    </row>
    <row r="201" spans="34:46" x14ac:dyDescent="0.35">
      <c r="AH201" t="s">
        <v>204</v>
      </c>
      <c r="AI201" t="s">
        <v>180</v>
      </c>
      <c r="AJ201" s="3">
        <v>43615</v>
      </c>
      <c r="AK201" t="s">
        <v>41</v>
      </c>
      <c r="AL201" s="1">
        <v>10900</v>
      </c>
      <c r="AM201" s="1">
        <v>960</v>
      </c>
      <c r="AN201" s="1">
        <v>1054</v>
      </c>
      <c r="AO201" s="1">
        <v>960</v>
      </c>
      <c r="AP201" s="1">
        <v>956.7</v>
      </c>
      <c r="AQ201" s="1">
        <v>1046.9000000000001</v>
      </c>
      <c r="AR201">
        <v>207</v>
      </c>
      <c r="AS201" s="1">
        <v>1849.37</v>
      </c>
      <c r="AT201">
        <v>11945.7</v>
      </c>
    </row>
    <row r="202" spans="34:46" x14ac:dyDescent="0.35">
      <c r="AH202" t="s">
        <v>204</v>
      </c>
      <c r="AI202" t="s">
        <v>180</v>
      </c>
      <c r="AJ202" s="3">
        <v>43615</v>
      </c>
      <c r="AK202" t="s">
        <v>42</v>
      </c>
      <c r="AL202" s="1">
        <v>11350</v>
      </c>
      <c r="AM202" s="1">
        <v>0.1</v>
      </c>
      <c r="AN202" s="1">
        <v>0.3</v>
      </c>
      <c r="AO202" s="1">
        <v>0.05</v>
      </c>
      <c r="AP202" s="1">
        <v>0.9</v>
      </c>
      <c r="AQ202" s="1">
        <v>0.1</v>
      </c>
      <c r="AR202">
        <v>206</v>
      </c>
      <c r="AS202" s="1">
        <v>1753.59</v>
      </c>
      <c r="AT202">
        <v>11945.7</v>
      </c>
    </row>
    <row r="203" spans="34:46" x14ac:dyDescent="0.35">
      <c r="AH203" t="s">
        <v>204</v>
      </c>
      <c r="AI203" t="s">
        <v>180</v>
      </c>
      <c r="AJ203" s="3">
        <v>43622</v>
      </c>
      <c r="AK203" t="s">
        <v>42</v>
      </c>
      <c r="AL203" s="1">
        <v>12050</v>
      </c>
      <c r="AM203">
        <v>187</v>
      </c>
      <c r="AN203">
        <v>187</v>
      </c>
      <c r="AO203">
        <v>128.44999999999999</v>
      </c>
      <c r="AP203">
        <v>215.15</v>
      </c>
      <c r="AQ203">
        <v>145.5</v>
      </c>
      <c r="AR203">
        <v>191</v>
      </c>
      <c r="AS203" s="1">
        <v>1746.98</v>
      </c>
      <c r="AT203">
        <v>11945.7</v>
      </c>
    </row>
    <row r="204" spans="34:46" x14ac:dyDescent="0.35">
      <c r="AH204" t="s">
        <v>204</v>
      </c>
      <c r="AI204" t="s">
        <v>180</v>
      </c>
      <c r="AJ204" s="3">
        <v>43615</v>
      </c>
      <c r="AK204" t="s">
        <v>41</v>
      </c>
      <c r="AL204" s="1">
        <v>10700</v>
      </c>
      <c r="AM204" s="1">
        <v>1169</v>
      </c>
      <c r="AN204" s="1">
        <v>1250</v>
      </c>
      <c r="AO204" s="1">
        <v>1165</v>
      </c>
      <c r="AP204" s="1">
        <v>1158.2</v>
      </c>
      <c r="AQ204" s="1">
        <v>1242.8499999999999</v>
      </c>
      <c r="AR204">
        <v>195</v>
      </c>
      <c r="AS204" s="1">
        <v>1742.67</v>
      </c>
      <c r="AT204">
        <v>11945.7</v>
      </c>
    </row>
    <row r="205" spans="34:46" x14ac:dyDescent="0.35">
      <c r="AH205" t="s">
        <v>204</v>
      </c>
      <c r="AI205" t="s">
        <v>180</v>
      </c>
      <c r="AJ205" s="3">
        <v>43643</v>
      </c>
      <c r="AK205" t="s">
        <v>42</v>
      </c>
      <c r="AL205" s="1">
        <v>12300</v>
      </c>
      <c r="AM205" s="1">
        <v>441.8</v>
      </c>
      <c r="AN205" s="1">
        <v>441.8</v>
      </c>
      <c r="AO205" s="1">
        <v>350</v>
      </c>
      <c r="AP205" s="1">
        <v>433.8</v>
      </c>
      <c r="AQ205" s="1">
        <v>364.4</v>
      </c>
      <c r="AR205">
        <v>179</v>
      </c>
      <c r="AS205" s="1">
        <v>1702.86</v>
      </c>
      <c r="AT205">
        <v>11945.7</v>
      </c>
    </row>
    <row r="206" spans="34:46" x14ac:dyDescent="0.35">
      <c r="AH206" t="s">
        <v>204</v>
      </c>
      <c r="AI206" t="s">
        <v>180</v>
      </c>
      <c r="AJ206" s="3">
        <v>43622</v>
      </c>
      <c r="AK206" t="s">
        <v>41</v>
      </c>
      <c r="AL206" s="1">
        <v>12700</v>
      </c>
      <c r="AM206" s="1">
        <v>1.05</v>
      </c>
      <c r="AN206" s="1">
        <v>2.9</v>
      </c>
      <c r="AO206" s="1">
        <v>0.8</v>
      </c>
      <c r="AP206" s="1">
        <v>1.5</v>
      </c>
      <c r="AQ206" s="1">
        <v>1.25</v>
      </c>
      <c r="AR206">
        <v>177</v>
      </c>
      <c r="AS206" s="1">
        <v>1686.08</v>
      </c>
      <c r="AT206">
        <v>11945.7</v>
      </c>
    </row>
    <row r="207" spans="34:46" x14ac:dyDescent="0.35">
      <c r="AH207" t="s">
        <v>204</v>
      </c>
      <c r="AI207" t="s">
        <v>180</v>
      </c>
      <c r="AJ207" s="3">
        <v>43825</v>
      </c>
      <c r="AK207" t="s">
        <v>42</v>
      </c>
      <c r="AL207" s="1">
        <v>10000</v>
      </c>
      <c r="AM207" s="1">
        <v>73.2</v>
      </c>
      <c r="AN207" s="1">
        <v>73.2</v>
      </c>
      <c r="AO207" s="1">
        <v>69.900000000000006</v>
      </c>
      <c r="AP207" s="1">
        <v>74.7</v>
      </c>
      <c r="AQ207" s="1">
        <v>73</v>
      </c>
      <c r="AR207">
        <v>219</v>
      </c>
      <c r="AS207" s="1">
        <v>1654.2</v>
      </c>
      <c r="AT207">
        <v>11945.7</v>
      </c>
    </row>
    <row r="208" spans="34:46" x14ac:dyDescent="0.35">
      <c r="AH208" t="s">
        <v>204</v>
      </c>
      <c r="AI208" t="s">
        <v>180</v>
      </c>
      <c r="AJ208" s="3">
        <v>43622</v>
      </c>
      <c r="AK208" t="s">
        <v>41</v>
      </c>
      <c r="AL208" s="1">
        <v>11600</v>
      </c>
      <c r="AM208">
        <v>295</v>
      </c>
      <c r="AN208">
        <v>377.45</v>
      </c>
      <c r="AO208">
        <v>295</v>
      </c>
      <c r="AP208" s="1">
        <v>287.2</v>
      </c>
      <c r="AQ208">
        <v>348</v>
      </c>
      <c r="AR208">
        <v>177</v>
      </c>
      <c r="AS208" s="1">
        <v>1585.97</v>
      </c>
      <c r="AT208">
        <v>11945.7</v>
      </c>
    </row>
    <row r="209" spans="34:46" x14ac:dyDescent="0.35">
      <c r="AH209" t="s">
        <v>204</v>
      </c>
      <c r="AI209" t="s">
        <v>180</v>
      </c>
      <c r="AJ209" s="3">
        <v>43622</v>
      </c>
      <c r="AK209" t="s">
        <v>41</v>
      </c>
      <c r="AL209" s="1">
        <v>11500</v>
      </c>
      <c r="AM209" s="1">
        <v>379.05</v>
      </c>
      <c r="AN209" s="1">
        <v>467.3</v>
      </c>
      <c r="AO209" s="1">
        <v>379.05</v>
      </c>
      <c r="AP209" s="1">
        <v>370.05</v>
      </c>
      <c r="AQ209" s="1">
        <v>445.45</v>
      </c>
      <c r="AR209">
        <v>175</v>
      </c>
      <c r="AS209" s="1">
        <v>1566.7</v>
      </c>
      <c r="AT209">
        <v>11945.7</v>
      </c>
    </row>
    <row r="210" spans="34:46" x14ac:dyDescent="0.35">
      <c r="AH210" t="s">
        <v>204</v>
      </c>
      <c r="AI210" t="s">
        <v>180</v>
      </c>
      <c r="AJ210" s="3">
        <v>43643</v>
      </c>
      <c r="AK210" t="s">
        <v>42</v>
      </c>
      <c r="AL210" s="1">
        <v>10200</v>
      </c>
      <c r="AM210">
        <v>6</v>
      </c>
      <c r="AN210">
        <v>6</v>
      </c>
      <c r="AO210">
        <v>4</v>
      </c>
      <c r="AP210">
        <v>6.05</v>
      </c>
      <c r="AQ210">
        <v>5.25</v>
      </c>
      <c r="AR210">
        <v>195</v>
      </c>
      <c r="AS210" s="1">
        <v>1492.43</v>
      </c>
      <c r="AT210">
        <v>11945.7</v>
      </c>
    </row>
    <row r="211" spans="34:46" x14ac:dyDescent="0.35">
      <c r="AH211" t="s">
        <v>204</v>
      </c>
      <c r="AI211" t="s">
        <v>180</v>
      </c>
      <c r="AJ211" s="3">
        <v>43615</v>
      </c>
      <c r="AK211" t="s">
        <v>41</v>
      </c>
      <c r="AL211" s="1">
        <v>9800</v>
      </c>
      <c r="AM211" s="1">
        <v>2065.9499999999998</v>
      </c>
      <c r="AN211" s="1">
        <v>2150</v>
      </c>
      <c r="AO211" s="1">
        <v>2061.9499999999998</v>
      </c>
      <c r="AP211" s="1">
        <v>2059.1</v>
      </c>
      <c r="AQ211" s="1">
        <v>2139.1</v>
      </c>
      <c r="AR211">
        <v>161</v>
      </c>
      <c r="AS211" s="1">
        <v>1437.44</v>
      </c>
      <c r="AT211">
        <v>11945.7</v>
      </c>
    </row>
    <row r="212" spans="34:46" x14ac:dyDescent="0.35">
      <c r="AH212" t="s">
        <v>204</v>
      </c>
      <c r="AI212" t="s">
        <v>180</v>
      </c>
      <c r="AJ212" s="3">
        <v>43643</v>
      </c>
      <c r="AK212" t="s">
        <v>41</v>
      </c>
      <c r="AL212" s="1">
        <v>10900</v>
      </c>
      <c r="AM212" s="1">
        <v>1014.25</v>
      </c>
      <c r="AN212" s="1">
        <v>1087.75</v>
      </c>
      <c r="AO212" s="1">
        <v>1014.25</v>
      </c>
      <c r="AP212" s="1">
        <v>1003.4</v>
      </c>
      <c r="AQ212" s="1">
        <v>1076</v>
      </c>
      <c r="AR212">
        <v>151</v>
      </c>
      <c r="AS212" s="1">
        <v>1353.23</v>
      </c>
      <c r="AT212">
        <v>11945.7</v>
      </c>
    </row>
    <row r="213" spans="34:46" x14ac:dyDescent="0.35">
      <c r="AH213" t="s">
        <v>204</v>
      </c>
      <c r="AI213" t="s">
        <v>180</v>
      </c>
      <c r="AJ213" s="3">
        <v>43615</v>
      </c>
      <c r="AK213" t="s">
        <v>42</v>
      </c>
      <c r="AL213" s="1">
        <v>10750</v>
      </c>
      <c r="AM213">
        <v>0.05</v>
      </c>
      <c r="AN213">
        <v>0.25</v>
      </c>
      <c r="AO213">
        <v>0.05</v>
      </c>
      <c r="AP213">
        <v>1.05</v>
      </c>
      <c r="AQ213">
        <v>0.05</v>
      </c>
      <c r="AR213">
        <v>163</v>
      </c>
      <c r="AS213" s="1">
        <v>1314.2</v>
      </c>
      <c r="AT213">
        <v>11945.7</v>
      </c>
    </row>
    <row r="214" spans="34:46" x14ac:dyDescent="0.35">
      <c r="AH214" t="s">
        <v>204</v>
      </c>
      <c r="AI214" t="s">
        <v>180</v>
      </c>
      <c r="AJ214" s="3">
        <v>43643</v>
      </c>
      <c r="AK214" t="s">
        <v>42</v>
      </c>
      <c r="AL214" s="1">
        <v>9800</v>
      </c>
      <c r="AM214">
        <v>2</v>
      </c>
      <c r="AN214">
        <v>2.5499999999999998</v>
      </c>
      <c r="AO214">
        <v>2</v>
      </c>
      <c r="AP214">
        <v>2.4500000000000002</v>
      </c>
      <c r="AQ214">
        <v>2.35</v>
      </c>
      <c r="AR214">
        <v>174</v>
      </c>
      <c r="AS214" s="1">
        <v>1279.19</v>
      </c>
      <c r="AT214">
        <v>11945.7</v>
      </c>
    </row>
    <row r="215" spans="34:46" x14ac:dyDescent="0.35">
      <c r="AH215" t="s">
        <v>204</v>
      </c>
      <c r="AI215" t="s">
        <v>180</v>
      </c>
      <c r="AJ215" s="3">
        <v>43615</v>
      </c>
      <c r="AK215" t="s">
        <v>41</v>
      </c>
      <c r="AL215" s="1">
        <v>12350</v>
      </c>
      <c r="AM215">
        <v>0.1</v>
      </c>
      <c r="AN215">
        <v>0.15</v>
      </c>
      <c r="AO215">
        <v>0.05</v>
      </c>
      <c r="AP215">
        <v>0.55000000000000004</v>
      </c>
      <c r="AQ215">
        <v>0.05</v>
      </c>
      <c r="AR215">
        <v>138</v>
      </c>
      <c r="AS215" s="1">
        <v>1278.23</v>
      </c>
      <c r="AT215">
        <v>11945.7</v>
      </c>
    </row>
    <row r="216" spans="34:46" x14ac:dyDescent="0.35">
      <c r="AH216" t="s">
        <v>204</v>
      </c>
      <c r="AI216" t="s">
        <v>180</v>
      </c>
      <c r="AJ216" s="3">
        <v>43615</v>
      </c>
      <c r="AK216" t="s">
        <v>41</v>
      </c>
      <c r="AL216" s="1">
        <v>13250</v>
      </c>
      <c r="AM216" s="1">
        <v>0.05</v>
      </c>
      <c r="AN216" s="1">
        <v>0.05</v>
      </c>
      <c r="AO216" s="1">
        <v>0.05</v>
      </c>
      <c r="AP216" s="1">
        <v>0.65</v>
      </c>
      <c r="AQ216" s="1">
        <v>0.05</v>
      </c>
      <c r="AR216">
        <v>128</v>
      </c>
      <c r="AS216" s="1">
        <v>1272</v>
      </c>
      <c r="AT216">
        <v>11945.7</v>
      </c>
    </row>
    <row r="217" spans="34:46" x14ac:dyDescent="0.35">
      <c r="AH217" t="s">
        <v>204</v>
      </c>
      <c r="AI217" t="s">
        <v>180</v>
      </c>
      <c r="AJ217" s="3">
        <v>43615</v>
      </c>
      <c r="AK217" t="s">
        <v>41</v>
      </c>
      <c r="AL217" s="1">
        <v>10400</v>
      </c>
      <c r="AM217" s="1">
        <v>1475.25</v>
      </c>
      <c r="AN217" s="1">
        <v>1552</v>
      </c>
      <c r="AO217" s="1">
        <v>1462</v>
      </c>
      <c r="AP217" s="1">
        <v>1465.35</v>
      </c>
      <c r="AQ217" s="1">
        <v>1539</v>
      </c>
      <c r="AR217">
        <v>141</v>
      </c>
      <c r="AS217" s="1">
        <v>1260.47</v>
      </c>
      <c r="AT217">
        <v>11945.7</v>
      </c>
    </row>
    <row r="218" spans="34:46" x14ac:dyDescent="0.35">
      <c r="AH218" t="s">
        <v>204</v>
      </c>
      <c r="AI218" t="s">
        <v>180</v>
      </c>
      <c r="AJ218" s="3">
        <v>43643</v>
      </c>
      <c r="AK218" t="s">
        <v>42</v>
      </c>
      <c r="AL218" s="1">
        <v>11750</v>
      </c>
      <c r="AM218" s="1">
        <v>134</v>
      </c>
      <c r="AN218" s="1">
        <v>134</v>
      </c>
      <c r="AO218" s="1">
        <v>94.85</v>
      </c>
      <c r="AP218" s="1">
        <v>137.15</v>
      </c>
      <c r="AQ218" s="1">
        <v>100.6</v>
      </c>
      <c r="AR218">
        <v>141</v>
      </c>
      <c r="AS218" s="1">
        <v>1253.5999999999999</v>
      </c>
      <c r="AT218">
        <v>11945.7</v>
      </c>
    </row>
    <row r="219" spans="34:46" x14ac:dyDescent="0.35">
      <c r="AH219" t="s">
        <v>204</v>
      </c>
      <c r="AI219" t="s">
        <v>180</v>
      </c>
      <c r="AJ219" s="3">
        <v>43825</v>
      </c>
      <c r="AK219" t="s">
        <v>41</v>
      </c>
      <c r="AL219" s="1">
        <v>13000</v>
      </c>
      <c r="AM219">
        <v>175</v>
      </c>
      <c r="AN219">
        <v>190</v>
      </c>
      <c r="AO219">
        <v>170</v>
      </c>
      <c r="AP219" s="1">
        <v>172.65</v>
      </c>
      <c r="AQ219">
        <v>180</v>
      </c>
      <c r="AR219">
        <v>123</v>
      </c>
      <c r="AS219" s="1">
        <v>1215.9000000000001</v>
      </c>
      <c r="AT219">
        <v>11945.7</v>
      </c>
    </row>
    <row r="220" spans="34:46" x14ac:dyDescent="0.35">
      <c r="AH220" t="s">
        <v>204</v>
      </c>
      <c r="AI220" t="s">
        <v>180</v>
      </c>
      <c r="AJ220" s="3">
        <v>43615</v>
      </c>
      <c r="AK220" t="s">
        <v>41</v>
      </c>
      <c r="AL220" s="1">
        <v>11350</v>
      </c>
      <c r="AM220">
        <v>541.1</v>
      </c>
      <c r="AN220">
        <v>608.45000000000005</v>
      </c>
      <c r="AO220">
        <v>539.6</v>
      </c>
      <c r="AP220">
        <v>507.45</v>
      </c>
      <c r="AQ220">
        <v>590</v>
      </c>
      <c r="AR220">
        <v>133</v>
      </c>
      <c r="AS220" s="1">
        <v>1188.3900000000001</v>
      </c>
      <c r="AT220">
        <v>11945.7</v>
      </c>
    </row>
    <row r="221" spans="34:46" x14ac:dyDescent="0.35">
      <c r="AH221" t="s">
        <v>204</v>
      </c>
      <c r="AI221" t="s">
        <v>180</v>
      </c>
      <c r="AJ221" s="3">
        <v>43615</v>
      </c>
      <c r="AK221" t="s">
        <v>42</v>
      </c>
      <c r="AL221" s="1">
        <v>10850</v>
      </c>
      <c r="AM221">
        <v>0.3</v>
      </c>
      <c r="AN221">
        <v>0.3</v>
      </c>
      <c r="AO221">
        <v>0.05</v>
      </c>
      <c r="AP221">
        <v>0.5</v>
      </c>
      <c r="AQ221">
        <v>0.05</v>
      </c>
      <c r="AR221">
        <v>143</v>
      </c>
      <c r="AS221" s="1">
        <v>1163.67</v>
      </c>
      <c r="AT221">
        <v>11945.7</v>
      </c>
    </row>
    <row r="222" spans="34:46" x14ac:dyDescent="0.35">
      <c r="AH222" t="s">
        <v>204</v>
      </c>
      <c r="AI222" t="s">
        <v>180</v>
      </c>
      <c r="AJ222" s="3">
        <v>43615</v>
      </c>
      <c r="AK222" t="s">
        <v>41</v>
      </c>
      <c r="AL222" s="1">
        <v>10600</v>
      </c>
      <c r="AM222" s="1">
        <v>1263.8499999999999</v>
      </c>
      <c r="AN222" s="1">
        <v>1352.6</v>
      </c>
      <c r="AO222" s="1">
        <v>1263.8499999999999</v>
      </c>
      <c r="AP222" s="1">
        <v>1255.45</v>
      </c>
      <c r="AQ222" s="1">
        <v>1338.8</v>
      </c>
      <c r="AR222">
        <v>130</v>
      </c>
      <c r="AS222" s="1">
        <v>1161.95</v>
      </c>
      <c r="AT222">
        <v>11945.7</v>
      </c>
    </row>
    <row r="223" spans="34:46" x14ac:dyDescent="0.35">
      <c r="AH223" t="s">
        <v>204</v>
      </c>
      <c r="AI223" t="s">
        <v>180</v>
      </c>
      <c r="AJ223" s="3">
        <v>43643</v>
      </c>
      <c r="AK223" t="s">
        <v>42</v>
      </c>
      <c r="AL223" s="1">
        <v>12400</v>
      </c>
      <c r="AM223" s="1">
        <v>533.1</v>
      </c>
      <c r="AN223" s="1">
        <v>533.1</v>
      </c>
      <c r="AO223" s="1">
        <v>429</v>
      </c>
      <c r="AP223" s="1">
        <v>521.85</v>
      </c>
      <c r="AQ223" s="1">
        <v>448</v>
      </c>
      <c r="AR223">
        <v>113</v>
      </c>
      <c r="AS223" s="1">
        <v>1089.24</v>
      </c>
      <c r="AT223">
        <v>11945.7</v>
      </c>
    </row>
    <row r="224" spans="34:46" x14ac:dyDescent="0.35">
      <c r="AH224" t="s">
        <v>204</v>
      </c>
      <c r="AI224" t="s">
        <v>180</v>
      </c>
      <c r="AJ224" s="3">
        <v>43643</v>
      </c>
      <c r="AK224" t="s">
        <v>41</v>
      </c>
      <c r="AL224" s="1">
        <v>12050</v>
      </c>
      <c r="AM224" s="1">
        <v>123</v>
      </c>
      <c r="AN224" s="1">
        <v>156.15</v>
      </c>
      <c r="AO224" s="1">
        <v>116.8</v>
      </c>
      <c r="AP224">
        <v>119.1</v>
      </c>
      <c r="AQ224" s="1">
        <v>147</v>
      </c>
      <c r="AR224">
        <v>118</v>
      </c>
      <c r="AS224" s="1">
        <v>1078.97</v>
      </c>
      <c r="AT224">
        <v>11945.7</v>
      </c>
    </row>
    <row r="225" spans="34:46" x14ac:dyDescent="0.35">
      <c r="AH225" t="s">
        <v>204</v>
      </c>
      <c r="AI225" t="s">
        <v>180</v>
      </c>
      <c r="AJ225" s="3">
        <v>44560</v>
      </c>
      <c r="AK225" t="s">
        <v>42</v>
      </c>
      <c r="AL225" s="1">
        <v>12800</v>
      </c>
      <c r="AM225" s="1">
        <v>934.7</v>
      </c>
      <c r="AN225" s="1">
        <v>934.7</v>
      </c>
      <c r="AO225" s="1">
        <v>934.7</v>
      </c>
      <c r="AP225" s="1">
        <v>660.1</v>
      </c>
      <c r="AQ225" s="1">
        <v>934.7</v>
      </c>
      <c r="AR225">
        <v>104</v>
      </c>
      <c r="AS225" s="1">
        <v>1071.31</v>
      </c>
      <c r="AT225">
        <v>11945.7</v>
      </c>
    </row>
    <row r="226" spans="34:46" x14ac:dyDescent="0.35">
      <c r="AH226" t="s">
        <v>204</v>
      </c>
      <c r="AI226" t="s">
        <v>180</v>
      </c>
      <c r="AJ226" s="3">
        <v>43615</v>
      </c>
      <c r="AK226" t="s">
        <v>42</v>
      </c>
      <c r="AL226" s="1">
        <v>9800</v>
      </c>
      <c r="AM226" s="1">
        <v>0.15</v>
      </c>
      <c r="AN226" s="1">
        <v>2</v>
      </c>
      <c r="AO226" s="1">
        <v>0.05</v>
      </c>
      <c r="AP226" s="1">
        <v>0.2</v>
      </c>
      <c r="AQ226" s="1">
        <v>0.1</v>
      </c>
      <c r="AR226">
        <v>142</v>
      </c>
      <c r="AS226" s="1">
        <v>1043.71</v>
      </c>
      <c r="AT226">
        <v>11945.7</v>
      </c>
    </row>
    <row r="227" spans="34:46" x14ac:dyDescent="0.35">
      <c r="AH227" t="s">
        <v>204</v>
      </c>
      <c r="AI227" t="s">
        <v>180</v>
      </c>
      <c r="AJ227" s="3">
        <v>43643</v>
      </c>
      <c r="AK227" t="s">
        <v>42</v>
      </c>
      <c r="AL227" s="1">
        <v>9000</v>
      </c>
      <c r="AM227" s="1">
        <v>2.1</v>
      </c>
      <c r="AN227" s="1">
        <v>2.6</v>
      </c>
      <c r="AO227" s="1">
        <v>1.95</v>
      </c>
      <c r="AP227" s="1">
        <v>2.15</v>
      </c>
      <c r="AQ227" s="1">
        <v>2.5499999999999998</v>
      </c>
      <c r="AR227">
        <v>154</v>
      </c>
      <c r="AS227" s="1">
        <v>1039.77</v>
      </c>
      <c r="AT227">
        <v>11945.7</v>
      </c>
    </row>
    <row r="228" spans="34:46" x14ac:dyDescent="0.35">
      <c r="AH228" t="s">
        <v>204</v>
      </c>
      <c r="AI228" t="s">
        <v>180</v>
      </c>
      <c r="AJ228" s="3">
        <v>43643</v>
      </c>
      <c r="AK228" t="s">
        <v>42</v>
      </c>
      <c r="AL228" s="1">
        <v>9900</v>
      </c>
      <c r="AM228">
        <v>2.4</v>
      </c>
      <c r="AN228">
        <v>3</v>
      </c>
      <c r="AO228">
        <v>1.75</v>
      </c>
      <c r="AP228">
        <v>2.85</v>
      </c>
      <c r="AQ228">
        <v>2.95</v>
      </c>
      <c r="AR228">
        <v>139</v>
      </c>
      <c r="AS228" s="1">
        <v>1032.32</v>
      </c>
      <c r="AT228">
        <v>11945.7</v>
      </c>
    </row>
    <row r="229" spans="34:46" x14ac:dyDescent="0.35">
      <c r="AH229" t="s">
        <v>204</v>
      </c>
      <c r="AI229" t="s">
        <v>180</v>
      </c>
      <c r="AJ229" s="3">
        <v>43622</v>
      </c>
      <c r="AK229" t="s">
        <v>42</v>
      </c>
      <c r="AL229" s="1">
        <v>12500</v>
      </c>
      <c r="AM229" s="1">
        <v>691</v>
      </c>
      <c r="AN229" s="1">
        <v>691</v>
      </c>
      <c r="AO229" s="1">
        <v>530</v>
      </c>
      <c r="AP229" s="1">
        <v>784.85</v>
      </c>
      <c r="AQ229" s="1">
        <v>545</v>
      </c>
      <c r="AR229">
        <v>105</v>
      </c>
      <c r="AS229" s="1">
        <v>1027.93</v>
      </c>
      <c r="AT229">
        <v>11945.7</v>
      </c>
    </row>
    <row r="230" spans="34:46" x14ac:dyDescent="0.35">
      <c r="AH230" t="s">
        <v>204</v>
      </c>
      <c r="AI230" t="s">
        <v>180</v>
      </c>
      <c r="AJ230" s="3">
        <v>43643</v>
      </c>
      <c r="AK230" t="s">
        <v>41</v>
      </c>
      <c r="AL230" s="1">
        <v>11850</v>
      </c>
      <c r="AM230" s="1">
        <v>217.4</v>
      </c>
      <c r="AN230" s="1">
        <v>271.14999999999998</v>
      </c>
      <c r="AO230" s="1">
        <v>217.4</v>
      </c>
      <c r="AP230" s="1">
        <v>217.95</v>
      </c>
      <c r="AQ230" s="1">
        <v>259</v>
      </c>
      <c r="AR230">
        <v>109</v>
      </c>
      <c r="AS230">
        <v>988.54</v>
      </c>
      <c r="AT230">
        <v>11945.7</v>
      </c>
    </row>
    <row r="231" spans="34:46" x14ac:dyDescent="0.35">
      <c r="AH231" t="s">
        <v>204</v>
      </c>
      <c r="AI231" t="s">
        <v>180</v>
      </c>
      <c r="AJ231" s="3">
        <v>43629</v>
      </c>
      <c r="AK231" t="s">
        <v>42</v>
      </c>
      <c r="AL231" s="1">
        <v>11600</v>
      </c>
      <c r="AM231" s="1">
        <v>34.799999999999997</v>
      </c>
      <c r="AN231" s="1">
        <v>34.799999999999997</v>
      </c>
      <c r="AO231" s="1">
        <v>22</v>
      </c>
      <c r="AP231" s="1">
        <v>44.25</v>
      </c>
      <c r="AQ231" s="1">
        <v>28</v>
      </c>
      <c r="AR231">
        <v>112</v>
      </c>
      <c r="AS231">
        <v>976.65</v>
      </c>
      <c r="AT231">
        <v>11945.7</v>
      </c>
    </row>
    <row r="232" spans="34:46" x14ac:dyDescent="0.35">
      <c r="AH232" t="s">
        <v>204</v>
      </c>
      <c r="AI232" t="s">
        <v>180</v>
      </c>
      <c r="AJ232" s="3">
        <v>43622</v>
      </c>
      <c r="AK232" t="s">
        <v>41</v>
      </c>
      <c r="AL232" s="1">
        <v>11000</v>
      </c>
      <c r="AM232">
        <v>903.85</v>
      </c>
      <c r="AN232">
        <v>946.9</v>
      </c>
      <c r="AO232">
        <v>891.95</v>
      </c>
      <c r="AP232" s="1">
        <v>862.5</v>
      </c>
      <c r="AQ232">
        <v>940</v>
      </c>
      <c r="AR232">
        <v>108</v>
      </c>
      <c r="AS232">
        <v>965.77</v>
      </c>
      <c r="AT232">
        <v>11945.7</v>
      </c>
    </row>
    <row r="233" spans="34:46" x14ac:dyDescent="0.35">
      <c r="AH233" t="s">
        <v>204</v>
      </c>
      <c r="AI233" t="s">
        <v>180</v>
      </c>
      <c r="AJ233" s="3">
        <v>43643</v>
      </c>
      <c r="AK233" t="s">
        <v>41</v>
      </c>
      <c r="AL233" s="1">
        <v>10400</v>
      </c>
      <c r="AM233" s="1">
        <v>1492.1</v>
      </c>
      <c r="AN233" s="1">
        <v>1577.3</v>
      </c>
      <c r="AO233" s="1">
        <v>1492.1</v>
      </c>
      <c r="AP233" s="1">
        <v>1459.4</v>
      </c>
      <c r="AQ233" s="1">
        <v>1555</v>
      </c>
      <c r="AR233">
        <v>107</v>
      </c>
      <c r="AS233">
        <v>958.15</v>
      </c>
      <c r="AT233">
        <v>11945.7</v>
      </c>
    </row>
    <row r="234" spans="34:46" x14ac:dyDescent="0.35">
      <c r="AH234" t="s">
        <v>204</v>
      </c>
      <c r="AI234" t="s">
        <v>180</v>
      </c>
      <c r="AJ234" s="3">
        <v>43615</v>
      </c>
      <c r="AK234" t="s">
        <v>42</v>
      </c>
      <c r="AL234" s="1">
        <v>11250</v>
      </c>
      <c r="AM234" s="1">
        <v>0.7</v>
      </c>
      <c r="AN234" s="1">
        <v>0.7</v>
      </c>
      <c r="AO234" s="1">
        <v>0.05</v>
      </c>
      <c r="AP234" s="1">
        <v>1</v>
      </c>
      <c r="AQ234" s="1">
        <v>0.1</v>
      </c>
      <c r="AR234">
        <v>113</v>
      </c>
      <c r="AS234">
        <v>953.45</v>
      </c>
      <c r="AT234">
        <v>11945.7</v>
      </c>
    </row>
    <row r="235" spans="34:46" x14ac:dyDescent="0.35">
      <c r="AH235" t="s">
        <v>204</v>
      </c>
      <c r="AI235" t="s">
        <v>180</v>
      </c>
      <c r="AJ235" s="3">
        <v>43643</v>
      </c>
      <c r="AK235" t="s">
        <v>41</v>
      </c>
      <c r="AL235" s="1">
        <v>10700</v>
      </c>
      <c r="AM235" s="1">
        <v>1196.6500000000001</v>
      </c>
      <c r="AN235" s="1">
        <v>1285</v>
      </c>
      <c r="AO235" s="1">
        <v>1196.6500000000001</v>
      </c>
      <c r="AP235" s="1">
        <v>1190.5</v>
      </c>
      <c r="AQ235" s="1">
        <v>1268.05</v>
      </c>
      <c r="AR235">
        <v>102</v>
      </c>
      <c r="AS235">
        <v>913.9</v>
      </c>
      <c r="AT235">
        <v>11945.7</v>
      </c>
    </row>
    <row r="236" spans="34:46" x14ac:dyDescent="0.35">
      <c r="AH236" t="s">
        <v>204</v>
      </c>
      <c r="AI236" t="s">
        <v>180</v>
      </c>
      <c r="AJ236" s="3">
        <v>43643</v>
      </c>
      <c r="AK236" t="s">
        <v>41</v>
      </c>
      <c r="AL236" s="1">
        <v>10800</v>
      </c>
      <c r="AM236" s="1">
        <v>1110</v>
      </c>
      <c r="AN236" s="1">
        <v>1190</v>
      </c>
      <c r="AO236" s="1">
        <v>1110</v>
      </c>
      <c r="AP236" s="1">
        <v>1091.5</v>
      </c>
      <c r="AQ236" s="1">
        <v>1174</v>
      </c>
      <c r="AR236">
        <v>101</v>
      </c>
      <c r="AS236">
        <v>905.34</v>
      </c>
      <c r="AT236">
        <v>11945.7</v>
      </c>
    </row>
    <row r="237" spans="34:46" x14ac:dyDescent="0.35">
      <c r="AH237" t="s">
        <v>204</v>
      </c>
      <c r="AI237" t="s">
        <v>180</v>
      </c>
      <c r="AJ237" s="3">
        <v>44560</v>
      </c>
      <c r="AK237" t="s">
        <v>42</v>
      </c>
      <c r="AL237" s="1">
        <v>10800</v>
      </c>
      <c r="AM237" s="1">
        <v>471.7</v>
      </c>
      <c r="AN237" s="1">
        <v>471.7</v>
      </c>
      <c r="AO237" s="1">
        <v>471.7</v>
      </c>
      <c r="AP237" s="1">
        <v>330</v>
      </c>
      <c r="AQ237" s="1">
        <v>471.7</v>
      </c>
      <c r="AR237">
        <v>104</v>
      </c>
      <c r="AS237">
        <v>879.19</v>
      </c>
      <c r="AT237">
        <v>11945.7</v>
      </c>
    </row>
    <row r="238" spans="34:46" x14ac:dyDescent="0.35">
      <c r="AH238" t="s">
        <v>204</v>
      </c>
      <c r="AI238" t="s">
        <v>180</v>
      </c>
      <c r="AJ238" s="3">
        <v>43643</v>
      </c>
      <c r="AK238" t="s">
        <v>41</v>
      </c>
      <c r="AL238" s="1">
        <v>10600</v>
      </c>
      <c r="AM238" s="1">
        <v>1293</v>
      </c>
      <c r="AN238" s="1">
        <v>1383</v>
      </c>
      <c r="AO238" s="1">
        <v>1293</v>
      </c>
      <c r="AP238" s="1">
        <v>1282.45</v>
      </c>
      <c r="AQ238" s="1">
        <v>1365.95</v>
      </c>
      <c r="AR238">
        <v>98</v>
      </c>
      <c r="AS238">
        <v>877.82</v>
      </c>
      <c r="AT238">
        <v>11945.7</v>
      </c>
    </row>
    <row r="239" spans="34:46" x14ac:dyDescent="0.35">
      <c r="AH239" t="s">
        <v>204</v>
      </c>
      <c r="AI239" t="s">
        <v>180</v>
      </c>
      <c r="AJ239" s="3">
        <v>43629</v>
      </c>
      <c r="AK239" t="s">
        <v>41</v>
      </c>
      <c r="AL239" s="1">
        <v>11850</v>
      </c>
      <c r="AM239" s="1">
        <v>145.15</v>
      </c>
      <c r="AN239" s="1">
        <v>196.4</v>
      </c>
      <c r="AO239" s="1">
        <v>143.85</v>
      </c>
      <c r="AP239" s="1">
        <v>151</v>
      </c>
      <c r="AQ239" s="1">
        <v>182.85</v>
      </c>
      <c r="AR239">
        <v>92</v>
      </c>
      <c r="AS239">
        <v>829.53</v>
      </c>
      <c r="AT239">
        <v>11945.7</v>
      </c>
    </row>
    <row r="240" spans="34:46" x14ac:dyDescent="0.35">
      <c r="AH240" t="s">
        <v>204</v>
      </c>
      <c r="AI240" t="s">
        <v>180</v>
      </c>
      <c r="AJ240" s="3">
        <v>43629</v>
      </c>
      <c r="AK240" t="s">
        <v>41</v>
      </c>
      <c r="AL240" s="1">
        <v>12600</v>
      </c>
      <c r="AM240" s="1">
        <v>5.95</v>
      </c>
      <c r="AN240" s="1">
        <v>6.55</v>
      </c>
      <c r="AO240" s="1">
        <v>3</v>
      </c>
      <c r="AP240" s="1">
        <v>6.45</v>
      </c>
      <c r="AQ240" s="1">
        <v>3</v>
      </c>
      <c r="AR240">
        <v>85</v>
      </c>
      <c r="AS240">
        <v>803.59</v>
      </c>
      <c r="AT240">
        <v>11945.7</v>
      </c>
    </row>
    <row r="241" spans="34:46" x14ac:dyDescent="0.35">
      <c r="AH241" t="s">
        <v>204</v>
      </c>
      <c r="AI241" t="s">
        <v>180</v>
      </c>
      <c r="AJ241" s="3">
        <v>43629</v>
      </c>
      <c r="AK241" t="s">
        <v>42</v>
      </c>
      <c r="AL241" s="1">
        <v>12000</v>
      </c>
      <c r="AM241">
        <v>184.55</v>
      </c>
      <c r="AN241">
        <v>187.95</v>
      </c>
      <c r="AO241">
        <v>136</v>
      </c>
      <c r="AP241" s="1">
        <v>196.7</v>
      </c>
      <c r="AQ241">
        <v>148.35</v>
      </c>
      <c r="AR241">
        <v>87</v>
      </c>
      <c r="AS241">
        <v>792.59</v>
      </c>
      <c r="AT241">
        <v>11945.7</v>
      </c>
    </row>
    <row r="242" spans="34:46" x14ac:dyDescent="0.35">
      <c r="AH242" t="s">
        <v>204</v>
      </c>
      <c r="AI242" t="s">
        <v>180</v>
      </c>
      <c r="AJ242" s="3">
        <v>43622</v>
      </c>
      <c r="AK242" t="s">
        <v>41</v>
      </c>
      <c r="AL242" s="1">
        <v>12450</v>
      </c>
      <c r="AM242" s="1">
        <v>2.2999999999999998</v>
      </c>
      <c r="AN242" s="1">
        <v>7.9</v>
      </c>
      <c r="AO242" s="1">
        <v>2.25</v>
      </c>
      <c r="AP242" s="1">
        <v>5</v>
      </c>
      <c r="AQ242" s="1">
        <v>2.5</v>
      </c>
      <c r="AR242">
        <v>82</v>
      </c>
      <c r="AS242">
        <v>765.85</v>
      </c>
      <c r="AT242">
        <v>11945.7</v>
      </c>
    </row>
    <row r="243" spans="34:46" x14ac:dyDescent="0.35">
      <c r="AH243" t="s">
        <v>204</v>
      </c>
      <c r="AI243" t="s">
        <v>180</v>
      </c>
      <c r="AJ243" s="3">
        <v>43615</v>
      </c>
      <c r="AK243" t="s">
        <v>42</v>
      </c>
      <c r="AL243" s="1">
        <v>9600</v>
      </c>
      <c r="AM243" s="1">
        <v>0.05</v>
      </c>
      <c r="AN243" s="1">
        <v>0.1</v>
      </c>
      <c r="AO243" s="1">
        <v>0.05</v>
      </c>
      <c r="AP243" s="1">
        <v>0.05</v>
      </c>
      <c r="AQ243" s="1">
        <v>0.05</v>
      </c>
      <c r="AR243">
        <v>106</v>
      </c>
      <c r="AS243">
        <v>763.21</v>
      </c>
      <c r="AT243">
        <v>11945.7</v>
      </c>
    </row>
    <row r="244" spans="34:46" x14ac:dyDescent="0.35">
      <c r="AH244" t="s">
        <v>204</v>
      </c>
      <c r="AI244" t="s">
        <v>180</v>
      </c>
      <c r="AJ244" s="3">
        <v>43643</v>
      </c>
      <c r="AK244" t="s">
        <v>41</v>
      </c>
      <c r="AL244" s="1">
        <v>9800</v>
      </c>
      <c r="AM244" s="1">
        <v>2107.0500000000002</v>
      </c>
      <c r="AN244" s="1">
        <v>2165</v>
      </c>
      <c r="AO244" s="1">
        <v>2104</v>
      </c>
      <c r="AP244" s="1">
        <v>2074.85</v>
      </c>
      <c r="AQ244" s="1">
        <v>2134</v>
      </c>
      <c r="AR244">
        <v>84</v>
      </c>
      <c r="AS244">
        <v>750.49</v>
      </c>
      <c r="AT244">
        <v>11945.7</v>
      </c>
    </row>
    <row r="245" spans="34:46" x14ac:dyDescent="0.35">
      <c r="AH245" t="s">
        <v>204</v>
      </c>
      <c r="AI245" t="s">
        <v>180</v>
      </c>
      <c r="AJ245" s="3">
        <v>43615</v>
      </c>
      <c r="AK245" t="s">
        <v>42</v>
      </c>
      <c r="AL245" s="1">
        <v>9300</v>
      </c>
      <c r="AM245" s="1">
        <v>0.1</v>
      </c>
      <c r="AN245" s="1">
        <v>0.1</v>
      </c>
      <c r="AO245" s="1">
        <v>0.05</v>
      </c>
      <c r="AP245" s="1">
        <v>0.2</v>
      </c>
      <c r="AQ245" s="1">
        <v>0.1</v>
      </c>
      <c r="AR245">
        <v>103</v>
      </c>
      <c r="AS245">
        <v>718.43</v>
      </c>
      <c r="AT245">
        <v>11945.7</v>
      </c>
    </row>
    <row r="246" spans="34:46" x14ac:dyDescent="0.35">
      <c r="AH246" t="s">
        <v>204</v>
      </c>
      <c r="AI246" t="s">
        <v>180</v>
      </c>
      <c r="AJ246" s="3">
        <v>43643</v>
      </c>
      <c r="AK246" t="s">
        <v>41</v>
      </c>
      <c r="AL246" s="1">
        <v>9600</v>
      </c>
      <c r="AM246" s="1">
        <v>2296.6</v>
      </c>
      <c r="AN246" s="1">
        <v>2370</v>
      </c>
      <c r="AO246" s="1">
        <v>2296.6</v>
      </c>
      <c r="AP246" s="1">
        <v>2292</v>
      </c>
      <c r="AQ246" s="1">
        <v>2350</v>
      </c>
      <c r="AR246">
        <v>80</v>
      </c>
      <c r="AS246">
        <v>715.45</v>
      </c>
      <c r="AT246">
        <v>11945.7</v>
      </c>
    </row>
    <row r="247" spans="34:46" x14ac:dyDescent="0.35">
      <c r="AH247" t="s">
        <v>204</v>
      </c>
      <c r="AI247" t="s">
        <v>180</v>
      </c>
      <c r="AJ247" s="3">
        <v>43622</v>
      </c>
      <c r="AK247" t="s">
        <v>41</v>
      </c>
      <c r="AL247" s="1">
        <v>11750</v>
      </c>
      <c r="AM247">
        <v>166.8</v>
      </c>
      <c r="AN247">
        <v>233.5</v>
      </c>
      <c r="AO247">
        <v>162.44999999999999</v>
      </c>
      <c r="AP247">
        <v>166.75</v>
      </c>
      <c r="AQ247">
        <v>217.3</v>
      </c>
      <c r="AR247">
        <v>79</v>
      </c>
      <c r="AS247">
        <v>707.99</v>
      </c>
      <c r="AT247">
        <v>11945.7</v>
      </c>
    </row>
    <row r="248" spans="34:46" x14ac:dyDescent="0.35">
      <c r="AH248" t="s">
        <v>204</v>
      </c>
      <c r="AI248" t="s">
        <v>180</v>
      </c>
      <c r="AJ248" s="3">
        <v>43615</v>
      </c>
      <c r="AK248" t="s">
        <v>41</v>
      </c>
      <c r="AL248" s="1">
        <v>10300</v>
      </c>
      <c r="AM248" s="1">
        <v>1603.15</v>
      </c>
      <c r="AN248" s="1">
        <v>1663.9</v>
      </c>
      <c r="AO248" s="1">
        <v>1600</v>
      </c>
      <c r="AP248" s="1">
        <v>1558.4</v>
      </c>
      <c r="AQ248" s="1">
        <v>1640</v>
      </c>
      <c r="AR248">
        <v>79</v>
      </c>
      <c r="AS248">
        <v>707.36</v>
      </c>
      <c r="AT248">
        <v>11945.7</v>
      </c>
    </row>
    <row r="249" spans="34:46" x14ac:dyDescent="0.35">
      <c r="AH249" t="s">
        <v>204</v>
      </c>
      <c r="AI249" t="s">
        <v>180</v>
      </c>
      <c r="AJ249" s="3">
        <v>43615</v>
      </c>
      <c r="AK249" t="s">
        <v>41</v>
      </c>
      <c r="AL249" s="1">
        <v>12450</v>
      </c>
      <c r="AM249">
        <v>0.15</v>
      </c>
      <c r="AN249">
        <v>0.15</v>
      </c>
      <c r="AO249">
        <v>0.05</v>
      </c>
      <c r="AP249">
        <v>0.7</v>
      </c>
      <c r="AQ249">
        <v>0.05</v>
      </c>
      <c r="AR249">
        <v>75</v>
      </c>
      <c r="AS249">
        <v>700.32</v>
      </c>
      <c r="AT249">
        <v>11945.7</v>
      </c>
    </row>
    <row r="250" spans="34:46" x14ac:dyDescent="0.35">
      <c r="AH250" t="s">
        <v>204</v>
      </c>
      <c r="AI250" t="s">
        <v>180</v>
      </c>
      <c r="AJ250" s="3">
        <v>43671</v>
      </c>
      <c r="AK250" t="s">
        <v>41</v>
      </c>
      <c r="AL250" s="1">
        <v>12400</v>
      </c>
      <c r="AM250" s="1">
        <v>85</v>
      </c>
      <c r="AN250" s="1">
        <v>101.2</v>
      </c>
      <c r="AO250" s="1">
        <v>85</v>
      </c>
      <c r="AP250" s="1">
        <v>85</v>
      </c>
      <c r="AQ250" s="1">
        <v>99.9</v>
      </c>
      <c r="AR250">
        <v>74</v>
      </c>
      <c r="AS250">
        <v>693.58</v>
      </c>
      <c r="AT250">
        <v>11945.7</v>
      </c>
    </row>
    <row r="251" spans="34:46" x14ac:dyDescent="0.35">
      <c r="AH251" t="s">
        <v>204</v>
      </c>
      <c r="AI251" t="s">
        <v>180</v>
      </c>
      <c r="AJ251" s="3">
        <v>43643</v>
      </c>
      <c r="AK251" t="s">
        <v>42</v>
      </c>
      <c r="AL251" s="1">
        <v>11550</v>
      </c>
      <c r="AM251" s="1">
        <v>79.45</v>
      </c>
      <c r="AN251" s="1">
        <v>79.45</v>
      </c>
      <c r="AO251" s="1">
        <v>60</v>
      </c>
      <c r="AP251" s="1">
        <v>85.5</v>
      </c>
      <c r="AQ251" s="1">
        <v>63</v>
      </c>
      <c r="AR251">
        <v>77</v>
      </c>
      <c r="AS251">
        <v>670.7</v>
      </c>
      <c r="AT251">
        <v>11945.7</v>
      </c>
    </row>
    <row r="252" spans="34:46" x14ac:dyDescent="0.35">
      <c r="AH252" t="s">
        <v>204</v>
      </c>
      <c r="AI252" t="s">
        <v>180</v>
      </c>
      <c r="AJ252" s="3">
        <v>43671</v>
      </c>
      <c r="AK252" t="s">
        <v>42</v>
      </c>
      <c r="AL252" s="1">
        <v>11800</v>
      </c>
      <c r="AM252" s="1">
        <v>214.65</v>
      </c>
      <c r="AN252" s="1">
        <v>214.65</v>
      </c>
      <c r="AO252" s="1">
        <v>174.75</v>
      </c>
      <c r="AP252" s="1">
        <v>215.25</v>
      </c>
      <c r="AQ252" s="1">
        <v>181</v>
      </c>
      <c r="AR252">
        <v>73</v>
      </c>
      <c r="AS252">
        <v>656.17</v>
      </c>
      <c r="AT252">
        <v>11945.7</v>
      </c>
    </row>
    <row r="253" spans="34:46" x14ac:dyDescent="0.35">
      <c r="AH253" t="s">
        <v>204</v>
      </c>
      <c r="AI253" t="s">
        <v>180</v>
      </c>
      <c r="AJ253" s="3">
        <v>43643</v>
      </c>
      <c r="AK253" t="s">
        <v>42</v>
      </c>
      <c r="AL253" s="1">
        <v>9600</v>
      </c>
      <c r="AM253" s="1">
        <v>1.6</v>
      </c>
      <c r="AN253" s="1">
        <v>2.5</v>
      </c>
      <c r="AO253" s="1">
        <v>1.6</v>
      </c>
      <c r="AP253">
        <v>1.8</v>
      </c>
      <c r="AQ253" s="1">
        <v>1.95</v>
      </c>
      <c r="AR253">
        <v>91</v>
      </c>
      <c r="AS253">
        <v>655.34</v>
      </c>
      <c r="AT253">
        <v>11945.7</v>
      </c>
    </row>
    <row r="254" spans="34:46" x14ac:dyDescent="0.35">
      <c r="AH254" t="s">
        <v>204</v>
      </c>
      <c r="AI254" t="s">
        <v>180</v>
      </c>
      <c r="AJ254" s="3">
        <v>43622</v>
      </c>
      <c r="AK254" t="s">
        <v>41</v>
      </c>
      <c r="AL254" s="1">
        <v>11400</v>
      </c>
      <c r="AM254" s="1">
        <v>500.05</v>
      </c>
      <c r="AN254" s="1">
        <v>560</v>
      </c>
      <c r="AO254" s="1">
        <v>500.05</v>
      </c>
      <c r="AP254" s="1">
        <v>463.6</v>
      </c>
      <c r="AQ254" s="1">
        <v>555</v>
      </c>
      <c r="AR254">
        <v>67</v>
      </c>
      <c r="AS254">
        <v>599.85</v>
      </c>
      <c r="AT254">
        <v>11945.7</v>
      </c>
    </row>
    <row r="255" spans="34:46" x14ac:dyDescent="0.35">
      <c r="AH255" t="s">
        <v>204</v>
      </c>
      <c r="AI255" t="s">
        <v>180</v>
      </c>
      <c r="AJ255" s="3">
        <v>43825</v>
      </c>
      <c r="AK255" t="s">
        <v>42</v>
      </c>
      <c r="AL255" s="1">
        <v>11500</v>
      </c>
      <c r="AM255" s="1">
        <v>295</v>
      </c>
      <c r="AN255" s="1">
        <v>295</v>
      </c>
      <c r="AO255" s="1">
        <v>272</v>
      </c>
      <c r="AP255" s="1">
        <v>311.5</v>
      </c>
      <c r="AQ255" s="1">
        <v>284.3</v>
      </c>
      <c r="AR255">
        <v>67</v>
      </c>
      <c r="AS255">
        <v>592.01</v>
      </c>
      <c r="AT255">
        <v>11945.7</v>
      </c>
    </row>
    <row r="256" spans="34:46" x14ac:dyDescent="0.35">
      <c r="AH256" t="s">
        <v>204</v>
      </c>
      <c r="AI256" t="s">
        <v>180</v>
      </c>
      <c r="AJ256" s="3">
        <v>43671</v>
      </c>
      <c r="AK256" t="s">
        <v>42</v>
      </c>
      <c r="AL256" s="1">
        <v>11900</v>
      </c>
      <c r="AM256" s="1">
        <v>243</v>
      </c>
      <c r="AN256" s="1">
        <v>243</v>
      </c>
      <c r="AO256" s="1">
        <v>208.5</v>
      </c>
      <c r="AP256" s="1">
        <v>256.14999999999998</v>
      </c>
      <c r="AQ256" s="1">
        <v>217</v>
      </c>
      <c r="AR256">
        <v>65</v>
      </c>
      <c r="AS256">
        <v>590.91</v>
      </c>
      <c r="AT256">
        <v>11945.7</v>
      </c>
    </row>
    <row r="257" spans="34:46" x14ac:dyDescent="0.35">
      <c r="AH257" t="s">
        <v>204</v>
      </c>
      <c r="AI257" t="s">
        <v>180</v>
      </c>
      <c r="AJ257" s="3">
        <v>43629</v>
      </c>
      <c r="AK257" t="s">
        <v>42</v>
      </c>
      <c r="AL257" s="1">
        <v>11300</v>
      </c>
      <c r="AM257">
        <v>16</v>
      </c>
      <c r="AN257">
        <v>16</v>
      </c>
      <c r="AO257">
        <v>2.2999999999999998</v>
      </c>
      <c r="AP257" s="1">
        <v>15.7</v>
      </c>
      <c r="AQ257">
        <v>10.4</v>
      </c>
      <c r="AR257">
        <v>69</v>
      </c>
      <c r="AS257">
        <v>585.34</v>
      </c>
      <c r="AT257">
        <v>11945.7</v>
      </c>
    </row>
    <row r="258" spans="34:46" x14ac:dyDescent="0.35">
      <c r="AH258" t="s">
        <v>204</v>
      </c>
      <c r="AI258" t="s">
        <v>180</v>
      </c>
      <c r="AJ258" s="3">
        <v>43671</v>
      </c>
      <c r="AK258" t="s">
        <v>42</v>
      </c>
      <c r="AL258" s="1">
        <v>10800</v>
      </c>
      <c r="AM258" s="1">
        <v>29.5</v>
      </c>
      <c r="AN258" s="1">
        <v>30.3</v>
      </c>
      <c r="AO258" s="1">
        <v>27</v>
      </c>
      <c r="AP258" s="1">
        <v>34.35</v>
      </c>
      <c r="AQ258" s="1">
        <v>28.5</v>
      </c>
      <c r="AR258">
        <v>67</v>
      </c>
      <c r="AS258">
        <v>544.16</v>
      </c>
      <c r="AT258">
        <v>11945.7</v>
      </c>
    </row>
    <row r="259" spans="34:46" x14ac:dyDescent="0.35">
      <c r="AH259" t="s">
        <v>204</v>
      </c>
      <c r="AI259" t="s">
        <v>180</v>
      </c>
      <c r="AJ259" s="3">
        <v>43622</v>
      </c>
      <c r="AK259" t="s">
        <v>42</v>
      </c>
      <c r="AL259" s="1">
        <v>10850</v>
      </c>
      <c r="AM259" s="1">
        <v>0.3</v>
      </c>
      <c r="AN259" s="1">
        <v>4.5</v>
      </c>
      <c r="AO259" s="1">
        <v>0.3</v>
      </c>
      <c r="AP259" s="1">
        <v>2.5</v>
      </c>
      <c r="AQ259" s="1">
        <v>2.5</v>
      </c>
      <c r="AR259">
        <v>66</v>
      </c>
      <c r="AS259">
        <v>537.20000000000005</v>
      </c>
      <c r="AT259">
        <v>11945.7</v>
      </c>
    </row>
    <row r="260" spans="34:46" x14ac:dyDescent="0.35">
      <c r="AH260" t="s">
        <v>204</v>
      </c>
      <c r="AI260" t="s">
        <v>180</v>
      </c>
      <c r="AJ260" s="3">
        <v>43615</v>
      </c>
      <c r="AK260" t="s">
        <v>42</v>
      </c>
      <c r="AL260" s="1">
        <v>12400</v>
      </c>
      <c r="AM260">
        <v>514.25</v>
      </c>
      <c r="AN260">
        <v>514.25</v>
      </c>
      <c r="AO260">
        <v>426.2</v>
      </c>
      <c r="AP260" s="1">
        <v>527</v>
      </c>
      <c r="AQ260">
        <v>445.7</v>
      </c>
      <c r="AR260">
        <v>55</v>
      </c>
      <c r="AS260">
        <v>530.17999999999995</v>
      </c>
      <c r="AT260">
        <v>11945.7</v>
      </c>
    </row>
    <row r="261" spans="34:46" x14ac:dyDescent="0.35">
      <c r="AH261" t="s">
        <v>204</v>
      </c>
      <c r="AI261" t="s">
        <v>180</v>
      </c>
      <c r="AJ261" s="3">
        <v>43629</v>
      </c>
      <c r="AK261" t="s">
        <v>42</v>
      </c>
      <c r="AL261" s="1">
        <v>11100</v>
      </c>
      <c r="AM261" s="1">
        <v>8.4499999999999993</v>
      </c>
      <c r="AN261" s="1">
        <v>9.5500000000000007</v>
      </c>
      <c r="AO261" s="1">
        <v>6.4</v>
      </c>
      <c r="AP261" s="1">
        <v>9.85</v>
      </c>
      <c r="AQ261" s="1">
        <v>7.25</v>
      </c>
      <c r="AR261">
        <v>61</v>
      </c>
      <c r="AS261">
        <v>508.19</v>
      </c>
      <c r="AT261">
        <v>11945.7</v>
      </c>
    </row>
    <row r="262" spans="34:46" x14ac:dyDescent="0.35">
      <c r="AH262" t="s">
        <v>204</v>
      </c>
      <c r="AI262" t="s">
        <v>180</v>
      </c>
      <c r="AJ262" s="3">
        <v>43825</v>
      </c>
      <c r="AK262" t="s">
        <v>41</v>
      </c>
      <c r="AL262" s="1">
        <v>13500</v>
      </c>
      <c r="AM262" s="1">
        <v>71</v>
      </c>
      <c r="AN262" s="1">
        <v>78.900000000000006</v>
      </c>
      <c r="AO262" s="1">
        <v>71</v>
      </c>
      <c r="AP262" s="1">
        <v>71.25</v>
      </c>
      <c r="AQ262" s="1">
        <v>76</v>
      </c>
      <c r="AR262">
        <v>49</v>
      </c>
      <c r="AS262">
        <v>498.88</v>
      </c>
      <c r="AT262">
        <v>11945.7</v>
      </c>
    </row>
    <row r="263" spans="34:46" x14ac:dyDescent="0.35">
      <c r="AH263" t="s">
        <v>204</v>
      </c>
      <c r="AI263" t="s">
        <v>180</v>
      </c>
      <c r="AJ263" s="3">
        <v>43671</v>
      </c>
      <c r="AK263" t="s">
        <v>41</v>
      </c>
      <c r="AL263" s="1">
        <v>11900</v>
      </c>
      <c r="AM263" s="1">
        <v>289.10000000000002</v>
      </c>
      <c r="AN263" s="1">
        <v>334</v>
      </c>
      <c r="AO263" s="1">
        <v>286.7</v>
      </c>
      <c r="AP263" s="1">
        <v>285</v>
      </c>
      <c r="AQ263" s="1">
        <v>323.45</v>
      </c>
      <c r="AR263">
        <v>54</v>
      </c>
      <c r="AS263">
        <v>494.79</v>
      </c>
      <c r="AT263">
        <v>11945.7</v>
      </c>
    </row>
    <row r="264" spans="34:46" x14ac:dyDescent="0.35">
      <c r="AH264" t="s">
        <v>204</v>
      </c>
      <c r="AI264" t="s">
        <v>180</v>
      </c>
      <c r="AJ264" s="3">
        <v>43615</v>
      </c>
      <c r="AK264" t="s">
        <v>42</v>
      </c>
      <c r="AL264" s="1">
        <v>9900</v>
      </c>
      <c r="AM264" s="1">
        <v>0.05</v>
      </c>
      <c r="AN264" s="1">
        <v>0.1</v>
      </c>
      <c r="AO264" s="1">
        <v>0.05</v>
      </c>
      <c r="AP264" s="1">
        <v>0.15</v>
      </c>
      <c r="AQ264" s="1">
        <v>0.05</v>
      </c>
      <c r="AR264">
        <v>65</v>
      </c>
      <c r="AS264">
        <v>482.63</v>
      </c>
      <c r="AT264">
        <v>11945.7</v>
      </c>
    </row>
    <row r="265" spans="34:46" x14ac:dyDescent="0.35">
      <c r="AH265" t="s">
        <v>204</v>
      </c>
      <c r="AI265" t="s">
        <v>180</v>
      </c>
      <c r="AJ265" s="3">
        <v>43615</v>
      </c>
      <c r="AK265" t="s">
        <v>42</v>
      </c>
      <c r="AL265" s="1">
        <v>13200</v>
      </c>
      <c r="AM265" s="1">
        <v>1247.2</v>
      </c>
      <c r="AN265" s="1">
        <v>1257.95</v>
      </c>
      <c r="AO265" s="1">
        <v>1233.95</v>
      </c>
      <c r="AP265" s="1">
        <v>1276.5999999999999</v>
      </c>
      <c r="AQ265" s="1">
        <v>1254.8</v>
      </c>
      <c r="AR265">
        <v>44</v>
      </c>
      <c r="AS265">
        <v>476.73</v>
      </c>
      <c r="AT265">
        <v>11945.7</v>
      </c>
    </row>
    <row r="266" spans="34:46" x14ac:dyDescent="0.35">
      <c r="AH266" t="s">
        <v>204</v>
      </c>
      <c r="AI266" t="s">
        <v>180</v>
      </c>
      <c r="AJ266" s="3">
        <v>43643</v>
      </c>
      <c r="AK266" t="s">
        <v>42</v>
      </c>
      <c r="AL266" s="1">
        <v>13100</v>
      </c>
      <c r="AM266" s="1">
        <v>1097</v>
      </c>
      <c r="AN266" s="1">
        <v>1130</v>
      </c>
      <c r="AO266" s="1">
        <v>1091.3499999999999</v>
      </c>
      <c r="AP266" s="1">
        <v>1190</v>
      </c>
      <c r="AQ266" s="1">
        <v>1130</v>
      </c>
      <c r="AR266">
        <v>44</v>
      </c>
      <c r="AS266">
        <v>468.6</v>
      </c>
      <c r="AT266">
        <v>11945.7</v>
      </c>
    </row>
    <row r="267" spans="34:46" x14ac:dyDescent="0.35">
      <c r="AH267" t="s">
        <v>204</v>
      </c>
      <c r="AI267" t="s">
        <v>180</v>
      </c>
      <c r="AJ267" s="3">
        <v>43643</v>
      </c>
      <c r="AK267" t="s">
        <v>41</v>
      </c>
      <c r="AL267" s="1">
        <v>12150</v>
      </c>
      <c r="AM267" s="1">
        <v>80</v>
      </c>
      <c r="AN267" s="1">
        <v>108.05</v>
      </c>
      <c r="AO267" s="1">
        <v>80</v>
      </c>
      <c r="AP267" s="1">
        <v>81</v>
      </c>
      <c r="AQ267" s="1">
        <v>104</v>
      </c>
      <c r="AR267">
        <v>51</v>
      </c>
      <c r="AS267">
        <v>468.57</v>
      </c>
      <c r="AT267">
        <v>11945.7</v>
      </c>
    </row>
    <row r="268" spans="34:46" x14ac:dyDescent="0.35">
      <c r="AH268" t="s">
        <v>204</v>
      </c>
      <c r="AI268" t="s">
        <v>180</v>
      </c>
      <c r="AJ268" s="3">
        <v>43825</v>
      </c>
      <c r="AK268" t="s">
        <v>42</v>
      </c>
      <c r="AL268" s="1">
        <v>9500</v>
      </c>
      <c r="AM268" s="1">
        <v>40</v>
      </c>
      <c r="AN268" s="1">
        <v>42</v>
      </c>
      <c r="AO268" s="1">
        <v>40</v>
      </c>
      <c r="AP268" s="1">
        <v>45</v>
      </c>
      <c r="AQ268" s="1">
        <v>40.25</v>
      </c>
      <c r="AR268">
        <v>64</v>
      </c>
      <c r="AS268">
        <v>457.92</v>
      </c>
      <c r="AT268">
        <v>11945.7</v>
      </c>
    </row>
    <row r="269" spans="34:46" x14ac:dyDescent="0.35">
      <c r="AH269" t="s">
        <v>204</v>
      </c>
      <c r="AI269" t="s">
        <v>180</v>
      </c>
      <c r="AJ269" s="3">
        <v>43671</v>
      </c>
      <c r="AK269" t="s">
        <v>41</v>
      </c>
      <c r="AL269" s="1">
        <v>12300</v>
      </c>
      <c r="AM269" s="1">
        <v>114.95</v>
      </c>
      <c r="AN269" s="1">
        <v>132</v>
      </c>
      <c r="AO269" s="1">
        <v>113.5</v>
      </c>
      <c r="AP269" s="1">
        <v>107.3</v>
      </c>
      <c r="AQ269" s="1">
        <v>128.9</v>
      </c>
      <c r="AR269">
        <v>49</v>
      </c>
      <c r="AS269">
        <v>456.54</v>
      </c>
      <c r="AT269">
        <v>11945.7</v>
      </c>
    </row>
    <row r="270" spans="34:46" x14ac:dyDescent="0.35">
      <c r="AH270" t="s">
        <v>204</v>
      </c>
      <c r="AI270" t="s">
        <v>180</v>
      </c>
      <c r="AJ270" s="3">
        <v>43615</v>
      </c>
      <c r="AK270" t="s">
        <v>42</v>
      </c>
      <c r="AL270" s="1">
        <v>12300</v>
      </c>
      <c r="AM270" s="1">
        <v>395.1</v>
      </c>
      <c r="AN270" s="1">
        <v>395.1</v>
      </c>
      <c r="AO270" s="1">
        <v>340</v>
      </c>
      <c r="AP270" s="1">
        <v>425</v>
      </c>
      <c r="AQ270" s="1">
        <v>352</v>
      </c>
      <c r="AR270">
        <v>48</v>
      </c>
      <c r="AS270">
        <v>456.13</v>
      </c>
      <c r="AT270">
        <v>11945.7</v>
      </c>
    </row>
    <row r="271" spans="34:46" x14ac:dyDescent="0.35">
      <c r="AH271" t="s">
        <v>204</v>
      </c>
      <c r="AI271" t="s">
        <v>180</v>
      </c>
      <c r="AJ271" s="3">
        <v>43615</v>
      </c>
      <c r="AK271" t="s">
        <v>42</v>
      </c>
      <c r="AL271" s="1">
        <v>11150</v>
      </c>
      <c r="AM271" s="1">
        <v>0.1</v>
      </c>
      <c r="AN271" s="1">
        <v>0.1</v>
      </c>
      <c r="AO271" s="1">
        <v>0.05</v>
      </c>
      <c r="AP271" s="1">
        <v>1.25</v>
      </c>
      <c r="AQ271" s="1">
        <v>0.05</v>
      </c>
      <c r="AR271">
        <v>54</v>
      </c>
      <c r="AS271">
        <v>451.58</v>
      </c>
      <c r="AT271">
        <v>11945.7</v>
      </c>
    </row>
    <row r="272" spans="34:46" x14ac:dyDescent="0.35">
      <c r="AH272" t="s">
        <v>204</v>
      </c>
      <c r="AI272" t="s">
        <v>180</v>
      </c>
      <c r="AJ272" s="3">
        <v>43615</v>
      </c>
      <c r="AK272" t="s">
        <v>42</v>
      </c>
      <c r="AL272" s="1">
        <v>13300</v>
      </c>
      <c r="AM272" s="1">
        <v>1395.4</v>
      </c>
      <c r="AN272" s="1">
        <v>1395.4</v>
      </c>
      <c r="AO272" s="1">
        <v>1334.3</v>
      </c>
      <c r="AP272" s="1">
        <v>1426.4</v>
      </c>
      <c r="AQ272" s="1">
        <v>1355</v>
      </c>
      <c r="AR272">
        <v>41</v>
      </c>
      <c r="AS272">
        <v>450.4</v>
      </c>
      <c r="AT272">
        <v>11945.7</v>
      </c>
    </row>
    <row r="273" spans="34:46" x14ac:dyDescent="0.35">
      <c r="AH273" t="s">
        <v>204</v>
      </c>
      <c r="AI273" t="s">
        <v>180</v>
      </c>
      <c r="AJ273" s="3">
        <v>43643</v>
      </c>
      <c r="AK273" t="s">
        <v>41</v>
      </c>
      <c r="AL273" s="1">
        <v>13100</v>
      </c>
      <c r="AM273">
        <v>2.5499999999999998</v>
      </c>
      <c r="AN273">
        <v>3.05</v>
      </c>
      <c r="AO273">
        <v>1.8</v>
      </c>
      <c r="AP273">
        <v>5</v>
      </c>
      <c r="AQ273">
        <v>2.1</v>
      </c>
      <c r="AR273">
        <v>45</v>
      </c>
      <c r="AS273">
        <v>442.21</v>
      </c>
      <c r="AT273">
        <v>11945.7</v>
      </c>
    </row>
    <row r="274" spans="34:46" x14ac:dyDescent="0.35">
      <c r="AH274" t="s">
        <v>204</v>
      </c>
      <c r="AI274" t="s">
        <v>180</v>
      </c>
      <c r="AJ274" s="3">
        <v>43671</v>
      </c>
      <c r="AK274" t="s">
        <v>41</v>
      </c>
      <c r="AL274" s="1">
        <v>11800</v>
      </c>
      <c r="AM274">
        <v>351</v>
      </c>
      <c r="AN274">
        <v>403.65</v>
      </c>
      <c r="AO274">
        <v>351</v>
      </c>
      <c r="AP274">
        <v>359.85</v>
      </c>
      <c r="AQ274">
        <v>390</v>
      </c>
      <c r="AR274">
        <v>48</v>
      </c>
      <c r="AS274">
        <v>438.82</v>
      </c>
      <c r="AT274">
        <v>11945.7</v>
      </c>
    </row>
    <row r="275" spans="34:46" x14ac:dyDescent="0.35">
      <c r="AH275" t="s">
        <v>204</v>
      </c>
      <c r="AI275" t="s">
        <v>180</v>
      </c>
      <c r="AJ275" s="3">
        <v>43671</v>
      </c>
      <c r="AK275" t="s">
        <v>41</v>
      </c>
      <c r="AL275" s="1">
        <v>12100</v>
      </c>
      <c r="AM275" s="1">
        <v>181.3</v>
      </c>
      <c r="AN275" s="1">
        <v>221.4</v>
      </c>
      <c r="AO275" s="1">
        <v>181.3</v>
      </c>
      <c r="AP275" s="1">
        <v>186.1</v>
      </c>
      <c r="AQ275" s="1">
        <v>207.35</v>
      </c>
      <c r="AR275">
        <v>47</v>
      </c>
      <c r="AS275">
        <v>433.9</v>
      </c>
      <c r="AT275">
        <v>11945.7</v>
      </c>
    </row>
    <row r="276" spans="34:46" x14ac:dyDescent="0.35">
      <c r="AH276" t="s">
        <v>204</v>
      </c>
      <c r="AI276" t="s">
        <v>180</v>
      </c>
      <c r="AJ276" s="3">
        <v>43643</v>
      </c>
      <c r="AK276" t="s">
        <v>41</v>
      </c>
      <c r="AL276" s="1">
        <v>9000</v>
      </c>
      <c r="AM276" s="1">
        <v>2901.05</v>
      </c>
      <c r="AN276" s="1">
        <v>2990</v>
      </c>
      <c r="AO276" s="1">
        <v>2900.6</v>
      </c>
      <c r="AP276" s="1">
        <v>2894.4</v>
      </c>
      <c r="AQ276" s="1">
        <v>2973.25</v>
      </c>
      <c r="AR276">
        <v>48</v>
      </c>
      <c r="AS276">
        <v>429.71</v>
      </c>
      <c r="AT276">
        <v>11945.7</v>
      </c>
    </row>
    <row r="277" spans="34:46" x14ac:dyDescent="0.35">
      <c r="AH277" t="s">
        <v>204</v>
      </c>
      <c r="AI277" t="s">
        <v>180</v>
      </c>
      <c r="AJ277" s="3">
        <v>43615</v>
      </c>
      <c r="AK277" t="s">
        <v>41</v>
      </c>
      <c r="AL277" s="1">
        <v>11550</v>
      </c>
      <c r="AM277" s="1">
        <v>317.8</v>
      </c>
      <c r="AN277" s="1">
        <v>410</v>
      </c>
      <c r="AO277" s="1">
        <v>317.8</v>
      </c>
      <c r="AP277" s="1">
        <v>310.14999999999998</v>
      </c>
      <c r="AQ277" s="1">
        <v>389.95</v>
      </c>
      <c r="AR277">
        <v>48</v>
      </c>
      <c r="AS277">
        <v>429.05</v>
      </c>
      <c r="AT277">
        <v>11945.7</v>
      </c>
    </row>
    <row r="278" spans="34:46" x14ac:dyDescent="0.35">
      <c r="AH278" t="s">
        <v>204</v>
      </c>
      <c r="AI278" t="s">
        <v>180</v>
      </c>
      <c r="AJ278" s="3">
        <v>43643</v>
      </c>
      <c r="AK278" t="s">
        <v>42</v>
      </c>
      <c r="AL278" s="1">
        <v>11650</v>
      </c>
      <c r="AM278" s="1">
        <v>103.6</v>
      </c>
      <c r="AN278" s="1">
        <v>103.6</v>
      </c>
      <c r="AO278" s="1">
        <v>78.8</v>
      </c>
      <c r="AP278" s="1">
        <v>114</v>
      </c>
      <c r="AQ278" s="1">
        <v>83.35</v>
      </c>
      <c r="AR278">
        <v>48</v>
      </c>
      <c r="AS278">
        <v>422.43</v>
      </c>
      <c r="AT278">
        <v>11945.7</v>
      </c>
    </row>
    <row r="279" spans="34:46" x14ac:dyDescent="0.35">
      <c r="AH279" t="s">
        <v>204</v>
      </c>
      <c r="AI279" t="s">
        <v>180</v>
      </c>
      <c r="AJ279" s="3">
        <v>43671</v>
      </c>
      <c r="AK279" t="s">
        <v>41</v>
      </c>
      <c r="AL279" s="1">
        <v>12200</v>
      </c>
      <c r="AM279" s="1">
        <v>156.15</v>
      </c>
      <c r="AN279" s="1">
        <v>175.65</v>
      </c>
      <c r="AO279" s="1">
        <v>156.15</v>
      </c>
      <c r="AP279" s="1">
        <v>142.30000000000001</v>
      </c>
      <c r="AQ279" s="1">
        <v>170.8</v>
      </c>
      <c r="AR279">
        <v>45</v>
      </c>
      <c r="AS279">
        <v>417.41</v>
      </c>
      <c r="AT279">
        <v>11945.7</v>
      </c>
    </row>
    <row r="280" spans="34:46" x14ac:dyDescent="0.35">
      <c r="AH280" t="s">
        <v>204</v>
      </c>
      <c r="AI280" t="s">
        <v>180</v>
      </c>
      <c r="AJ280" s="3">
        <v>43671</v>
      </c>
      <c r="AK280" t="s">
        <v>42</v>
      </c>
      <c r="AL280" s="1">
        <v>12200</v>
      </c>
      <c r="AM280">
        <v>351</v>
      </c>
      <c r="AN280">
        <v>371.6</v>
      </c>
      <c r="AO280">
        <v>346</v>
      </c>
      <c r="AP280">
        <v>420.7</v>
      </c>
      <c r="AQ280">
        <v>359</v>
      </c>
      <c r="AR280">
        <v>44</v>
      </c>
      <c r="AS280">
        <v>414.4</v>
      </c>
      <c r="AT280">
        <v>11945.7</v>
      </c>
    </row>
    <row r="281" spans="34:46" x14ac:dyDescent="0.35">
      <c r="AH281" t="s">
        <v>204</v>
      </c>
      <c r="AI281" t="s">
        <v>180</v>
      </c>
      <c r="AJ281" s="3">
        <v>43671</v>
      </c>
      <c r="AK281" t="s">
        <v>41</v>
      </c>
      <c r="AL281" s="1">
        <v>12600</v>
      </c>
      <c r="AM281" s="1">
        <v>40.85</v>
      </c>
      <c r="AN281" s="1">
        <v>55</v>
      </c>
      <c r="AO281" s="1">
        <v>40.85</v>
      </c>
      <c r="AP281" s="1">
        <v>48</v>
      </c>
      <c r="AQ281" s="1">
        <v>50</v>
      </c>
      <c r="AR281">
        <v>43</v>
      </c>
      <c r="AS281">
        <v>407.89</v>
      </c>
      <c r="AT281">
        <v>11945.7</v>
      </c>
    </row>
    <row r="282" spans="34:46" x14ac:dyDescent="0.35">
      <c r="AH282" t="s">
        <v>204</v>
      </c>
      <c r="AI282" t="s">
        <v>180</v>
      </c>
      <c r="AJ282" s="3">
        <v>43825</v>
      </c>
      <c r="AK282" t="s">
        <v>42</v>
      </c>
      <c r="AL282" s="1">
        <v>10500</v>
      </c>
      <c r="AM282" s="1">
        <v>111</v>
      </c>
      <c r="AN282" s="1">
        <v>116.9</v>
      </c>
      <c r="AO282" s="1">
        <v>106.35</v>
      </c>
      <c r="AP282" s="1">
        <v>119.9</v>
      </c>
      <c r="AQ282" s="1">
        <v>115</v>
      </c>
      <c r="AR282">
        <v>50</v>
      </c>
      <c r="AS282">
        <v>397.99</v>
      </c>
      <c r="AT282">
        <v>11945.7</v>
      </c>
    </row>
    <row r="283" spans="34:46" x14ac:dyDescent="0.35">
      <c r="AH283" t="s">
        <v>204</v>
      </c>
      <c r="AI283" t="s">
        <v>180</v>
      </c>
      <c r="AJ283" s="3">
        <v>43629</v>
      </c>
      <c r="AK283" t="s">
        <v>42</v>
      </c>
      <c r="AL283" s="1">
        <v>11000</v>
      </c>
      <c r="AM283">
        <v>8.5</v>
      </c>
      <c r="AN283">
        <v>8.5</v>
      </c>
      <c r="AO283">
        <v>3.85</v>
      </c>
      <c r="AP283">
        <v>8.5</v>
      </c>
      <c r="AQ283">
        <v>5.65</v>
      </c>
      <c r="AR283">
        <v>47</v>
      </c>
      <c r="AS283">
        <v>387.95</v>
      </c>
      <c r="AT283">
        <v>11945.7</v>
      </c>
    </row>
    <row r="284" spans="34:46" x14ac:dyDescent="0.35">
      <c r="AH284" t="s">
        <v>204</v>
      </c>
      <c r="AI284" t="s">
        <v>180</v>
      </c>
      <c r="AJ284" s="3">
        <v>43629</v>
      </c>
      <c r="AK284" t="s">
        <v>42</v>
      </c>
      <c r="AL284" s="1">
        <v>11850</v>
      </c>
      <c r="AM284" s="1">
        <v>106</v>
      </c>
      <c r="AN284" s="1">
        <v>107.2</v>
      </c>
      <c r="AO284">
        <v>73.05</v>
      </c>
      <c r="AP284">
        <v>111.4</v>
      </c>
      <c r="AQ284">
        <v>84.75</v>
      </c>
      <c r="AR284">
        <v>43</v>
      </c>
      <c r="AS284">
        <v>384.95</v>
      </c>
      <c r="AT284">
        <v>11945.7</v>
      </c>
    </row>
    <row r="285" spans="34:46" x14ac:dyDescent="0.35">
      <c r="AH285" t="s">
        <v>204</v>
      </c>
      <c r="AI285" t="s">
        <v>180</v>
      </c>
      <c r="AJ285" s="3">
        <v>43615</v>
      </c>
      <c r="AK285" t="s">
        <v>42</v>
      </c>
      <c r="AL285" s="1">
        <v>12150</v>
      </c>
      <c r="AM285" s="1">
        <v>233.4</v>
      </c>
      <c r="AN285" s="1">
        <v>240.3</v>
      </c>
      <c r="AO285" s="1">
        <v>175.9</v>
      </c>
      <c r="AP285" s="1">
        <v>245.2</v>
      </c>
      <c r="AQ285" s="1">
        <v>202.5</v>
      </c>
      <c r="AR285">
        <v>41</v>
      </c>
      <c r="AS285">
        <v>380</v>
      </c>
      <c r="AT285">
        <v>11945.7</v>
      </c>
    </row>
    <row r="286" spans="34:46" x14ac:dyDescent="0.35">
      <c r="AH286" t="s">
        <v>204</v>
      </c>
      <c r="AI286" t="s">
        <v>180</v>
      </c>
      <c r="AJ286" s="3">
        <v>43629</v>
      </c>
      <c r="AK286" t="s">
        <v>41</v>
      </c>
      <c r="AL286" s="1">
        <v>11800</v>
      </c>
      <c r="AM286">
        <v>179.1</v>
      </c>
      <c r="AN286">
        <v>225</v>
      </c>
      <c r="AO286">
        <v>174.1</v>
      </c>
      <c r="AP286">
        <v>177.45</v>
      </c>
      <c r="AQ286">
        <v>217</v>
      </c>
      <c r="AR286">
        <v>40</v>
      </c>
      <c r="AS286">
        <v>360.07</v>
      </c>
      <c r="AT286">
        <v>11945.7</v>
      </c>
    </row>
    <row r="287" spans="34:46" x14ac:dyDescent="0.35">
      <c r="AH287" t="s">
        <v>204</v>
      </c>
      <c r="AI287" t="s">
        <v>180</v>
      </c>
      <c r="AJ287" s="3">
        <v>43671</v>
      </c>
      <c r="AK287" t="s">
        <v>41</v>
      </c>
      <c r="AL287" s="1">
        <v>11500</v>
      </c>
      <c r="AM287">
        <v>566</v>
      </c>
      <c r="AN287">
        <v>624</v>
      </c>
      <c r="AO287">
        <v>551</v>
      </c>
      <c r="AP287" s="1">
        <v>550</v>
      </c>
      <c r="AQ287">
        <v>600.29999999999995</v>
      </c>
      <c r="AR287">
        <v>39</v>
      </c>
      <c r="AS287">
        <v>353.75</v>
      </c>
      <c r="AT287">
        <v>11945.7</v>
      </c>
    </row>
    <row r="288" spans="34:46" x14ac:dyDescent="0.35">
      <c r="AH288" t="s">
        <v>204</v>
      </c>
      <c r="AI288" t="s">
        <v>180</v>
      </c>
      <c r="AJ288" s="3">
        <v>43629</v>
      </c>
      <c r="AK288" t="s">
        <v>41</v>
      </c>
      <c r="AL288" s="1">
        <v>11950</v>
      </c>
      <c r="AM288">
        <v>115</v>
      </c>
      <c r="AN288">
        <v>137</v>
      </c>
      <c r="AO288">
        <v>111</v>
      </c>
      <c r="AP288">
        <v>142.6</v>
      </c>
      <c r="AQ288">
        <v>125</v>
      </c>
      <c r="AR288">
        <v>38</v>
      </c>
      <c r="AS288">
        <v>344.2</v>
      </c>
      <c r="AT288">
        <v>11945.7</v>
      </c>
    </row>
    <row r="289" spans="34:46" x14ac:dyDescent="0.35">
      <c r="AH289" t="s">
        <v>204</v>
      </c>
      <c r="AI289" t="s">
        <v>180</v>
      </c>
      <c r="AJ289" s="3">
        <v>43622</v>
      </c>
      <c r="AK289" t="s">
        <v>42</v>
      </c>
      <c r="AL289" s="1">
        <v>10900</v>
      </c>
      <c r="AM289">
        <v>1.5</v>
      </c>
      <c r="AN289">
        <v>3</v>
      </c>
      <c r="AO289">
        <v>0.7</v>
      </c>
      <c r="AP289" s="1">
        <v>2.75</v>
      </c>
      <c r="AQ289">
        <v>3</v>
      </c>
      <c r="AR289">
        <v>42</v>
      </c>
      <c r="AS289">
        <v>343.4</v>
      </c>
      <c r="AT289">
        <v>11945.7</v>
      </c>
    </row>
    <row r="290" spans="34:46" x14ac:dyDescent="0.35">
      <c r="AH290" t="s">
        <v>204</v>
      </c>
      <c r="AI290" t="s">
        <v>180</v>
      </c>
      <c r="AJ290" s="3">
        <v>43643</v>
      </c>
      <c r="AK290" t="s">
        <v>42</v>
      </c>
      <c r="AL290" s="1">
        <v>10300</v>
      </c>
      <c r="AM290">
        <v>4.0999999999999996</v>
      </c>
      <c r="AN290">
        <v>6.25</v>
      </c>
      <c r="AO290">
        <v>3.1</v>
      </c>
      <c r="AP290" s="1">
        <v>6.2</v>
      </c>
      <c r="AQ290">
        <v>4.5</v>
      </c>
      <c r="AR290">
        <v>44</v>
      </c>
      <c r="AS290">
        <v>340.04</v>
      </c>
      <c r="AT290">
        <v>11945.7</v>
      </c>
    </row>
    <row r="291" spans="34:46" x14ac:dyDescent="0.35">
      <c r="AH291" t="s">
        <v>204</v>
      </c>
      <c r="AI291" t="s">
        <v>180</v>
      </c>
      <c r="AJ291" s="3">
        <v>43615</v>
      </c>
      <c r="AK291" t="s">
        <v>41</v>
      </c>
      <c r="AL291" s="1">
        <v>12550</v>
      </c>
      <c r="AM291">
        <v>0.1</v>
      </c>
      <c r="AN291">
        <v>0.1</v>
      </c>
      <c r="AO291">
        <v>0.05</v>
      </c>
      <c r="AP291" s="1">
        <v>0.65</v>
      </c>
      <c r="AQ291">
        <v>0.05</v>
      </c>
      <c r="AR291">
        <v>35</v>
      </c>
      <c r="AS291">
        <v>329.44</v>
      </c>
      <c r="AT291">
        <v>11945.7</v>
      </c>
    </row>
    <row r="292" spans="34:46" x14ac:dyDescent="0.35">
      <c r="AH292" t="s">
        <v>204</v>
      </c>
      <c r="AI292" t="s">
        <v>180</v>
      </c>
      <c r="AJ292" s="3">
        <v>43643</v>
      </c>
      <c r="AK292" t="s">
        <v>41</v>
      </c>
      <c r="AL292" s="1">
        <v>10200</v>
      </c>
      <c r="AM292" s="1">
        <v>1725</v>
      </c>
      <c r="AN292" s="1">
        <v>1777.5</v>
      </c>
      <c r="AO292" s="1">
        <v>1722.2</v>
      </c>
      <c r="AP292" s="1">
        <v>1680.25</v>
      </c>
      <c r="AQ292" s="1">
        <v>1761</v>
      </c>
      <c r="AR292">
        <v>35</v>
      </c>
      <c r="AS292">
        <v>313.85000000000002</v>
      </c>
      <c r="AT292">
        <v>11945.7</v>
      </c>
    </row>
    <row r="293" spans="34:46" x14ac:dyDescent="0.35">
      <c r="AH293" t="s">
        <v>204</v>
      </c>
      <c r="AI293" t="s">
        <v>180</v>
      </c>
      <c r="AJ293" s="3">
        <v>43622</v>
      </c>
      <c r="AK293" t="s">
        <v>41</v>
      </c>
      <c r="AL293" s="1">
        <v>11650</v>
      </c>
      <c r="AM293" s="1">
        <v>267.2</v>
      </c>
      <c r="AN293" s="1">
        <v>316.95</v>
      </c>
      <c r="AO293" s="1">
        <v>267.2</v>
      </c>
      <c r="AP293" s="1">
        <v>250.55</v>
      </c>
      <c r="AQ293" s="1">
        <v>292.85000000000002</v>
      </c>
      <c r="AR293">
        <v>35</v>
      </c>
      <c r="AS293">
        <v>313.02999999999997</v>
      </c>
      <c r="AT293">
        <v>11945.7</v>
      </c>
    </row>
    <row r="294" spans="34:46" x14ac:dyDescent="0.35">
      <c r="AH294" t="s">
        <v>204</v>
      </c>
      <c r="AI294" t="s">
        <v>180</v>
      </c>
      <c r="AJ294" s="3">
        <v>44196</v>
      </c>
      <c r="AK294" t="s">
        <v>42</v>
      </c>
      <c r="AL294" s="1">
        <v>10500</v>
      </c>
      <c r="AM294">
        <v>192.35</v>
      </c>
      <c r="AN294">
        <v>192.35</v>
      </c>
      <c r="AO294">
        <v>192.35</v>
      </c>
      <c r="AP294" s="1">
        <v>250</v>
      </c>
      <c r="AQ294">
        <v>192.35</v>
      </c>
      <c r="AR294">
        <v>38</v>
      </c>
      <c r="AS294">
        <v>304.73</v>
      </c>
      <c r="AT294">
        <v>11945.7</v>
      </c>
    </row>
    <row r="295" spans="34:46" x14ac:dyDescent="0.35">
      <c r="AH295" t="s">
        <v>204</v>
      </c>
      <c r="AI295" t="s">
        <v>180</v>
      </c>
      <c r="AJ295" s="3">
        <v>43643</v>
      </c>
      <c r="AK295" t="s">
        <v>42</v>
      </c>
      <c r="AL295" s="1">
        <v>10100</v>
      </c>
      <c r="AM295">
        <v>5</v>
      </c>
      <c r="AN295">
        <v>6</v>
      </c>
      <c r="AO295">
        <v>4</v>
      </c>
      <c r="AP295" s="1">
        <v>5.5</v>
      </c>
      <c r="AQ295">
        <v>6</v>
      </c>
      <c r="AR295">
        <v>39</v>
      </c>
      <c r="AS295">
        <v>295.58</v>
      </c>
      <c r="AT295">
        <v>11945.7</v>
      </c>
    </row>
    <row r="296" spans="34:46" x14ac:dyDescent="0.35">
      <c r="AH296" t="s">
        <v>204</v>
      </c>
      <c r="AI296" t="s">
        <v>180</v>
      </c>
      <c r="AJ296" s="3">
        <v>43671</v>
      </c>
      <c r="AK296" t="s">
        <v>41</v>
      </c>
      <c r="AL296" s="1">
        <v>11700</v>
      </c>
      <c r="AM296">
        <v>435</v>
      </c>
      <c r="AN296">
        <v>461</v>
      </c>
      <c r="AO296">
        <v>430.85</v>
      </c>
      <c r="AP296" s="1">
        <v>390</v>
      </c>
      <c r="AQ296">
        <v>454.65</v>
      </c>
      <c r="AR296">
        <v>32</v>
      </c>
      <c r="AS296">
        <v>291.55</v>
      </c>
      <c r="AT296">
        <v>11945.7</v>
      </c>
    </row>
    <row r="297" spans="34:46" x14ac:dyDescent="0.35">
      <c r="AH297" t="s">
        <v>204</v>
      </c>
      <c r="AI297" t="s">
        <v>180</v>
      </c>
      <c r="AJ297" s="3">
        <v>43643</v>
      </c>
      <c r="AK297" t="s">
        <v>41</v>
      </c>
      <c r="AL297" s="1">
        <v>11750</v>
      </c>
      <c r="AM297">
        <v>282.5</v>
      </c>
      <c r="AN297">
        <v>340.55</v>
      </c>
      <c r="AO297">
        <v>282.5</v>
      </c>
      <c r="AP297" s="1">
        <v>278</v>
      </c>
      <c r="AQ297">
        <v>322</v>
      </c>
      <c r="AR297">
        <v>31</v>
      </c>
      <c r="AS297">
        <v>280.42</v>
      </c>
      <c r="AT297">
        <v>11945.7</v>
      </c>
    </row>
    <row r="298" spans="34:46" x14ac:dyDescent="0.35">
      <c r="AH298" t="s">
        <v>204</v>
      </c>
      <c r="AI298" t="s">
        <v>180</v>
      </c>
      <c r="AJ298" s="3">
        <v>43615</v>
      </c>
      <c r="AK298" t="s">
        <v>41</v>
      </c>
      <c r="AL298" s="1">
        <v>10200</v>
      </c>
      <c r="AM298" s="1">
        <v>1703.35</v>
      </c>
      <c r="AN298" s="1">
        <v>1745.3</v>
      </c>
      <c r="AO298" s="1">
        <v>1702</v>
      </c>
      <c r="AP298" s="1">
        <v>1646.15</v>
      </c>
      <c r="AQ298" s="1">
        <v>1739.7</v>
      </c>
      <c r="AR298">
        <v>31</v>
      </c>
      <c r="AS298">
        <v>277.43</v>
      </c>
      <c r="AT298">
        <v>11945.7</v>
      </c>
    </row>
    <row r="299" spans="34:46" x14ac:dyDescent="0.35">
      <c r="AH299" t="s">
        <v>204</v>
      </c>
      <c r="AI299" t="s">
        <v>180</v>
      </c>
      <c r="AJ299" s="3">
        <v>43671</v>
      </c>
      <c r="AK299" t="s">
        <v>42</v>
      </c>
      <c r="AL299" s="1">
        <v>12100</v>
      </c>
      <c r="AM299">
        <v>383.55</v>
      </c>
      <c r="AN299">
        <v>384</v>
      </c>
      <c r="AO299">
        <v>300</v>
      </c>
      <c r="AP299">
        <v>360</v>
      </c>
      <c r="AQ299">
        <v>305</v>
      </c>
      <c r="AR299">
        <v>29</v>
      </c>
      <c r="AS299">
        <v>269.97000000000003</v>
      </c>
      <c r="AT299">
        <v>11945.7</v>
      </c>
    </row>
    <row r="300" spans="34:46" x14ac:dyDescent="0.35">
      <c r="AH300" t="s">
        <v>204</v>
      </c>
      <c r="AI300" t="s">
        <v>180</v>
      </c>
      <c r="AJ300" s="3">
        <v>43643</v>
      </c>
      <c r="AK300" t="s">
        <v>42</v>
      </c>
      <c r="AL300" s="1">
        <v>12050</v>
      </c>
      <c r="AM300">
        <v>260</v>
      </c>
      <c r="AN300">
        <v>260</v>
      </c>
      <c r="AO300">
        <v>205</v>
      </c>
      <c r="AP300">
        <v>249</v>
      </c>
      <c r="AQ300">
        <v>214.55</v>
      </c>
      <c r="AR300">
        <v>29</v>
      </c>
      <c r="AS300">
        <v>266.77</v>
      </c>
      <c r="AT300">
        <v>11945.7</v>
      </c>
    </row>
    <row r="301" spans="34:46" x14ac:dyDescent="0.35">
      <c r="AH301" t="s">
        <v>204</v>
      </c>
      <c r="AI301" t="s">
        <v>180</v>
      </c>
      <c r="AJ301" s="3">
        <v>43622</v>
      </c>
      <c r="AK301" t="s">
        <v>42</v>
      </c>
      <c r="AL301" s="1">
        <v>12150</v>
      </c>
      <c r="AM301" s="1">
        <v>256.7</v>
      </c>
      <c r="AN301" s="1">
        <v>256.7</v>
      </c>
      <c r="AO301" s="1">
        <v>208</v>
      </c>
      <c r="AP301" s="1">
        <v>287.25</v>
      </c>
      <c r="AQ301" s="1">
        <v>223.75</v>
      </c>
      <c r="AR301">
        <v>28</v>
      </c>
      <c r="AS301">
        <v>259.75</v>
      </c>
      <c r="AT301">
        <v>11945.7</v>
      </c>
    </row>
    <row r="302" spans="34:46" x14ac:dyDescent="0.35">
      <c r="AH302" t="s">
        <v>204</v>
      </c>
      <c r="AI302" t="s">
        <v>180</v>
      </c>
      <c r="AJ302" s="3">
        <v>43825</v>
      </c>
      <c r="AK302" t="s">
        <v>41</v>
      </c>
      <c r="AL302" s="1">
        <v>10000</v>
      </c>
      <c r="AM302" s="1">
        <v>2210</v>
      </c>
      <c r="AN302" s="1">
        <v>2235</v>
      </c>
      <c r="AO302" s="1">
        <v>2190</v>
      </c>
      <c r="AP302" s="1">
        <v>2146.8000000000002</v>
      </c>
      <c r="AQ302" s="1">
        <v>2202.15</v>
      </c>
      <c r="AR302">
        <v>27</v>
      </c>
      <c r="AS302">
        <v>247.16</v>
      </c>
      <c r="AT302">
        <v>11945.7</v>
      </c>
    </row>
    <row r="303" spans="34:46" x14ac:dyDescent="0.35">
      <c r="AH303" t="s">
        <v>204</v>
      </c>
      <c r="AI303" t="s">
        <v>180</v>
      </c>
      <c r="AJ303" s="3">
        <v>43615</v>
      </c>
      <c r="AK303" t="s">
        <v>41</v>
      </c>
      <c r="AL303" s="1">
        <v>12950</v>
      </c>
      <c r="AM303" s="1">
        <v>0.1</v>
      </c>
      <c r="AN303" s="1">
        <v>0.1</v>
      </c>
      <c r="AO303" s="1">
        <v>0.05</v>
      </c>
      <c r="AP303" s="1">
        <v>0.1</v>
      </c>
      <c r="AQ303" s="1">
        <v>0.05</v>
      </c>
      <c r="AR303">
        <v>23</v>
      </c>
      <c r="AS303">
        <v>223.39</v>
      </c>
      <c r="AT303">
        <v>11945.7</v>
      </c>
    </row>
    <row r="304" spans="34:46" x14ac:dyDescent="0.35">
      <c r="AH304" t="s">
        <v>204</v>
      </c>
      <c r="AI304" t="s">
        <v>180</v>
      </c>
      <c r="AJ304" s="3">
        <v>43622</v>
      </c>
      <c r="AK304" t="s">
        <v>42</v>
      </c>
      <c r="AL304" s="1">
        <v>11350</v>
      </c>
      <c r="AM304">
        <v>3.55</v>
      </c>
      <c r="AN304">
        <v>3.55</v>
      </c>
      <c r="AO304">
        <v>2.95</v>
      </c>
      <c r="AP304" s="1">
        <v>92.85</v>
      </c>
      <c r="AQ304">
        <v>3</v>
      </c>
      <c r="AR304">
        <v>26</v>
      </c>
      <c r="AS304">
        <v>221.39</v>
      </c>
      <c r="AT304">
        <v>11945.7</v>
      </c>
    </row>
    <row r="305" spans="34:46" x14ac:dyDescent="0.35">
      <c r="AH305" t="s">
        <v>204</v>
      </c>
      <c r="AI305" t="s">
        <v>180</v>
      </c>
      <c r="AJ305" s="3">
        <v>43629</v>
      </c>
      <c r="AK305" t="s">
        <v>42</v>
      </c>
      <c r="AL305" s="1">
        <v>11950</v>
      </c>
      <c r="AM305" s="1">
        <v>118.1</v>
      </c>
      <c r="AN305" s="1">
        <v>149.1</v>
      </c>
      <c r="AO305" s="1">
        <v>105.3</v>
      </c>
      <c r="AP305" s="1">
        <v>150</v>
      </c>
      <c r="AQ305" s="1">
        <v>120.1</v>
      </c>
      <c r="AR305">
        <v>24</v>
      </c>
      <c r="AS305">
        <v>217.26</v>
      </c>
      <c r="AT305">
        <v>11945.7</v>
      </c>
    </row>
    <row r="306" spans="34:46" x14ac:dyDescent="0.35">
      <c r="AH306" t="s">
        <v>204</v>
      </c>
      <c r="AI306" t="s">
        <v>180</v>
      </c>
      <c r="AJ306" s="3">
        <v>43643</v>
      </c>
      <c r="AK306" t="s">
        <v>41</v>
      </c>
      <c r="AL306" s="1">
        <v>10300</v>
      </c>
      <c r="AM306" s="1">
        <v>1628.75</v>
      </c>
      <c r="AN306" s="1">
        <v>1673.8</v>
      </c>
      <c r="AO306" s="1">
        <v>1624.9</v>
      </c>
      <c r="AP306" s="1">
        <v>1598</v>
      </c>
      <c r="AQ306" s="1">
        <v>1658.35</v>
      </c>
      <c r="AR306">
        <v>24</v>
      </c>
      <c r="AS306">
        <v>215.22</v>
      </c>
      <c r="AT306">
        <v>11945.7</v>
      </c>
    </row>
    <row r="307" spans="34:46" x14ac:dyDescent="0.35">
      <c r="AH307" t="s">
        <v>204</v>
      </c>
      <c r="AI307" t="s">
        <v>180</v>
      </c>
      <c r="AJ307" s="3">
        <v>43671</v>
      </c>
      <c r="AK307" t="s">
        <v>42</v>
      </c>
      <c r="AL307" s="1">
        <v>11300</v>
      </c>
      <c r="AM307" s="1">
        <v>81</v>
      </c>
      <c r="AN307" s="1">
        <v>81</v>
      </c>
      <c r="AO307" s="1">
        <v>70</v>
      </c>
      <c r="AP307" s="1">
        <v>88.4</v>
      </c>
      <c r="AQ307" s="1">
        <v>75.849999999999994</v>
      </c>
      <c r="AR307">
        <v>25</v>
      </c>
      <c r="AS307">
        <v>213.29</v>
      </c>
      <c r="AT307">
        <v>11945.7</v>
      </c>
    </row>
    <row r="308" spans="34:46" x14ac:dyDescent="0.35">
      <c r="AH308" t="s">
        <v>204</v>
      </c>
      <c r="AI308" t="s">
        <v>180</v>
      </c>
      <c r="AJ308" s="3">
        <v>43671</v>
      </c>
      <c r="AK308" t="s">
        <v>42</v>
      </c>
      <c r="AL308" s="1">
        <v>10500</v>
      </c>
      <c r="AM308">
        <v>18.05</v>
      </c>
      <c r="AN308">
        <v>19.95</v>
      </c>
      <c r="AO308">
        <v>6.1</v>
      </c>
      <c r="AP308" s="1">
        <v>23</v>
      </c>
      <c r="AQ308">
        <v>15.7</v>
      </c>
      <c r="AR308">
        <v>27</v>
      </c>
      <c r="AS308">
        <v>212.95</v>
      </c>
      <c r="AT308">
        <v>11945.7</v>
      </c>
    </row>
    <row r="309" spans="34:46" x14ac:dyDescent="0.35">
      <c r="AH309" t="s">
        <v>204</v>
      </c>
      <c r="AI309" t="s">
        <v>180</v>
      </c>
      <c r="AJ309" s="3">
        <v>43615</v>
      </c>
      <c r="AK309" t="s">
        <v>42</v>
      </c>
      <c r="AL309" s="1">
        <v>12900</v>
      </c>
      <c r="AM309" s="1">
        <v>1013.7</v>
      </c>
      <c r="AN309" s="1">
        <v>1013.7</v>
      </c>
      <c r="AO309">
        <v>931.1</v>
      </c>
      <c r="AP309" s="1">
        <v>938.75</v>
      </c>
      <c r="AQ309">
        <v>957.2</v>
      </c>
      <c r="AR309">
        <v>20</v>
      </c>
      <c r="AS309">
        <v>207.89</v>
      </c>
      <c r="AT309">
        <v>11945.7</v>
      </c>
    </row>
    <row r="310" spans="34:46" x14ac:dyDescent="0.35">
      <c r="AH310" t="s">
        <v>204</v>
      </c>
      <c r="AI310" t="s">
        <v>180</v>
      </c>
      <c r="AJ310" s="3">
        <v>43671</v>
      </c>
      <c r="AK310" t="s">
        <v>42</v>
      </c>
      <c r="AL310" s="1">
        <v>11100</v>
      </c>
      <c r="AM310">
        <v>57.95</v>
      </c>
      <c r="AN310">
        <v>58</v>
      </c>
      <c r="AO310">
        <v>46.55</v>
      </c>
      <c r="AP310" s="1">
        <v>63.2</v>
      </c>
      <c r="AQ310">
        <v>53.2</v>
      </c>
      <c r="AR310">
        <v>24</v>
      </c>
      <c r="AS310">
        <v>200.78</v>
      </c>
      <c r="AT310">
        <v>11945.7</v>
      </c>
    </row>
    <row r="311" spans="34:46" x14ac:dyDescent="0.35">
      <c r="AH311" t="s">
        <v>204</v>
      </c>
      <c r="AI311" t="s">
        <v>180</v>
      </c>
      <c r="AJ311" s="3">
        <v>43643</v>
      </c>
      <c r="AK311" t="s">
        <v>41</v>
      </c>
      <c r="AL311" s="1">
        <v>13200</v>
      </c>
      <c r="AM311">
        <v>3.25</v>
      </c>
      <c r="AN311">
        <v>3.25</v>
      </c>
      <c r="AO311">
        <v>1.75</v>
      </c>
      <c r="AP311" s="1">
        <v>3.25</v>
      </c>
      <c r="AQ311">
        <v>2.2000000000000002</v>
      </c>
      <c r="AR311">
        <v>19</v>
      </c>
      <c r="AS311">
        <v>188.13</v>
      </c>
      <c r="AT311">
        <v>11945.7</v>
      </c>
    </row>
    <row r="312" spans="34:46" x14ac:dyDescent="0.35">
      <c r="AH312" t="s">
        <v>204</v>
      </c>
      <c r="AI312" t="s">
        <v>180</v>
      </c>
      <c r="AJ312" s="3">
        <v>43615</v>
      </c>
      <c r="AK312" t="s">
        <v>41</v>
      </c>
      <c r="AL312" s="1">
        <v>11150</v>
      </c>
      <c r="AM312">
        <v>750.2</v>
      </c>
      <c r="AN312">
        <v>795</v>
      </c>
      <c r="AO312">
        <v>742.65</v>
      </c>
      <c r="AP312" s="1">
        <v>696</v>
      </c>
      <c r="AQ312">
        <v>783.2</v>
      </c>
      <c r="AR312">
        <v>20</v>
      </c>
      <c r="AS312">
        <v>178.82</v>
      </c>
      <c r="AT312">
        <v>11945.7</v>
      </c>
    </row>
    <row r="313" spans="34:46" x14ac:dyDescent="0.35">
      <c r="AH313" t="s">
        <v>204</v>
      </c>
      <c r="AI313" t="s">
        <v>180</v>
      </c>
      <c r="AJ313" s="3">
        <v>43643</v>
      </c>
      <c r="AK313" t="s">
        <v>42</v>
      </c>
      <c r="AL313" s="1">
        <v>13200</v>
      </c>
      <c r="AM313" s="1">
        <v>1184</v>
      </c>
      <c r="AN313" s="1">
        <v>1196.45</v>
      </c>
      <c r="AO313" s="1">
        <v>1182.05</v>
      </c>
      <c r="AP313" s="1">
        <v>1225</v>
      </c>
      <c r="AQ313" s="1">
        <v>1186</v>
      </c>
      <c r="AR313">
        <v>16</v>
      </c>
      <c r="AS313">
        <v>172.66</v>
      </c>
      <c r="AT313">
        <v>11945.7</v>
      </c>
    </row>
    <row r="314" spans="34:46" x14ac:dyDescent="0.35">
      <c r="AH314" t="s">
        <v>204</v>
      </c>
      <c r="AI314" t="s">
        <v>180</v>
      </c>
      <c r="AJ314" s="3">
        <v>43615</v>
      </c>
      <c r="AK314" t="s">
        <v>42</v>
      </c>
      <c r="AL314" s="1">
        <v>12700</v>
      </c>
      <c r="AM314">
        <v>810</v>
      </c>
      <c r="AN314">
        <v>810</v>
      </c>
      <c r="AO314">
        <v>760</v>
      </c>
      <c r="AP314" s="1">
        <v>770</v>
      </c>
      <c r="AQ314">
        <v>782.2</v>
      </c>
      <c r="AR314">
        <v>17</v>
      </c>
      <c r="AS314">
        <v>171.96</v>
      </c>
      <c r="AT314">
        <v>11945.7</v>
      </c>
    </row>
    <row r="315" spans="34:46" x14ac:dyDescent="0.35">
      <c r="AH315" t="s">
        <v>204</v>
      </c>
      <c r="AI315" t="s">
        <v>180</v>
      </c>
      <c r="AJ315" s="3">
        <v>43629</v>
      </c>
      <c r="AK315" t="s">
        <v>41</v>
      </c>
      <c r="AL315" s="1">
        <v>11700</v>
      </c>
      <c r="AM315">
        <v>253.6</v>
      </c>
      <c r="AN315">
        <v>306.8</v>
      </c>
      <c r="AO315">
        <v>253.6</v>
      </c>
      <c r="AP315" s="1">
        <v>244</v>
      </c>
      <c r="AQ315">
        <v>284.64999999999998</v>
      </c>
      <c r="AR315">
        <v>19</v>
      </c>
      <c r="AS315">
        <v>170.82</v>
      </c>
      <c r="AT315">
        <v>11945.7</v>
      </c>
    </row>
    <row r="316" spans="34:46" x14ac:dyDescent="0.35">
      <c r="AH316" t="s">
        <v>204</v>
      </c>
      <c r="AI316" t="s">
        <v>180</v>
      </c>
      <c r="AJ316" s="3">
        <v>43615</v>
      </c>
      <c r="AK316" t="s">
        <v>41</v>
      </c>
      <c r="AL316" s="1">
        <v>11250</v>
      </c>
      <c r="AM316">
        <v>646</v>
      </c>
      <c r="AN316">
        <v>701</v>
      </c>
      <c r="AO316">
        <v>646</v>
      </c>
      <c r="AP316" s="1">
        <v>610.85</v>
      </c>
      <c r="AQ316">
        <v>701</v>
      </c>
      <c r="AR316">
        <v>19</v>
      </c>
      <c r="AS316">
        <v>169.96</v>
      </c>
      <c r="AT316">
        <v>11945.7</v>
      </c>
    </row>
    <row r="317" spans="34:46" x14ac:dyDescent="0.35">
      <c r="AH317" t="s">
        <v>204</v>
      </c>
      <c r="AI317" t="s">
        <v>180</v>
      </c>
      <c r="AJ317" s="3">
        <v>43636</v>
      </c>
      <c r="AK317" t="s">
        <v>41</v>
      </c>
      <c r="AL317" s="1">
        <v>12500</v>
      </c>
      <c r="AM317">
        <v>21</v>
      </c>
      <c r="AN317">
        <v>21</v>
      </c>
      <c r="AO317">
        <v>18</v>
      </c>
      <c r="AP317" s="1">
        <v>19</v>
      </c>
      <c r="AQ317">
        <v>20.75</v>
      </c>
      <c r="AR317">
        <v>18</v>
      </c>
      <c r="AS317">
        <v>169.02</v>
      </c>
      <c r="AT317">
        <v>11945.7</v>
      </c>
    </row>
    <row r="318" spans="34:46" x14ac:dyDescent="0.35">
      <c r="AH318" t="s">
        <v>204</v>
      </c>
      <c r="AI318" t="s">
        <v>180</v>
      </c>
      <c r="AJ318" s="3">
        <v>43643</v>
      </c>
      <c r="AK318" t="s">
        <v>42</v>
      </c>
      <c r="AL318" s="1">
        <v>11450</v>
      </c>
      <c r="AM318">
        <v>60.8</v>
      </c>
      <c r="AN318">
        <v>60.8</v>
      </c>
      <c r="AO318">
        <v>45</v>
      </c>
      <c r="AP318" s="1">
        <v>64.2</v>
      </c>
      <c r="AQ318">
        <v>52.9</v>
      </c>
      <c r="AR318">
        <v>19</v>
      </c>
      <c r="AS318">
        <v>163.88</v>
      </c>
      <c r="AT318">
        <v>11945.7</v>
      </c>
    </row>
    <row r="319" spans="34:46" x14ac:dyDescent="0.35">
      <c r="AH319" t="s">
        <v>204</v>
      </c>
      <c r="AI319" t="s">
        <v>180</v>
      </c>
      <c r="AJ319" s="3">
        <v>43622</v>
      </c>
      <c r="AK319" t="s">
        <v>41</v>
      </c>
      <c r="AL319" s="1">
        <v>11200</v>
      </c>
      <c r="AM319">
        <v>669</v>
      </c>
      <c r="AN319">
        <v>750</v>
      </c>
      <c r="AO319">
        <v>669</v>
      </c>
      <c r="AP319" s="1">
        <v>675.25</v>
      </c>
      <c r="AQ319">
        <v>743.3</v>
      </c>
      <c r="AR319">
        <v>18</v>
      </c>
      <c r="AS319">
        <v>161.02000000000001</v>
      </c>
      <c r="AT319">
        <v>11945.7</v>
      </c>
    </row>
    <row r="320" spans="34:46" x14ac:dyDescent="0.35">
      <c r="AH320" t="s">
        <v>204</v>
      </c>
      <c r="AI320" t="s">
        <v>180</v>
      </c>
      <c r="AJ320" s="3">
        <v>43671</v>
      </c>
      <c r="AK320" t="s">
        <v>42</v>
      </c>
      <c r="AL320" s="1">
        <v>11700</v>
      </c>
      <c r="AM320">
        <v>160</v>
      </c>
      <c r="AN320">
        <v>167.8</v>
      </c>
      <c r="AO320">
        <v>147.05000000000001</v>
      </c>
      <c r="AP320" s="1">
        <v>186.45</v>
      </c>
      <c r="AQ320">
        <v>153</v>
      </c>
      <c r="AR320">
        <v>18</v>
      </c>
      <c r="AS320">
        <v>160.07</v>
      </c>
      <c r="AT320">
        <v>11945.7</v>
      </c>
    </row>
    <row r="321" spans="34:46" x14ac:dyDescent="0.35">
      <c r="AH321" t="s">
        <v>204</v>
      </c>
      <c r="AI321" t="s">
        <v>180</v>
      </c>
      <c r="AJ321" s="3">
        <v>43629</v>
      </c>
      <c r="AK321" t="s">
        <v>42</v>
      </c>
      <c r="AL321" s="1">
        <v>11200</v>
      </c>
      <c r="AM321">
        <v>11.05</v>
      </c>
      <c r="AN321">
        <v>11.05</v>
      </c>
      <c r="AO321">
        <v>8</v>
      </c>
      <c r="AP321" s="1">
        <v>11.9</v>
      </c>
      <c r="AQ321">
        <v>8.1999999999999993</v>
      </c>
      <c r="AR321">
        <v>19</v>
      </c>
      <c r="AS321">
        <v>159.72999999999999</v>
      </c>
      <c r="AT321">
        <v>11945.7</v>
      </c>
    </row>
    <row r="322" spans="34:46" x14ac:dyDescent="0.35">
      <c r="AH322" t="s">
        <v>204</v>
      </c>
      <c r="AI322" t="s">
        <v>180</v>
      </c>
      <c r="AJ322" s="3">
        <v>43671</v>
      </c>
      <c r="AK322" t="s">
        <v>42</v>
      </c>
      <c r="AL322" s="1">
        <v>11600</v>
      </c>
      <c r="AM322">
        <v>132</v>
      </c>
      <c r="AN322">
        <v>144</v>
      </c>
      <c r="AO322">
        <v>120.5</v>
      </c>
      <c r="AP322" s="1">
        <v>150</v>
      </c>
      <c r="AQ322">
        <v>120.85</v>
      </c>
      <c r="AR322">
        <v>18</v>
      </c>
      <c r="AS322">
        <v>158.29</v>
      </c>
      <c r="AT322">
        <v>11945.7</v>
      </c>
    </row>
    <row r="323" spans="34:46" x14ac:dyDescent="0.35">
      <c r="AH323" t="s">
        <v>204</v>
      </c>
      <c r="AI323" t="s">
        <v>180</v>
      </c>
      <c r="AJ323" s="3">
        <v>43643</v>
      </c>
      <c r="AK323" t="s">
        <v>41</v>
      </c>
      <c r="AL323" s="1">
        <v>11550</v>
      </c>
      <c r="AM323">
        <v>490.1</v>
      </c>
      <c r="AN323">
        <v>490.1</v>
      </c>
      <c r="AO323">
        <v>490</v>
      </c>
      <c r="AP323" s="1">
        <v>443.25</v>
      </c>
      <c r="AQ323">
        <v>490</v>
      </c>
      <c r="AR323">
        <v>17</v>
      </c>
      <c r="AS323">
        <v>153.51</v>
      </c>
      <c r="AT323">
        <v>11945.7</v>
      </c>
    </row>
    <row r="324" spans="34:46" x14ac:dyDescent="0.35">
      <c r="AH324" t="s">
        <v>204</v>
      </c>
      <c r="AI324" t="s">
        <v>180</v>
      </c>
      <c r="AJ324" s="3">
        <v>43615</v>
      </c>
      <c r="AK324" t="s">
        <v>42</v>
      </c>
      <c r="AL324" s="1">
        <v>12800</v>
      </c>
      <c r="AM324">
        <v>917.15</v>
      </c>
      <c r="AN324">
        <v>917.15</v>
      </c>
      <c r="AO324">
        <v>836.3</v>
      </c>
      <c r="AP324" s="1">
        <v>908</v>
      </c>
      <c r="AQ324">
        <v>850</v>
      </c>
      <c r="AR324">
        <v>14</v>
      </c>
      <c r="AS324">
        <v>143.5</v>
      </c>
      <c r="AT324">
        <v>11945.7</v>
      </c>
    </row>
    <row r="325" spans="34:46" x14ac:dyDescent="0.35">
      <c r="AH325" t="s">
        <v>204</v>
      </c>
      <c r="AI325" t="s">
        <v>180</v>
      </c>
      <c r="AJ325" s="3">
        <v>44742</v>
      </c>
      <c r="AK325" t="s">
        <v>42</v>
      </c>
      <c r="AL325" s="1">
        <v>11800</v>
      </c>
      <c r="AM325">
        <v>743.7</v>
      </c>
      <c r="AN325">
        <v>753.7</v>
      </c>
      <c r="AO325">
        <v>743.7</v>
      </c>
      <c r="AP325" s="1">
        <v>765</v>
      </c>
      <c r="AQ325">
        <v>753.7</v>
      </c>
      <c r="AR325">
        <v>15</v>
      </c>
      <c r="AS325">
        <v>141.22</v>
      </c>
      <c r="AT325">
        <v>11945.7</v>
      </c>
    </row>
    <row r="326" spans="34:46" x14ac:dyDescent="0.35">
      <c r="AH326" t="s">
        <v>204</v>
      </c>
      <c r="AI326" t="s">
        <v>180</v>
      </c>
      <c r="AJ326" s="3">
        <v>43643</v>
      </c>
      <c r="AK326" t="s">
        <v>41</v>
      </c>
      <c r="AL326" s="1">
        <v>8000</v>
      </c>
      <c r="AM326" s="1">
        <v>3885.05</v>
      </c>
      <c r="AN326" s="1">
        <v>3950</v>
      </c>
      <c r="AO326" s="1">
        <v>3885.05</v>
      </c>
      <c r="AP326" s="1">
        <v>3908.1</v>
      </c>
      <c r="AQ326" s="1">
        <v>3920</v>
      </c>
      <c r="AR326">
        <v>15</v>
      </c>
      <c r="AS326">
        <v>133.97</v>
      </c>
      <c r="AT326">
        <v>11945.7</v>
      </c>
    </row>
    <row r="327" spans="34:46" x14ac:dyDescent="0.35">
      <c r="AH327" t="s">
        <v>204</v>
      </c>
      <c r="AI327" t="s">
        <v>180</v>
      </c>
      <c r="AJ327" s="3">
        <v>44196</v>
      </c>
      <c r="AK327" t="s">
        <v>42</v>
      </c>
      <c r="AL327" s="1">
        <v>11500</v>
      </c>
      <c r="AM327">
        <v>401.2</v>
      </c>
      <c r="AN327">
        <v>401.2</v>
      </c>
      <c r="AO327">
        <v>401.2</v>
      </c>
      <c r="AP327">
        <v>387.75</v>
      </c>
      <c r="AQ327">
        <v>401.2</v>
      </c>
      <c r="AR327">
        <v>15</v>
      </c>
      <c r="AS327">
        <v>133.88999999999999</v>
      </c>
      <c r="AT327">
        <v>11945.7</v>
      </c>
    </row>
    <row r="328" spans="34:46" x14ac:dyDescent="0.35">
      <c r="AH328" t="s">
        <v>204</v>
      </c>
      <c r="AI328" t="s">
        <v>180</v>
      </c>
      <c r="AJ328" s="3">
        <v>43643</v>
      </c>
      <c r="AK328" t="s">
        <v>41</v>
      </c>
      <c r="AL328" s="1">
        <v>13300</v>
      </c>
      <c r="AM328">
        <v>1.7</v>
      </c>
      <c r="AN328">
        <v>4</v>
      </c>
      <c r="AO328">
        <v>1.7</v>
      </c>
      <c r="AP328" s="1">
        <v>4</v>
      </c>
      <c r="AQ328">
        <v>2.15</v>
      </c>
      <c r="AR328">
        <v>13</v>
      </c>
      <c r="AS328">
        <v>129.69999999999999</v>
      </c>
      <c r="AT328">
        <v>11945.7</v>
      </c>
    </row>
    <row r="329" spans="34:46" x14ac:dyDescent="0.35">
      <c r="AH329" t="s">
        <v>204</v>
      </c>
      <c r="AI329" t="s">
        <v>180</v>
      </c>
      <c r="AJ329" s="3">
        <v>43671</v>
      </c>
      <c r="AK329" t="s">
        <v>42</v>
      </c>
      <c r="AL329" s="1">
        <v>11400</v>
      </c>
      <c r="AM329">
        <v>88.4</v>
      </c>
      <c r="AN329">
        <v>92.5</v>
      </c>
      <c r="AO329">
        <v>82.5</v>
      </c>
      <c r="AP329" s="1">
        <v>106</v>
      </c>
      <c r="AQ329">
        <v>92.4</v>
      </c>
      <c r="AR329">
        <v>15</v>
      </c>
      <c r="AS329">
        <v>129.25</v>
      </c>
      <c r="AT329">
        <v>11945.7</v>
      </c>
    </row>
    <row r="330" spans="34:46" x14ac:dyDescent="0.35">
      <c r="AH330" t="s">
        <v>204</v>
      </c>
      <c r="AI330" t="s">
        <v>180</v>
      </c>
      <c r="AJ330" s="3">
        <v>43622</v>
      </c>
      <c r="AK330" t="s">
        <v>41</v>
      </c>
      <c r="AL330" s="1">
        <v>11450</v>
      </c>
      <c r="AM330">
        <v>450.3</v>
      </c>
      <c r="AN330">
        <v>505.55</v>
      </c>
      <c r="AO330">
        <v>450.3</v>
      </c>
      <c r="AP330" s="1">
        <v>421.8</v>
      </c>
      <c r="AQ330">
        <v>488.05</v>
      </c>
      <c r="AR330">
        <v>14</v>
      </c>
      <c r="AS330">
        <v>125.35</v>
      </c>
      <c r="AT330">
        <v>11945.7</v>
      </c>
    </row>
    <row r="331" spans="34:46" x14ac:dyDescent="0.35">
      <c r="AH331" t="s">
        <v>204</v>
      </c>
      <c r="AI331" t="s">
        <v>180</v>
      </c>
      <c r="AJ331" s="3">
        <v>43825</v>
      </c>
      <c r="AK331" t="s">
        <v>42</v>
      </c>
      <c r="AL331" s="1">
        <v>13000</v>
      </c>
      <c r="AM331">
        <v>970</v>
      </c>
      <c r="AN331">
        <v>970</v>
      </c>
      <c r="AO331">
        <v>930</v>
      </c>
      <c r="AP331" s="1">
        <v>1000</v>
      </c>
      <c r="AQ331">
        <v>930</v>
      </c>
      <c r="AR331">
        <v>11</v>
      </c>
      <c r="AS331">
        <v>115.03</v>
      </c>
      <c r="AT331">
        <v>11945.7</v>
      </c>
    </row>
    <row r="332" spans="34:46" x14ac:dyDescent="0.35">
      <c r="AH332" t="s">
        <v>204</v>
      </c>
      <c r="AI332" t="s">
        <v>180</v>
      </c>
      <c r="AJ332" s="3">
        <v>43643</v>
      </c>
      <c r="AK332" t="s">
        <v>41</v>
      </c>
      <c r="AL332" s="1">
        <v>10100</v>
      </c>
      <c r="AM332" s="1">
        <v>1837</v>
      </c>
      <c r="AN332" s="1">
        <v>1865</v>
      </c>
      <c r="AO332" s="1">
        <v>1817.35</v>
      </c>
      <c r="AP332" s="1">
        <v>1839.6</v>
      </c>
      <c r="AQ332" s="1">
        <v>1830</v>
      </c>
      <c r="AR332">
        <v>12</v>
      </c>
      <c r="AS332">
        <v>107.4</v>
      </c>
      <c r="AT332">
        <v>11945.7</v>
      </c>
    </row>
    <row r="333" spans="34:46" x14ac:dyDescent="0.35">
      <c r="AH333" t="s">
        <v>204</v>
      </c>
      <c r="AI333" t="s">
        <v>180</v>
      </c>
      <c r="AJ333" s="3">
        <v>43615</v>
      </c>
      <c r="AK333" t="s">
        <v>41</v>
      </c>
      <c r="AL333" s="1">
        <v>11450</v>
      </c>
      <c r="AM333">
        <v>441.5</v>
      </c>
      <c r="AN333">
        <v>499.75</v>
      </c>
      <c r="AO333">
        <v>440.15</v>
      </c>
      <c r="AP333" s="1">
        <v>390</v>
      </c>
      <c r="AQ333">
        <v>490</v>
      </c>
      <c r="AR333">
        <v>12</v>
      </c>
      <c r="AS333">
        <v>107.27</v>
      </c>
      <c r="AT333">
        <v>11945.7</v>
      </c>
    </row>
    <row r="334" spans="34:46" x14ac:dyDescent="0.35">
      <c r="AH334" t="s">
        <v>204</v>
      </c>
      <c r="AI334" t="s">
        <v>180</v>
      </c>
      <c r="AJ334" s="3">
        <v>43643</v>
      </c>
      <c r="AK334" t="s">
        <v>42</v>
      </c>
      <c r="AL334" s="1">
        <v>13300</v>
      </c>
      <c r="AM334" s="1">
        <v>1337.75</v>
      </c>
      <c r="AN334" s="1">
        <v>1337.75</v>
      </c>
      <c r="AO334" s="1">
        <v>1279.1500000000001</v>
      </c>
      <c r="AP334" s="1">
        <v>1280</v>
      </c>
      <c r="AQ334" s="1">
        <v>1290</v>
      </c>
      <c r="AR334">
        <v>9</v>
      </c>
      <c r="AS334">
        <v>98.49</v>
      </c>
      <c r="AT334">
        <v>11945.7</v>
      </c>
    </row>
    <row r="335" spans="34:46" x14ac:dyDescent="0.35">
      <c r="AH335" t="s">
        <v>204</v>
      </c>
      <c r="AI335" t="s">
        <v>180</v>
      </c>
      <c r="AJ335" s="3">
        <v>43615</v>
      </c>
      <c r="AK335" t="s">
        <v>41</v>
      </c>
      <c r="AL335" s="1">
        <v>9400</v>
      </c>
      <c r="AM335" s="1">
        <v>2465.65</v>
      </c>
      <c r="AN335" s="1">
        <v>2549.9</v>
      </c>
      <c r="AO335" s="1">
        <v>2465.65</v>
      </c>
      <c r="AP335" s="1">
        <v>2457.75</v>
      </c>
      <c r="AQ335" s="1">
        <v>2544</v>
      </c>
      <c r="AR335">
        <v>11</v>
      </c>
      <c r="AS335">
        <v>98.47</v>
      </c>
      <c r="AT335">
        <v>11945.7</v>
      </c>
    </row>
    <row r="336" spans="34:46" x14ac:dyDescent="0.35">
      <c r="AH336" t="s">
        <v>204</v>
      </c>
      <c r="AI336" t="s">
        <v>180</v>
      </c>
      <c r="AJ336" s="3">
        <v>43615</v>
      </c>
      <c r="AK336" t="s">
        <v>41</v>
      </c>
      <c r="AL336" s="1">
        <v>10100</v>
      </c>
      <c r="AM336" s="1">
        <v>1776.35</v>
      </c>
      <c r="AN336" s="1">
        <v>1850</v>
      </c>
      <c r="AO336" s="1">
        <v>1776.35</v>
      </c>
      <c r="AP336" s="1">
        <v>1770</v>
      </c>
      <c r="AQ336" s="1">
        <v>1825</v>
      </c>
      <c r="AR336">
        <v>11</v>
      </c>
      <c r="AS336">
        <v>98.27</v>
      </c>
      <c r="AT336">
        <v>11945.7</v>
      </c>
    </row>
    <row r="337" spans="34:46" x14ac:dyDescent="0.35">
      <c r="AH337" t="s">
        <v>204</v>
      </c>
      <c r="AI337" t="s">
        <v>180</v>
      </c>
      <c r="AJ337" s="3">
        <v>43734</v>
      </c>
      <c r="AK337" t="s">
        <v>41</v>
      </c>
      <c r="AL337" s="1">
        <v>12000</v>
      </c>
      <c r="AM337">
        <v>427.65</v>
      </c>
      <c r="AN337">
        <v>427.65</v>
      </c>
      <c r="AO337">
        <v>410</v>
      </c>
      <c r="AP337" s="1">
        <v>400</v>
      </c>
      <c r="AQ337">
        <v>410</v>
      </c>
      <c r="AR337">
        <v>10</v>
      </c>
      <c r="AS337">
        <v>93.11</v>
      </c>
      <c r="AT337">
        <v>11945.7</v>
      </c>
    </row>
    <row r="338" spans="34:46" x14ac:dyDescent="0.35">
      <c r="AH338" t="s">
        <v>204</v>
      </c>
      <c r="AI338" t="s">
        <v>180</v>
      </c>
      <c r="AJ338" s="3">
        <v>43622</v>
      </c>
      <c r="AK338" t="s">
        <v>42</v>
      </c>
      <c r="AL338" s="1">
        <v>11250</v>
      </c>
      <c r="AM338">
        <v>1.45</v>
      </c>
      <c r="AN338">
        <v>9.65</v>
      </c>
      <c r="AO338">
        <v>1.45</v>
      </c>
      <c r="AP338" s="1">
        <v>68.8</v>
      </c>
      <c r="AQ338">
        <v>9.65</v>
      </c>
      <c r="AR338">
        <v>11</v>
      </c>
      <c r="AS338">
        <v>92.83</v>
      </c>
      <c r="AT338">
        <v>11945.7</v>
      </c>
    </row>
    <row r="339" spans="34:46" x14ac:dyDescent="0.35">
      <c r="AH339" t="s">
        <v>204</v>
      </c>
      <c r="AI339" t="s">
        <v>180</v>
      </c>
      <c r="AJ339" s="3">
        <v>43643</v>
      </c>
      <c r="AK339" t="s">
        <v>42</v>
      </c>
      <c r="AL339" s="1">
        <v>12700</v>
      </c>
      <c r="AM339">
        <v>740</v>
      </c>
      <c r="AN339">
        <v>740</v>
      </c>
      <c r="AO339">
        <v>700</v>
      </c>
      <c r="AP339" s="1">
        <v>855</v>
      </c>
      <c r="AQ339">
        <v>718</v>
      </c>
      <c r="AR339">
        <v>9</v>
      </c>
      <c r="AS339">
        <v>90.53</v>
      </c>
      <c r="AT339">
        <v>11945.7</v>
      </c>
    </row>
    <row r="340" spans="34:46" x14ac:dyDescent="0.35">
      <c r="AH340" t="s">
        <v>204</v>
      </c>
      <c r="AI340" t="s">
        <v>180</v>
      </c>
      <c r="AJ340" s="3">
        <v>43615</v>
      </c>
      <c r="AK340" t="s">
        <v>41</v>
      </c>
      <c r="AL340" s="1">
        <v>10950</v>
      </c>
      <c r="AM340">
        <v>918.2</v>
      </c>
      <c r="AN340">
        <v>997.3</v>
      </c>
      <c r="AO340">
        <v>901.7</v>
      </c>
      <c r="AP340" s="1">
        <v>938</v>
      </c>
      <c r="AQ340">
        <v>997.3</v>
      </c>
      <c r="AR340">
        <v>10</v>
      </c>
      <c r="AS340">
        <v>89.09</v>
      </c>
      <c r="AT340">
        <v>11945.7</v>
      </c>
    </row>
    <row r="341" spans="34:46" x14ac:dyDescent="0.35">
      <c r="AH341" t="s">
        <v>204</v>
      </c>
      <c r="AI341" t="s">
        <v>180</v>
      </c>
      <c r="AJ341" s="3">
        <v>43643</v>
      </c>
      <c r="AK341" t="s">
        <v>41</v>
      </c>
      <c r="AL341" s="1">
        <v>12350</v>
      </c>
      <c r="AM341">
        <v>40.799999999999997</v>
      </c>
      <c r="AN341">
        <v>46.95</v>
      </c>
      <c r="AO341">
        <v>30.15</v>
      </c>
      <c r="AP341" s="1">
        <v>38.65</v>
      </c>
      <c r="AQ341">
        <v>42.1</v>
      </c>
      <c r="AR341">
        <v>9</v>
      </c>
      <c r="AS341">
        <v>83.64</v>
      </c>
      <c r="AT341">
        <v>11945.7</v>
      </c>
    </row>
    <row r="342" spans="34:46" x14ac:dyDescent="0.35">
      <c r="AH342" t="s">
        <v>204</v>
      </c>
      <c r="AI342" t="s">
        <v>180</v>
      </c>
      <c r="AJ342" s="3">
        <v>43629</v>
      </c>
      <c r="AK342" t="s">
        <v>41</v>
      </c>
      <c r="AL342" s="1">
        <v>11600</v>
      </c>
      <c r="AM342">
        <v>362.85</v>
      </c>
      <c r="AN342">
        <v>378.7</v>
      </c>
      <c r="AO342">
        <v>362.75</v>
      </c>
      <c r="AP342" s="1">
        <v>303.2</v>
      </c>
      <c r="AQ342">
        <v>377.25</v>
      </c>
      <c r="AR342">
        <v>9</v>
      </c>
      <c r="AS342">
        <v>80.790000000000006</v>
      </c>
      <c r="AT342">
        <v>11945.7</v>
      </c>
    </row>
    <row r="343" spans="34:46" x14ac:dyDescent="0.35">
      <c r="AH343" t="s">
        <v>204</v>
      </c>
      <c r="AI343" t="s">
        <v>180</v>
      </c>
      <c r="AJ343" s="3">
        <v>43671</v>
      </c>
      <c r="AK343" t="s">
        <v>42</v>
      </c>
      <c r="AL343" s="1">
        <v>12500</v>
      </c>
      <c r="AM343">
        <v>599</v>
      </c>
      <c r="AN343">
        <v>599</v>
      </c>
      <c r="AO343">
        <v>555</v>
      </c>
      <c r="AP343" s="1">
        <v>598</v>
      </c>
      <c r="AQ343">
        <v>560</v>
      </c>
      <c r="AR343">
        <v>8</v>
      </c>
      <c r="AS343">
        <v>78.400000000000006</v>
      </c>
      <c r="AT343">
        <v>11945.7</v>
      </c>
    </row>
    <row r="344" spans="34:46" x14ac:dyDescent="0.35">
      <c r="AH344" t="s">
        <v>204</v>
      </c>
      <c r="AI344" t="s">
        <v>180</v>
      </c>
      <c r="AJ344" s="3">
        <v>43643</v>
      </c>
      <c r="AK344" t="s">
        <v>41</v>
      </c>
      <c r="AL344" s="1">
        <v>11650</v>
      </c>
      <c r="AM344">
        <v>376</v>
      </c>
      <c r="AN344">
        <v>406.75</v>
      </c>
      <c r="AO344">
        <v>376</v>
      </c>
      <c r="AP344" s="1">
        <v>372.75</v>
      </c>
      <c r="AQ344">
        <v>406.75</v>
      </c>
      <c r="AR344">
        <v>8</v>
      </c>
      <c r="AS344">
        <v>72.209999999999994</v>
      </c>
      <c r="AT344">
        <v>11945.7</v>
      </c>
    </row>
    <row r="345" spans="34:46" x14ac:dyDescent="0.35">
      <c r="AH345" t="s">
        <v>204</v>
      </c>
      <c r="AI345" t="s">
        <v>180</v>
      </c>
      <c r="AJ345" s="3">
        <v>43615</v>
      </c>
      <c r="AK345" t="s">
        <v>42</v>
      </c>
      <c r="AL345" s="1">
        <v>12600</v>
      </c>
      <c r="AM345">
        <v>711.7</v>
      </c>
      <c r="AN345">
        <v>711.7</v>
      </c>
      <c r="AO345">
        <v>638.79999999999995</v>
      </c>
      <c r="AP345" s="1">
        <v>725.15</v>
      </c>
      <c r="AQ345">
        <v>670</v>
      </c>
      <c r="AR345">
        <v>7</v>
      </c>
      <c r="AS345">
        <v>69.64</v>
      </c>
      <c r="AT345">
        <v>11945.7</v>
      </c>
    </row>
    <row r="346" spans="34:46" x14ac:dyDescent="0.35">
      <c r="AH346" t="s">
        <v>204</v>
      </c>
      <c r="AI346" t="s">
        <v>180</v>
      </c>
      <c r="AJ346" s="3">
        <v>43825</v>
      </c>
      <c r="AK346" t="s">
        <v>41</v>
      </c>
      <c r="AL346" s="1">
        <v>11500</v>
      </c>
      <c r="AM346">
        <v>950</v>
      </c>
      <c r="AN346">
        <v>990</v>
      </c>
      <c r="AO346">
        <v>950</v>
      </c>
      <c r="AP346" s="1">
        <v>941</v>
      </c>
      <c r="AQ346">
        <v>975.1</v>
      </c>
      <c r="AR346">
        <v>7</v>
      </c>
      <c r="AS346">
        <v>65.489999999999995</v>
      </c>
      <c r="AT346">
        <v>11945.7</v>
      </c>
    </row>
    <row r="347" spans="34:46" x14ac:dyDescent="0.35">
      <c r="AH347" t="s">
        <v>204</v>
      </c>
      <c r="AI347" t="s">
        <v>180</v>
      </c>
      <c r="AJ347" s="3">
        <v>43629</v>
      </c>
      <c r="AK347" t="s">
        <v>41</v>
      </c>
      <c r="AL347" s="1">
        <v>12050</v>
      </c>
      <c r="AM347">
        <v>84.4</v>
      </c>
      <c r="AN347">
        <v>85.4</v>
      </c>
      <c r="AO347">
        <v>79.05</v>
      </c>
      <c r="AP347" s="1">
        <v>111.05</v>
      </c>
      <c r="AQ347">
        <v>85.4</v>
      </c>
      <c r="AR347">
        <v>7</v>
      </c>
      <c r="AS347">
        <v>63.7</v>
      </c>
      <c r="AT347">
        <v>11945.7</v>
      </c>
    </row>
    <row r="348" spans="34:46" x14ac:dyDescent="0.35">
      <c r="AH348" t="s">
        <v>204</v>
      </c>
      <c r="AI348" t="s">
        <v>180</v>
      </c>
      <c r="AJ348" s="3">
        <v>43622</v>
      </c>
      <c r="AK348" t="s">
        <v>42</v>
      </c>
      <c r="AL348" s="1">
        <v>10600</v>
      </c>
      <c r="AM348">
        <v>0.3</v>
      </c>
      <c r="AN348">
        <v>2.5</v>
      </c>
      <c r="AO348">
        <v>0.3</v>
      </c>
      <c r="AP348" s="1">
        <v>5.45</v>
      </c>
      <c r="AQ348">
        <v>1.6</v>
      </c>
      <c r="AR348">
        <v>8</v>
      </c>
      <c r="AS348">
        <v>63.61</v>
      </c>
      <c r="AT348">
        <v>11945.7</v>
      </c>
    </row>
    <row r="349" spans="34:46" x14ac:dyDescent="0.35">
      <c r="AH349" t="s">
        <v>204</v>
      </c>
      <c r="AI349" t="s">
        <v>180</v>
      </c>
      <c r="AJ349" s="3">
        <v>43825</v>
      </c>
      <c r="AK349" t="s">
        <v>41</v>
      </c>
      <c r="AL349" s="1">
        <v>8000</v>
      </c>
      <c r="AM349" s="1">
        <v>4025.1</v>
      </c>
      <c r="AN349" s="1">
        <v>4050</v>
      </c>
      <c r="AO349" s="1">
        <v>4020</v>
      </c>
      <c r="AP349" s="1">
        <v>4110</v>
      </c>
      <c r="AQ349" s="1">
        <v>4030</v>
      </c>
      <c r="AR349">
        <v>7</v>
      </c>
      <c r="AS349">
        <v>63.19</v>
      </c>
      <c r="AT349">
        <v>11945.7</v>
      </c>
    </row>
    <row r="350" spans="34:46" x14ac:dyDescent="0.35">
      <c r="AH350" t="s">
        <v>204</v>
      </c>
      <c r="AI350" t="s">
        <v>180</v>
      </c>
      <c r="AJ350" s="3">
        <v>43643</v>
      </c>
      <c r="AK350" t="s">
        <v>42</v>
      </c>
      <c r="AL350" s="1">
        <v>11250</v>
      </c>
      <c r="AM350">
        <v>36</v>
      </c>
      <c r="AN350">
        <v>36</v>
      </c>
      <c r="AO350">
        <v>32</v>
      </c>
      <c r="AP350" s="1">
        <v>36</v>
      </c>
      <c r="AQ350">
        <v>32</v>
      </c>
      <c r="AR350">
        <v>7</v>
      </c>
      <c r="AS350">
        <v>59.24</v>
      </c>
      <c r="AT350">
        <v>11945.7</v>
      </c>
    </row>
    <row r="351" spans="34:46" x14ac:dyDescent="0.35">
      <c r="AH351" t="s">
        <v>204</v>
      </c>
      <c r="AI351" t="s">
        <v>180</v>
      </c>
      <c r="AJ351" s="3">
        <v>44196</v>
      </c>
      <c r="AK351" t="s">
        <v>41</v>
      </c>
      <c r="AL351" s="1">
        <v>10500</v>
      </c>
      <c r="AM351" s="1">
        <v>2350</v>
      </c>
      <c r="AN351" s="1">
        <v>2350</v>
      </c>
      <c r="AO351" s="1">
        <v>2350</v>
      </c>
      <c r="AP351" s="1">
        <v>2300</v>
      </c>
      <c r="AQ351" s="1">
        <v>2350</v>
      </c>
      <c r="AR351">
        <v>6</v>
      </c>
      <c r="AS351">
        <v>57.83</v>
      </c>
      <c r="AT351">
        <v>11945.7</v>
      </c>
    </row>
    <row r="352" spans="34:46" x14ac:dyDescent="0.35">
      <c r="AH352" t="s">
        <v>204</v>
      </c>
      <c r="AI352" t="s">
        <v>180</v>
      </c>
      <c r="AJ352" s="3">
        <v>43615</v>
      </c>
      <c r="AK352" t="s">
        <v>41</v>
      </c>
      <c r="AL352" s="1">
        <v>12750</v>
      </c>
      <c r="AM352">
        <v>0.35</v>
      </c>
      <c r="AN352">
        <v>0.35</v>
      </c>
      <c r="AO352">
        <v>0.05</v>
      </c>
      <c r="AP352" s="1">
        <v>0.5</v>
      </c>
      <c r="AQ352">
        <v>0.05</v>
      </c>
      <c r="AR352">
        <v>6</v>
      </c>
      <c r="AS352">
        <v>57.38</v>
      </c>
      <c r="AT352">
        <v>11945.7</v>
      </c>
    </row>
    <row r="353" spans="34:46" x14ac:dyDescent="0.35">
      <c r="AH353" t="s">
        <v>204</v>
      </c>
      <c r="AI353" t="s">
        <v>180</v>
      </c>
      <c r="AJ353" s="3">
        <v>43671</v>
      </c>
      <c r="AK353" t="s">
        <v>41</v>
      </c>
      <c r="AL353" s="1">
        <v>11000</v>
      </c>
      <c r="AM353" s="1">
        <v>1006</v>
      </c>
      <c r="AN353" s="1">
        <v>1048</v>
      </c>
      <c r="AO353" s="1">
        <v>1006</v>
      </c>
      <c r="AP353" s="1">
        <v>1000</v>
      </c>
      <c r="AQ353" s="1">
        <v>1040</v>
      </c>
      <c r="AR353">
        <v>6</v>
      </c>
      <c r="AS353">
        <v>54.11</v>
      </c>
      <c r="AT353">
        <v>11945.7</v>
      </c>
    </row>
    <row r="354" spans="34:46" x14ac:dyDescent="0.35">
      <c r="AH354" t="s">
        <v>204</v>
      </c>
      <c r="AI354" t="s">
        <v>180</v>
      </c>
      <c r="AJ354" s="3">
        <v>43629</v>
      </c>
      <c r="AK354" t="s">
        <v>41</v>
      </c>
      <c r="AL354" s="1">
        <v>11500</v>
      </c>
      <c r="AM354">
        <v>393.35</v>
      </c>
      <c r="AN354">
        <v>459.8</v>
      </c>
      <c r="AO354">
        <v>393.35</v>
      </c>
      <c r="AP354" s="1">
        <v>364.05</v>
      </c>
      <c r="AQ354">
        <v>459.8</v>
      </c>
      <c r="AR354">
        <v>6</v>
      </c>
      <c r="AS354">
        <v>53.62</v>
      </c>
      <c r="AT354">
        <v>11945.7</v>
      </c>
    </row>
    <row r="355" spans="34:46" x14ac:dyDescent="0.35">
      <c r="AH355" t="s">
        <v>204</v>
      </c>
      <c r="AI355" t="s">
        <v>180</v>
      </c>
      <c r="AJ355" s="3">
        <v>43615</v>
      </c>
      <c r="AK355" t="s">
        <v>42</v>
      </c>
      <c r="AL355" s="1">
        <v>9400</v>
      </c>
      <c r="AM355">
        <v>0.05</v>
      </c>
      <c r="AN355">
        <v>0.1</v>
      </c>
      <c r="AO355">
        <v>0.05</v>
      </c>
      <c r="AP355" s="1">
        <v>0.2</v>
      </c>
      <c r="AQ355">
        <v>0.05</v>
      </c>
      <c r="AR355">
        <v>7</v>
      </c>
      <c r="AS355">
        <v>49.35</v>
      </c>
      <c r="AT355">
        <v>11945.7</v>
      </c>
    </row>
    <row r="356" spans="34:46" x14ac:dyDescent="0.35">
      <c r="AH356" t="s">
        <v>204</v>
      </c>
      <c r="AI356" t="s">
        <v>180</v>
      </c>
      <c r="AJ356" s="3">
        <v>43615</v>
      </c>
      <c r="AK356" t="s">
        <v>41</v>
      </c>
      <c r="AL356" s="1">
        <v>11050</v>
      </c>
      <c r="AM356">
        <v>837.4</v>
      </c>
      <c r="AN356">
        <v>888.85</v>
      </c>
      <c r="AO356">
        <v>837.4</v>
      </c>
      <c r="AP356" s="1">
        <v>800.7</v>
      </c>
      <c r="AQ356">
        <v>888.85</v>
      </c>
      <c r="AR356">
        <v>5</v>
      </c>
      <c r="AS356">
        <v>44.66</v>
      </c>
      <c r="AT356">
        <v>11945.7</v>
      </c>
    </row>
    <row r="357" spans="34:46" x14ac:dyDescent="0.35">
      <c r="AH357" t="s">
        <v>204</v>
      </c>
      <c r="AI357" t="s">
        <v>180</v>
      </c>
      <c r="AJ357" s="3">
        <v>43629</v>
      </c>
      <c r="AK357" t="s">
        <v>42</v>
      </c>
      <c r="AL357" s="1">
        <v>11750</v>
      </c>
      <c r="AM357">
        <v>56.2</v>
      </c>
      <c r="AN357">
        <v>56.2</v>
      </c>
      <c r="AO357">
        <v>56.05</v>
      </c>
      <c r="AP357">
        <v>72.05</v>
      </c>
      <c r="AQ357">
        <v>56.05</v>
      </c>
      <c r="AR357">
        <v>5</v>
      </c>
      <c r="AS357">
        <v>44.27</v>
      </c>
      <c r="AT357">
        <v>11945.7</v>
      </c>
    </row>
    <row r="358" spans="34:46" x14ac:dyDescent="0.35">
      <c r="AH358" t="s">
        <v>204</v>
      </c>
      <c r="AI358" t="s">
        <v>180</v>
      </c>
      <c r="AJ358" s="3">
        <v>43643</v>
      </c>
      <c r="AK358" t="s">
        <v>42</v>
      </c>
      <c r="AL358" s="1">
        <v>8000</v>
      </c>
      <c r="AM358">
        <v>2.2000000000000002</v>
      </c>
      <c r="AN358">
        <v>2.5</v>
      </c>
      <c r="AO358">
        <v>1.9</v>
      </c>
      <c r="AP358">
        <v>1.75</v>
      </c>
      <c r="AQ358">
        <v>2.5</v>
      </c>
      <c r="AR358">
        <v>7</v>
      </c>
      <c r="AS358">
        <v>42.01</v>
      </c>
      <c r="AT358">
        <v>11945.7</v>
      </c>
    </row>
    <row r="359" spans="34:46" x14ac:dyDescent="0.35">
      <c r="AH359" t="s">
        <v>204</v>
      </c>
      <c r="AI359" t="s">
        <v>180</v>
      </c>
      <c r="AJ359" s="3">
        <v>43643</v>
      </c>
      <c r="AK359" t="s">
        <v>42</v>
      </c>
      <c r="AL359" s="1">
        <v>12900</v>
      </c>
      <c r="AM359">
        <v>910</v>
      </c>
      <c r="AN359">
        <v>910</v>
      </c>
      <c r="AO359">
        <v>910</v>
      </c>
      <c r="AP359" s="1">
        <v>1367</v>
      </c>
      <c r="AQ359">
        <v>910</v>
      </c>
      <c r="AR359">
        <v>4</v>
      </c>
      <c r="AS359">
        <v>41.43</v>
      </c>
      <c r="AT359">
        <v>11945.7</v>
      </c>
    </row>
    <row r="360" spans="34:46" x14ac:dyDescent="0.35">
      <c r="AH360" t="s">
        <v>204</v>
      </c>
      <c r="AI360" t="s">
        <v>180</v>
      </c>
      <c r="AJ360" s="3">
        <v>43622</v>
      </c>
      <c r="AK360" t="s">
        <v>41</v>
      </c>
      <c r="AL360" s="1">
        <v>13300</v>
      </c>
      <c r="AM360">
        <v>3</v>
      </c>
      <c r="AN360">
        <v>3</v>
      </c>
      <c r="AO360">
        <v>0.5</v>
      </c>
      <c r="AP360" s="1">
        <v>3.5</v>
      </c>
      <c r="AQ360">
        <v>0.5</v>
      </c>
      <c r="AR360">
        <v>4</v>
      </c>
      <c r="AS360">
        <v>39.9</v>
      </c>
      <c r="AT360">
        <v>11945.7</v>
      </c>
    </row>
    <row r="361" spans="34:46" x14ac:dyDescent="0.35">
      <c r="AH361" t="s">
        <v>204</v>
      </c>
      <c r="AI361" t="s">
        <v>180</v>
      </c>
      <c r="AJ361" s="3">
        <v>43615</v>
      </c>
      <c r="AK361" t="s">
        <v>41</v>
      </c>
      <c r="AL361" s="1">
        <v>12850</v>
      </c>
      <c r="AM361">
        <v>0.05</v>
      </c>
      <c r="AN361">
        <v>0.05</v>
      </c>
      <c r="AO361">
        <v>0.05</v>
      </c>
      <c r="AP361" s="1">
        <v>0.75</v>
      </c>
      <c r="AQ361">
        <v>0.05</v>
      </c>
      <c r="AR361">
        <v>4</v>
      </c>
      <c r="AS361">
        <v>38.549999999999997</v>
      </c>
      <c r="AT361">
        <v>11945.7</v>
      </c>
    </row>
    <row r="362" spans="34:46" x14ac:dyDescent="0.35">
      <c r="AH362" t="s">
        <v>204</v>
      </c>
      <c r="AI362" t="s">
        <v>180</v>
      </c>
      <c r="AJ362" s="3">
        <v>43671</v>
      </c>
      <c r="AK362" t="s">
        <v>41</v>
      </c>
      <c r="AL362" s="1">
        <v>10000</v>
      </c>
      <c r="AM362" s="1">
        <v>1980</v>
      </c>
      <c r="AN362" s="1">
        <v>1985</v>
      </c>
      <c r="AO362" s="1">
        <v>1980</v>
      </c>
      <c r="AP362" s="1">
        <v>1652.25</v>
      </c>
      <c r="AQ362" s="1">
        <v>1985</v>
      </c>
      <c r="AR362">
        <v>4</v>
      </c>
      <c r="AS362">
        <v>35.950000000000003</v>
      </c>
      <c r="AT362">
        <v>11945.7</v>
      </c>
    </row>
    <row r="363" spans="34:46" x14ac:dyDescent="0.35">
      <c r="AH363" t="s">
        <v>204</v>
      </c>
      <c r="AI363" t="s">
        <v>180</v>
      </c>
      <c r="AJ363" s="3">
        <v>43643</v>
      </c>
      <c r="AK363" t="s">
        <v>41</v>
      </c>
      <c r="AL363" s="1">
        <v>11150</v>
      </c>
      <c r="AM363">
        <v>803.45</v>
      </c>
      <c r="AN363">
        <v>805</v>
      </c>
      <c r="AO363">
        <v>803.45</v>
      </c>
      <c r="AP363" s="1">
        <v>717.1</v>
      </c>
      <c r="AQ363">
        <v>805</v>
      </c>
      <c r="AR363">
        <v>4</v>
      </c>
      <c r="AS363">
        <v>35.86</v>
      </c>
      <c r="AT363">
        <v>11945.7</v>
      </c>
    </row>
    <row r="364" spans="34:46" x14ac:dyDescent="0.35">
      <c r="AH364" t="s">
        <v>204</v>
      </c>
      <c r="AI364" t="s">
        <v>180</v>
      </c>
      <c r="AJ364" s="3">
        <v>43643</v>
      </c>
      <c r="AK364" t="s">
        <v>42</v>
      </c>
      <c r="AL364" s="1">
        <v>11050</v>
      </c>
      <c r="AM364">
        <v>28.95</v>
      </c>
      <c r="AN364">
        <v>28.95</v>
      </c>
      <c r="AO364">
        <v>28.95</v>
      </c>
      <c r="AP364">
        <v>29</v>
      </c>
      <c r="AQ364">
        <v>28.95</v>
      </c>
      <c r="AR364">
        <v>4</v>
      </c>
      <c r="AS364">
        <v>33.24</v>
      </c>
      <c r="AT364">
        <v>11945.7</v>
      </c>
    </row>
    <row r="365" spans="34:46" x14ac:dyDescent="0.35">
      <c r="AH365" t="s">
        <v>204</v>
      </c>
      <c r="AI365" t="s">
        <v>180</v>
      </c>
      <c r="AJ365" s="3">
        <v>43622</v>
      </c>
      <c r="AK365" t="s">
        <v>42</v>
      </c>
      <c r="AL365" s="1">
        <v>11050</v>
      </c>
      <c r="AM365">
        <v>3.75</v>
      </c>
      <c r="AN365">
        <v>3.75</v>
      </c>
      <c r="AO365">
        <v>2.8</v>
      </c>
      <c r="AP365" s="1">
        <v>14.5</v>
      </c>
      <c r="AQ365">
        <v>2.8</v>
      </c>
      <c r="AR365">
        <v>4</v>
      </c>
      <c r="AS365">
        <v>33.159999999999997</v>
      </c>
      <c r="AT365">
        <v>11945.7</v>
      </c>
    </row>
    <row r="366" spans="34:46" x14ac:dyDescent="0.35">
      <c r="AH366" t="s">
        <v>204</v>
      </c>
      <c r="AI366" t="s">
        <v>180</v>
      </c>
      <c r="AJ366" s="3">
        <v>43615</v>
      </c>
      <c r="AK366" t="s">
        <v>42</v>
      </c>
      <c r="AL366" s="1">
        <v>13100</v>
      </c>
      <c r="AM366" s="1">
        <v>1151.3499999999999</v>
      </c>
      <c r="AN366" s="1">
        <v>1151.3499999999999</v>
      </c>
      <c r="AO366" s="1">
        <v>1147.25</v>
      </c>
      <c r="AP366" s="1">
        <v>1180.25</v>
      </c>
      <c r="AQ366" s="1">
        <v>1151.3</v>
      </c>
      <c r="AR366">
        <v>3</v>
      </c>
      <c r="AS366">
        <v>32.06</v>
      </c>
      <c r="AT366">
        <v>11945.7</v>
      </c>
    </row>
    <row r="367" spans="34:46" x14ac:dyDescent="0.35">
      <c r="AH367" t="s">
        <v>204</v>
      </c>
      <c r="AI367" t="s">
        <v>180</v>
      </c>
      <c r="AJ367" s="3">
        <v>44196</v>
      </c>
      <c r="AK367" t="s">
        <v>42</v>
      </c>
      <c r="AL367" s="1">
        <v>10300</v>
      </c>
      <c r="AM367">
        <v>192</v>
      </c>
      <c r="AN367">
        <v>192</v>
      </c>
      <c r="AO367">
        <v>192</v>
      </c>
      <c r="AP367" s="1">
        <v>245</v>
      </c>
      <c r="AQ367">
        <v>192</v>
      </c>
      <c r="AR367">
        <v>4</v>
      </c>
      <c r="AS367">
        <v>31.48</v>
      </c>
      <c r="AT367">
        <v>11945.7</v>
      </c>
    </row>
    <row r="368" spans="34:46" x14ac:dyDescent="0.35">
      <c r="AH368" t="s">
        <v>204</v>
      </c>
      <c r="AI368" t="s">
        <v>180</v>
      </c>
      <c r="AJ368" s="3">
        <v>43643</v>
      </c>
      <c r="AK368" t="s">
        <v>42</v>
      </c>
      <c r="AL368" s="1">
        <v>12800</v>
      </c>
      <c r="AM368">
        <v>835.5</v>
      </c>
      <c r="AN368">
        <v>835.5</v>
      </c>
      <c r="AO368">
        <v>804.1</v>
      </c>
      <c r="AP368" s="1">
        <v>875</v>
      </c>
      <c r="AQ368">
        <v>820</v>
      </c>
      <c r="AR368">
        <v>3</v>
      </c>
      <c r="AS368">
        <v>30.64</v>
      </c>
      <c r="AT368">
        <v>11945.7</v>
      </c>
    </row>
    <row r="369" spans="34:46" x14ac:dyDescent="0.35">
      <c r="AH369" t="s">
        <v>204</v>
      </c>
      <c r="AI369" t="s">
        <v>180</v>
      </c>
      <c r="AJ369" s="3">
        <v>43671</v>
      </c>
      <c r="AK369" t="s">
        <v>42</v>
      </c>
      <c r="AL369" s="1">
        <v>10150</v>
      </c>
      <c r="AM369">
        <v>16</v>
      </c>
      <c r="AN369">
        <v>16.7</v>
      </c>
      <c r="AO369">
        <v>16</v>
      </c>
      <c r="AP369" s="1">
        <v>15</v>
      </c>
      <c r="AQ369">
        <v>16.7</v>
      </c>
      <c r="AR369">
        <v>4</v>
      </c>
      <c r="AS369">
        <v>30.5</v>
      </c>
      <c r="AT369">
        <v>11945.7</v>
      </c>
    </row>
    <row r="370" spans="34:46" x14ac:dyDescent="0.35">
      <c r="AH370" t="s">
        <v>204</v>
      </c>
      <c r="AI370" t="s">
        <v>180</v>
      </c>
      <c r="AJ370" s="3">
        <v>43671</v>
      </c>
      <c r="AK370" t="s">
        <v>42</v>
      </c>
      <c r="AL370" s="1">
        <v>10000</v>
      </c>
      <c r="AM370">
        <v>1.45</v>
      </c>
      <c r="AN370">
        <v>3.55</v>
      </c>
      <c r="AO370">
        <v>1.45</v>
      </c>
      <c r="AP370" s="1">
        <v>1.4</v>
      </c>
      <c r="AQ370">
        <v>3.55</v>
      </c>
      <c r="AR370">
        <v>4</v>
      </c>
      <c r="AS370">
        <v>30.01</v>
      </c>
      <c r="AT370">
        <v>11945.7</v>
      </c>
    </row>
    <row r="371" spans="34:46" x14ac:dyDescent="0.35">
      <c r="AH371" t="s">
        <v>204</v>
      </c>
      <c r="AI371" t="s">
        <v>180</v>
      </c>
      <c r="AJ371" s="3">
        <v>43825</v>
      </c>
      <c r="AK371" t="s">
        <v>42</v>
      </c>
      <c r="AL371" s="1">
        <v>12500</v>
      </c>
      <c r="AM371">
        <v>635</v>
      </c>
      <c r="AN371">
        <v>635</v>
      </c>
      <c r="AO371">
        <v>635</v>
      </c>
      <c r="AP371" s="1">
        <v>685</v>
      </c>
      <c r="AQ371">
        <v>635</v>
      </c>
      <c r="AR371">
        <v>3</v>
      </c>
      <c r="AS371">
        <v>29.55</v>
      </c>
      <c r="AT371">
        <v>11945.7</v>
      </c>
    </row>
    <row r="372" spans="34:46" x14ac:dyDescent="0.35">
      <c r="AH372" t="s">
        <v>204</v>
      </c>
      <c r="AI372" t="s">
        <v>180</v>
      </c>
      <c r="AJ372" s="3">
        <v>43671</v>
      </c>
      <c r="AK372" t="s">
        <v>42</v>
      </c>
      <c r="AL372" s="1">
        <v>12300</v>
      </c>
      <c r="AM372">
        <v>757</v>
      </c>
      <c r="AN372">
        <v>757</v>
      </c>
      <c r="AO372">
        <v>442.05</v>
      </c>
      <c r="AP372" s="1">
        <v>590</v>
      </c>
      <c r="AQ372">
        <v>442.05</v>
      </c>
      <c r="AR372">
        <v>3</v>
      </c>
      <c r="AS372">
        <v>28.92</v>
      </c>
      <c r="AT372">
        <v>11945.7</v>
      </c>
    </row>
    <row r="373" spans="34:46" x14ac:dyDescent="0.35">
      <c r="AH373" t="s">
        <v>204</v>
      </c>
      <c r="AI373" t="s">
        <v>180</v>
      </c>
      <c r="AJ373" s="3">
        <v>43629</v>
      </c>
      <c r="AK373" t="s">
        <v>42</v>
      </c>
      <c r="AL373" s="1">
        <v>12100</v>
      </c>
      <c r="AM373">
        <v>239.25</v>
      </c>
      <c r="AN373">
        <v>239.25</v>
      </c>
      <c r="AO373">
        <v>205</v>
      </c>
      <c r="AP373" s="1">
        <v>255</v>
      </c>
      <c r="AQ373">
        <v>205</v>
      </c>
      <c r="AR373">
        <v>3</v>
      </c>
      <c r="AS373">
        <v>27.71</v>
      </c>
      <c r="AT373">
        <v>11945.7</v>
      </c>
    </row>
    <row r="374" spans="34:46" x14ac:dyDescent="0.35">
      <c r="AH374" t="s">
        <v>204</v>
      </c>
      <c r="AI374" t="s">
        <v>180</v>
      </c>
      <c r="AJ374" s="3">
        <v>43622</v>
      </c>
      <c r="AK374" t="s">
        <v>41</v>
      </c>
      <c r="AL374" s="1">
        <v>11300</v>
      </c>
      <c r="AM374">
        <v>625</v>
      </c>
      <c r="AN374">
        <v>655</v>
      </c>
      <c r="AO374">
        <v>624.95000000000005</v>
      </c>
      <c r="AP374" s="1">
        <v>515.4</v>
      </c>
      <c r="AQ374">
        <v>655</v>
      </c>
      <c r="AR374">
        <v>3</v>
      </c>
      <c r="AS374">
        <v>26.85</v>
      </c>
      <c r="AT374">
        <v>11945.7</v>
      </c>
    </row>
    <row r="375" spans="34:46" x14ac:dyDescent="0.35">
      <c r="AH375" t="s">
        <v>204</v>
      </c>
      <c r="AI375" t="s">
        <v>180</v>
      </c>
      <c r="AJ375" s="3">
        <v>43622</v>
      </c>
      <c r="AK375" t="s">
        <v>41</v>
      </c>
      <c r="AL375" s="1">
        <v>10600</v>
      </c>
      <c r="AM375" s="1">
        <v>1285.8499999999999</v>
      </c>
      <c r="AN375" s="1">
        <v>1299</v>
      </c>
      <c r="AO375" s="1">
        <v>1285.8499999999999</v>
      </c>
      <c r="AP375" s="1">
        <v>1132.3499999999999</v>
      </c>
      <c r="AQ375" s="1">
        <v>1298.5999999999999</v>
      </c>
      <c r="AR375">
        <v>3</v>
      </c>
      <c r="AS375">
        <v>26.76</v>
      </c>
      <c r="AT375">
        <v>11945.7</v>
      </c>
    </row>
    <row r="376" spans="34:46" x14ac:dyDescent="0.35">
      <c r="AH376" t="s">
        <v>204</v>
      </c>
      <c r="AI376" t="s">
        <v>180</v>
      </c>
      <c r="AJ376" s="3">
        <v>43615</v>
      </c>
      <c r="AK376" t="s">
        <v>42</v>
      </c>
      <c r="AL376" s="1">
        <v>10950</v>
      </c>
      <c r="AM376">
        <v>0.05</v>
      </c>
      <c r="AN376">
        <v>0.15</v>
      </c>
      <c r="AO376">
        <v>0.05</v>
      </c>
      <c r="AP376" s="1">
        <v>0.35</v>
      </c>
      <c r="AQ376">
        <v>0.15</v>
      </c>
      <c r="AR376">
        <v>3</v>
      </c>
      <c r="AS376">
        <v>24.64</v>
      </c>
      <c r="AT376">
        <v>11945.7</v>
      </c>
    </row>
    <row r="377" spans="34:46" x14ac:dyDescent="0.35">
      <c r="AH377" t="s">
        <v>204</v>
      </c>
      <c r="AI377" t="s">
        <v>180</v>
      </c>
      <c r="AJ377" s="3">
        <v>43671</v>
      </c>
      <c r="AK377" t="s">
        <v>42</v>
      </c>
      <c r="AL377" s="1">
        <v>13300</v>
      </c>
      <c r="AM377" s="1">
        <v>1658</v>
      </c>
      <c r="AN377" s="1">
        <v>1658</v>
      </c>
      <c r="AO377" s="1">
        <v>1458</v>
      </c>
      <c r="AP377" s="1">
        <v>1607</v>
      </c>
      <c r="AQ377" s="1">
        <v>1458</v>
      </c>
      <c r="AR377">
        <v>2</v>
      </c>
      <c r="AS377">
        <v>22.29</v>
      </c>
      <c r="AT377">
        <v>11945.7</v>
      </c>
    </row>
    <row r="378" spans="34:46" x14ac:dyDescent="0.35">
      <c r="AH378" t="s">
        <v>204</v>
      </c>
      <c r="AI378" t="s">
        <v>180</v>
      </c>
      <c r="AJ378" s="3">
        <v>43622</v>
      </c>
      <c r="AK378" t="s">
        <v>42</v>
      </c>
      <c r="AL378" s="1">
        <v>12800</v>
      </c>
      <c r="AM378">
        <v>820</v>
      </c>
      <c r="AN378">
        <v>820</v>
      </c>
      <c r="AO378">
        <v>820</v>
      </c>
      <c r="AP378" s="1">
        <v>1059.1500000000001</v>
      </c>
      <c r="AQ378">
        <v>820</v>
      </c>
      <c r="AR378">
        <v>2</v>
      </c>
      <c r="AS378">
        <v>20.43</v>
      </c>
      <c r="AT378">
        <v>11945.7</v>
      </c>
    </row>
    <row r="379" spans="34:46" x14ac:dyDescent="0.35">
      <c r="AH379" t="s">
        <v>204</v>
      </c>
      <c r="AI379" t="s">
        <v>180</v>
      </c>
      <c r="AJ379" s="3">
        <v>43643</v>
      </c>
      <c r="AK379" t="s">
        <v>42</v>
      </c>
      <c r="AL379" s="1">
        <v>12600</v>
      </c>
      <c r="AM379">
        <v>641</v>
      </c>
      <c r="AN379">
        <v>641</v>
      </c>
      <c r="AO379">
        <v>620</v>
      </c>
      <c r="AP379" s="1">
        <v>651.20000000000005</v>
      </c>
      <c r="AQ379">
        <v>620</v>
      </c>
      <c r="AR379">
        <v>2</v>
      </c>
      <c r="AS379">
        <v>19.850000000000001</v>
      </c>
      <c r="AT379">
        <v>11945.7</v>
      </c>
    </row>
    <row r="380" spans="34:46" x14ac:dyDescent="0.35">
      <c r="AH380" t="s">
        <v>204</v>
      </c>
      <c r="AI380" t="s">
        <v>180</v>
      </c>
      <c r="AJ380" s="3">
        <v>43622</v>
      </c>
      <c r="AK380" t="s">
        <v>41</v>
      </c>
      <c r="AL380" s="1">
        <v>12950</v>
      </c>
      <c r="AM380">
        <v>1.3</v>
      </c>
      <c r="AN380">
        <v>1.3</v>
      </c>
      <c r="AO380">
        <v>1.3</v>
      </c>
      <c r="AP380" s="1">
        <v>4</v>
      </c>
      <c r="AQ380">
        <v>1.3</v>
      </c>
      <c r="AR380">
        <v>2</v>
      </c>
      <c r="AS380">
        <v>19.43</v>
      </c>
      <c r="AT380">
        <v>11945.7</v>
      </c>
    </row>
    <row r="381" spans="34:46" x14ac:dyDescent="0.35">
      <c r="AH381" t="s">
        <v>204</v>
      </c>
      <c r="AI381" t="s">
        <v>180</v>
      </c>
      <c r="AJ381" s="3">
        <v>43636</v>
      </c>
      <c r="AK381" t="s">
        <v>41</v>
      </c>
      <c r="AL381" s="1">
        <v>12700</v>
      </c>
      <c r="AM381">
        <v>40.1</v>
      </c>
      <c r="AN381">
        <v>40.1</v>
      </c>
      <c r="AO381">
        <v>20.100000000000001</v>
      </c>
      <c r="AP381" s="1">
        <v>21</v>
      </c>
      <c r="AQ381">
        <v>20.100000000000001</v>
      </c>
      <c r="AR381">
        <v>2</v>
      </c>
      <c r="AS381">
        <v>19.100000000000001</v>
      </c>
      <c r="AT381">
        <v>11945.7</v>
      </c>
    </row>
    <row r="382" spans="34:46" x14ac:dyDescent="0.35">
      <c r="AH382" t="s">
        <v>204</v>
      </c>
      <c r="AI382" t="s">
        <v>180</v>
      </c>
      <c r="AJ382" s="3">
        <v>44007</v>
      </c>
      <c r="AK382" t="s">
        <v>41</v>
      </c>
      <c r="AL382" s="1">
        <v>11100</v>
      </c>
      <c r="AM382" s="1">
        <v>1591</v>
      </c>
      <c r="AN382" s="1">
        <v>1591</v>
      </c>
      <c r="AO382" s="1">
        <v>1591</v>
      </c>
      <c r="AP382" s="1">
        <v>1571</v>
      </c>
      <c r="AQ382" s="1">
        <v>1591</v>
      </c>
      <c r="AR382">
        <v>2</v>
      </c>
      <c r="AS382">
        <v>19.04</v>
      </c>
      <c r="AT382">
        <v>11945.7</v>
      </c>
    </row>
    <row r="383" spans="34:46" x14ac:dyDescent="0.35">
      <c r="AH383" t="s">
        <v>204</v>
      </c>
      <c r="AI383" t="s">
        <v>180</v>
      </c>
      <c r="AJ383" s="3">
        <v>43629</v>
      </c>
      <c r="AK383" t="s">
        <v>41</v>
      </c>
      <c r="AL383" s="1">
        <v>12650</v>
      </c>
      <c r="AM383">
        <v>37.549999999999997</v>
      </c>
      <c r="AN383">
        <v>37.549999999999997</v>
      </c>
      <c r="AO383">
        <v>17.55</v>
      </c>
      <c r="AP383" s="1">
        <v>17.7</v>
      </c>
      <c r="AQ383">
        <v>17.55</v>
      </c>
      <c r="AR383">
        <v>2</v>
      </c>
      <c r="AS383">
        <v>19.02</v>
      </c>
      <c r="AT383">
        <v>11945.7</v>
      </c>
    </row>
    <row r="384" spans="34:46" x14ac:dyDescent="0.35">
      <c r="AH384" t="s">
        <v>204</v>
      </c>
      <c r="AI384" t="s">
        <v>180</v>
      </c>
      <c r="AJ384" s="3">
        <v>44007</v>
      </c>
      <c r="AK384" t="s">
        <v>41</v>
      </c>
      <c r="AL384" s="1">
        <v>10900</v>
      </c>
      <c r="AM384" s="1">
        <v>1715</v>
      </c>
      <c r="AN384" s="1">
        <v>1715</v>
      </c>
      <c r="AO384" s="1">
        <v>1715</v>
      </c>
      <c r="AP384" s="1">
        <v>1650</v>
      </c>
      <c r="AQ384" s="1">
        <v>1715</v>
      </c>
      <c r="AR384">
        <v>2</v>
      </c>
      <c r="AS384">
        <v>18.920000000000002</v>
      </c>
      <c r="AT384">
        <v>11945.7</v>
      </c>
    </row>
    <row r="385" spans="34:46" x14ac:dyDescent="0.35">
      <c r="AH385" t="s">
        <v>204</v>
      </c>
      <c r="AI385" t="s">
        <v>180</v>
      </c>
      <c r="AJ385" s="3">
        <v>43825</v>
      </c>
      <c r="AK385" t="s">
        <v>41</v>
      </c>
      <c r="AL385" s="1">
        <v>11000</v>
      </c>
      <c r="AM385" s="1">
        <v>1360</v>
      </c>
      <c r="AN385" s="1">
        <v>1360</v>
      </c>
      <c r="AO385" s="1">
        <v>1340</v>
      </c>
      <c r="AP385" s="1">
        <v>1340</v>
      </c>
      <c r="AQ385" s="1">
        <v>1340</v>
      </c>
      <c r="AR385">
        <v>2</v>
      </c>
      <c r="AS385">
        <v>18.53</v>
      </c>
      <c r="AT385">
        <v>11945.7</v>
      </c>
    </row>
    <row r="386" spans="34:46" x14ac:dyDescent="0.35">
      <c r="AH386" t="s">
        <v>204</v>
      </c>
      <c r="AI386" t="s">
        <v>180</v>
      </c>
      <c r="AJ386" s="3">
        <v>43671</v>
      </c>
      <c r="AK386" t="s">
        <v>41</v>
      </c>
      <c r="AL386" s="1">
        <v>11600</v>
      </c>
      <c r="AM386">
        <v>515.54999999999995</v>
      </c>
      <c r="AN386">
        <v>524.5</v>
      </c>
      <c r="AO386">
        <v>515.54999999999995</v>
      </c>
      <c r="AP386" s="1">
        <v>465</v>
      </c>
      <c r="AQ386">
        <v>524.5</v>
      </c>
      <c r="AR386">
        <v>2</v>
      </c>
      <c r="AS386">
        <v>18.18</v>
      </c>
      <c r="AT386">
        <v>11945.7</v>
      </c>
    </row>
    <row r="387" spans="34:46" x14ac:dyDescent="0.35">
      <c r="AH387" t="s">
        <v>204</v>
      </c>
      <c r="AI387" t="s">
        <v>180</v>
      </c>
      <c r="AJ387" s="3">
        <v>43825</v>
      </c>
      <c r="AK387" t="s">
        <v>41</v>
      </c>
      <c r="AL387" s="1">
        <v>9000</v>
      </c>
      <c r="AM387" s="1">
        <v>3090</v>
      </c>
      <c r="AN387" s="1">
        <v>3100</v>
      </c>
      <c r="AO387" s="1">
        <v>3090</v>
      </c>
      <c r="AP387" s="1">
        <v>3045.1</v>
      </c>
      <c r="AQ387" s="1">
        <v>3100</v>
      </c>
      <c r="AR387">
        <v>2</v>
      </c>
      <c r="AS387">
        <v>18.14</v>
      </c>
      <c r="AT387">
        <v>11945.7</v>
      </c>
    </row>
    <row r="388" spans="34:46" x14ac:dyDescent="0.35">
      <c r="AH388" t="s">
        <v>204</v>
      </c>
      <c r="AI388" t="s">
        <v>180</v>
      </c>
      <c r="AJ388" s="3">
        <v>43825</v>
      </c>
      <c r="AK388" t="s">
        <v>41</v>
      </c>
      <c r="AL388" s="1">
        <v>8500</v>
      </c>
      <c r="AM388" s="1">
        <v>3595</v>
      </c>
      <c r="AN388" s="1">
        <v>3595</v>
      </c>
      <c r="AO388" s="1">
        <v>3594</v>
      </c>
      <c r="AP388" s="1">
        <v>3514.5</v>
      </c>
      <c r="AQ388" s="1">
        <v>3594</v>
      </c>
      <c r="AR388">
        <v>2</v>
      </c>
      <c r="AS388">
        <v>18.14</v>
      </c>
      <c r="AT388">
        <v>11945.7</v>
      </c>
    </row>
    <row r="389" spans="34:46" x14ac:dyDescent="0.35">
      <c r="AH389" t="s">
        <v>204</v>
      </c>
      <c r="AI389" t="s">
        <v>180</v>
      </c>
      <c r="AJ389" s="3">
        <v>43825</v>
      </c>
      <c r="AK389" t="s">
        <v>41</v>
      </c>
      <c r="AL389" s="1">
        <v>8600</v>
      </c>
      <c r="AM389" s="1">
        <v>3475</v>
      </c>
      <c r="AN389" s="1">
        <v>3475</v>
      </c>
      <c r="AO389" s="1">
        <v>3474</v>
      </c>
      <c r="AP389" s="1">
        <v>3394.5</v>
      </c>
      <c r="AQ389" s="1">
        <v>3474</v>
      </c>
      <c r="AR389">
        <v>2</v>
      </c>
      <c r="AS389">
        <v>18.11</v>
      </c>
      <c r="AT389">
        <v>11945.7</v>
      </c>
    </row>
    <row r="390" spans="34:46" x14ac:dyDescent="0.35">
      <c r="AH390" t="s">
        <v>204</v>
      </c>
      <c r="AI390" t="s">
        <v>180</v>
      </c>
      <c r="AJ390" s="3">
        <v>43825</v>
      </c>
      <c r="AK390" t="s">
        <v>41</v>
      </c>
      <c r="AL390" s="1">
        <v>8700</v>
      </c>
      <c r="AM390" s="1">
        <v>3375</v>
      </c>
      <c r="AN390" s="1">
        <v>3375</v>
      </c>
      <c r="AO390" s="1">
        <v>3374</v>
      </c>
      <c r="AP390" s="1">
        <v>3294.5</v>
      </c>
      <c r="AQ390" s="1">
        <v>3374</v>
      </c>
      <c r="AR390">
        <v>2</v>
      </c>
      <c r="AS390">
        <v>18.11</v>
      </c>
      <c r="AT390">
        <v>11945.7</v>
      </c>
    </row>
    <row r="391" spans="34:46" x14ac:dyDescent="0.35">
      <c r="AH391" t="s">
        <v>204</v>
      </c>
      <c r="AI391" t="s">
        <v>180</v>
      </c>
      <c r="AJ391" s="3">
        <v>43622</v>
      </c>
      <c r="AK391" t="s">
        <v>41</v>
      </c>
      <c r="AL391" s="1">
        <v>10800</v>
      </c>
      <c r="AM391" s="1">
        <v>1130</v>
      </c>
      <c r="AN391" s="1">
        <v>1135</v>
      </c>
      <c r="AO391" s="1">
        <v>1130</v>
      </c>
      <c r="AP391" s="1">
        <v>942.8</v>
      </c>
      <c r="AQ391" s="1">
        <v>1135</v>
      </c>
      <c r="AR391">
        <v>2</v>
      </c>
      <c r="AS391">
        <v>17.899999999999999</v>
      </c>
      <c r="AT391">
        <v>11945.7</v>
      </c>
    </row>
    <row r="392" spans="34:46" x14ac:dyDescent="0.35">
      <c r="AH392" t="s">
        <v>204</v>
      </c>
      <c r="AI392" t="s">
        <v>180</v>
      </c>
      <c r="AJ392" s="3">
        <v>43615</v>
      </c>
      <c r="AK392" t="s">
        <v>42</v>
      </c>
      <c r="AL392" s="1">
        <v>10650</v>
      </c>
      <c r="AM392">
        <v>0.05</v>
      </c>
      <c r="AN392">
        <v>0.05</v>
      </c>
      <c r="AO392">
        <v>0.05</v>
      </c>
      <c r="AP392" s="1">
        <v>0.2</v>
      </c>
      <c r="AQ392">
        <v>0.05</v>
      </c>
      <c r="AR392">
        <v>2</v>
      </c>
      <c r="AS392">
        <v>15.98</v>
      </c>
      <c r="AT392">
        <v>11945.7</v>
      </c>
    </row>
    <row r="393" spans="34:46" x14ac:dyDescent="0.35">
      <c r="AH393" t="s">
        <v>204</v>
      </c>
      <c r="AI393" t="s">
        <v>180</v>
      </c>
      <c r="AJ393" s="3">
        <v>43643</v>
      </c>
      <c r="AK393" t="s">
        <v>42</v>
      </c>
      <c r="AL393" s="1">
        <v>14100</v>
      </c>
      <c r="AM393" s="1">
        <v>2157.85</v>
      </c>
      <c r="AN393" s="1">
        <v>2157.85</v>
      </c>
      <c r="AO393" s="1">
        <v>2157.85</v>
      </c>
      <c r="AP393" s="1">
        <v>1633.1</v>
      </c>
      <c r="AQ393" s="1">
        <v>2157.85</v>
      </c>
      <c r="AR393">
        <v>1</v>
      </c>
      <c r="AS393">
        <v>12.19</v>
      </c>
      <c r="AT393">
        <v>11945.7</v>
      </c>
    </row>
    <row r="394" spans="34:46" x14ac:dyDescent="0.35">
      <c r="AH394" t="s">
        <v>204</v>
      </c>
      <c r="AI394" t="s">
        <v>180</v>
      </c>
      <c r="AJ394" s="3">
        <v>43643</v>
      </c>
      <c r="AK394" t="s">
        <v>41</v>
      </c>
      <c r="AL394" s="1">
        <v>14100</v>
      </c>
      <c r="AM394">
        <v>0.35</v>
      </c>
      <c r="AN394">
        <v>0.35</v>
      </c>
      <c r="AO394">
        <v>0.35</v>
      </c>
      <c r="AP394" s="1">
        <v>3.35</v>
      </c>
      <c r="AQ394">
        <v>0.35</v>
      </c>
      <c r="AR394">
        <v>1</v>
      </c>
      <c r="AS394">
        <v>10.58</v>
      </c>
      <c r="AT394">
        <v>11945.7</v>
      </c>
    </row>
    <row r="395" spans="34:46" x14ac:dyDescent="0.35">
      <c r="AH395" t="s">
        <v>204</v>
      </c>
      <c r="AI395" t="s">
        <v>180</v>
      </c>
      <c r="AJ395" s="3">
        <v>43622</v>
      </c>
      <c r="AK395" t="s">
        <v>42</v>
      </c>
      <c r="AL395" s="1">
        <v>13000</v>
      </c>
      <c r="AM395">
        <v>993.8</v>
      </c>
      <c r="AN395">
        <v>993.8</v>
      </c>
      <c r="AO395">
        <v>993.8</v>
      </c>
      <c r="AP395" s="1">
        <v>1250</v>
      </c>
      <c r="AQ395">
        <v>993.8</v>
      </c>
      <c r="AR395">
        <v>1</v>
      </c>
      <c r="AS395">
        <v>10.5</v>
      </c>
      <c r="AT395">
        <v>11945.7</v>
      </c>
    </row>
    <row r="396" spans="34:46" x14ac:dyDescent="0.35">
      <c r="AH396" t="s">
        <v>204</v>
      </c>
      <c r="AI396" t="s">
        <v>180</v>
      </c>
      <c r="AJ396" s="3">
        <v>43671</v>
      </c>
      <c r="AK396" t="s">
        <v>42</v>
      </c>
      <c r="AL396" s="1">
        <v>12700</v>
      </c>
      <c r="AM396">
        <v>779</v>
      </c>
      <c r="AN396">
        <v>779</v>
      </c>
      <c r="AO396">
        <v>779</v>
      </c>
      <c r="AP396" s="1">
        <v>901.35</v>
      </c>
      <c r="AQ396">
        <v>779</v>
      </c>
      <c r="AR396">
        <v>1</v>
      </c>
      <c r="AS396">
        <v>10.11</v>
      </c>
      <c r="AT396">
        <v>11945.7</v>
      </c>
    </row>
    <row r="397" spans="34:46" x14ac:dyDescent="0.35">
      <c r="AH397" t="s">
        <v>204</v>
      </c>
      <c r="AI397" t="s">
        <v>180</v>
      </c>
      <c r="AJ397" s="3">
        <v>43643</v>
      </c>
      <c r="AK397" t="s">
        <v>41</v>
      </c>
      <c r="AL397" s="1">
        <v>13400</v>
      </c>
      <c r="AM397">
        <v>5.55</v>
      </c>
      <c r="AN397">
        <v>5.55</v>
      </c>
      <c r="AO397">
        <v>5.55</v>
      </c>
      <c r="AP397" s="1">
        <v>2.6</v>
      </c>
      <c r="AQ397">
        <v>5.55</v>
      </c>
      <c r="AR397">
        <v>1</v>
      </c>
      <c r="AS397">
        <v>10.050000000000001</v>
      </c>
      <c r="AT397">
        <v>11945.7</v>
      </c>
    </row>
    <row r="398" spans="34:46" x14ac:dyDescent="0.35">
      <c r="AH398" t="s">
        <v>204</v>
      </c>
      <c r="AI398" t="s">
        <v>180</v>
      </c>
      <c r="AJ398" s="3">
        <v>43636</v>
      </c>
      <c r="AK398" t="s">
        <v>41</v>
      </c>
      <c r="AL398" s="1">
        <v>13000</v>
      </c>
      <c r="AM398">
        <v>29.95</v>
      </c>
      <c r="AN398">
        <v>29.95</v>
      </c>
      <c r="AO398">
        <v>29.95</v>
      </c>
      <c r="AP398" s="1">
        <v>0.65</v>
      </c>
      <c r="AQ398">
        <v>29.95</v>
      </c>
      <c r="AR398">
        <v>1</v>
      </c>
      <c r="AS398">
        <v>9.77</v>
      </c>
      <c r="AT398">
        <v>11945.7</v>
      </c>
    </row>
    <row r="399" spans="34:46" x14ac:dyDescent="0.35">
      <c r="AH399" t="s">
        <v>204</v>
      </c>
      <c r="AI399" t="s">
        <v>180</v>
      </c>
      <c r="AJ399" s="3">
        <v>44196</v>
      </c>
      <c r="AK399" t="s">
        <v>41</v>
      </c>
      <c r="AL399" s="1">
        <v>10700</v>
      </c>
      <c r="AM399" s="1">
        <v>2201</v>
      </c>
      <c r="AN399" s="1">
        <v>2201</v>
      </c>
      <c r="AO399" s="1">
        <v>2201</v>
      </c>
      <c r="AP399" s="1">
        <v>2185</v>
      </c>
      <c r="AQ399" s="1">
        <v>2201</v>
      </c>
      <c r="AR399">
        <v>1</v>
      </c>
      <c r="AS399">
        <v>9.68</v>
      </c>
      <c r="AT399">
        <v>11945.7</v>
      </c>
    </row>
    <row r="400" spans="34:46" x14ac:dyDescent="0.35">
      <c r="AH400" t="s">
        <v>204</v>
      </c>
      <c r="AI400" t="s">
        <v>180</v>
      </c>
      <c r="AJ400" s="3">
        <v>43622</v>
      </c>
      <c r="AK400" t="s">
        <v>42</v>
      </c>
      <c r="AL400" s="1">
        <v>12400</v>
      </c>
      <c r="AM400">
        <v>483.7</v>
      </c>
      <c r="AN400">
        <v>483.7</v>
      </c>
      <c r="AO400">
        <v>483.7</v>
      </c>
      <c r="AP400" s="1">
        <v>395.7</v>
      </c>
      <c r="AQ400">
        <v>483.7</v>
      </c>
      <c r="AR400">
        <v>1</v>
      </c>
      <c r="AS400">
        <v>9.66</v>
      </c>
      <c r="AT400">
        <v>11945.7</v>
      </c>
    </row>
    <row r="401" spans="34:46" x14ac:dyDescent="0.35">
      <c r="AH401" t="s">
        <v>204</v>
      </c>
      <c r="AI401" t="s">
        <v>180</v>
      </c>
      <c r="AJ401" s="3">
        <v>43671</v>
      </c>
      <c r="AK401" t="s">
        <v>41</v>
      </c>
      <c r="AL401" s="1">
        <v>12700</v>
      </c>
      <c r="AM401">
        <v>58.5</v>
      </c>
      <c r="AN401">
        <v>58.5</v>
      </c>
      <c r="AO401">
        <v>58.5</v>
      </c>
      <c r="AP401" s="1">
        <v>45.4</v>
      </c>
      <c r="AQ401">
        <v>58.5</v>
      </c>
      <c r="AR401">
        <v>1</v>
      </c>
      <c r="AS401">
        <v>9.57</v>
      </c>
      <c r="AT401">
        <v>11945.7</v>
      </c>
    </row>
    <row r="402" spans="34:46" x14ac:dyDescent="0.35">
      <c r="AH402" t="s">
        <v>204</v>
      </c>
      <c r="AI402" t="s">
        <v>180</v>
      </c>
      <c r="AJ402" s="3">
        <v>43825</v>
      </c>
      <c r="AK402" t="s">
        <v>41</v>
      </c>
      <c r="AL402" s="1">
        <v>10500</v>
      </c>
      <c r="AM402" s="1">
        <v>1750</v>
      </c>
      <c r="AN402" s="1">
        <v>1750</v>
      </c>
      <c r="AO402" s="1">
        <v>1750</v>
      </c>
      <c r="AP402" s="1">
        <v>1740</v>
      </c>
      <c r="AQ402" s="1">
        <v>1750</v>
      </c>
      <c r="AR402">
        <v>1</v>
      </c>
      <c r="AS402">
        <v>9.19</v>
      </c>
      <c r="AT402">
        <v>11945.7</v>
      </c>
    </row>
    <row r="403" spans="34:46" x14ac:dyDescent="0.35">
      <c r="AH403" t="s">
        <v>204</v>
      </c>
      <c r="AI403" t="s">
        <v>180</v>
      </c>
      <c r="AJ403" s="3">
        <v>43825</v>
      </c>
      <c r="AK403" t="s">
        <v>41</v>
      </c>
      <c r="AL403" s="1">
        <v>5000</v>
      </c>
      <c r="AM403" s="1">
        <v>7065</v>
      </c>
      <c r="AN403" s="1">
        <v>7065</v>
      </c>
      <c r="AO403" s="1">
        <v>7065</v>
      </c>
      <c r="AP403" s="1">
        <v>6980</v>
      </c>
      <c r="AQ403" s="1">
        <v>7065</v>
      </c>
      <c r="AR403">
        <v>1</v>
      </c>
      <c r="AS403">
        <v>9.0500000000000007</v>
      </c>
      <c r="AT403">
        <v>11945.7</v>
      </c>
    </row>
    <row r="404" spans="34:46" x14ac:dyDescent="0.35">
      <c r="AH404" t="s">
        <v>204</v>
      </c>
      <c r="AI404" t="s">
        <v>180</v>
      </c>
      <c r="AJ404" s="3">
        <v>43615</v>
      </c>
      <c r="AK404" t="s">
        <v>41</v>
      </c>
      <c r="AL404" s="1">
        <v>10850</v>
      </c>
      <c r="AM404" s="1">
        <v>1092.7</v>
      </c>
      <c r="AN404" s="1">
        <v>1092.7</v>
      </c>
      <c r="AO404" s="1">
        <v>1092.7</v>
      </c>
      <c r="AP404" s="1">
        <v>1062.8</v>
      </c>
      <c r="AQ404" s="1">
        <v>1092.7</v>
      </c>
      <c r="AR404">
        <v>1</v>
      </c>
      <c r="AS404">
        <v>8.9600000000000009</v>
      </c>
      <c r="AT404">
        <v>11945.7</v>
      </c>
    </row>
    <row r="405" spans="34:46" x14ac:dyDescent="0.35">
      <c r="AH405" t="s">
        <v>204</v>
      </c>
      <c r="AI405" t="s">
        <v>180</v>
      </c>
      <c r="AJ405" s="3">
        <v>43643</v>
      </c>
      <c r="AK405" t="s">
        <v>41</v>
      </c>
      <c r="AL405" s="1">
        <v>9400</v>
      </c>
      <c r="AM405" s="1">
        <v>2540.1</v>
      </c>
      <c r="AN405" s="1">
        <v>2540.1</v>
      </c>
      <c r="AO405" s="1">
        <v>2540.1</v>
      </c>
      <c r="AP405" s="1">
        <v>1870.95</v>
      </c>
      <c r="AQ405" s="1">
        <v>2540.1</v>
      </c>
      <c r="AR405">
        <v>1</v>
      </c>
      <c r="AS405">
        <v>8.9600000000000009</v>
      </c>
      <c r="AT405">
        <v>11945.7</v>
      </c>
    </row>
    <row r="406" spans="34:46" x14ac:dyDescent="0.35">
      <c r="AH406" t="s">
        <v>204</v>
      </c>
      <c r="AI406" t="s">
        <v>180</v>
      </c>
      <c r="AJ406" s="3">
        <v>43671</v>
      </c>
      <c r="AK406" t="s">
        <v>41</v>
      </c>
      <c r="AL406" s="1">
        <v>10500</v>
      </c>
      <c r="AM406" s="1">
        <v>1439</v>
      </c>
      <c r="AN406" s="1">
        <v>1439</v>
      </c>
      <c r="AO406" s="1">
        <v>1439</v>
      </c>
      <c r="AP406" s="1">
        <v>1299</v>
      </c>
      <c r="AQ406" s="1">
        <v>1439</v>
      </c>
      <c r="AR406">
        <v>1</v>
      </c>
      <c r="AS406">
        <v>8.9499999999999993</v>
      </c>
      <c r="AT406">
        <v>11945.7</v>
      </c>
    </row>
    <row r="407" spans="34:46" x14ac:dyDescent="0.35">
      <c r="AH407" t="s">
        <v>204</v>
      </c>
      <c r="AI407" t="s">
        <v>180</v>
      </c>
      <c r="AJ407" s="3">
        <v>43629</v>
      </c>
      <c r="AK407" t="s">
        <v>41</v>
      </c>
      <c r="AL407" s="1">
        <v>11400</v>
      </c>
      <c r="AM407">
        <v>481.5</v>
      </c>
      <c r="AN407">
        <v>481.5</v>
      </c>
      <c r="AO407">
        <v>481.5</v>
      </c>
      <c r="AP407" s="1">
        <v>431.25</v>
      </c>
      <c r="AQ407">
        <v>481.5</v>
      </c>
      <c r="AR407">
        <v>1</v>
      </c>
      <c r="AS407">
        <v>8.91</v>
      </c>
      <c r="AT407">
        <v>11945.7</v>
      </c>
    </row>
    <row r="408" spans="34:46" x14ac:dyDescent="0.35">
      <c r="AH408" t="s">
        <v>204</v>
      </c>
      <c r="AI408" t="s">
        <v>180</v>
      </c>
      <c r="AJ408" s="3">
        <v>43643</v>
      </c>
      <c r="AK408" t="s">
        <v>42</v>
      </c>
      <c r="AL408" s="1">
        <v>9400</v>
      </c>
      <c r="AM408">
        <v>1.5</v>
      </c>
      <c r="AN408">
        <v>1.5</v>
      </c>
      <c r="AO408">
        <v>1.5</v>
      </c>
      <c r="AP408" s="1">
        <v>3.05</v>
      </c>
      <c r="AQ408">
        <v>1.5</v>
      </c>
      <c r="AR408">
        <v>1</v>
      </c>
      <c r="AS408">
        <v>7.05</v>
      </c>
      <c r="AT408">
        <v>11945.7</v>
      </c>
    </row>
    <row r="409" spans="34:46" x14ac:dyDescent="0.35">
      <c r="AH409" t="s">
        <v>204</v>
      </c>
      <c r="AI409" t="s">
        <v>180</v>
      </c>
      <c r="AJ409" s="3">
        <v>43629</v>
      </c>
      <c r="AK409" t="s">
        <v>42</v>
      </c>
      <c r="AL409" s="1">
        <v>12850</v>
      </c>
      <c r="AM409" t="s">
        <v>8</v>
      </c>
      <c r="AN409" t="s">
        <v>8</v>
      </c>
      <c r="AO409" t="s">
        <v>8</v>
      </c>
      <c r="AP409" s="1">
        <v>1109.3499999999999</v>
      </c>
      <c r="AQ409" t="s">
        <v>8</v>
      </c>
      <c r="AR409" t="s">
        <v>8</v>
      </c>
      <c r="AS409" t="s">
        <v>8</v>
      </c>
      <c r="AT409">
        <v>11945.7</v>
      </c>
    </row>
    <row r="410" spans="34:46" x14ac:dyDescent="0.35">
      <c r="AH410" t="s">
        <v>204</v>
      </c>
      <c r="AI410" t="s">
        <v>180</v>
      </c>
      <c r="AJ410" s="3">
        <v>44196</v>
      </c>
      <c r="AK410" t="s">
        <v>42</v>
      </c>
      <c r="AL410" s="1">
        <v>6800</v>
      </c>
      <c r="AM410" t="s">
        <v>8</v>
      </c>
      <c r="AN410" t="s">
        <v>8</v>
      </c>
      <c r="AO410" t="s">
        <v>8</v>
      </c>
      <c r="AP410" s="1">
        <v>67</v>
      </c>
      <c r="AQ410" t="s">
        <v>8</v>
      </c>
      <c r="AR410" t="s">
        <v>8</v>
      </c>
      <c r="AS410" t="s">
        <v>8</v>
      </c>
      <c r="AT410">
        <v>11945.7</v>
      </c>
    </row>
    <row r="411" spans="34:46" x14ac:dyDescent="0.35">
      <c r="AH411" t="s">
        <v>204</v>
      </c>
      <c r="AI411" t="s">
        <v>180</v>
      </c>
      <c r="AJ411" s="3">
        <v>43643</v>
      </c>
      <c r="AK411" t="s">
        <v>41</v>
      </c>
      <c r="AL411" s="1">
        <v>6100</v>
      </c>
      <c r="AM411" t="s">
        <v>8</v>
      </c>
      <c r="AN411" t="s">
        <v>8</v>
      </c>
      <c r="AO411" t="s">
        <v>8</v>
      </c>
      <c r="AP411" s="1">
        <v>3598.25</v>
      </c>
      <c r="AQ411" t="s">
        <v>8</v>
      </c>
      <c r="AR411" t="s">
        <v>8</v>
      </c>
      <c r="AS411" t="s">
        <v>8</v>
      </c>
      <c r="AT411">
        <v>11945.7</v>
      </c>
    </row>
    <row r="412" spans="34:46" x14ac:dyDescent="0.35">
      <c r="AH412" t="s">
        <v>204</v>
      </c>
      <c r="AI412" t="s">
        <v>180</v>
      </c>
      <c r="AJ412" s="3">
        <v>43636</v>
      </c>
      <c r="AK412" t="s">
        <v>42</v>
      </c>
      <c r="AL412" s="1">
        <v>11100</v>
      </c>
      <c r="AM412" t="s">
        <v>8</v>
      </c>
      <c r="AN412" t="s">
        <v>8</v>
      </c>
      <c r="AO412" t="s">
        <v>8</v>
      </c>
      <c r="AP412" s="1">
        <v>17.399999999999999</v>
      </c>
      <c r="AQ412" t="s">
        <v>8</v>
      </c>
      <c r="AR412" t="s">
        <v>8</v>
      </c>
      <c r="AS412" t="s">
        <v>8</v>
      </c>
      <c r="AT412">
        <v>11945.7</v>
      </c>
    </row>
    <row r="413" spans="34:46" x14ac:dyDescent="0.35">
      <c r="AH413" t="s">
        <v>204</v>
      </c>
      <c r="AI413" t="s">
        <v>180</v>
      </c>
      <c r="AJ413" s="3">
        <v>43636</v>
      </c>
      <c r="AK413" t="s">
        <v>42</v>
      </c>
      <c r="AL413" s="1">
        <v>11300</v>
      </c>
      <c r="AM413" t="s">
        <v>8</v>
      </c>
      <c r="AN413" t="s">
        <v>8</v>
      </c>
      <c r="AO413" t="s">
        <v>8</v>
      </c>
      <c r="AP413" s="1">
        <v>38.85</v>
      </c>
      <c r="AQ413" t="s">
        <v>8</v>
      </c>
      <c r="AR413" t="s">
        <v>8</v>
      </c>
      <c r="AS413" t="s">
        <v>8</v>
      </c>
      <c r="AT413">
        <v>11945.7</v>
      </c>
    </row>
    <row r="414" spans="34:46" x14ac:dyDescent="0.35">
      <c r="AH414" t="s">
        <v>204</v>
      </c>
      <c r="AI414" t="s">
        <v>180</v>
      </c>
      <c r="AJ414" s="3">
        <v>43664</v>
      </c>
      <c r="AK414" t="s">
        <v>41</v>
      </c>
      <c r="AL414" s="1">
        <v>11150</v>
      </c>
      <c r="AM414" t="s">
        <v>8</v>
      </c>
      <c r="AN414" t="s">
        <v>8</v>
      </c>
      <c r="AO414" t="s">
        <v>8</v>
      </c>
      <c r="AP414" s="1">
        <v>401.4</v>
      </c>
      <c r="AQ414" t="s">
        <v>8</v>
      </c>
      <c r="AR414" t="s">
        <v>8</v>
      </c>
      <c r="AS414" t="s">
        <v>8</v>
      </c>
      <c r="AT414">
        <v>11945.7</v>
      </c>
    </row>
    <row r="415" spans="34:46" x14ac:dyDescent="0.35">
      <c r="AH415" t="s">
        <v>204</v>
      </c>
      <c r="AI415" t="s">
        <v>180</v>
      </c>
      <c r="AJ415" s="3">
        <v>43664</v>
      </c>
      <c r="AK415" t="s">
        <v>41</v>
      </c>
      <c r="AL415" s="1">
        <v>11350</v>
      </c>
      <c r="AM415" t="s">
        <v>8</v>
      </c>
      <c r="AN415" t="s">
        <v>8</v>
      </c>
      <c r="AO415" t="s">
        <v>8</v>
      </c>
      <c r="AP415" s="1">
        <v>287.75</v>
      </c>
      <c r="AQ415" t="s">
        <v>8</v>
      </c>
      <c r="AR415" t="s">
        <v>8</v>
      </c>
      <c r="AS415" t="s">
        <v>8</v>
      </c>
      <c r="AT415">
        <v>11945.7</v>
      </c>
    </row>
    <row r="416" spans="34:46" x14ac:dyDescent="0.35">
      <c r="AH416" t="s">
        <v>204</v>
      </c>
      <c r="AI416" t="s">
        <v>180</v>
      </c>
      <c r="AJ416" s="3">
        <v>43629</v>
      </c>
      <c r="AK416" t="s">
        <v>41</v>
      </c>
      <c r="AL416" s="1">
        <v>9850</v>
      </c>
      <c r="AM416" t="s">
        <v>8</v>
      </c>
      <c r="AN416" t="s">
        <v>8</v>
      </c>
      <c r="AO416" t="s">
        <v>8</v>
      </c>
      <c r="AP416" s="1">
        <v>1578.45</v>
      </c>
      <c r="AQ416" t="s">
        <v>8</v>
      </c>
      <c r="AR416" t="s">
        <v>8</v>
      </c>
      <c r="AS416" t="s">
        <v>8</v>
      </c>
      <c r="AT416">
        <v>11945.7</v>
      </c>
    </row>
    <row r="417" spans="34:46" x14ac:dyDescent="0.35">
      <c r="AH417" t="s">
        <v>204</v>
      </c>
      <c r="AI417" t="s">
        <v>180</v>
      </c>
      <c r="AJ417" s="3">
        <v>43825</v>
      </c>
      <c r="AK417" t="s">
        <v>42</v>
      </c>
      <c r="AL417" s="1">
        <v>5100</v>
      </c>
      <c r="AM417" t="s">
        <v>8</v>
      </c>
      <c r="AN417" t="s">
        <v>8</v>
      </c>
      <c r="AO417" t="s">
        <v>8</v>
      </c>
      <c r="AP417">
        <v>19.649999999999999</v>
      </c>
      <c r="AQ417" t="s">
        <v>8</v>
      </c>
      <c r="AR417" t="s">
        <v>8</v>
      </c>
      <c r="AS417" t="s">
        <v>8</v>
      </c>
      <c r="AT417">
        <v>11945.7</v>
      </c>
    </row>
    <row r="418" spans="34:46" x14ac:dyDescent="0.35">
      <c r="AH418" t="s">
        <v>204</v>
      </c>
      <c r="AI418" t="s">
        <v>180</v>
      </c>
      <c r="AJ418" s="3">
        <v>43643</v>
      </c>
      <c r="AK418" t="s">
        <v>42</v>
      </c>
      <c r="AL418" s="1">
        <v>5000</v>
      </c>
      <c r="AM418" t="s">
        <v>8</v>
      </c>
      <c r="AN418" t="s">
        <v>8</v>
      </c>
      <c r="AO418" t="s">
        <v>8</v>
      </c>
      <c r="AP418" s="1">
        <v>3</v>
      </c>
      <c r="AQ418" t="s">
        <v>8</v>
      </c>
      <c r="AR418" t="s">
        <v>8</v>
      </c>
      <c r="AS418" t="s">
        <v>8</v>
      </c>
      <c r="AT418">
        <v>11945.7</v>
      </c>
    </row>
    <row r="419" spans="34:46" x14ac:dyDescent="0.35">
      <c r="AH419" t="s">
        <v>204</v>
      </c>
      <c r="AI419" t="s">
        <v>180</v>
      </c>
      <c r="AJ419" s="3">
        <v>43622</v>
      </c>
      <c r="AK419" t="s">
        <v>41</v>
      </c>
      <c r="AL419" s="1">
        <v>10900</v>
      </c>
      <c r="AM419" t="s">
        <v>8</v>
      </c>
      <c r="AN419" t="s">
        <v>8</v>
      </c>
      <c r="AO419" t="s">
        <v>8</v>
      </c>
      <c r="AP419" s="1">
        <v>850.8</v>
      </c>
      <c r="AQ419" t="s">
        <v>8</v>
      </c>
      <c r="AR419" t="s">
        <v>8</v>
      </c>
      <c r="AS419" t="s">
        <v>8</v>
      </c>
      <c r="AT419">
        <v>11945.7</v>
      </c>
    </row>
    <row r="420" spans="34:46" x14ac:dyDescent="0.35">
      <c r="AH420" t="s">
        <v>204</v>
      </c>
      <c r="AI420" t="s">
        <v>180</v>
      </c>
      <c r="AJ420" s="3">
        <v>45106</v>
      </c>
      <c r="AK420" t="s">
        <v>42</v>
      </c>
      <c r="AL420" s="1">
        <v>10600</v>
      </c>
      <c r="AM420" t="s">
        <v>8</v>
      </c>
      <c r="AN420" t="s">
        <v>8</v>
      </c>
      <c r="AO420" t="s">
        <v>8</v>
      </c>
      <c r="AP420" s="1">
        <v>74.599999999999994</v>
      </c>
      <c r="AQ420" t="s">
        <v>8</v>
      </c>
      <c r="AR420" t="s">
        <v>8</v>
      </c>
      <c r="AS420" t="s">
        <v>8</v>
      </c>
      <c r="AT420">
        <v>11945.7</v>
      </c>
    </row>
    <row r="421" spans="34:46" x14ac:dyDescent="0.35">
      <c r="AH421" t="s">
        <v>204</v>
      </c>
      <c r="AI421" t="s">
        <v>180</v>
      </c>
      <c r="AJ421" s="3">
        <v>44742</v>
      </c>
      <c r="AK421" t="s">
        <v>42</v>
      </c>
      <c r="AL421" s="1">
        <v>9100</v>
      </c>
      <c r="AM421" t="s">
        <v>8</v>
      </c>
      <c r="AN421" t="s">
        <v>8</v>
      </c>
      <c r="AO421" t="s">
        <v>8</v>
      </c>
      <c r="AP421" s="1">
        <v>13.9</v>
      </c>
      <c r="AQ421" t="s">
        <v>8</v>
      </c>
      <c r="AR421" t="s">
        <v>8</v>
      </c>
      <c r="AS421" t="s">
        <v>8</v>
      </c>
      <c r="AT421">
        <v>11945.7</v>
      </c>
    </row>
    <row r="422" spans="34:46" x14ac:dyDescent="0.35">
      <c r="AH422" t="s">
        <v>204</v>
      </c>
      <c r="AI422" t="s">
        <v>180</v>
      </c>
      <c r="AJ422" s="3">
        <v>43664</v>
      </c>
      <c r="AK422" t="s">
        <v>42</v>
      </c>
      <c r="AL422" s="1">
        <v>11600</v>
      </c>
      <c r="AM422" t="s">
        <v>8</v>
      </c>
      <c r="AN422" t="s">
        <v>8</v>
      </c>
      <c r="AO422" t="s">
        <v>8</v>
      </c>
      <c r="AP422">
        <v>379.25</v>
      </c>
      <c r="AQ422" t="s">
        <v>8</v>
      </c>
      <c r="AR422" t="s">
        <v>8</v>
      </c>
      <c r="AS422" t="s">
        <v>8</v>
      </c>
      <c r="AT422">
        <v>11945.7</v>
      </c>
    </row>
    <row r="423" spans="34:46" x14ac:dyDescent="0.35">
      <c r="AH423" t="s">
        <v>204</v>
      </c>
      <c r="AI423" t="s">
        <v>180</v>
      </c>
      <c r="AJ423" s="3">
        <v>45106</v>
      </c>
      <c r="AK423" t="s">
        <v>42</v>
      </c>
      <c r="AL423" s="1">
        <v>10800</v>
      </c>
      <c r="AM423" t="s">
        <v>8</v>
      </c>
      <c r="AN423" t="s">
        <v>8</v>
      </c>
      <c r="AO423" t="s">
        <v>8</v>
      </c>
      <c r="AP423" s="1">
        <v>88.5</v>
      </c>
      <c r="AQ423" t="s">
        <v>8</v>
      </c>
      <c r="AR423" t="s">
        <v>8</v>
      </c>
      <c r="AS423" t="s">
        <v>8</v>
      </c>
      <c r="AT423">
        <v>11945.7</v>
      </c>
    </row>
    <row r="424" spans="34:46" x14ac:dyDescent="0.35">
      <c r="AH424" t="s">
        <v>204</v>
      </c>
      <c r="AI424" t="s">
        <v>180</v>
      </c>
      <c r="AJ424" s="3">
        <v>43636</v>
      </c>
      <c r="AK424" t="s">
        <v>41</v>
      </c>
      <c r="AL424" s="1">
        <v>13200</v>
      </c>
      <c r="AM424" t="s">
        <v>8</v>
      </c>
      <c r="AN424" t="s">
        <v>8</v>
      </c>
      <c r="AO424" t="s">
        <v>8</v>
      </c>
      <c r="AP424" s="1">
        <v>2.7</v>
      </c>
      <c r="AQ424" t="s">
        <v>8</v>
      </c>
      <c r="AR424" t="s">
        <v>8</v>
      </c>
      <c r="AS424" t="s">
        <v>8</v>
      </c>
      <c r="AT424">
        <v>11945.7</v>
      </c>
    </row>
    <row r="425" spans="34:46" x14ac:dyDescent="0.35">
      <c r="AH425" t="s">
        <v>204</v>
      </c>
      <c r="AI425" t="s">
        <v>180</v>
      </c>
      <c r="AJ425" s="3">
        <v>44742</v>
      </c>
      <c r="AK425" t="s">
        <v>42</v>
      </c>
      <c r="AL425" s="1">
        <v>9300</v>
      </c>
      <c r="AM425" t="s">
        <v>8</v>
      </c>
      <c r="AN425" t="s">
        <v>8</v>
      </c>
      <c r="AO425" t="s">
        <v>8</v>
      </c>
      <c r="AP425" s="1">
        <v>18.95</v>
      </c>
      <c r="AQ425" t="s">
        <v>8</v>
      </c>
      <c r="AR425" t="s">
        <v>8</v>
      </c>
      <c r="AS425" t="s">
        <v>8</v>
      </c>
      <c r="AT425">
        <v>11945.7</v>
      </c>
    </row>
    <row r="426" spans="34:46" x14ac:dyDescent="0.35">
      <c r="AH426" t="s">
        <v>204</v>
      </c>
      <c r="AI426" t="s">
        <v>180</v>
      </c>
      <c r="AJ426" s="3">
        <v>44742</v>
      </c>
      <c r="AK426" t="s">
        <v>42</v>
      </c>
      <c r="AL426" s="1">
        <v>9500</v>
      </c>
      <c r="AM426" t="s">
        <v>8</v>
      </c>
      <c r="AN426" t="s">
        <v>8</v>
      </c>
      <c r="AO426" t="s">
        <v>8</v>
      </c>
      <c r="AP426">
        <v>25.4</v>
      </c>
      <c r="AQ426" t="s">
        <v>8</v>
      </c>
      <c r="AR426" t="s">
        <v>8</v>
      </c>
      <c r="AS426" t="s">
        <v>8</v>
      </c>
      <c r="AT426">
        <v>11945.7</v>
      </c>
    </row>
    <row r="427" spans="34:46" x14ac:dyDescent="0.35">
      <c r="AH427" t="s">
        <v>204</v>
      </c>
      <c r="AI427" t="s">
        <v>180</v>
      </c>
      <c r="AJ427" s="3">
        <v>43657</v>
      </c>
      <c r="AK427" t="s">
        <v>41</v>
      </c>
      <c r="AL427" s="1">
        <v>10750</v>
      </c>
      <c r="AM427" t="s">
        <v>8</v>
      </c>
      <c r="AN427" t="s">
        <v>8</v>
      </c>
      <c r="AO427" t="s">
        <v>8</v>
      </c>
      <c r="AP427">
        <v>729.1</v>
      </c>
      <c r="AQ427" t="s">
        <v>8</v>
      </c>
      <c r="AR427" t="s">
        <v>8</v>
      </c>
      <c r="AS427" t="s">
        <v>8</v>
      </c>
      <c r="AT427">
        <v>11945.7</v>
      </c>
    </row>
    <row r="428" spans="34:46" x14ac:dyDescent="0.35">
      <c r="AH428" t="s">
        <v>204</v>
      </c>
      <c r="AI428" t="s">
        <v>180</v>
      </c>
      <c r="AJ428" s="3">
        <v>43636</v>
      </c>
      <c r="AK428" t="s">
        <v>41</v>
      </c>
      <c r="AL428" s="1">
        <v>11900</v>
      </c>
      <c r="AM428" t="s">
        <v>8</v>
      </c>
      <c r="AN428" t="s">
        <v>8</v>
      </c>
      <c r="AO428" t="s">
        <v>8</v>
      </c>
      <c r="AP428">
        <v>215.4</v>
      </c>
      <c r="AQ428" t="s">
        <v>8</v>
      </c>
      <c r="AR428" t="s">
        <v>8</v>
      </c>
      <c r="AS428" t="s">
        <v>8</v>
      </c>
      <c r="AT428">
        <v>11945.7</v>
      </c>
    </row>
    <row r="429" spans="34:46" x14ac:dyDescent="0.35">
      <c r="AH429" t="s">
        <v>204</v>
      </c>
      <c r="AI429" t="s">
        <v>180</v>
      </c>
      <c r="AJ429" s="3">
        <v>43657</v>
      </c>
      <c r="AK429" t="s">
        <v>41</v>
      </c>
      <c r="AL429" s="1">
        <v>10950</v>
      </c>
      <c r="AM429" t="s">
        <v>8</v>
      </c>
      <c r="AN429" t="s">
        <v>8</v>
      </c>
      <c r="AO429" t="s">
        <v>8</v>
      </c>
      <c r="AP429">
        <v>568.75</v>
      </c>
      <c r="AQ429" t="s">
        <v>8</v>
      </c>
      <c r="AR429" t="s">
        <v>8</v>
      </c>
      <c r="AS429" t="s">
        <v>8</v>
      </c>
      <c r="AT429">
        <v>11945.7</v>
      </c>
    </row>
    <row r="430" spans="34:46" x14ac:dyDescent="0.35">
      <c r="AH430" t="s">
        <v>204</v>
      </c>
      <c r="AI430" t="s">
        <v>180</v>
      </c>
      <c r="AJ430" s="3">
        <v>43734</v>
      </c>
      <c r="AK430" t="s">
        <v>41</v>
      </c>
      <c r="AL430" s="1">
        <v>14300</v>
      </c>
      <c r="AM430" t="s">
        <v>8</v>
      </c>
      <c r="AN430" t="s">
        <v>8</v>
      </c>
      <c r="AO430" t="s">
        <v>8</v>
      </c>
      <c r="AP430">
        <v>76.55</v>
      </c>
      <c r="AQ430" t="s">
        <v>8</v>
      </c>
      <c r="AR430" t="s">
        <v>8</v>
      </c>
      <c r="AS430" t="s">
        <v>8</v>
      </c>
      <c r="AT430">
        <v>11945.7</v>
      </c>
    </row>
    <row r="431" spans="34:46" x14ac:dyDescent="0.35">
      <c r="AH431" t="s">
        <v>204</v>
      </c>
      <c r="AI431" t="s">
        <v>180</v>
      </c>
      <c r="AJ431" s="3">
        <v>44371</v>
      </c>
      <c r="AK431" t="s">
        <v>42</v>
      </c>
      <c r="AL431" s="1">
        <v>5600</v>
      </c>
      <c r="AM431" t="s">
        <v>8</v>
      </c>
      <c r="AN431" t="s">
        <v>8</v>
      </c>
      <c r="AO431" t="s">
        <v>8</v>
      </c>
      <c r="AP431" s="1">
        <v>88.15</v>
      </c>
      <c r="AQ431" t="s">
        <v>8</v>
      </c>
      <c r="AR431" t="s">
        <v>8</v>
      </c>
      <c r="AS431" t="s">
        <v>8</v>
      </c>
      <c r="AT431">
        <v>11945.7</v>
      </c>
    </row>
    <row r="432" spans="34:46" x14ac:dyDescent="0.35">
      <c r="AH432" t="s">
        <v>204</v>
      </c>
      <c r="AI432" t="s">
        <v>180</v>
      </c>
      <c r="AJ432" s="3">
        <v>44007</v>
      </c>
      <c r="AK432" t="s">
        <v>41</v>
      </c>
      <c r="AL432" s="1">
        <v>11500</v>
      </c>
      <c r="AM432" t="s">
        <v>8</v>
      </c>
      <c r="AN432" t="s">
        <v>8</v>
      </c>
      <c r="AO432" t="s">
        <v>8</v>
      </c>
      <c r="AP432" s="1">
        <v>1270</v>
      </c>
      <c r="AQ432" t="s">
        <v>8</v>
      </c>
      <c r="AR432" t="s">
        <v>8</v>
      </c>
      <c r="AS432" t="s">
        <v>8</v>
      </c>
      <c r="AT432">
        <v>11945.7</v>
      </c>
    </row>
    <row r="433" spans="34:46" x14ac:dyDescent="0.35">
      <c r="AH433" t="s">
        <v>204</v>
      </c>
      <c r="AI433" t="s">
        <v>180</v>
      </c>
      <c r="AJ433" s="3">
        <v>44371</v>
      </c>
      <c r="AK433" t="s">
        <v>42</v>
      </c>
      <c r="AL433" s="1">
        <v>5800</v>
      </c>
      <c r="AM433" t="s">
        <v>8</v>
      </c>
      <c r="AN433" t="s">
        <v>8</v>
      </c>
      <c r="AO433" t="s">
        <v>8</v>
      </c>
      <c r="AP433" s="1">
        <v>104.95</v>
      </c>
      <c r="AQ433" t="s">
        <v>8</v>
      </c>
      <c r="AR433" t="s">
        <v>8</v>
      </c>
      <c r="AS433" t="s">
        <v>8</v>
      </c>
      <c r="AT433">
        <v>11945.7</v>
      </c>
    </row>
    <row r="434" spans="34:46" x14ac:dyDescent="0.35">
      <c r="AH434" t="s">
        <v>204</v>
      </c>
      <c r="AI434" t="s">
        <v>180</v>
      </c>
      <c r="AJ434" s="3">
        <v>44007</v>
      </c>
      <c r="AK434" t="s">
        <v>41</v>
      </c>
      <c r="AL434" s="1">
        <v>11700</v>
      </c>
      <c r="AM434" t="s">
        <v>8</v>
      </c>
      <c r="AN434" t="s">
        <v>8</v>
      </c>
      <c r="AO434" t="s">
        <v>8</v>
      </c>
      <c r="AP434" s="1" t="s">
        <v>8</v>
      </c>
      <c r="AQ434" t="s">
        <v>8</v>
      </c>
      <c r="AR434" t="s">
        <v>8</v>
      </c>
      <c r="AS434" t="s">
        <v>8</v>
      </c>
      <c r="AT434">
        <v>11945.7</v>
      </c>
    </row>
    <row r="435" spans="34:46" x14ac:dyDescent="0.35">
      <c r="AH435" t="s">
        <v>204</v>
      </c>
      <c r="AI435" t="s">
        <v>180</v>
      </c>
      <c r="AJ435" s="3">
        <v>44924</v>
      </c>
      <c r="AK435" t="s">
        <v>42</v>
      </c>
      <c r="AL435" s="1">
        <v>11600</v>
      </c>
      <c r="AM435" t="s">
        <v>8</v>
      </c>
      <c r="AN435" t="s">
        <v>8</v>
      </c>
      <c r="AO435" t="s">
        <v>8</v>
      </c>
      <c r="AP435" s="1">
        <v>228.65</v>
      </c>
      <c r="AQ435" t="s">
        <v>8</v>
      </c>
      <c r="AR435" t="s">
        <v>8</v>
      </c>
      <c r="AS435" t="s">
        <v>8</v>
      </c>
      <c r="AT435">
        <v>11945.7</v>
      </c>
    </row>
    <row r="436" spans="34:46" x14ac:dyDescent="0.35">
      <c r="AH436" t="s">
        <v>204</v>
      </c>
      <c r="AI436" t="s">
        <v>180</v>
      </c>
      <c r="AJ436" s="3">
        <v>45106</v>
      </c>
      <c r="AK436" t="s">
        <v>42</v>
      </c>
      <c r="AL436" s="1">
        <v>7600</v>
      </c>
      <c r="AM436" t="s">
        <v>8</v>
      </c>
      <c r="AN436" t="s">
        <v>8</v>
      </c>
      <c r="AO436" t="s">
        <v>8</v>
      </c>
      <c r="AP436" s="1">
        <v>160</v>
      </c>
      <c r="AQ436" t="s">
        <v>8</v>
      </c>
      <c r="AR436" t="s">
        <v>8</v>
      </c>
      <c r="AS436" t="s">
        <v>8</v>
      </c>
      <c r="AT436">
        <v>11945.7</v>
      </c>
    </row>
    <row r="437" spans="34:46" x14ac:dyDescent="0.35">
      <c r="AH437" t="s">
        <v>204</v>
      </c>
      <c r="AI437" t="s">
        <v>180</v>
      </c>
      <c r="AJ437" s="3">
        <v>44924</v>
      </c>
      <c r="AK437" t="s">
        <v>42</v>
      </c>
      <c r="AL437" s="1">
        <v>11800</v>
      </c>
      <c r="AM437" t="s">
        <v>8</v>
      </c>
      <c r="AN437" t="s">
        <v>8</v>
      </c>
      <c r="AO437" t="s">
        <v>8</v>
      </c>
      <c r="AP437" s="1">
        <v>261.55</v>
      </c>
      <c r="AQ437" t="s">
        <v>8</v>
      </c>
      <c r="AR437" t="s">
        <v>8</v>
      </c>
      <c r="AS437" t="s">
        <v>8</v>
      </c>
      <c r="AT437">
        <v>11945.7</v>
      </c>
    </row>
    <row r="438" spans="34:46" x14ac:dyDescent="0.35">
      <c r="AH438" t="s">
        <v>204</v>
      </c>
      <c r="AI438" t="s">
        <v>180</v>
      </c>
      <c r="AJ438" s="3">
        <v>45106</v>
      </c>
      <c r="AK438" t="s">
        <v>42</v>
      </c>
      <c r="AL438" s="1">
        <v>7800</v>
      </c>
      <c r="AM438" t="s">
        <v>8</v>
      </c>
      <c r="AN438" t="s">
        <v>8</v>
      </c>
      <c r="AO438" t="s">
        <v>8</v>
      </c>
      <c r="AP438" s="1">
        <v>201.4</v>
      </c>
      <c r="AQ438" t="s">
        <v>8</v>
      </c>
      <c r="AR438" t="s">
        <v>8</v>
      </c>
      <c r="AS438" t="s">
        <v>8</v>
      </c>
      <c r="AT438">
        <v>11945.7</v>
      </c>
    </row>
    <row r="439" spans="34:46" x14ac:dyDescent="0.35">
      <c r="AH439" t="s">
        <v>204</v>
      </c>
      <c r="AI439" t="s">
        <v>180</v>
      </c>
      <c r="AJ439" s="3">
        <v>44007</v>
      </c>
      <c r="AK439" t="s">
        <v>42</v>
      </c>
      <c r="AL439" s="1">
        <v>9800</v>
      </c>
      <c r="AM439" t="s">
        <v>8</v>
      </c>
      <c r="AN439" t="s">
        <v>8</v>
      </c>
      <c r="AO439" t="s">
        <v>8</v>
      </c>
      <c r="AP439" s="1">
        <v>296</v>
      </c>
      <c r="AQ439" t="s">
        <v>8</v>
      </c>
      <c r="AR439" t="s">
        <v>8</v>
      </c>
      <c r="AS439" t="s">
        <v>8</v>
      </c>
      <c r="AT439">
        <v>11945.7</v>
      </c>
    </row>
    <row r="440" spans="34:46" x14ac:dyDescent="0.35">
      <c r="AH440" t="s">
        <v>204</v>
      </c>
      <c r="AI440" t="s">
        <v>180</v>
      </c>
      <c r="AJ440" s="3">
        <v>44371</v>
      </c>
      <c r="AK440" t="s">
        <v>42</v>
      </c>
      <c r="AL440" s="1">
        <v>11600</v>
      </c>
      <c r="AM440" t="s">
        <v>8</v>
      </c>
      <c r="AN440" t="s">
        <v>8</v>
      </c>
      <c r="AO440" t="s">
        <v>8</v>
      </c>
      <c r="AP440" s="1">
        <v>691</v>
      </c>
      <c r="AQ440" t="s">
        <v>8</v>
      </c>
      <c r="AR440" t="s">
        <v>8</v>
      </c>
      <c r="AS440" t="s">
        <v>8</v>
      </c>
      <c r="AT440">
        <v>11945.7</v>
      </c>
    </row>
    <row r="441" spans="34:46" x14ac:dyDescent="0.35">
      <c r="AH441" t="s">
        <v>204</v>
      </c>
      <c r="AI441" t="s">
        <v>180</v>
      </c>
      <c r="AJ441" s="3">
        <v>43622</v>
      </c>
      <c r="AK441" t="s">
        <v>42</v>
      </c>
      <c r="AL441" s="1">
        <v>12650</v>
      </c>
      <c r="AM441" t="s">
        <v>8</v>
      </c>
      <c r="AN441" t="s">
        <v>8</v>
      </c>
      <c r="AO441" t="s">
        <v>8</v>
      </c>
      <c r="AP441" s="1">
        <v>919.65</v>
      </c>
      <c r="AQ441" t="s">
        <v>8</v>
      </c>
      <c r="AR441" t="s">
        <v>8</v>
      </c>
      <c r="AS441" t="s">
        <v>8</v>
      </c>
      <c r="AT441">
        <v>11945.7</v>
      </c>
    </row>
    <row r="442" spans="34:46" x14ac:dyDescent="0.35">
      <c r="AH442" t="s">
        <v>204</v>
      </c>
      <c r="AI442" t="s">
        <v>180</v>
      </c>
      <c r="AJ442" s="3">
        <v>44371</v>
      </c>
      <c r="AK442" t="s">
        <v>42</v>
      </c>
      <c r="AL442" s="1">
        <v>11800</v>
      </c>
      <c r="AM442" t="s">
        <v>8</v>
      </c>
      <c r="AN442" t="s">
        <v>8</v>
      </c>
      <c r="AO442" t="s">
        <v>8</v>
      </c>
      <c r="AP442" s="1">
        <v>630.54999999999995</v>
      </c>
      <c r="AQ442" t="s">
        <v>8</v>
      </c>
      <c r="AR442" t="s">
        <v>8</v>
      </c>
      <c r="AS442" t="s">
        <v>8</v>
      </c>
      <c r="AT442">
        <v>11945.7</v>
      </c>
    </row>
    <row r="443" spans="34:46" x14ac:dyDescent="0.35">
      <c r="AH443" t="s">
        <v>204</v>
      </c>
      <c r="AI443" t="s">
        <v>180</v>
      </c>
      <c r="AJ443" s="3">
        <v>43622</v>
      </c>
      <c r="AK443" t="s">
        <v>42</v>
      </c>
      <c r="AL443" s="1">
        <v>12850</v>
      </c>
      <c r="AM443" t="s">
        <v>8</v>
      </c>
      <c r="AN443" t="s">
        <v>8</v>
      </c>
      <c r="AO443" t="s">
        <v>8</v>
      </c>
      <c r="AP443" s="1">
        <v>1106.45</v>
      </c>
      <c r="AQ443" t="s">
        <v>8</v>
      </c>
      <c r="AR443" t="s">
        <v>8</v>
      </c>
      <c r="AS443" t="s">
        <v>8</v>
      </c>
      <c r="AT443">
        <v>11945.7</v>
      </c>
    </row>
    <row r="444" spans="34:46" x14ac:dyDescent="0.35">
      <c r="AH444" t="s">
        <v>204</v>
      </c>
      <c r="AI444" t="s">
        <v>180</v>
      </c>
      <c r="AJ444" s="3">
        <v>43916</v>
      </c>
      <c r="AK444" t="s">
        <v>42</v>
      </c>
      <c r="AL444" s="1">
        <v>12000</v>
      </c>
      <c r="AM444" t="s">
        <v>8</v>
      </c>
      <c r="AN444" t="s">
        <v>8</v>
      </c>
      <c r="AO444" t="s">
        <v>8</v>
      </c>
      <c r="AP444" s="1">
        <v>424.1</v>
      </c>
      <c r="AQ444" t="s">
        <v>8</v>
      </c>
      <c r="AR444" t="s">
        <v>8</v>
      </c>
      <c r="AS444" t="s">
        <v>8</v>
      </c>
      <c r="AT444">
        <v>11945.7</v>
      </c>
    </row>
    <row r="445" spans="34:46" x14ac:dyDescent="0.35">
      <c r="AH445" t="s">
        <v>204</v>
      </c>
      <c r="AI445" t="s">
        <v>180</v>
      </c>
      <c r="AJ445" s="3">
        <v>43671</v>
      </c>
      <c r="AK445" t="s">
        <v>42</v>
      </c>
      <c r="AL445" s="1">
        <v>10250</v>
      </c>
      <c r="AM445" t="s">
        <v>8</v>
      </c>
      <c r="AN445" t="s">
        <v>8</v>
      </c>
      <c r="AO445" t="s">
        <v>8</v>
      </c>
      <c r="AP445" s="1">
        <v>4.3499999999999996</v>
      </c>
      <c r="AQ445" t="s">
        <v>8</v>
      </c>
      <c r="AR445" t="s">
        <v>8</v>
      </c>
      <c r="AS445" t="s">
        <v>8</v>
      </c>
      <c r="AT445">
        <v>11945.7</v>
      </c>
    </row>
    <row r="446" spans="34:46" x14ac:dyDescent="0.35">
      <c r="AH446" t="s">
        <v>204</v>
      </c>
      <c r="AI446" t="s">
        <v>180</v>
      </c>
      <c r="AJ446" s="3">
        <v>43671</v>
      </c>
      <c r="AK446" t="s">
        <v>42</v>
      </c>
      <c r="AL446" s="1">
        <v>10450</v>
      </c>
      <c r="AM446" t="s">
        <v>8</v>
      </c>
      <c r="AN446" t="s">
        <v>8</v>
      </c>
      <c r="AO446" t="s">
        <v>8</v>
      </c>
      <c r="AP446" s="1">
        <v>9.4</v>
      </c>
      <c r="AQ446" t="s">
        <v>8</v>
      </c>
      <c r="AR446" t="s">
        <v>8</v>
      </c>
      <c r="AS446" t="s">
        <v>8</v>
      </c>
      <c r="AT446">
        <v>11945.7</v>
      </c>
    </row>
    <row r="447" spans="34:46" x14ac:dyDescent="0.35">
      <c r="AH447" t="s">
        <v>204</v>
      </c>
      <c r="AI447" t="s">
        <v>180</v>
      </c>
      <c r="AJ447" s="3">
        <v>44742</v>
      </c>
      <c r="AK447" t="s">
        <v>42</v>
      </c>
      <c r="AL447" s="1">
        <v>10100</v>
      </c>
      <c r="AM447" t="s">
        <v>8</v>
      </c>
      <c r="AN447" t="s">
        <v>8</v>
      </c>
      <c r="AO447" t="s">
        <v>8</v>
      </c>
      <c r="AP447" s="1">
        <v>55.85</v>
      </c>
      <c r="AQ447" t="s">
        <v>8</v>
      </c>
      <c r="AR447" t="s">
        <v>8</v>
      </c>
      <c r="AS447" t="s">
        <v>8</v>
      </c>
      <c r="AT447">
        <v>11945.7</v>
      </c>
    </row>
    <row r="448" spans="34:46" x14ac:dyDescent="0.35">
      <c r="AH448" t="s">
        <v>204</v>
      </c>
      <c r="AI448" t="s">
        <v>180</v>
      </c>
      <c r="AJ448" s="3">
        <v>44560</v>
      </c>
      <c r="AK448" t="s">
        <v>42</v>
      </c>
      <c r="AL448" s="1">
        <v>8200</v>
      </c>
      <c r="AM448" t="s">
        <v>8</v>
      </c>
      <c r="AN448" t="s">
        <v>8</v>
      </c>
      <c r="AO448" t="s">
        <v>8</v>
      </c>
      <c r="AP448" s="1">
        <v>287.10000000000002</v>
      </c>
      <c r="AQ448" t="s">
        <v>8</v>
      </c>
      <c r="AR448" t="s">
        <v>8</v>
      </c>
      <c r="AS448" t="s">
        <v>8</v>
      </c>
      <c r="AT448">
        <v>11945.7</v>
      </c>
    </row>
    <row r="449" spans="34:46" x14ac:dyDescent="0.35">
      <c r="AH449" t="s">
        <v>204</v>
      </c>
      <c r="AI449" t="s">
        <v>180</v>
      </c>
      <c r="AJ449" s="3">
        <v>44196</v>
      </c>
      <c r="AK449" t="s">
        <v>41</v>
      </c>
      <c r="AL449" s="1">
        <v>11000</v>
      </c>
      <c r="AM449" t="s">
        <v>8</v>
      </c>
      <c r="AN449" t="s">
        <v>8</v>
      </c>
      <c r="AO449" t="s">
        <v>8</v>
      </c>
      <c r="AP449" s="1">
        <v>1980</v>
      </c>
      <c r="AQ449" t="s">
        <v>8</v>
      </c>
      <c r="AR449" t="s">
        <v>8</v>
      </c>
      <c r="AS449" t="s">
        <v>8</v>
      </c>
      <c r="AT449">
        <v>11945.7</v>
      </c>
    </row>
    <row r="450" spans="34:46" x14ac:dyDescent="0.35">
      <c r="AH450" t="s">
        <v>204</v>
      </c>
      <c r="AI450" t="s">
        <v>180</v>
      </c>
      <c r="AJ450" s="3">
        <v>44371</v>
      </c>
      <c r="AK450" t="s">
        <v>41</v>
      </c>
      <c r="AL450" s="1">
        <v>13500</v>
      </c>
      <c r="AM450" t="s">
        <v>8</v>
      </c>
      <c r="AN450" t="s">
        <v>8</v>
      </c>
      <c r="AO450" t="s">
        <v>8</v>
      </c>
      <c r="AP450" s="1" t="s">
        <v>8</v>
      </c>
      <c r="AQ450" t="s">
        <v>8</v>
      </c>
      <c r="AR450" t="s">
        <v>8</v>
      </c>
      <c r="AS450" t="s">
        <v>8</v>
      </c>
      <c r="AT450">
        <v>11945.7</v>
      </c>
    </row>
    <row r="451" spans="34:46" x14ac:dyDescent="0.35">
      <c r="AH451" t="s">
        <v>204</v>
      </c>
      <c r="AI451" t="s">
        <v>180</v>
      </c>
      <c r="AJ451" s="3">
        <v>44560</v>
      </c>
      <c r="AK451" t="s">
        <v>42</v>
      </c>
      <c r="AL451" s="1">
        <v>8400</v>
      </c>
      <c r="AM451" t="s">
        <v>8</v>
      </c>
      <c r="AN451" t="s">
        <v>8</v>
      </c>
      <c r="AO451" t="s">
        <v>8</v>
      </c>
      <c r="AP451" s="1">
        <v>325.85000000000002</v>
      </c>
      <c r="AQ451" t="s">
        <v>8</v>
      </c>
      <c r="AR451" t="s">
        <v>8</v>
      </c>
      <c r="AS451" t="s">
        <v>8</v>
      </c>
      <c r="AT451">
        <v>11945.7</v>
      </c>
    </row>
    <row r="452" spans="34:46" x14ac:dyDescent="0.35">
      <c r="AH452" t="s">
        <v>204</v>
      </c>
      <c r="AI452" t="s">
        <v>180</v>
      </c>
      <c r="AJ452" s="3">
        <v>43916</v>
      </c>
      <c r="AK452" t="s">
        <v>42</v>
      </c>
      <c r="AL452" s="1">
        <v>9800</v>
      </c>
      <c r="AM452" t="s">
        <v>8</v>
      </c>
      <c r="AN452" t="s">
        <v>8</v>
      </c>
      <c r="AO452" t="s">
        <v>8</v>
      </c>
      <c r="AP452" s="1">
        <v>21.95</v>
      </c>
      <c r="AQ452" t="s">
        <v>8</v>
      </c>
      <c r="AR452" t="s">
        <v>8</v>
      </c>
      <c r="AS452" t="s">
        <v>8</v>
      </c>
      <c r="AT452">
        <v>11945.7</v>
      </c>
    </row>
    <row r="453" spans="34:46" x14ac:dyDescent="0.35">
      <c r="AH453" t="s">
        <v>204</v>
      </c>
      <c r="AI453" t="s">
        <v>180</v>
      </c>
      <c r="AJ453" s="3">
        <v>43629</v>
      </c>
      <c r="AK453" t="s">
        <v>41</v>
      </c>
      <c r="AL453" s="1">
        <v>13000</v>
      </c>
      <c r="AM453" t="s">
        <v>8</v>
      </c>
      <c r="AN453" t="s">
        <v>8</v>
      </c>
      <c r="AO453" t="s">
        <v>8</v>
      </c>
      <c r="AP453" s="1">
        <v>4.5999999999999996</v>
      </c>
      <c r="AQ453" t="s">
        <v>8</v>
      </c>
      <c r="AR453" t="s">
        <v>8</v>
      </c>
      <c r="AS453" t="s">
        <v>8</v>
      </c>
      <c r="AT453">
        <v>11945.7</v>
      </c>
    </row>
    <row r="454" spans="34:46" x14ac:dyDescent="0.35">
      <c r="AH454" t="s">
        <v>204</v>
      </c>
      <c r="AI454" t="s">
        <v>180</v>
      </c>
      <c r="AJ454" s="3">
        <v>43671</v>
      </c>
      <c r="AK454" t="s">
        <v>41</v>
      </c>
      <c r="AL454" s="1">
        <v>12150</v>
      </c>
      <c r="AM454" t="s">
        <v>8</v>
      </c>
      <c r="AN454" t="s">
        <v>8</v>
      </c>
      <c r="AO454" t="s">
        <v>8</v>
      </c>
      <c r="AP454" s="1">
        <v>193.15</v>
      </c>
      <c r="AQ454" t="s">
        <v>8</v>
      </c>
      <c r="AR454" t="s">
        <v>8</v>
      </c>
      <c r="AS454" t="s">
        <v>8</v>
      </c>
      <c r="AT454">
        <v>11945.7</v>
      </c>
    </row>
    <row r="455" spans="34:46" x14ac:dyDescent="0.35">
      <c r="AH455" t="s">
        <v>204</v>
      </c>
      <c r="AI455" t="s">
        <v>180</v>
      </c>
      <c r="AJ455" s="3">
        <v>43671</v>
      </c>
      <c r="AK455" t="s">
        <v>41</v>
      </c>
      <c r="AL455" s="1">
        <v>9650</v>
      </c>
      <c r="AM455" t="s">
        <v>8</v>
      </c>
      <c r="AN455" t="s">
        <v>8</v>
      </c>
      <c r="AO455" t="s">
        <v>8</v>
      </c>
      <c r="AP455" s="1">
        <v>1636.8</v>
      </c>
      <c r="AQ455" t="s">
        <v>8</v>
      </c>
      <c r="AR455" t="s">
        <v>8</v>
      </c>
      <c r="AS455" t="s">
        <v>8</v>
      </c>
      <c r="AT455">
        <v>11945.7</v>
      </c>
    </row>
    <row r="456" spans="34:46" x14ac:dyDescent="0.35">
      <c r="AH456" t="s">
        <v>204</v>
      </c>
      <c r="AI456" t="s">
        <v>180</v>
      </c>
      <c r="AJ456" s="3">
        <v>43671</v>
      </c>
      <c r="AK456" t="s">
        <v>41</v>
      </c>
      <c r="AL456" s="1">
        <v>12350</v>
      </c>
      <c r="AM456" t="s">
        <v>8</v>
      </c>
      <c r="AN456" t="s">
        <v>8</v>
      </c>
      <c r="AO456" t="s">
        <v>8</v>
      </c>
      <c r="AP456" s="1">
        <v>134.05000000000001</v>
      </c>
      <c r="AQ456" t="s">
        <v>8</v>
      </c>
      <c r="AR456" t="s">
        <v>8</v>
      </c>
      <c r="AS456" t="s">
        <v>8</v>
      </c>
      <c r="AT456">
        <v>11945.7</v>
      </c>
    </row>
    <row r="457" spans="34:46" x14ac:dyDescent="0.35">
      <c r="AH457" t="s">
        <v>204</v>
      </c>
      <c r="AI457" t="s">
        <v>180</v>
      </c>
      <c r="AJ457" s="3">
        <v>43671</v>
      </c>
      <c r="AK457" t="s">
        <v>41</v>
      </c>
      <c r="AL457" s="1">
        <v>9850</v>
      </c>
      <c r="AM457" t="s">
        <v>8</v>
      </c>
      <c r="AN457" t="s">
        <v>8</v>
      </c>
      <c r="AO457" t="s">
        <v>8</v>
      </c>
      <c r="AP457" s="1">
        <v>1660.05</v>
      </c>
      <c r="AQ457" t="s">
        <v>8</v>
      </c>
      <c r="AR457" t="s">
        <v>8</v>
      </c>
      <c r="AS457" t="s">
        <v>8</v>
      </c>
      <c r="AT457">
        <v>11945.7</v>
      </c>
    </row>
    <row r="458" spans="34:46" x14ac:dyDescent="0.35">
      <c r="AH458" t="s">
        <v>204</v>
      </c>
      <c r="AI458" t="s">
        <v>180</v>
      </c>
      <c r="AJ458" s="3">
        <v>43650</v>
      </c>
      <c r="AK458" t="s">
        <v>41</v>
      </c>
      <c r="AL458" s="1">
        <v>10550</v>
      </c>
      <c r="AM458" t="s">
        <v>8</v>
      </c>
      <c r="AN458" t="s">
        <v>8</v>
      </c>
      <c r="AO458" t="s">
        <v>8</v>
      </c>
      <c r="AP458" s="1">
        <v>1307.0999999999999</v>
      </c>
      <c r="AQ458" t="s">
        <v>8</v>
      </c>
      <c r="AR458" t="s">
        <v>8</v>
      </c>
      <c r="AS458" t="s">
        <v>8</v>
      </c>
      <c r="AT458">
        <v>11945.7</v>
      </c>
    </row>
    <row r="459" spans="34:46" x14ac:dyDescent="0.35">
      <c r="AH459" t="s">
        <v>204</v>
      </c>
      <c r="AI459" t="s">
        <v>180</v>
      </c>
      <c r="AJ459" s="3">
        <v>43825</v>
      </c>
      <c r="AK459" t="s">
        <v>42</v>
      </c>
      <c r="AL459" s="1">
        <v>10100</v>
      </c>
      <c r="AM459" t="s">
        <v>8</v>
      </c>
      <c r="AN459" t="s">
        <v>8</v>
      </c>
      <c r="AO459" t="s">
        <v>8</v>
      </c>
      <c r="AP459" s="1">
        <v>120</v>
      </c>
      <c r="AQ459" t="s">
        <v>8</v>
      </c>
      <c r="AR459" t="s">
        <v>8</v>
      </c>
      <c r="AS459" t="s">
        <v>8</v>
      </c>
      <c r="AT459">
        <v>11945.7</v>
      </c>
    </row>
    <row r="460" spans="34:46" x14ac:dyDescent="0.35">
      <c r="AH460" t="s">
        <v>204</v>
      </c>
      <c r="AI460" t="s">
        <v>180</v>
      </c>
      <c r="AJ460" s="3">
        <v>44007</v>
      </c>
      <c r="AK460" t="s">
        <v>42</v>
      </c>
      <c r="AL460" s="1">
        <v>4600</v>
      </c>
      <c r="AM460" t="s">
        <v>8</v>
      </c>
      <c r="AN460" t="s">
        <v>8</v>
      </c>
      <c r="AO460" t="s">
        <v>8</v>
      </c>
      <c r="AP460" s="1">
        <v>83.25</v>
      </c>
      <c r="AQ460" t="s">
        <v>8</v>
      </c>
      <c r="AR460" t="s">
        <v>8</v>
      </c>
      <c r="AS460" t="s">
        <v>8</v>
      </c>
      <c r="AT460">
        <v>11945.7</v>
      </c>
    </row>
    <row r="461" spans="34:46" x14ac:dyDescent="0.35">
      <c r="AH461" t="s">
        <v>204</v>
      </c>
      <c r="AI461" t="s">
        <v>180</v>
      </c>
      <c r="AJ461" s="3">
        <v>44560</v>
      </c>
      <c r="AK461" t="s">
        <v>42</v>
      </c>
      <c r="AL461" s="1">
        <v>11100</v>
      </c>
      <c r="AM461" t="s">
        <v>8</v>
      </c>
      <c r="AN461" t="s">
        <v>8</v>
      </c>
      <c r="AO461" t="s">
        <v>8</v>
      </c>
      <c r="AP461" s="1">
        <v>785</v>
      </c>
      <c r="AQ461" t="s">
        <v>8</v>
      </c>
      <c r="AR461" t="s">
        <v>8</v>
      </c>
      <c r="AS461" t="s">
        <v>8</v>
      </c>
      <c r="AT461">
        <v>11945.7</v>
      </c>
    </row>
    <row r="462" spans="34:46" x14ac:dyDescent="0.35">
      <c r="AH462" t="s">
        <v>204</v>
      </c>
      <c r="AI462" t="s">
        <v>180</v>
      </c>
      <c r="AJ462" s="3">
        <v>43650</v>
      </c>
      <c r="AK462" t="s">
        <v>41</v>
      </c>
      <c r="AL462" s="1">
        <v>10750</v>
      </c>
      <c r="AM462" t="s">
        <v>8</v>
      </c>
      <c r="AN462" t="s">
        <v>8</v>
      </c>
      <c r="AO462" t="s">
        <v>8</v>
      </c>
      <c r="AP462" s="1">
        <v>1114.5999999999999</v>
      </c>
      <c r="AQ462" t="s">
        <v>8</v>
      </c>
      <c r="AR462" t="s">
        <v>8</v>
      </c>
      <c r="AS462" t="s">
        <v>8</v>
      </c>
      <c r="AT462">
        <v>11945.7</v>
      </c>
    </row>
    <row r="463" spans="34:46" x14ac:dyDescent="0.35">
      <c r="AH463" t="s">
        <v>204</v>
      </c>
      <c r="AI463" t="s">
        <v>180</v>
      </c>
      <c r="AJ463" s="3">
        <v>44007</v>
      </c>
      <c r="AK463" t="s">
        <v>42</v>
      </c>
      <c r="AL463" s="1">
        <v>4800</v>
      </c>
      <c r="AM463" t="s">
        <v>8</v>
      </c>
      <c r="AN463" t="s">
        <v>8</v>
      </c>
      <c r="AO463" t="s">
        <v>8</v>
      </c>
      <c r="AP463" s="1">
        <v>33.299999999999997</v>
      </c>
      <c r="AQ463" t="s">
        <v>8</v>
      </c>
      <c r="AR463" t="s">
        <v>8</v>
      </c>
      <c r="AS463" t="s">
        <v>8</v>
      </c>
      <c r="AT463">
        <v>11945.7</v>
      </c>
    </row>
    <row r="464" spans="34:46" x14ac:dyDescent="0.35">
      <c r="AH464" t="s">
        <v>204</v>
      </c>
      <c r="AI464" t="s">
        <v>180</v>
      </c>
      <c r="AJ464" s="3">
        <v>43671</v>
      </c>
      <c r="AK464" t="s">
        <v>42</v>
      </c>
      <c r="AL464" s="1">
        <v>12400</v>
      </c>
      <c r="AM464" t="s">
        <v>8</v>
      </c>
      <c r="AN464" t="s">
        <v>8</v>
      </c>
      <c r="AO464" t="s">
        <v>8</v>
      </c>
      <c r="AP464" s="1">
        <v>663.25</v>
      </c>
      <c r="AQ464" t="s">
        <v>8</v>
      </c>
      <c r="AR464" t="s">
        <v>8</v>
      </c>
      <c r="AS464" t="s">
        <v>8</v>
      </c>
      <c r="AT464">
        <v>11945.7</v>
      </c>
    </row>
    <row r="465" spans="34:46" x14ac:dyDescent="0.35">
      <c r="AH465" t="s">
        <v>204</v>
      </c>
      <c r="AI465" t="s">
        <v>180</v>
      </c>
      <c r="AJ465" s="3">
        <v>44560</v>
      </c>
      <c r="AK465" t="s">
        <v>42</v>
      </c>
      <c r="AL465" s="1">
        <v>11300</v>
      </c>
      <c r="AM465" t="s">
        <v>8</v>
      </c>
      <c r="AN465" t="s">
        <v>8</v>
      </c>
      <c r="AO465" t="s">
        <v>8</v>
      </c>
      <c r="AP465" s="1">
        <v>727</v>
      </c>
      <c r="AQ465" t="s">
        <v>8</v>
      </c>
      <c r="AR465" t="s">
        <v>8</v>
      </c>
      <c r="AS465" t="s">
        <v>8</v>
      </c>
      <c r="AT465">
        <v>11945.7</v>
      </c>
    </row>
    <row r="466" spans="34:46" x14ac:dyDescent="0.35">
      <c r="AH466" t="s">
        <v>204</v>
      </c>
      <c r="AI466" t="s">
        <v>180</v>
      </c>
      <c r="AJ466" s="3">
        <v>43671</v>
      </c>
      <c r="AK466" t="s">
        <v>42</v>
      </c>
      <c r="AL466" s="1">
        <v>12600</v>
      </c>
      <c r="AM466" t="s">
        <v>8</v>
      </c>
      <c r="AN466" t="s">
        <v>8</v>
      </c>
      <c r="AO466" t="s">
        <v>8</v>
      </c>
      <c r="AP466" s="1">
        <v>818.8</v>
      </c>
      <c r="AQ466" t="s">
        <v>8</v>
      </c>
      <c r="AR466" t="s">
        <v>8</v>
      </c>
      <c r="AS466" t="s">
        <v>8</v>
      </c>
      <c r="AT466">
        <v>11945.7</v>
      </c>
    </row>
    <row r="467" spans="34:46" x14ac:dyDescent="0.35">
      <c r="AH467" t="s">
        <v>204</v>
      </c>
      <c r="AI467" t="s">
        <v>180</v>
      </c>
      <c r="AJ467" s="3">
        <v>43825</v>
      </c>
      <c r="AK467" t="s">
        <v>42</v>
      </c>
      <c r="AL467" s="1">
        <v>9400</v>
      </c>
      <c r="AM467" t="s">
        <v>8</v>
      </c>
      <c r="AN467" t="s">
        <v>8</v>
      </c>
      <c r="AO467" t="s">
        <v>8</v>
      </c>
      <c r="AP467" s="1">
        <v>77.5</v>
      </c>
      <c r="AQ467" t="s">
        <v>8</v>
      </c>
      <c r="AR467" t="s">
        <v>8</v>
      </c>
      <c r="AS467" t="s">
        <v>8</v>
      </c>
      <c r="AT467">
        <v>11945.7</v>
      </c>
    </row>
    <row r="468" spans="34:46" x14ac:dyDescent="0.35">
      <c r="AH468" t="s">
        <v>204</v>
      </c>
      <c r="AI468" t="s">
        <v>180</v>
      </c>
      <c r="AJ468" s="3">
        <v>43825</v>
      </c>
      <c r="AK468" t="s">
        <v>42</v>
      </c>
      <c r="AL468" s="1">
        <v>9600</v>
      </c>
      <c r="AM468" t="s">
        <v>8</v>
      </c>
      <c r="AN468" t="s">
        <v>8</v>
      </c>
      <c r="AO468" t="s">
        <v>8</v>
      </c>
      <c r="AP468" s="1">
        <v>40.049999999999997</v>
      </c>
      <c r="AQ468" t="s">
        <v>8</v>
      </c>
      <c r="AR468" t="s">
        <v>8</v>
      </c>
      <c r="AS468" t="s">
        <v>8</v>
      </c>
      <c r="AT468">
        <v>11945.7</v>
      </c>
    </row>
    <row r="469" spans="34:46" x14ac:dyDescent="0.35">
      <c r="AH469" t="s">
        <v>204</v>
      </c>
      <c r="AI469" t="s">
        <v>180</v>
      </c>
      <c r="AJ469" s="3">
        <v>43643</v>
      </c>
      <c r="AK469" t="s">
        <v>41</v>
      </c>
      <c r="AL469" s="1">
        <v>11350</v>
      </c>
      <c r="AM469" t="s">
        <v>8</v>
      </c>
      <c r="AN469" t="s">
        <v>8</v>
      </c>
      <c r="AO469" t="s">
        <v>8</v>
      </c>
      <c r="AP469" s="1">
        <v>571.29999999999995</v>
      </c>
      <c r="AQ469" t="s">
        <v>8</v>
      </c>
      <c r="AR469" t="s">
        <v>8</v>
      </c>
      <c r="AS469" t="s">
        <v>8</v>
      </c>
      <c r="AT469">
        <v>11945.7</v>
      </c>
    </row>
    <row r="470" spans="34:46" x14ac:dyDescent="0.35">
      <c r="AH470" t="s">
        <v>204</v>
      </c>
      <c r="AI470" t="s">
        <v>180</v>
      </c>
      <c r="AJ470" s="3">
        <v>43650</v>
      </c>
      <c r="AK470" t="s">
        <v>41</v>
      </c>
      <c r="AL470" s="1">
        <v>12500</v>
      </c>
      <c r="AM470" t="s">
        <v>8</v>
      </c>
      <c r="AN470" t="s">
        <v>8</v>
      </c>
      <c r="AO470" t="s">
        <v>8</v>
      </c>
      <c r="AP470" s="1">
        <v>60.4</v>
      </c>
      <c r="AQ470" t="s">
        <v>8</v>
      </c>
      <c r="AR470" t="s">
        <v>8</v>
      </c>
      <c r="AS470" t="s">
        <v>8</v>
      </c>
      <c r="AT470">
        <v>11945.7</v>
      </c>
    </row>
    <row r="471" spans="34:46" x14ac:dyDescent="0.35">
      <c r="AH471" t="s">
        <v>204</v>
      </c>
      <c r="AI471" t="s">
        <v>180</v>
      </c>
      <c r="AJ471" s="3">
        <v>43678</v>
      </c>
      <c r="AK471" t="s">
        <v>41</v>
      </c>
      <c r="AL471" s="1">
        <v>11600</v>
      </c>
      <c r="AM471" t="s">
        <v>8</v>
      </c>
      <c r="AN471" t="s">
        <v>8</v>
      </c>
      <c r="AO471" t="s">
        <v>8</v>
      </c>
      <c r="AP471">
        <v>542.4</v>
      </c>
      <c r="AQ471" t="s">
        <v>8</v>
      </c>
      <c r="AR471" t="s">
        <v>8</v>
      </c>
      <c r="AS471" t="s">
        <v>8</v>
      </c>
      <c r="AT471">
        <v>11945.7</v>
      </c>
    </row>
    <row r="472" spans="34:46" x14ac:dyDescent="0.35">
      <c r="AH472" t="s">
        <v>204</v>
      </c>
      <c r="AI472" t="s">
        <v>180</v>
      </c>
      <c r="AJ472" s="3">
        <v>43825</v>
      </c>
      <c r="AK472" t="s">
        <v>42</v>
      </c>
      <c r="AL472" s="1">
        <v>9800</v>
      </c>
      <c r="AM472" t="s">
        <v>8</v>
      </c>
      <c r="AN472" t="s">
        <v>8</v>
      </c>
      <c r="AO472" t="s">
        <v>8</v>
      </c>
      <c r="AP472" s="1">
        <v>320</v>
      </c>
      <c r="AQ472" t="s">
        <v>8</v>
      </c>
      <c r="AR472" t="s">
        <v>8</v>
      </c>
      <c r="AS472" t="s">
        <v>8</v>
      </c>
      <c r="AT472">
        <v>11945.7</v>
      </c>
    </row>
    <row r="473" spans="34:46" x14ac:dyDescent="0.35">
      <c r="AH473" t="s">
        <v>204</v>
      </c>
      <c r="AI473" t="s">
        <v>180</v>
      </c>
      <c r="AJ473" s="3">
        <v>43650</v>
      </c>
      <c r="AK473" t="s">
        <v>41</v>
      </c>
      <c r="AL473" s="1">
        <v>12700</v>
      </c>
      <c r="AM473" t="s">
        <v>8</v>
      </c>
      <c r="AN473" t="s">
        <v>8</v>
      </c>
      <c r="AO473" t="s">
        <v>8</v>
      </c>
      <c r="AP473" s="1">
        <v>34.35</v>
      </c>
      <c r="AQ473" t="s">
        <v>8</v>
      </c>
      <c r="AR473" t="s">
        <v>8</v>
      </c>
      <c r="AS473" t="s">
        <v>8</v>
      </c>
      <c r="AT473">
        <v>11945.7</v>
      </c>
    </row>
    <row r="474" spans="34:46" x14ac:dyDescent="0.35">
      <c r="AH474" t="s">
        <v>204</v>
      </c>
      <c r="AI474" t="s">
        <v>180</v>
      </c>
      <c r="AJ474" s="3">
        <v>44560</v>
      </c>
      <c r="AK474" t="s">
        <v>41</v>
      </c>
      <c r="AL474" s="1">
        <v>11900</v>
      </c>
      <c r="AM474" t="s">
        <v>8</v>
      </c>
      <c r="AN474" t="s">
        <v>8</v>
      </c>
      <c r="AO474" t="s">
        <v>8</v>
      </c>
      <c r="AP474" s="1" t="s">
        <v>8</v>
      </c>
      <c r="AQ474" t="s">
        <v>8</v>
      </c>
      <c r="AR474" t="s">
        <v>8</v>
      </c>
      <c r="AS474" t="s">
        <v>8</v>
      </c>
      <c r="AT474">
        <v>11945.7</v>
      </c>
    </row>
    <row r="475" spans="34:46" x14ac:dyDescent="0.35">
      <c r="AH475" t="s">
        <v>204</v>
      </c>
      <c r="AI475" t="s">
        <v>180</v>
      </c>
      <c r="AJ475" s="3">
        <v>43636</v>
      </c>
      <c r="AK475" t="s">
        <v>41</v>
      </c>
      <c r="AL475" s="1">
        <v>9700</v>
      </c>
      <c r="AM475" t="s">
        <v>8</v>
      </c>
      <c r="AN475" t="s">
        <v>8</v>
      </c>
      <c r="AO475" t="s">
        <v>8</v>
      </c>
      <c r="AP475" s="1">
        <v>1520.35</v>
      </c>
      <c r="AQ475" t="s">
        <v>8</v>
      </c>
      <c r="AR475" t="s">
        <v>8</v>
      </c>
      <c r="AS475" t="s">
        <v>8</v>
      </c>
      <c r="AT475">
        <v>11945.7</v>
      </c>
    </row>
    <row r="476" spans="34:46" x14ac:dyDescent="0.35">
      <c r="AH476" t="s">
        <v>204</v>
      </c>
      <c r="AI476" t="s">
        <v>180</v>
      </c>
      <c r="AJ476" s="3">
        <v>43615</v>
      </c>
      <c r="AK476" t="s">
        <v>41</v>
      </c>
      <c r="AL476" s="1">
        <v>10250</v>
      </c>
      <c r="AM476" t="s">
        <v>8</v>
      </c>
      <c r="AN476" t="s">
        <v>8</v>
      </c>
      <c r="AO476" t="s">
        <v>8</v>
      </c>
      <c r="AP476" s="1">
        <v>774.15</v>
      </c>
      <c r="AQ476" t="s">
        <v>8</v>
      </c>
      <c r="AR476" t="s">
        <v>8</v>
      </c>
      <c r="AS476" t="s">
        <v>8</v>
      </c>
      <c r="AT476">
        <v>11945.7</v>
      </c>
    </row>
    <row r="477" spans="34:46" x14ac:dyDescent="0.35">
      <c r="AH477" t="s">
        <v>204</v>
      </c>
      <c r="AI477" t="s">
        <v>180</v>
      </c>
      <c r="AJ477" s="3">
        <v>43636</v>
      </c>
      <c r="AK477" t="s">
        <v>41</v>
      </c>
      <c r="AL477" s="1">
        <v>9900</v>
      </c>
      <c r="AM477" t="s">
        <v>8</v>
      </c>
      <c r="AN477" t="s">
        <v>8</v>
      </c>
      <c r="AO477" t="s">
        <v>8</v>
      </c>
      <c r="AP477" s="1">
        <v>1542.35</v>
      </c>
      <c r="AQ477" t="s">
        <v>8</v>
      </c>
      <c r="AR477" t="s">
        <v>8</v>
      </c>
      <c r="AS477" t="s">
        <v>8</v>
      </c>
      <c r="AT477">
        <v>11945.7</v>
      </c>
    </row>
    <row r="478" spans="34:46" x14ac:dyDescent="0.35">
      <c r="AH478" t="s">
        <v>204</v>
      </c>
      <c r="AI478" t="s">
        <v>180</v>
      </c>
      <c r="AJ478" s="3">
        <v>43629</v>
      </c>
      <c r="AK478" t="s">
        <v>42</v>
      </c>
      <c r="AL478" s="1">
        <v>13450</v>
      </c>
      <c r="AM478" t="s">
        <v>8</v>
      </c>
      <c r="AN478" t="s">
        <v>8</v>
      </c>
      <c r="AO478" t="s">
        <v>8</v>
      </c>
      <c r="AP478" s="1">
        <v>1482.75</v>
      </c>
      <c r="AQ478" t="s">
        <v>8</v>
      </c>
      <c r="AR478" t="s">
        <v>8</v>
      </c>
      <c r="AS478" t="s">
        <v>8</v>
      </c>
      <c r="AT478">
        <v>11945.7</v>
      </c>
    </row>
    <row r="479" spans="34:46" x14ac:dyDescent="0.35">
      <c r="AH479" t="s">
        <v>204</v>
      </c>
      <c r="AI479" t="s">
        <v>180</v>
      </c>
      <c r="AJ479" s="3">
        <v>44196</v>
      </c>
      <c r="AK479" t="s">
        <v>42</v>
      </c>
      <c r="AL479" s="1">
        <v>7400</v>
      </c>
      <c r="AM479" t="s">
        <v>8</v>
      </c>
      <c r="AN479" t="s">
        <v>8</v>
      </c>
      <c r="AO479" t="s">
        <v>8</v>
      </c>
      <c r="AP479" s="1">
        <v>81.7</v>
      </c>
      <c r="AQ479" t="s">
        <v>8</v>
      </c>
      <c r="AR479" t="s">
        <v>8</v>
      </c>
      <c r="AS479" t="s">
        <v>8</v>
      </c>
      <c r="AT479">
        <v>11945.7</v>
      </c>
    </row>
    <row r="480" spans="34:46" x14ac:dyDescent="0.35">
      <c r="AH480" t="s">
        <v>204</v>
      </c>
      <c r="AI480" t="s">
        <v>180</v>
      </c>
      <c r="AJ480" s="3">
        <v>43615</v>
      </c>
      <c r="AK480" t="s">
        <v>41</v>
      </c>
      <c r="AL480" s="1">
        <v>10450</v>
      </c>
      <c r="AM480" t="s">
        <v>8</v>
      </c>
      <c r="AN480" t="s">
        <v>8</v>
      </c>
      <c r="AO480" t="s">
        <v>8</v>
      </c>
      <c r="AP480" s="1">
        <v>1480</v>
      </c>
      <c r="AQ480" t="s">
        <v>8</v>
      </c>
      <c r="AR480" t="s">
        <v>8</v>
      </c>
      <c r="AS480" t="s">
        <v>8</v>
      </c>
      <c r="AT480">
        <v>11945.7</v>
      </c>
    </row>
    <row r="481" spans="34:46" x14ac:dyDescent="0.35">
      <c r="AH481" t="s">
        <v>204</v>
      </c>
      <c r="AI481" t="s">
        <v>180</v>
      </c>
      <c r="AJ481" s="3">
        <v>44196</v>
      </c>
      <c r="AK481" t="s">
        <v>42</v>
      </c>
      <c r="AL481" s="1">
        <v>7600</v>
      </c>
      <c r="AM481" t="s">
        <v>8</v>
      </c>
      <c r="AN481" t="s">
        <v>8</v>
      </c>
      <c r="AO481" t="s">
        <v>8</v>
      </c>
      <c r="AP481" s="1">
        <v>29.5</v>
      </c>
      <c r="AQ481" t="s">
        <v>8</v>
      </c>
      <c r="AR481" t="s">
        <v>8</v>
      </c>
      <c r="AS481" t="s">
        <v>8</v>
      </c>
      <c r="AT481">
        <v>11945.7</v>
      </c>
    </row>
    <row r="482" spans="34:46" x14ac:dyDescent="0.35">
      <c r="AH482" t="s">
        <v>204</v>
      </c>
      <c r="AI482" t="s">
        <v>180</v>
      </c>
      <c r="AJ482" s="3">
        <v>43636</v>
      </c>
      <c r="AK482" t="s">
        <v>41</v>
      </c>
      <c r="AL482" s="1">
        <v>10550</v>
      </c>
      <c r="AM482" t="s">
        <v>8</v>
      </c>
      <c r="AN482" t="s">
        <v>8</v>
      </c>
      <c r="AO482" t="s">
        <v>8</v>
      </c>
      <c r="AP482" s="1">
        <v>1324.3</v>
      </c>
      <c r="AQ482" t="s">
        <v>8</v>
      </c>
      <c r="AR482" t="s">
        <v>8</v>
      </c>
      <c r="AS482" t="s">
        <v>8</v>
      </c>
      <c r="AT482">
        <v>11945.7</v>
      </c>
    </row>
    <row r="483" spans="34:46" x14ac:dyDescent="0.35">
      <c r="AH483" t="s">
        <v>204</v>
      </c>
      <c r="AI483" t="s">
        <v>180</v>
      </c>
      <c r="AJ483" s="3">
        <v>43615</v>
      </c>
      <c r="AK483" t="s">
        <v>41</v>
      </c>
      <c r="AL483" s="1">
        <v>10650</v>
      </c>
      <c r="AM483" t="s">
        <v>8</v>
      </c>
      <c r="AN483" t="s">
        <v>8</v>
      </c>
      <c r="AO483" t="s">
        <v>8</v>
      </c>
      <c r="AP483" s="1">
        <v>1229.45</v>
      </c>
      <c r="AQ483" t="s">
        <v>8</v>
      </c>
      <c r="AR483" t="s">
        <v>8</v>
      </c>
      <c r="AS483" t="s">
        <v>8</v>
      </c>
      <c r="AT483">
        <v>11945.7</v>
      </c>
    </row>
    <row r="484" spans="34:46" x14ac:dyDescent="0.35">
      <c r="AH484" t="s">
        <v>204</v>
      </c>
      <c r="AI484" t="s">
        <v>180</v>
      </c>
      <c r="AJ484" s="3">
        <v>43622</v>
      </c>
      <c r="AK484" t="s">
        <v>41</v>
      </c>
      <c r="AL484" s="1">
        <v>9700</v>
      </c>
      <c r="AM484" t="s">
        <v>8</v>
      </c>
      <c r="AN484" t="s">
        <v>8</v>
      </c>
      <c r="AO484" t="s">
        <v>8</v>
      </c>
      <c r="AP484" s="1">
        <v>1491.2</v>
      </c>
      <c r="AQ484" t="s">
        <v>8</v>
      </c>
      <c r="AR484" t="s">
        <v>8</v>
      </c>
      <c r="AS484" t="s">
        <v>8</v>
      </c>
      <c r="AT484">
        <v>11945.7</v>
      </c>
    </row>
    <row r="485" spans="34:46" x14ac:dyDescent="0.35">
      <c r="AH485" t="s">
        <v>204</v>
      </c>
      <c r="AI485" t="s">
        <v>180</v>
      </c>
      <c r="AJ485" s="3">
        <v>43636</v>
      </c>
      <c r="AK485" t="s">
        <v>41</v>
      </c>
      <c r="AL485" s="1">
        <v>10750</v>
      </c>
      <c r="AM485" t="s">
        <v>8</v>
      </c>
      <c r="AN485" t="s">
        <v>8</v>
      </c>
      <c r="AO485" t="s">
        <v>8</v>
      </c>
      <c r="AP485" s="1">
        <v>1128.75</v>
      </c>
      <c r="AQ485" t="s">
        <v>8</v>
      </c>
      <c r="AR485" t="s">
        <v>8</v>
      </c>
      <c r="AS485" t="s">
        <v>8</v>
      </c>
      <c r="AT485">
        <v>11945.7</v>
      </c>
    </row>
    <row r="486" spans="34:46" x14ac:dyDescent="0.35">
      <c r="AH486" t="s">
        <v>204</v>
      </c>
      <c r="AI486" t="s">
        <v>180</v>
      </c>
      <c r="AJ486" s="3">
        <v>43622</v>
      </c>
      <c r="AK486" t="s">
        <v>41</v>
      </c>
      <c r="AL486" s="1">
        <v>9900</v>
      </c>
      <c r="AM486" t="s">
        <v>8</v>
      </c>
      <c r="AN486" t="s">
        <v>8</v>
      </c>
      <c r="AO486" t="s">
        <v>8</v>
      </c>
      <c r="AP486" s="1">
        <v>1512.5</v>
      </c>
      <c r="AQ486" t="s">
        <v>8</v>
      </c>
      <c r="AR486" t="s">
        <v>8</v>
      </c>
      <c r="AS486" t="s">
        <v>8</v>
      </c>
      <c r="AT486">
        <v>11945.7</v>
      </c>
    </row>
    <row r="487" spans="34:46" x14ac:dyDescent="0.35">
      <c r="AH487" t="s">
        <v>204</v>
      </c>
      <c r="AI487" t="s">
        <v>180</v>
      </c>
      <c r="AJ487" s="3">
        <v>43643</v>
      </c>
      <c r="AK487" t="s">
        <v>41</v>
      </c>
      <c r="AL487" s="1">
        <v>5400</v>
      </c>
      <c r="AM487" t="s">
        <v>8</v>
      </c>
      <c r="AN487" t="s">
        <v>8</v>
      </c>
      <c r="AO487" t="s">
        <v>8</v>
      </c>
      <c r="AP487" s="1">
        <v>4029.7</v>
      </c>
      <c r="AQ487" t="s">
        <v>8</v>
      </c>
      <c r="AR487" t="s">
        <v>8</v>
      </c>
      <c r="AS487" t="s">
        <v>8</v>
      </c>
      <c r="AT487">
        <v>11945.7</v>
      </c>
    </row>
    <row r="488" spans="34:46" x14ac:dyDescent="0.35">
      <c r="AH488" t="s">
        <v>204</v>
      </c>
      <c r="AI488" t="s">
        <v>180</v>
      </c>
      <c r="AJ488" s="3">
        <v>43643</v>
      </c>
      <c r="AK488" t="s">
        <v>41</v>
      </c>
      <c r="AL488" s="1">
        <v>5600</v>
      </c>
      <c r="AM488" t="s">
        <v>8</v>
      </c>
      <c r="AN488" t="s">
        <v>8</v>
      </c>
      <c r="AO488" t="s">
        <v>8</v>
      </c>
      <c r="AP488" s="1">
        <v>3905.1</v>
      </c>
      <c r="AQ488" t="s">
        <v>8</v>
      </c>
      <c r="AR488" t="s">
        <v>8</v>
      </c>
      <c r="AS488" t="s">
        <v>8</v>
      </c>
      <c r="AT488">
        <v>11945.7</v>
      </c>
    </row>
    <row r="489" spans="34:46" x14ac:dyDescent="0.35">
      <c r="AH489" t="s">
        <v>204</v>
      </c>
      <c r="AI489" t="s">
        <v>180</v>
      </c>
      <c r="AJ489" s="3">
        <v>43636</v>
      </c>
      <c r="AK489" t="s">
        <v>42</v>
      </c>
      <c r="AL489" s="1">
        <v>10600</v>
      </c>
      <c r="AM489" t="s">
        <v>8</v>
      </c>
      <c r="AN489" t="s">
        <v>8</v>
      </c>
      <c r="AO489" t="s">
        <v>8</v>
      </c>
      <c r="AP489" s="1">
        <v>1.3</v>
      </c>
      <c r="AQ489" t="s">
        <v>8</v>
      </c>
      <c r="AR489" t="s">
        <v>8</v>
      </c>
      <c r="AS489" t="s">
        <v>8</v>
      </c>
      <c r="AT489">
        <v>11945.7</v>
      </c>
    </row>
    <row r="490" spans="34:46" x14ac:dyDescent="0.35">
      <c r="AH490" t="s">
        <v>204</v>
      </c>
      <c r="AI490" t="s">
        <v>180</v>
      </c>
      <c r="AJ490" s="3">
        <v>43636</v>
      </c>
      <c r="AK490" t="s">
        <v>42</v>
      </c>
      <c r="AL490" s="1">
        <v>10800</v>
      </c>
      <c r="AM490" t="s">
        <v>8</v>
      </c>
      <c r="AN490" t="s">
        <v>8</v>
      </c>
      <c r="AO490" t="s">
        <v>8</v>
      </c>
      <c r="AP490" s="1">
        <v>4.0999999999999996</v>
      </c>
      <c r="AQ490" t="s">
        <v>8</v>
      </c>
      <c r="AR490" t="s">
        <v>8</v>
      </c>
      <c r="AS490" t="s">
        <v>8</v>
      </c>
      <c r="AT490">
        <v>11945.7</v>
      </c>
    </row>
    <row r="491" spans="34:46" x14ac:dyDescent="0.35">
      <c r="AH491" t="s">
        <v>204</v>
      </c>
      <c r="AI491" t="s">
        <v>180</v>
      </c>
      <c r="AJ491" s="3">
        <v>44007</v>
      </c>
      <c r="AK491" t="s">
        <v>42</v>
      </c>
      <c r="AL491" s="1">
        <v>10200</v>
      </c>
      <c r="AM491" t="s">
        <v>8</v>
      </c>
      <c r="AN491" t="s">
        <v>8</v>
      </c>
      <c r="AO491" t="s">
        <v>8</v>
      </c>
      <c r="AP491" s="1" t="s">
        <v>8</v>
      </c>
      <c r="AQ491" t="s">
        <v>8</v>
      </c>
      <c r="AR491" t="s">
        <v>8</v>
      </c>
      <c r="AS491" t="s">
        <v>8</v>
      </c>
      <c r="AT491">
        <v>11945.7</v>
      </c>
    </row>
    <row r="492" spans="34:46" x14ac:dyDescent="0.35">
      <c r="AH492" t="s">
        <v>204</v>
      </c>
      <c r="AI492" t="s">
        <v>180</v>
      </c>
      <c r="AJ492" s="3">
        <v>45106</v>
      </c>
      <c r="AK492" t="s">
        <v>42</v>
      </c>
      <c r="AL492" s="1">
        <v>11200</v>
      </c>
      <c r="AM492" t="s">
        <v>8</v>
      </c>
      <c r="AN492" t="s">
        <v>8</v>
      </c>
      <c r="AO492" t="s">
        <v>8</v>
      </c>
      <c r="AP492" s="1">
        <v>121.9</v>
      </c>
      <c r="AQ492" t="s">
        <v>8</v>
      </c>
      <c r="AR492" t="s">
        <v>8</v>
      </c>
      <c r="AS492" t="s">
        <v>8</v>
      </c>
      <c r="AT492">
        <v>11945.7</v>
      </c>
    </row>
    <row r="493" spans="34:46" x14ac:dyDescent="0.35">
      <c r="AH493" t="s">
        <v>204</v>
      </c>
      <c r="AI493" t="s">
        <v>180</v>
      </c>
      <c r="AJ493" s="3">
        <v>43664</v>
      </c>
      <c r="AK493" t="s">
        <v>41</v>
      </c>
      <c r="AL493" s="1">
        <v>10850</v>
      </c>
      <c r="AM493" t="s">
        <v>8</v>
      </c>
      <c r="AN493" t="s">
        <v>8</v>
      </c>
      <c r="AO493" t="s">
        <v>8</v>
      </c>
      <c r="AP493" s="1">
        <v>613.35</v>
      </c>
      <c r="AQ493" t="s">
        <v>8</v>
      </c>
      <c r="AR493" t="s">
        <v>8</v>
      </c>
      <c r="AS493" t="s">
        <v>8</v>
      </c>
      <c r="AT493">
        <v>11945.7</v>
      </c>
    </row>
    <row r="494" spans="34:46" x14ac:dyDescent="0.35">
      <c r="AH494" t="s">
        <v>204</v>
      </c>
      <c r="AI494" t="s">
        <v>180</v>
      </c>
      <c r="AJ494" s="3">
        <v>44007</v>
      </c>
      <c r="AK494" t="s">
        <v>42</v>
      </c>
      <c r="AL494" s="1">
        <v>10400</v>
      </c>
      <c r="AM494" t="s">
        <v>8</v>
      </c>
      <c r="AN494" t="s">
        <v>8</v>
      </c>
      <c r="AO494" t="s">
        <v>8</v>
      </c>
      <c r="AP494" t="s">
        <v>8</v>
      </c>
      <c r="AQ494" t="s">
        <v>8</v>
      </c>
      <c r="AR494" t="s">
        <v>8</v>
      </c>
      <c r="AS494" t="s">
        <v>8</v>
      </c>
      <c r="AT494">
        <v>11945.7</v>
      </c>
    </row>
    <row r="495" spans="34:46" x14ac:dyDescent="0.35">
      <c r="AH495" t="s">
        <v>204</v>
      </c>
      <c r="AI495" t="s">
        <v>180</v>
      </c>
      <c r="AJ495" s="3">
        <v>45106</v>
      </c>
      <c r="AK495" t="s">
        <v>42</v>
      </c>
      <c r="AL495" s="1">
        <v>11400</v>
      </c>
      <c r="AM495" t="s">
        <v>8</v>
      </c>
      <c r="AN495" t="s">
        <v>8</v>
      </c>
      <c r="AO495" t="s">
        <v>8</v>
      </c>
      <c r="AP495" s="1">
        <v>141.65</v>
      </c>
      <c r="AQ495" t="s">
        <v>8</v>
      </c>
      <c r="AR495" t="s">
        <v>8</v>
      </c>
      <c r="AS495" t="s">
        <v>8</v>
      </c>
      <c r="AT495">
        <v>11945.7</v>
      </c>
    </row>
    <row r="496" spans="34:46" x14ac:dyDescent="0.35">
      <c r="AH496" t="s">
        <v>204</v>
      </c>
      <c r="AI496" t="s">
        <v>180</v>
      </c>
      <c r="AJ496" s="3">
        <v>43664</v>
      </c>
      <c r="AK496" t="s">
        <v>42</v>
      </c>
      <c r="AL496" s="1">
        <v>12400</v>
      </c>
      <c r="AM496" t="s">
        <v>8</v>
      </c>
      <c r="AN496" t="s">
        <v>8</v>
      </c>
      <c r="AO496" t="s">
        <v>8</v>
      </c>
      <c r="AP496" s="1">
        <v>1014.75</v>
      </c>
      <c r="AQ496" t="s">
        <v>8</v>
      </c>
      <c r="AR496" t="s">
        <v>8</v>
      </c>
      <c r="AS496" t="s">
        <v>8</v>
      </c>
      <c r="AT496">
        <v>11945.7</v>
      </c>
    </row>
    <row r="497" spans="34:46" x14ac:dyDescent="0.35">
      <c r="AH497" t="s">
        <v>204</v>
      </c>
      <c r="AI497" t="s">
        <v>180</v>
      </c>
      <c r="AJ497" s="3">
        <v>43825</v>
      </c>
      <c r="AK497" t="s">
        <v>42</v>
      </c>
      <c r="AL497" s="1">
        <v>4600</v>
      </c>
      <c r="AM497" t="s">
        <v>8</v>
      </c>
      <c r="AN497" t="s">
        <v>8</v>
      </c>
      <c r="AO497" t="s">
        <v>8</v>
      </c>
      <c r="AP497" s="1">
        <v>2</v>
      </c>
      <c r="AQ497" t="s">
        <v>8</v>
      </c>
      <c r="AR497" t="s">
        <v>8</v>
      </c>
      <c r="AS497" t="s">
        <v>8</v>
      </c>
      <c r="AT497">
        <v>11945.7</v>
      </c>
    </row>
    <row r="498" spans="34:46" x14ac:dyDescent="0.35">
      <c r="AH498" t="s">
        <v>204</v>
      </c>
      <c r="AI498" t="s">
        <v>180</v>
      </c>
      <c r="AJ498" s="3">
        <v>43657</v>
      </c>
      <c r="AK498" t="s">
        <v>41</v>
      </c>
      <c r="AL498" s="1">
        <v>11350</v>
      </c>
      <c r="AM498" t="s">
        <v>8</v>
      </c>
      <c r="AN498" t="s">
        <v>8</v>
      </c>
      <c r="AO498" t="s">
        <v>8</v>
      </c>
      <c r="AP498" s="1">
        <v>308.10000000000002</v>
      </c>
      <c r="AQ498" t="s">
        <v>8</v>
      </c>
      <c r="AR498" t="s">
        <v>8</v>
      </c>
      <c r="AS498" t="s">
        <v>8</v>
      </c>
      <c r="AT498">
        <v>11945.7</v>
      </c>
    </row>
    <row r="499" spans="34:46" x14ac:dyDescent="0.35">
      <c r="AH499" t="s">
        <v>204</v>
      </c>
      <c r="AI499" t="s">
        <v>180</v>
      </c>
      <c r="AJ499" s="3">
        <v>44371</v>
      </c>
      <c r="AK499" t="s">
        <v>42</v>
      </c>
      <c r="AL499" s="1">
        <v>6000</v>
      </c>
      <c r="AM499" t="s">
        <v>8</v>
      </c>
      <c r="AN499" t="s">
        <v>8</v>
      </c>
      <c r="AO499" t="s">
        <v>8</v>
      </c>
      <c r="AP499" s="1">
        <v>35</v>
      </c>
      <c r="AQ499" t="s">
        <v>8</v>
      </c>
      <c r="AR499" t="s">
        <v>8</v>
      </c>
      <c r="AS499" t="s">
        <v>8</v>
      </c>
      <c r="AT499">
        <v>11945.7</v>
      </c>
    </row>
    <row r="500" spans="34:46" x14ac:dyDescent="0.35">
      <c r="AH500" t="s">
        <v>204</v>
      </c>
      <c r="AI500" t="s">
        <v>180</v>
      </c>
      <c r="AJ500" s="3">
        <v>44742</v>
      </c>
      <c r="AK500" t="s">
        <v>42</v>
      </c>
      <c r="AL500" s="1">
        <v>8800</v>
      </c>
      <c r="AM500" t="s">
        <v>8</v>
      </c>
      <c r="AN500" t="s">
        <v>8</v>
      </c>
      <c r="AO500" t="s">
        <v>8</v>
      </c>
      <c r="AP500">
        <v>8.4</v>
      </c>
      <c r="AQ500" t="s">
        <v>8</v>
      </c>
      <c r="AR500" t="s">
        <v>8</v>
      </c>
      <c r="AS500" t="s">
        <v>8</v>
      </c>
      <c r="AT500">
        <v>11945.7</v>
      </c>
    </row>
    <row r="501" spans="34:46" x14ac:dyDescent="0.35">
      <c r="AH501" t="s">
        <v>204</v>
      </c>
      <c r="AI501" t="s">
        <v>180</v>
      </c>
      <c r="AJ501" s="3">
        <v>43636</v>
      </c>
      <c r="AK501" t="s">
        <v>41</v>
      </c>
      <c r="AL501" s="1">
        <v>12900</v>
      </c>
      <c r="AM501" t="s">
        <v>8</v>
      </c>
      <c r="AN501" t="s">
        <v>8</v>
      </c>
      <c r="AO501" t="s">
        <v>8</v>
      </c>
      <c r="AP501" s="1">
        <v>9.8000000000000007</v>
      </c>
      <c r="AQ501" t="s">
        <v>8</v>
      </c>
      <c r="AR501" t="s">
        <v>8</v>
      </c>
      <c r="AS501" t="s">
        <v>8</v>
      </c>
      <c r="AT501">
        <v>11945.7</v>
      </c>
    </row>
    <row r="502" spans="34:46" x14ac:dyDescent="0.35">
      <c r="AH502" t="s">
        <v>204</v>
      </c>
      <c r="AI502" t="s">
        <v>180</v>
      </c>
      <c r="AJ502" s="3">
        <v>44371</v>
      </c>
      <c r="AK502" t="s">
        <v>42</v>
      </c>
      <c r="AL502" s="1">
        <v>6200</v>
      </c>
      <c r="AM502" t="s">
        <v>8</v>
      </c>
      <c r="AN502" t="s">
        <v>8</v>
      </c>
      <c r="AO502" t="s">
        <v>8</v>
      </c>
      <c r="AP502" s="1">
        <v>38.950000000000003</v>
      </c>
      <c r="AQ502" t="s">
        <v>8</v>
      </c>
      <c r="AR502" t="s">
        <v>8</v>
      </c>
      <c r="AS502" t="s">
        <v>8</v>
      </c>
      <c r="AT502">
        <v>11945.7</v>
      </c>
    </row>
    <row r="503" spans="34:46" x14ac:dyDescent="0.35">
      <c r="AH503" t="s">
        <v>204</v>
      </c>
      <c r="AI503" t="s">
        <v>180</v>
      </c>
      <c r="AJ503" s="3">
        <v>44371</v>
      </c>
      <c r="AK503" t="s">
        <v>42</v>
      </c>
      <c r="AL503" s="1">
        <v>6400</v>
      </c>
      <c r="AM503" t="s">
        <v>8</v>
      </c>
      <c r="AN503" t="s">
        <v>8</v>
      </c>
      <c r="AO503" t="s">
        <v>8</v>
      </c>
      <c r="AP503" s="1">
        <v>48.55</v>
      </c>
      <c r="AQ503" t="s">
        <v>8</v>
      </c>
      <c r="AR503" t="s">
        <v>8</v>
      </c>
      <c r="AS503" t="s">
        <v>8</v>
      </c>
      <c r="AT503">
        <v>11945.7</v>
      </c>
    </row>
    <row r="504" spans="34:46" x14ac:dyDescent="0.35">
      <c r="AH504" t="s">
        <v>204</v>
      </c>
      <c r="AI504" t="s">
        <v>180</v>
      </c>
      <c r="AJ504" s="3">
        <v>45106</v>
      </c>
      <c r="AK504" t="s">
        <v>42</v>
      </c>
      <c r="AL504" s="1">
        <v>8200</v>
      </c>
      <c r="AM504" t="s">
        <v>8</v>
      </c>
      <c r="AN504" t="s">
        <v>8</v>
      </c>
      <c r="AO504" t="s">
        <v>8</v>
      </c>
      <c r="AP504" s="1">
        <v>4.6500000000000004</v>
      </c>
      <c r="AQ504" t="s">
        <v>8</v>
      </c>
      <c r="AR504" t="s">
        <v>8</v>
      </c>
      <c r="AS504" t="s">
        <v>8</v>
      </c>
      <c r="AT504">
        <v>11945.7</v>
      </c>
    </row>
    <row r="505" spans="34:46" x14ac:dyDescent="0.35">
      <c r="AH505" t="s">
        <v>204</v>
      </c>
      <c r="AI505" t="s">
        <v>180</v>
      </c>
      <c r="AJ505" s="3">
        <v>45288</v>
      </c>
      <c r="AK505" t="s">
        <v>42</v>
      </c>
      <c r="AL505" s="1">
        <v>8300</v>
      </c>
      <c r="AM505" t="s">
        <v>8</v>
      </c>
      <c r="AN505" t="s">
        <v>8</v>
      </c>
      <c r="AO505" t="s">
        <v>8</v>
      </c>
      <c r="AP505" s="1">
        <v>68.25</v>
      </c>
      <c r="AQ505" t="s">
        <v>8</v>
      </c>
      <c r="AR505" t="s">
        <v>8</v>
      </c>
      <c r="AS505" t="s">
        <v>8</v>
      </c>
      <c r="AT505">
        <v>11945.7</v>
      </c>
    </row>
    <row r="506" spans="34:46" x14ac:dyDescent="0.35">
      <c r="AH506" t="s">
        <v>204</v>
      </c>
      <c r="AI506" t="s">
        <v>180</v>
      </c>
      <c r="AJ506" s="3">
        <v>44924</v>
      </c>
      <c r="AK506" t="s">
        <v>42</v>
      </c>
      <c r="AL506" s="1">
        <v>12400</v>
      </c>
      <c r="AM506" t="s">
        <v>8</v>
      </c>
      <c r="AN506" t="s">
        <v>8</v>
      </c>
      <c r="AO506" t="s">
        <v>8</v>
      </c>
      <c r="AP506" s="1">
        <v>379.15</v>
      </c>
      <c r="AQ506" t="s">
        <v>8</v>
      </c>
      <c r="AR506" t="s">
        <v>8</v>
      </c>
      <c r="AS506" t="s">
        <v>8</v>
      </c>
      <c r="AT506">
        <v>11945.7</v>
      </c>
    </row>
    <row r="507" spans="34:46" x14ac:dyDescent="0.35">
      <c r="AH507" t="s">
        <v>204</v>
      </c>
      <c r="AI507" t="s">
        <v>180</v>
      </c>
      <c r="AJ507" s="3">
        <v>45106</v>
      </c>
      <c r="AK507" t="s">
        <v>42</v>
      </c>
      <c r="AL507" s="1">
        <v>8400</v>
      </c>
      <c r="AM507" t="s">
        <v>8</v>
      </c>
      <c r="AN507" t="s">
        <v>8</v>
      </c>
      <c r="AO507" t="s">
        <v>8</v>
      </c>
      <c r="AP507" s="1">
        <v>6.25</v>
      </c>
      <c r="AQ507" t="s">
        <v>8</v>
      </c>
      <c r="AR507" t="s">
        <v>8</v>
      </c>
      <c r="AS507" t="s">
        <v>8</v>
      </c>
      <c r="AT507">
        <v>11945.7</v>
      </c>
    </row>
    <row r="508" spans="34:46" x14ac:dyDescent="0.35">
      <c r="AH508" t="s">
        <v>204</v>
      </c>
      <c r="AI508" t="s">
        <v>180</v>
      </c>
      <c r="AJ508" s="3">
        <v>44924</v>
      </c>
      <c r="AK508" t="s">
        <v>42</v>
      </c>
      <c r="AL508" s="1">
        <v>12600</v>
      </c>
      <c r="AM508" t="s">
        <v>8</v>
      </c>
      <c r="AN508" t="s">
        <v>8</v>
      </c>
      <c r="AO508" t="s">
        <v>8</v>
      </c>
      <c r="AP508">
        <v>424.75</v>
      </c>
      <c r="AQ508" t="s">
        <v>8</v>
      </c>
      <c r="AR508" t="s">
        <v>8</v>
      </c>
      <c r="AS508" t="s">
        <v>8</v>
      </c>
      <c r="AT508">
        <v>11945.7</v>
      </c>
    </row>
    <row r="509" spans="34:46" x14ac:dyDescent="0.35">
      <c r="AH509" t="s">
        <v>204</v>
      </c>
      <c r="AI509" t="s">
        <v>180</v>
      </c>
      <c r="AJ509" s="3">
        <v>43622</v>
      </c>
      <c r="AK509" t="s">
        <v>42</v>
      </c>
      <c r="AL509" s="1">
        <v>13250</v>
      </c>
      <c r="AM509" t="s">
        <v>8</v>
      </c>
      <c r="AN509" t="s">
        <v>8</v>
      </c>
      <c r="AO509" t="s">
        <v>8</v>
      </c>
      <c r="AP509" s="1">
        <v>1338.1</v>
      </c>
      <c r="AQ509" t="s">
        <v>8</v>
      </c>
      <c r="AR509" t="s">
        <v>8</v>
      </c>
      <c r="AS509" t="s">
        <v>8</v>
      </c>
      <c r="AT509">
        <v>11945.7</v>
      </c>
    </row>
    <row r="510" spans="34:46" x14ac:dyDescent="0.35">
      <c r="AH510" t="s">
        <v>204</v>
      </c>
      <c r="AI510" t="s">
        <v>180</v>
      </c>
      <c r="AJ510" s="3">
        <v>44371</v>
      </c>
      <c r="AK510" t="s">
        <v>42</v>
      </c>
      <c r="AL510" s="1">
        <v>12400</v>
      </c>
      <c r="AM510" t="s">
        <v>8</v>
      </c>
      <c r="AN510" t="s">
        <v>8</v>
      </c>
      <c r="AO510" t="s">
        <v>8</v>
      </c>
      <c r="AP510" s="1">
        <v>865</v>
      </c>
      <c r="AQ510" t="s">
        <v>8</v>
      </c>
      <c r="AR510" t="s">
        <v>8</v>
      </c>
      <c r="AS510" t="s">
        <v>8</v>
      </c>
      <c r="AT510">
        <v>11945.7</v>
      </c>
    </row>
    <row r="511" spans="34:46" x14ac:dyDescent="0.35">
      <c r="AH511" t="s">
        <v>204</v>
      </c>
      <c r="AI511" t="s">
        <v>180</v>
      </c>
      <c r="AJ511" s="3">
        <v>43622</v>
      </c>
      <c r="AK511" t="s">
        <v>42</v>
      </c>
      <c r="AL511" s="1">
        <v>13450</v>
      </c>
      <c r="AM511" t="s">
        <v>8</v>
      </c>
      <c r="AN511" t="s">
        <v>8</v>
      </c>
      <c r="AO511" t="s">
        <v>8</v>
      </c>
      <c r="AP511" s="1">
        <v>1499.3</v>
      </c>
      <c r="AQ511" t="s">
        <v>8</v>
      </c>
      <c r="AR511" t="s">
        <v>8</v>
      </c>
      <c r="AS511" t="s">
        <v>8</v>
      </c>
      <c r="AT511">
        <v>11945.7</v>
      </c>
    </row>
    <row r="512" spans="34:46" x14ac:dyDescent="0.35">
      <c r="AH512" t="s">
        <v>204</v>
      </c>
      <c r="AI512" t="s">
        <v>180</v>
      </c>
      <c r="AJ512" s="3">
        <v>43629</v>
      </c>
      <c r="AK512" t="s">
        <v>41</v>
      </c>
      <c r="AL512" s="1">
        <v>10350</v>
      </c>
      <c r="AM512" t="s">
        <v>8</v>
      </c>
      <c r="AN512" t="s">
        <v>8</v>
      </c>
      <c r="AO512" t="s">
        <v>8</v>
      </c>
      <c r="AP512" s="1">
        <v>1370.5</v>
      </c>
      <c r="AQ512" t="s">
        <v>8</v>
      </c>
      <c r="AR512" t="s">
        <v>8</v>
      </c>
      <c r="AS512" t="s">
        <v>8</v>
      </c>
      <c r="AT512">
        <v>11945.7</v>
      </c>
    </row>
    <row r="513" spans="34:46" x14ac:dyDescent="0.35">
      <c r="AH513" t="s">
        <v>204</v>
      </c>
      <c r="AI513" t="s">
        <v>180</v>
      </c>
      <c r="AJ513" s="3">
        <v>43629</v>
      </c>
      <c r="AK513" t="s">
        <v>41</v>
      </c>
      <c r="AL513" s="1">
        <v>10550</v>
      </c>
      <c r="AM513" t="s">
        <v>8</v>
      </c>
      <c r="AN513" t="s">
        <v>8</v>
      </c>
      <c r="AO513" t="s">
        <v>8</v>
      </c>
      <c r="AP513" s="1">
        <v>1175.05</v>
      </c>
      <c r="AQ513" t="s">
        <v>8</v>
      </c>
      <c r="AR513" t="s">
        <v>8</v>
      </c>
      <c r="AS513" t="s">
        <v>8</v>
      </c>
      <c r="AT513">
        <v>11945.7</v>
      </c>
    </row>
    <row r="514" spans="34:46" x14ac:dyDescent="0.35">
      <c r="AH514" t="s">
        <v>204</v>
      </c>
      <c r="AI514" t="s">
        <v>180</v>
      </c>
      <c r="AJ514" s="3">
        <v>43671</v>
      </c>
      <c r="AK514" t="s">
        <v>42</v>
      </c>
      <c r="AL514" s="1">
        <v>11050</v>
      </c>
      <c r="AM514" t="s">
        <v>8</v>
      </c>
      <c r="AN514" t="s">
        <v>8</v>
      </c>
      <c r="AO514" t="s">
        <v>8</v>
      </c>
      <c r="AP514" s="1">
        <v>60.4</v>
      </c>
      <c r="AQ514" t="s">
        <v>8</v>
      </c>
      <c r="AR514" t="s">
        <v>8</v>
      </c>
      <c r="AS514" t="s">
        <v>8</v>
      </c>
      <c r="AT514">
        <v>11945.7</v>
      </c>
    </row>
    <row r="515" spans="34:46" x14ac:dyDescent="0.35">
      <c r="AH515" t="s">
        <v>204</v>
      </c>
      <c r="AI515" t="s">
        <v>180</v>
      </c>
      <c r="AJ515" s="3">
        <v>43629</v>
      </c>
      <c r="AK515" t="s">
        <v>42</v>
      </c>
      <c r="AL515" s="1">
        <v>10400</v>
      </c>
      <c r="AM515" t="s">
        <v>8</v>
      </c>
      <c r="AN515" t="s">
        <v>8</v>
      </c>
      <c r="AO515" t="s">
        <v>8</v>
      </c>
      <c r="AP515" s="1">
        <v>1.45</v>
      </c>
      <c r="AQ515" t="s">
        <v>8</v>
      </c>
      <c r="AR515" t="s">
        <v>8</v>
      </c>
      <c r="AS515" t="s">
        <v>8</v>
      </c>
      <c r="AT515">
        <v>11945.7</v>
      </c>
    </row>
    <row r="516" spans="34:46" x14ac:dyDescent="0.35">
      <c r="AH516" t="s">
        <v>204</v>
      </c>
      <c r="AI516" t="s">
        <v>180</v>
      </c>
      <c r="AJ516" s="3">
        <v>43629</v>
      </c>
      <c r="AK516" t="s">
        <v>42</v>
      </c>
      <c r="AL516" s="1">
        <v>10600</v>
      </c>
      <c r="AM516" t="s">
        <v>8</v>
      </c>
      <c r="AN516" t="s">
        <v>8</v>
      </c>
      <c r="AO516" t="s">
        <v>8</v>
      </c>
      <c r="AP516" s="1">
        <v>4.3</v>
      </c>
      <c r="AQ516" t="s">
        <v>8</v>
      </c>
      <c r="AR516" t="s">
        <v>8</v>
      </c>
      <c r="AS516" t="s">
        <v>8</v>
      </c>
      <c r="AT516">
        <v>11945.7</v>
      </c>
    </row>
    <row r="517" spans="34:46" x14ac:dyDescent="0.35">
      <c r="AH517" t="s">
        <v>204</v>
      </c>
      <c r="AI517" t="s">
        <v>180</v>
      </c>
      <c r="AJ517" s="3">
        <v>43916</v>
      </c>
      <c r="AK517" t="s">
        <v>42</v>
      </c>
      <c r="AL517" s="1">
        <v>11700</v>
      </c>
      <c r="AM517" t="s">
        <v>8</v>
      </c>
      <c r="AN517" t="s">
        <v>8</v>
      </c>
      <c r="AO517" t="s">
        <v>8</v>
      </c>
      <c r="AP517" s="1">
        <v>653.95000000000005</v>
      </c>
      <c r="AQ517" t="s">
        <v>8</v>
      </c>
      <c r="AR517" t="s">
        <v>8</v>
      </c>
      <c r="AS517" t="s">
        <v>8</v>
      </c>
      <c r="AT517">
        <v>11945.7</v>
      </c>
    </row>
    <row r="518" spans="34:46" x14ac:dyDescent="0.35">
      <c r="AH518" t="s">
        <v>204</v>
      </c>
      <c r="AI518" t="s">
        <v>180</v>
      </c>
      <c r="AJ518" s="3">
        <v>44560</v>
      </c>
      <c r="AK518" t="s">
        <v>42</v>
      </c>
      <c r="AL518" s="1">
        <v>9000</v>
      </c>
      <c r="AM518" t="s">
        <v>8</v>
      </c>
      <c r="AN518" t="s">
        <v>8</v>
      </c>
      <c r="AO518" t="s">
        <v>8</v>
      </c>
      <c r="AP518" s="1">
        <v>254.15</v>
      </c>
      <c r="AQ518" t="s">
        <v>8</v>
      </c>
      <c r="AR518" t="s">
        <v>8</v>
      </c>
      <c r="AS518" t="s">
        <v>8</v>
      </c>
      <c r="AT518">
        <v>11945.7</v>
      </c>
    </row>
    <row r="519" spans="34:46" x14ac:dyDescent="0.35">
      <c r="AH519" t="s">
        <v>204</v>
      </c>
      <c r="AI519" t="s">
        <v>180</v>
      </c>
      <c r="AJ519" s="3">
        <v>43629</v>
      </c>
      <c r="AK519" t="s">
        <v>42</v>
      </c>
      <c r="AL519" s="1">
        <v>10800</v>
      </c>
      <c r="AM519" t="s">
        <v>8</v>
      </c>
      <c r="AN519" t="s">
        <v>8</v>
      </c>
      <c r="AO519" t="s">
        <v>8</v>
      </c>
      <c r="AP519" s="1">
        <v>11.2</v>
      </c>
      <c r="AQ519" t="s">
        <v>8</v>
      </c>
      <c r="AR519" t="s">
        <v>8</v>
      </c>
      <c r="AS519" t="s">
        <v>8</v>
      </c>
      <c r="AT519">
        <v>11945.7</v>
      </c>
    </row>
    <row r="520" spans="34:46" x14ac:dyDescent="0.35">
      <c r="AH520" t="s">
        <v>204</v>
      </c>
      <c r="AI520" t="s">
        <v>180</v>
      </c>
      <c r="AJ520" s="3">
        <v>44560</v>
      </c>
      <c r="AK520" t="s">
        <v>42</v>
      </c>
      <c r="AL520" s="1">
        <v>7700</v>
      </c>
      <c r="AM520" t="s">
        <v>8</v>
      </c>
      <c r="AN520" t="s">
        <v>8</v>
      </c>
      <c r="AO520" t="s">
        <v>8</v>
      </c>
      <c r="AP520" s="1">
        <v>203.2</v>
      </c>
      <c r="AQ520" t="s">
        <v>8</v>
      </c>
      <c r="AR520" t="s">
        <v>8</v>
      </c>
      <c r="AS520" t="s">
        <v>8</v>
      </c>
      <c r="AT520">
        <v>11945.7</v>
      </c>
    </row>
    <row r="521" spans="34:46" x14ac:dyDescent="0.35">
      <c r="AH521" t="s">
        <v>204</v>
      </c>
      <c r="AI521" t="s">
        <v>180</v>
      </c>
      <c r="AJ521" s="3">
        <v>44560</v>
      </c>
      <c r="AK521" t="s">
        <v>42</v>
      </c>
      <c r="AL521" s="1">
        <v>7900</v>
      </c>
      <c r="AM521" t="s">
        <v>8</v>
      </c>
      <c r="AN521" t="s">
        <v>8</v>
      </c>
      <c r="AO521" t="s">
        <v>8</v>
      </c>
      <c r="AP521" s="1">
        <v>234.45</v>
      </c>
      <c r="AQ521" t="s">
        <v>8</v>
      </c>
      <c r="AR521" t="s">
        <v>8</v>
      </c>
      <c r="AS521" t="s">
        <v>8</v>
      </c>
      <c r="AT521">
        <v>11945.7</v>
      </c>
    </row>
    <row r="522" spans="34:46" x14ac:dyDescent="0.35">
      <c r="AH522" t="s">
        <v>204</v>
      </c>
      <c r="AI522" t="s">
        <v>180</v>
      </c>
      <c r="AJ522" s="3">
        <v>43650</v>
      </c>
      <c r="AK522" t="s">
        <v>41</v>
      </c>
      <c r="AL522" s="1">
        <v>11150</v>
      </c>
      <c r="AM522" t="s">
        <v>8</v>
      </c>
      <c r="AN522" t="s">
        <v>8</v>
      </c>
      <c r="AO522" t="s">
        <v>8</v>
      </c>
      <c r="AP522" s="1">
        <v>750</v>
      </c>
      <c r="AQ522" t="s">
        <v>8</v>
      </c>
      <c r="AR522" t="s">
        <v>8</v>
      </c>
      <c r="AS522" t="s">
        <v>8</v>
      </c>
      <c r="AT522">
        <v>11945.7</v>
      </c>
    </row>
    <row r="523" spans="34:46" x14ac:dyDescent="0.35">
      <c r="AH523" t="s">
        <v>204</v>
      </c>
      <c r="AI523" t="s">
        <v>180</v>
      </c>
      <c r="AJ523" s="3">
        <v>44007</v>
      </c>
      <c r="AK523" t="s">
        <v>42</v>
      </c>
      <c r="AL523" s="1">
        <v>5200</v>
      </c>
      <c r="AM523" t="s">
        <v>8</v>
      </c>
      <c r="AN523" t="s">
        <v>8</v>
      </c>
      <c r="AO523" t="s">
        <v>8</v>
      </c>
      <c r="AP523" s="1">
        <v>233.9</v>
      </c>
      <c r="AQ523" t="s">
        <v>8</v>
      </c>
      <c r="AR523" t="s">
        <v>8</v>
      </c>
      <c r="AS523" t="s">
        <v>8</v>
      </c>
      <c r="AT523">
        <v>11945.7</v>
      </c>
    </row>
    <row r="524" spans="34:46" x14ac:dyDescent="0.35">
      <c r="AH524" t="s">
        <v>204</v>
      </c>
      <c r="AI524" t="s">
        <v>180</v>
      </c>
      <c r="AJ524" s="3">
        <v>43650</v>
      </c>
      <c r="AK524" t="s">
        <v>41</v>
      </c>
      <c r="AL524" s="1">
        <v>11350</v>
      </c>
      <c r="AM524" t="s">
        <v>8</v>
      </c>
      <c r="AN524" t="s">
        <v>8</v>
      </c>
      <c r="AO524" t="s">
        <v>8</v>
      </c>
      <c r="AP524" s="1">
        <v>586.15</v>
      </c>
      <c r="AQ524" t="s">
        <v>8</v>
      </c>
      <c r="AR524" t="s">
        <v>8</v>
      </c>
      <c r="AS524" t="s">
        <v>8</v>
      </c>
      <c r="AT524">
        <v>11945.7</v>
      </c>
    </row>
    <row r="525" spans="34:46" x14ac:dyDescent="0.35">
      <c r="AH525" t="s">
        <v>204</v>
      </c>
      <c r="AI525" t="s">
        <v>180</v>
      </c>
      <c r="AJ525" s="3">
        <v>43671</v>
      </c>
      <c r="AK525" t="s">
        <v>41</v>
      </c>
      <c r="AL525" s="1">
        <v>11650</v>
      </c>
      <c r="AM525" t="s">
        <v>8</v>
      </c>
      <c r="AN525" t="s">
        <v>8</v>
      </c>
      <c r="AO525" t="s">
        <v>8</v>
      </c>
      <c r="AP525" s="1">
        <v>420.4</v>
      </c>
      <c r="AQ525" t="s">
        <v>8</v>
      </c>
      <c r="AR525" t="s">
        <v>8</v>
      </c>
      <c r="AS525" t="s">
        <v>8</v>
      </c>
      <c r="AT525">
        <v>11945.7</v>
      </c>
    </row>
    <row r="526" spans="34:46" x14ac:dyDescent="0.35">
      <c r="AH526" t="s">
        <v>204</v>
      </c>
      <c r="AI526" t="s">
        <v>180</v>
      </c>
      <c r="AJ526" s="3">
        <v>44007</v>
      </c>
      <c r="AK526" t="s">
        <v>42</v>
      </c>
      <c r="AL526" s="1">
        <v>5400</v>
      </c>
      <c r="AM526" t="s">
        <v>8</v>
      </c>
      <c r="AN526" t="s">
        <v>8</v>
      </c>
      <c r="AO526" t="s">
        <v>8</v>
      </c>
      <c r="AP526" s="1">
        <v>292.5</v>
      </c>
      <c r="AQ526" t="s">
        <v>8</v>
      </c>
      <c r="AR526" t="s">
        <v>8</v>
      </c>
      <c r="AS526" t="s">
        <v>8</v>
      </c>
      <c r="AT526">
        <v>11945.7</v>
      </c>
    </row>
    <row r="527" spans="34:46" x14ac:dyDescent="0.35">
      <c r="AH527" t="s">
        <v>204</v>
      </c>
      <c r="AI527" t="s">
        <v>180</v>
      </c>
      <c r="AJ527" s="3">
        <v>43671</v>
      </c>
      <c r="AK527" t="s">
        <v>42</v>
      </c>
      <c r="AL527" s="1">
        <v>13000</v>
      </c>
      <c r="AM527" t="s">
        <v>8</v>
      </c>
      <c r="AN527" t="s">
        <v>8</v>
      </c>
      <c r="AO527" t="s">
        <v>8</v>
      </c>
      <c r="AP527" s="1">
        <v>1020</v>
      </c>
      <c r="AQ527" t="s">
        <v>8</v>
      </c>
      <c r="AR527" t="s">
        <v>8</v>
      </c>
      <c r="AS527" t="s">
        <v>8</v>
      </c>
      <c r="AT527">
        <v>11945.7</v>
      </c>
    </row>
    <row r="528" spans="34:46" x14ac:dyDescent="0.35">
      <c r="AH528" t="s">
        <v>204</v>
      </c>
      <c r="AI528" t="s">
        <v>180</v>
      </c>
      <c r="AJ528" s="3">
        <v>43643</v>
      </c>
      <c r="AK528" t="s">
        <v>42</v>
      </c>
      <c r="AL528" s="1">
        <v>10050</v>
      </c>
      <c r="AM528" t="s">
        <v>8</v>
      </c>
      <c r="AN528" t="s">
        <v>8</v>
      </c>
      <c r="AO528" t="s">
        <v>8</v>
      </c>
      <c r="AP528">
        <v>2.4500000000000002</v>
      </c>
      <c r="AQ528" t="s">
        <v>8</v>
      </c>
      <c r="AR528" t="s">
        <v>8</v>
      </c>
      <c r="AS528" t="s">
        <v>8</v>
      </c>
      <c r="AT528">
        <v>11945.7</v>
      </c>
    </row>
    <row r="529" spans="34:46" x14ac:dyDescent="0.35">
      <c r="AH529" t="s">
        <v>204</v>
      </c>
      <c r="AI529" t="s">
        <v>180</v>
      </c>
      <c r="AJ529" s="3">
        <v>43629</v>
      </c>
      <c r="AK529" t="s">
        <v>41</v>
      </c>
      <c r="AL529" s="1">
        <v>12700</v>
      </c>
      <c r="AM529" t="s">
        <v>8</v>
      </c>
      <c r="AN529" t="s">
        <v>8</v>
      </c>
      <c r="AO529" t="s">
        <v>8</v>
      </c>
      <c r="AP529" s="1">
        <v>14.75</v>
      </c>
      <c r="AQ529" t="s">
        <v>8</v>
      </c>
      <c r="AR529" t="s">
        <v>8</v>
      </c>
      <c r="AS529" t="s">
        <v>8</v>
      </c>
      <c r="AT529">
        <v>11945.7</v>
      </c>
    </row>
    <row r="530" spans="34:46" x14ac:dyDescent="0.35">
      <c r="AH530" t="s">
        <v>204</v>
      </c>
      <c r="AI530" t="s">
        <v>180</v>
      </c>
      <c r="AJ530" s="3">
        <v>43671</v>
      </c>
      <c r="AK530" t="s">
        <v>41</v>
      </c>
      <c r="AL530" s="1">
        <v>11850</v>
      </c>
      <c r="AM530" t="s">
        <v>8</v>
      </c>
      <c r="AN530" t="s">
        <v>8</v>
      </c>
      <c r="AO530" t="s">
        <v>8</v>
      </c>
      <c r="AP530" s="1">
        <v>315.05</v>
      </c>
      <c r="AQ530" t="s">
        <v>8</v>
      </c>
      <c r="AR530" t="s">
        <v>8</v>
      </c>
      <c r="AS530" t="s">
        <v>8</v>
      </c>
      <c r="AT530">
        <v>11945.7</v>
      </c>
    </row>
    <row r="531" spans="34:46" x14ac:dyDescent="0.35">
      <c r="AH531" t="s">
        <v>204</v>
      </c>
      <c r="AI531" t="s">
        <v>180</v>
      </c>
      <c r="AJ531" s="3">
        <v>44007</v>
      </c>
      <c r="AK531" t="s">
        <v>42</v>
      </c>
      <c r="AL531" s="1">
        <v>5600</v>
      </c>
      <c r="AM531" t="s">
        <v>8</v>
      </c>
      <c r="AN531" t="s">
        <v>8</v>
      </c>
      <c r="AO531" t="s">
        <v>8</v>
      </c>
      <c r="AP531" s="1">
        <v>328.15</v>
      </c>
      <c r="AQ531" t="s">
        <v>8</v>
      </c>
      <c r="AR531" t="s">
        <v>8</v>
      </c>
      <c r="AS531" t="s">
        <v>8</v>
      </c>
      <c r="AT531">
        <v>11945.7</v>
      </c>
    </row>
    <row r="532" spans="34:46" x14ac:dyDescent="0.35">
      <c r="AH532" t="s">
        <v>204</v>
      </c>
      <c r="AI532" t="s">
        <v>180</v>
      </c>
      <c r="AJ532" s="3">
        <v>43671</v>
      </c>
      <c r="AK532" t="s">
        <v>42</v>
      </c>
      <c r="AL532" s="1">
        <v>13200</v>
      </c>
      <c r="AM532" t="s">
        <v>8</v>
      </c>
      <c r="AN532" t="s">
        <v>8</v>
      </c>
      <c r="AO532" t="s">
        <v>8</v>
      </c>
      <c r="AP532" s="1">
        <v>1250.9000000000001</v>
      </c>
      <c r="AQ532" t="s">
        <v>8</v>
      </c>
      <c r="AR532" t="s">
        <v>8</v>
      </c>
      <c r="AS532" t="s">
        <v>8</v>
      </c>
      <c r="AT532">
        <v>11945.7</v>
      </c>
    </row>
    <row r="533" spans="34:46" x14ac:dyDescent="0.35">
      <c r="AH533" t="s">
        <v>204</v>
      </c>
      <c r="AI533" t="s">
        <v>180</v>
      </c>
      <c r="AJ533" s="3">
        <v>44560</v>
      </c>
      <c r="AK533" t="s">
        <v>42</v>
      </c>
      <c r="AL533" s="1">
        <v>10600</v>
      </c>
      <c r="AM533" t="s">
        <v>8</v>
      </c>
      <c r="AN533" t="s">
        <v>8</v>
      </c>
      <c r="AO533" t="s">
        <v>8</v>
      </c>
      <c r="AP533" s="1">
        <v>291</v>
      </c>
      <c r="AQ533" t="s">
        <v>8</v>
      </c>
      <c r="AR533" t="s">
        <v>8</v>
      </c>
      <c r="AS533" t="s">
        <v>8</v>
      </c>
      <c r="AT533">
        <v>11945.7</v>
      </c>
    </row>
    <row r="534" spans="34:46" x14ac:dyDescent="0.35">
      <c r="AH534" t="s">
        <v>204</v>
      </c>
      <c r="AI534" t="s">
        <v>180</v>
      </c>
      <c r="AJ534" s="3">
        <v>43650</v>
      </c>
      <c r="AK534" t="s">
        <v>42</v>
      </c>
      <c r="AL534" s="1">
        <v>11600</v>
      </c>
      <c r="AM534" t="s">
        <v>8</v>
      </c>
      <c r="AN534" t="s">
        <v>8</v>
      </c>
      <c r="AO534" t="s">
        <v>8</v>
      </c>
      <c r="AP534" s="1">
        <v>141</v>
      </c>
      <c r="AQ534" t="s">
        <v>8</v>
      </c>
      <c r="AR534" t="s">
        <v>8</v>
      </c>
      <c r="AS534" t="s">
        <v>8</v>
      </c>
      <c r="AT534">
        <v>11945.7</v>
      </c>
    </row>
    <row r="535" spans="34:46" x14ac:dyDescent="0.35">
      <c r="AH535" t="s">
        <v>204</v>
      </c>
      <c r="AI535" t="s">
        <v>180</v>
      </c>
      <c r="AJ535" s="3">
        <v>43678</v>
      </c>
      <c r="AK535" t="s">
        <v>41</v>
      </c>
      <c r="AL535" s="1">
        <v>12000</v>
      </c>
      <c r="AM535" t="s">
        <v>8</v>
      </c>
      <c r="AN535" t="s">
        <v>8</v>
      </c>
      <c r="AO535" t="s">
        <v>8</v>
      </c>
      <c r="AP535" s="1">
        <v>349.85</v>
      </c>
      <c r="AQ535" t="s">
        <v>8</v>
      </c>
      <c r="AR535" t="s">
        <v>8</v>
      </c>
      <c r="AS535" t="s">
        <v>8</v>
      </c>
      <c r="AT535">
        <v>11945.7</v>
      </c>
    </row>
    <row r="536" spans="34:46" x14ac:dyDescent="0.35">
      <c r="AH536" t="s">
        <v>204</v>
      </c>
      <c r="AI536" t="s">
        <v>180</v>
      </c>
      <c r="AJ536" s="3">
        <v>43825</v>
      </c>
      <c r="AK536" t="s">
        <v>41</v>
      </c>
      <c r="AL536" s="1">
        <v>11300</v>
      </c>
      <c r="AM536" t="s">
        <v>8</v>
      </c>
      <c r="AN536" t="s">
        <v>8</v>
      </c>
      <c r="AO536" t="s">
        <v>8</v>
      </c>
      <c r="AP536" s="1">
        <v>1725</v>
      </c>
      <c r="AQ536" t="s">
        <v>8</v>
      </c>
      <c r="AR536" t="s">
        <v>8</v>
      </c>
      <c r="AS536" t="s">
        <v>8</v>
      </c>
      <c r="AT536">
        <v>11945.7</v>
      </c>
    </row>
    <row r="537" spans="34:46" x14ac:dyDescent="0.35">
      <c r="AH537" t="s">
        <v>204</v>
      </c>
      <c r="AI537" t="s">
        <v>180</v>
      </c>
      <c r="AJ537" s="3">
        <v>43622</v>
      </c>
      <c r="AK537" t="s">
        <v>41</v>
      </c>
      <c r="AL537" s="1">
        <v>10150</v>
      </c>
      <c r="AM537" t="s">
        <v>8</v>
      </c>
      <c r="AN537" t="s">
        <v>8</v>
      </c>
      <c r="AO537" t="s">
        <v>8</v>
      </c>
      <c r="AP537" s="1">
        <v>1571.9</v>
      </c>
      <c r="AQ537" t="s">
        <v>8</v>
      </c>
      <c r="AR537" t="s">
        <v>8</v>
      </c>
      <c r="AS537" t="s">
        <v>8</v>
      </c>
      <c r="AT537">
        <v>11945.7</v>
      </c>
    </row>
    <row r="538" spans="34:46" x14ac:dyDescent="0.35">
      <c r="AH538" t="s">
        <v>204</v>
      </c>
      <c r="AI538" t="s">
        <v>180</v>
      </c>
      <c r="AJ538" s="3">
        <v>43622</v>
      </c>
      <c r="AK538" t="s">
        <v>41</v>
      </c>
      <c r="AL538" s="1">
        <v>10350</v>
      </c>
      <c r="AM538" t="s">
        <v>8</v>
      </c>
      <c r="AN538" t="s">
        <v>8</v>
      </c>
      <c r="AO538" t="s">
        <v>8</v>
      </c>
      <c r="AP538" s="1">
        <v>1410</v>
      </c>
      <c r="AQ538" t="s">
        <v>8</v>
      </c>
      <c r="AR538" t="s">
        <v>8</v>
      </c>
      <c r="AS538" t="s">
        <v>8</v>
      </c>
      <c r="AT538">
        <v>11945.7</v>
      </c>
    </row>
    <row r="539" spans="34:46" x14ac:dyDescent="0.35">
      <c r="AH539" t="s">
        <v>204</v>
      </c>
      <c r="AI539" t="s">
        <v>180</v>
      </c>
      <c r="AJ539" s="3">
        <v>43643</v>
      </c>
      <c r="AK539" t="s">
        <v>41</v>
      </c>
      <c r="AL539" s="1">
        <v>10650</v>
      </c>
      <c r="AM539" t="s">
        <v>8</v>
      </c>
      <c r="AN539" t="s">
        <v>8</v>
      </c>
      <c r="AO539" t="s">
        <v>8</v>
      </c>
      <c r="AP539" s="1">
        <v>1290</v>
      </c>
      <c r="AQ539" t="s">
        <v>8</v>
      </c>
      <c r="AR539" t="s">
        <v>8</v>
      </c>
      <c r="AS539" t="s">
        <v>8</v>
      </c>
      <c r="AT539">
        <v>11945.7</v>
      </c>
    </row>
    <row r="540" spans="34:46" x14ac:dyDescent="0.35">
      <c r="AH540" t="s">
        <v>204</v>
      </c>
      <c r="AI540" t="s">
        <v>180</v>
      </c>
      <c r="AJ540" s="3">
        <v>44560</v>
      </c>
      <c r="AK540" t="s">
        <v>41</v>
      </c>
      <c r="AL540" s="1">
        <v>12500</v>
      </c>
      <c r="AM540" t="s">
        <v>8</v>
      </c>
      <c r="AN540" t="s">
        <v>8</v>
      </c>
      <c r="AO540" t="s">
        <v>8</v>
      </c>
      <c r="AP540" s="1" t="s">
        <v>8</v>
      </c>
      <c r="AQ540" t="s">
        <v>8</v>
      </c>
      <c r="AR540" t="s">
        <v>8</v>
      </c>
      <c r="AS540" t="s">
        <v>8</v>
      </c>
      <c r="AT540">
        <v>11945.7</v>
      </c>
    </row>
    <row r="541" spans="34:46" x14ac:dyDescent="0.35">
      <c r="AH541" t="s">
        <v>204</v>
      </c>
      <c r="AI541" t="s">
        <v>180</v>
      </c>
      <c r="AJ541" s="3">
        <v>43643</v>
      </c>
      <c r="AK541" t="s">
        <v>41</v>
      </c>
      <c r="AL541" s="1">
        <v>10850</v>
      </c>
      <c r="AM541" t="s">
        <v>8</v>
      </c>
      <c r="AN541" t="s">
        <v>8</v>
      </c>
      <c r="AO541" t="s">
        <v>8</v>
      </c>
      <c r="AP541" s="1">
        <v>962.9</v>
      </c>
      <c r="AQ541" t="s">
        <v>8</v>
      </c>
      <c r="AR541" t="s">
        <v>8</v>
      </c>
      <c r="AS541" t="s">
        <v>8</v>
      </c>
      <c r="AT541">
        <v>11945.7</v>
      </c>
    </row>
    <row r="542" spans="34:46" x14ac:dyDescent="0.35">
      <c r="AH542" t="s">
        <v>204</v>
      </c>
      <c r="AI542" t="s">
        <v>180</v>
      </c>
      <c r="AJ542" s="3">
        <v>43622</v>
      </c>
      <c r="AK542" t="s">
        <v>42</v>
      </c>
      <c r="AL542" s="1">
        <v>10200</v>
      </c>
      <c r="AM542" t="s">
        <v>8</v>
      </c>
      <c r="AN542" t="s">
        <v>8</v>
      </c>
      <c r="AO542" t="s">
        <v>8</v>
      </c>
      <c r="AP542" s="1">
        <v>0.6</v>
      </c>
      <c r="AQ542" t="s">
        <v>8</v>
      </c>
      <c r="AR542" t="s">
        <v>8</v>
      </c>
      <c r="AS542" t="s">
        <v>8</v>
      </c>
      <c r="AT542">
        <v>11945.7</v>
      </c>
    </row>
    <row r="543" spans="34:46" x14ac:dyDescent="0.35">
      <c r="AH543" t="s">
        <v>204</v>
      </c>
      <c r="AI543" t="s">
        <v>180</v>
      </c>
      <c r="AJ543" s="3">
        <v>44196</v>
      </c>
      <c r="AK543" t="s">
        <v>42</v>
      </c>
      <c r="AL543" s="1">
        <v>8000</v>
      </c>
      <c r="AM543" t="s">
        <v>8</v>
      </c>
      <c r="AN543" t="s">
        <v>8</v>
      </c>
      <c r="AO543" t="s">
        <v>8</v>
      </c>
      <c r="AP543" s="1">
        <v>48.8</v>
      </c>
      <c r="AQ543" t="s">
        <v>8</v>
      </c>
      <c r="AR543" t="s">
        <v>8</v>
      </c>
      <c r="AS543" t="s">
        <v>8</v>
      </c>
      <c r="AT543">
        <v>11945.7</v>
      </c>
    </row>
    <row r="544" spans="34:46" x14ac:dyDescent="0.35">
      <c r="AH544" t="s">
        <v>204</v>
      </c>
      <c r="AI544" t="s">
        <v>180</v>
      </c>
      <c r="AJ544" s="3">
        <v>43622</v>
      </c>
      <c r="AK544" t="s">
        <v>42</v>
      </c>
      <c r="AL544" s="1">
        <v>10400</v>
      </c>
      <c r="AM544" t="s">
        <v>8</v>
      </c>
      <c r="AN544" t="s">
        <v>8</v>
      </c>
      <c r="AO544" t="s">
        <v>8</v>
      </c>
      <c r="AP544" s="1">
        <v>1.95</v>
      </c>
      <c r="AQ544" t="s">
        <v>8</v>
      </c>
      <c r="AR544" t="s">
        <v>8</v>
      </c>
      <c r="AS544" t="s">
        <v>8</v>
      </c>
      <c r="AT544">
        <v>11945.7</v>
      </c>
    </row>
    <row r="545" spans="34:46" x14ac:dyDescent="0.35">
      <c r="AH545" t="s">
        <v>204</v>
      </c>
      <c r="AI545" t="s">
        <v>180</v>
      </c>
      <c r="AJ545" s="3">
        <v>44196</v>
      </c>
      <c r="AK545" t="s">
        <v>42</v>
      </c>
      <c r="AL545" s="1">
        <v>8200</v>
      </c>
      <c r="AM545" t="s">
        <v>8</v>
      </c>
      <c r="AN545" t="s">
        <v>8</v>
      </c>
      <c r="AO545" t="s">
        <v>8</v>
      </c>
      <c r="AP545" s="1">
        <v>54</v>
      </c>
      <c r="AQ545" t="s">
        <v>8</v>
      </c>
      <c r="AR545" t="s">
        <v>8</v>
      </c>
      <c r="AS545" t="s">
        <v>8</v>
      </c>
      <c r="AT545">
        <v>11945.7</v>
      </c>
    </row>
    <row r="546" spans="34:46" x14ac:dyDescent="0.35">
      <c r="AH546" t="s">
        <v>204</v>
      </c>
      <c r="AI546" t="s">
        <v>180</v>
      </c>
      <c r="AJ546" s="3">
        <v>43636</v>
      </c>
      <c r="AK546" t="s">
        <v>41</v>
      </c>
      <c r="AL546" s="1">
        <v>11150</v>
      </c>
      <c r="AM546" t="s">
        <v>8</v>
      </c>
      <c r="AN546" t="s">
        <v>8</v>
      </c>
      <c r="AO546" t="s">
        <v>8</v>
      </c>
      <c r="AP546" s="1">
        <v>751.7</v>
      </c>
      <c r="AQ546" t="s">
        <v>8</v>
      </c>
      <c r="AR546" t="s">
        <v>8</v>
      </c>
      <c r="AS546" t="s">
        <v>8</v>
      </c>
      <c r="AT546">
        <v>11945.7</v>
      </c>
    </row>
    <row r="547" spans="34:46" x14ac:dyDescent="0.35">
      <c r="AH547" t="s">
        <v>204</v>
      </c>
      <c r="AI547" t="s">
        <v>180</v>
      </c>
      <c r="AJ547" s="3">
        <v>43636</v>
      </c>
      <c r="AK547" t="s">
        <v>41</v>
      </c>
      <c r="AL547" s="1">
        <v>11350</v>
      </c>
      <c r="AM547" t="s">
        <v>8</v>
      </c>
      <c r="AN547" t="s">
        <v>8</v>
      </c>
      <c r="AO547" t="s">
        <v>8</v>
      </c>
      <c r="AP547">
        <v>579.04999999999995</v>
      </c>
      <c r="AQ547" t="s">
        <v>8</v>
      </c>
      <c r="AR547" t="s">
        <v>8</v>
      </c>
      <c r="AS547" t="s">
        <v>8</v>
      </c>
      <c r="AT547">
        <v>11945.7</v>
      </c>
    </row>
    <row r="548" spans="34:46" x14ac:dyDescent="0.35">
      <c r="AH548" t="s">
        <v>204</v>
      </c>
      <c r="AI548" t="s">
        <v>180</v>
      </c>
      <c r="AJ548" s="3">
        <v>43643</v>
      </c>
      <c r="AK548" t="s">
        <v>41</v>
      </c>
      <c r="AL548" s="1">
        <v>6000</v>
      </c>
      <c r="AM548" t="s">
        <v>8</v>
      </c>
      <c r="AN548" t="s">
        <v>8</v>
      </c>
      <c r="AO548" t="s">
        <v>8</v>
      </c>
      <c r="AP548" s="1">
        <v>5623</v>
      </c>
      <c r="AQ548" t="s">
        <v>8</v>
      </c>
      <c r="AR548" t="s">
        <v>8</v>
      </c>
      <c r="AS548" t="s">
        <v>8</v>
      </c>
      <c r="AT548">
        <v>11945.7</v>
      </c>
    </row>
    <row r="549" spans="34:46" x14ac:dyDescent="0.35">
      <c r="AH549" t="s">
        <v>204</v>
      </c>
      <c r="AI549" t="s">
        <v>180</v>
      </c>
      <c r="AJ549" s="3">
        <v>44196</v>
      </c>
      <c r="AK549" t="s">
        <v>42</v>
      </c>
      <c r="AL549" s="1">
        <v>6900</v>
      </c>
      <c r="AM549" t="s">
        <v>8</v>
      </c>
      <c r="AN549" t="s">
        <v>8</v>
      </c>
      <c r="AO549" t="s">
        <v>8</v>
      </c>
      <c r="AP549" s="1">
        <v>40</v>
      </c>
      <c r="AQ549" t="s">
        <v>8</v>
      </c>
      <c r="AR549" t="s">
        <v>8</v>
      </c>
      <c r="AS549" t="s">
        <v>8</v>
      </c>
      <c r="AT549">
        <v>11945.7</v>
      </c>
    </row>
    <row r="550" spans="34:46" x14ac:dyDescent="0.35">
      <c r="AH550" t="s">
        <v>204</v>
      </c>
      <c r="AI550" t="s">
        <v>180</v>
      </c>
      <c r="AJ550" s="3">
        <v>43643</v>
      </c>
      <c r="AK550" t="s">
        <v>41</v>
      </c>
      <c r="AL550" s="1">
        <v>6200</v>
      </c>
      <c r="AM550" t="s">
        <v>8</v>
      </c>
      <c r="AN550" t="s">
        <v>8</v>
      </c>
      <c r="AO550" t="s">
        <v>8</v>
      </c>
      <c r="AP550" s="1">
        <v>3537.85</v>
      </c>
      <c r="AQ550" t="s">
        <v>8</v>
      </c>
      <c r="AR550" t="s">
        <v>8</v>
      </c>
      <c r="AS550" t="s">
        <v>8</v>
      </c>
      <c r="AT550">
        <v>11945.7</v>
      </c>
    </row>
    <row r="551" spans="34:46" x14ac:dyDescent="0.35">
      <c r="AH551" t="s">
        <v>204</v>
      </c>
      <c r="AI551" t="s">
        <v>180</v>
      </c>
      <c r="AJ551" s="3">
        <v>43636</v>
      </c>
      <c r="AK551" t="s">
        <v>42</v>
      </c>
      <c r="AL551" s="1">
        <v>11200</v>
      </c>
      <c r="AM551" t="s">
        <v>8</v>
      </c>
      <c r="AN551" t="s">
        <v>8</v>
      </c>
      <c r="AO551" t="s">
        <v>8</v>
      </c>
      <c r="AP551" s="1">
        <v>26.4</v>
      </c>
      <c r="AQ551" t="s">
        <v>8</v>
      </c>
      <c r="AR551" t="s">
        <v>8</v>
      </c>
      <c r="AS551" t="s">
        <v>8</v>
      </c>
      <c r="AT551">
        <v>11945.7</v>
      </c>
    </row>
    <row r="552" spans="34:46" x14ac:dyDescent="0.35">
      <c r="AH552" t="s">
        <v>204</v>
      </c>
      <c r="AI552" t="s">
        <v>180</v>
      </c>
      <c r="AJ552" s="3">
        <v>43643</v>
      </c>
      <c r="AK552" t="s">
        <v>41</v>
      </c>
      <c r="AL552" s="1">
        <v>6400</v>
      </c>
      <c r="AM552" t="s">
        <v>8</v>
      </c>
      <c r="AN552" t="s">
        <v>8</v>
      </c>
      <c r="AO552" t="s">
        <v>8</v>
      </c>
      <c r="AP552" s="1">
        <v>3418.05</v>
      </c>
      <c r="AQ552" t="s">
        <v>8</v>
      </c>
      <c r="AR552" t="s">
        <v>8</v>
      </c>
      <c r="AS552" t="s">
        <v>8</v>
      </c>
      <c r="AT552">
        <v>11945.7</v>
      </c>
    </row>
    <row r="553" spans="34:46" x14ac:dyDescent="0.35">
      <c r="AH553" t="s">
        <v>204</v>
      </c>
      <c r="AI553" t="s">
        <v>180</v>
      </c>
      <c r="AJ553" s="3">
        <v>43636</v>
      </c>
      <c r="AK553" t="s">
        <v>42</v>
      </c>
      <c r="AL553" s="1">
        <v>11400</v>
      </c>
      <c r="AM553" t="s">
        <v>8</v>
      </c>
      <c r="AN553" t="s">
        <v>8</v>
      </c>
      <c r="AO553" t="s">
        <v>8</v>
      </c>
      <c r="AP553" s="1">
        <v>49</v>
      </c>
      <c r="AQ553" t="s">
        <v>8</v>
      </c>
      <c r="AR553" t="s">
        <v>8</v>
      </c>
      <c r="AS553" t="s">
        <v>8</v>
      </c>
      <c r="AT553">
        <v>11945.7</v>
      </c>
    </row>
    <row r="554" spans="34:46" x14ac:dyDescent="0.35">
      <c r="AH554" t="s">
        <v>204</v>
      </c>
      <c r="AI554" t="s">
        <v>180</v>
      </c>
      <c r="AJ554" s="3">
        <v>43636</v>
      </c>
      <c r="AK554" t="s">
        <v>42</v>
      </c>
      <c r="AL554" s="1">
        <v>11600</v>
      </c>
      <c r="AM554" t="s">
        <v>8</v>
      </c>
      <c r="AN554" t="s">
        <v>8</v>
      </c>
      <c r="AO554" t="s">
        <v>8</v>
      </c>
      <c r="AP554" s="1">
        <v>104.6</v>
      </c>
      <c r="AQ554" t="s">
        <v>8</v>
      </c>
      <c r="AR554" t="s">
        <v>8</v>
      </c>
      <c r="AS554" t="s">
        <v>8</v>
      </c>
      <c r="AT554">
        <v>11945.7</v>
      </c>
    </row>
    <row r="555" spans="34:46" x14ac:dyDescent="0.35">
      <c r="AH555" t="s">
        <v>204</v>
      </c>
      <c r="AI555" t="s">
        <v>180</v>
      </c>
      <c r="AJ555" s="3">
        <v>43636</v>
      </c>
      <c r="AK555" t="s">
        <v>42</v>
      </c>
      <c r="AL555" s="1">
        <v>9800</v>
      </c>
      <c r="AM555" t="s">
        <v>8</v>
      </c>
      <c r="AN555" t="s">
        <v>8</v>
      </c>
      <c r="AO555" t="s">
        <v>8</v>
      </c>
      <c r="AP555" s="1">
        <v>0.1</v>
      </c>
      <c r="AQ555" t="s">
        <v>8</v>
      </c>
      <c r="AR555" t="s">
        <v>8</v>
      </c>
      <c r="AS555" t="s">
        <v>8</v>
      </c>
      <c r="AT555">
        <v>11945.7</v>
      </c>
    </row>
    <row r="556" spans="34:46" x14ac:dyDescent="0.35">
      <c r="AH556" t="s">
        <v>204</v>
      </c>
      <c r="AI556" t="s">
        <v>180</v>
      </c>
      <c r="AJ556" s="3">
        <v>43664</v>
      </c>
      <c r="AK556" t="s">
        <v>41</v>
      </c>
      <c r="AL556" s="1">
        <v>11450</v>
      </c>
      <c r="AM556" t="s">
        <v>8</v>
      </c>
      <c r="AN556" t="s">
        <v>8</v>
      </c>
      <c r="AO556" t="s">
        <v>8</v>
      </c>
      <c r="AP556" s="1">
        <v>239.65</v>
      </c>
      <c r="AQ556" t="s">
        <v>8</v>
      </c>
      <c r="AR556" t="s">
        <v>8</v>
      </c>
      <c r="AS556" t="s">
        <v>8</v>
      </c>
      <c r="AT556">
        <v>11945.7</v>
      </c>
    </row>
    <row r="557" spans="34:46" x14ac:dyDescent="0.35">
      <c r="AH557" t="s">
        <v>204</v>
      </c>
      <c r="AI557" t="s">
        <v>180</v>
      </c>
      <c r="AJ557" s="3">
        <v>44007</v>
      </c>
      <c r="AK557" t="s">
        <v>42</v>
      </c>
      <c r="AL557" s="1">
        <v>11000</v>
      </c>
      <c r="AM557" t="s">
        <v>8</v>
      </c>
      <c r="AN557" t="s">
        <v>8</v>
      </c>
      <c r="AO557" t="s">
        <v>8</v>
      </c>
      <c r="AP557" s="1" t="s">
        <v>8</v>
      </c>
      <c r="AQ557" t="s">
        <v>8</v>
      </c>
      <c r="AR557" t="s">
        <v>8</v>
      </c>
      <c r="AS557" t="s">
        <v>8</v>
      </c>
      <c r="AT557">
        <v>11945.7</v>
      </c>
    </row>
    <row r="558" spans="34:46" x14ac:dyDescent="0.35">
      <c r="AH558" t="s">
        <v>204</v>
      </c>
      <c r="AI558" t="s">
        <v>180</v>
      </c>
      <c r="AJ558" s="3">
        <v>43629</v>
      </c>
      <c r="AK558" t="s">
        <v>41</v>
      </c>
      <c r="AL558" s="1">
        <v>9950</v>
      </c>
      <c r="AM558" t="s">
        <v>8</v>
      </c>
      <c r="AN558" t="s">
        <v>8</v>
      </c>
      <c r="AO558" t="s">
        <v>8</v>
      </c>
      <c r="AP558" s="1">
        <v>1479.2</v>
      </c>
      <c r="AQ558" t="s">
        <v>8</v>
      </c>
      <c r="AR558" t="s">
        <v>8</v>
      </c>
      <c r="AS558" t="s">
        <v>8</v>
      </c>
      <c r="AT558">
        <v>11945.7</v>
      </c>
    </row>
    <row r="559" spans="34:46" x14ac:dyDescent="0.35">
      <c r="AH559" t="s">
        <v>204</v>
      </c>
      <c r="AI559" t="s">
        <v>180</v>
      </c>
      <c r="AJ559" s="3">
        <v>43825</v>
      </c>
      <c r="AK559" t="s">
        <v>42</v>
      </c>
      <c r="AL559" s="1">
        <v>5000</v>
      </c>
      <c r="AM559" t="s">
        <v>8</v>
      </c>
      <c r="AN559" t="s">
        <v>8</v>
      </c>
      <c r="AO559" t="s">
        <v>8</v>
      </c>
      <c r="AP559" s="1">
        <v>16.75</v>
      </c>
      <c r="AQ559" t="s">
        <v>8</v>
      </c>
      <c r="AR559" t="s">
        <v>8</v>
      </c>
      <c r="AS559" t="s">
        <v>8</v>
      </c>
      <c r="AT559">
        <v>11945.7</v>
      </c>
    </row>
    <row r="560" spans="34:46" x14ac:dyDescent="0.35">
      <c r="AH560" t="s">
        <v>204</v>
      </c>
      <c r="AI560" t="s">
        <v>180</v>
      </c>
      <c r="AJ560" s="3">
        <v>45106</v>
      </c>
      <c r="AK560" t="s">
        <v>42</v>
      </c>
      <c r="AL560" s="1">
        <v>12000</v>
      </c>
      <c r="AM560" t="s">
        <v>8</v>
      </c>
      <c r="AN560" t="s">
        <v>8</v>
      </c>
      <c r="AO560" t="s">
        <v>8</v>
      </c>
      <c r="AP560" s="1">
        <v>214.6</v>
      </c>
      <c r="AQ560" t="s">
        <v>8</v>
      </c>
      <c r="AR560" t="s">
        <v>8</v>
      </c>
      <c r="AS560" t="s">
        <v>8</v>
      </c>
      <c r="AT560">
        <v>11945.7</v>
      </c>
    </row>
    <row r="561" spans="34:46" x14ac:dyDescent="0.35">
      <c r="AH561" t="s">
        <v>204</v>
      </c>
      <c r="AI561" t="s">
        <v>180</v>
      </c>
      <c r="AJ561" s="3">
        <v>43664</v>
      </c>
      <c r="AK561" t="s">
        <v>42</v>
      </c>
      <c r="AL561" s="1">
        <v>13000</v>
      </c>
      <c r="AM561" t="s">
        <v>8</v>
      </c>
      <c r="AN561" t="s">
        <v>8</v>
      </c>
      <c r="AO561" t="s">
        <v>8</v>
      </c>
      <c r="AP561" s="1">
        <v>1130.45</v>
      </c>
      <c r="AQ561" t="s">
        <v>8</v>
      </c>
      <c r="AR561" t="s">
        <v>8</v>
      </c>
      <c r="AS561" t="s">
        <v>8</v>
      </c>
      <c r="AT561">
        <v>11945.7</v>
      </c>
    </row>
    <row r="562" spans="34:46" x14ac:dyDescent="0.35">
      <c r="AH562" t="s">
        <v>204</v>
      </c>
      <c r="AI562" t="s">
        <v>180</v>
      </c>
      <c r="AJ562" s="3">
        <v>43825</v>
      </c>
      <c r="AK562" t="s">
        <v>42</v>
      </c>
      <c r="AL562" s="1">
        <v>5200</v>
      </c>
      <c r="AM562" t="s">
        <v>8</v>
      </c>
      <c r="AN562" t="s">
        <v>8</v>
      </c>
      <c r="AO562" t="s">
        <v>8</v>
      </c>
      <c r="AP562" s="1">
        <v>17.5</v>
      </c>
      <c r="AQ562" t="s">
        <v>8</v>
      </c>
      <c r="AR562" t="s">
        <v>8</v>
      </c>
      <c r="AS562" t="s">
        <v>8</v>
      </c>
      <c r="AT562">
        <v>11945.7</v>
      </c>
    </row>
    <row r="563" spans="34:46" x14ac:dyDescent="0.35">
      <c r="AH563" t="s">
        <v>204</v>
      </c>
      <c r="AI563" t="s">
        <v>180</v>
      </c>
      <c r="AJ563" s="3">
        <v>43671</v>
      </c>
      <c r="AK563" t="s">
        <v>41</v>
      </c>
      <c r="AL563" s="1">
        <v>10100</v>
      </c>
      <c r="AM563" t="s">
        <v>8</v>
      </c>
      <c r="AN563" t="s">
        <v>8</v>
      </c>
      <c r="AO563" t="s">
        <v>8</v>
      </c>
      <c r="AP563" s="1">
        <v>1656.25</v>
      </c>
      <c r="AQ563" t="s">
        <v>8</v>
      </c>
      <c r="AR563" t="s">
        <v>8</v>
      </c>
      <c r="AS563" t="s">
        <v>8</v>
      </c>
      <c r="AT563">
        <v>11945.7</v>
      </c>
    </row>
    <row r="564" spans="34:46" x14ac:dyDescent="0.35">
      <c r="AH564" t="s">
        <v>204</v>
      </c>
      <c r="AI564" t="s">
        <v>180</v>
      </c>
      <c r="AJ564" s="3">
        <v>45106</v>
      </c>
      <c r="AK564" t="s">
        <v>42</v>
      </c>
      <c r="AL564" s="1">
        <v>10700</v>
      </c>
      <c r="AM564" t="s">
        <v>8</v>
      </c>
      <c r="AN564" t="s">
        <v>8</v>
      </c>
      <c r="AO564" t="s">
        <v>8</v>
      </c>
      <c r="AP564" s="1">
        <v>81.349999999999994</v>
      </c>
      <c r="AQ564" t="s">
        <v>8</v>
      </c>
      <c r="AR564" t="s">
        <v>8</v>
      </c>
      <c r="AS564" t="s">
        <v>8</v>
      </c>
      <c r="AT564">
        <v>11945.7</v>
      </c>
    </row>
    <row r="565" spans="34:46" x14ac:dyDescent="0.35">
      <c r="AH565" t="s">
        <v>204</v>
      </c>
      <c r="AI565" t="s">
        <v>180</v>
      </c>
      <c r="AJ565" s="3">
        <v>43643</v>
      </c>
      <c r="AK565" t="s">
        <v>42</v>
      </c>
      <c r="AL565" s="1">
        <v>5500</v>
      </c>
      <c r="AM565" t="s">
        <v>8</v>
      </c>
      <c r="AN565" t="s">
        <v>8</v>
      </c>
      <c r="AO565" t="s">
        <v>8</v>
      </c>
      <c r="AP565" s="1">
        <v>14.55</v>
      </c>
      <c r="AQ565" t="s">
        <v>8</v>
      </c>
      <c r="AR565" t="s">
        <v>8</v>
      </c>
      <c r="AS565" t="s">
        <v>8</v>
      </c>
      <c r="AT565">
        <v>11945.7</v>
      </c>
    </row>
    <row r="566" spans="34:46" x14ac:dyDescent="0.35">
      <c r="AH566" t="s">
        <v>204</v>
      </c>
      <c r="AI566" t="s">
        <v>180</v>
      </c>
      <c r="AJ566" s="3">
        <v>45106</v>
      </c>
      <c r="AK566" t="s">
        <v>42</v>
      </c>
      <c r="AL566" s="1">
        <v>10900</v>
      </c>
      <c r="AM566" t="s">
        <v>8</v>
      </c>
      <c r="AN566" t="s">
        <v>8</v>
      </c>
      <c r="AO566" t="s">
        <v>8</v>
      </c>
      <c r="AP566" s="1">
        <v>96.1</v>
      </c>
      <c r="AQ566" t="s">
        <v>8</v>
      </c>
      <c r="AR566" t="s">
        <v>8</v>
      </c>
      <c r="AS566" t="s">
        <v>8</v>
      </c>
      <c r="AT566">
        <v>11945.7</v>
      </c>
    </row>
    <row r="567" spans="34:46" x14ac:dyDescent="0.35">
      <c r="AH567" t="s">
        <v>204</v>
      </c>
      <c r="AI567" t="s">
        <v>180</v>
      </c>
      <c r="AJ567" s="3">
        <v>43615</v>
      </c>
      <c r="AK567" t="s">
        <v>41</v>
      </c>
      <c r="AL567" s="1">
        <v>13400</v>
      </c>
      <c r="AM567" t="s">
        <v>8</v>
      </c>
      <c r="AN567" t="s">
        <v>8</v>
      </c>
      <c r="AO567" t="s">
        <v>8</v>
      </c>
      <c r="AP567" s="1">
        <v>0.05</v>
      </c>
      <c r="AQ567" t="s">
        <v>8</v>
      </c>
      <c r="AR567" t="s">
        <v>8</v>
      </c>
      <c r="AS567" t="s">
        <v>8</v>
      </c>
      <c r="AT567">
        <v>11945.7</v>
      </c>
    </row>
    <row r="568" spans="34:46" x14ac:dyDescent="0.35">
      <c r="AH568" t="s">
        <v>204</v>
      </c>
      <c r="AI568" t="s">
        <v>180</v>
      </c>
      <c r="AJ568" s="3">
        <v>44742</v>
      </c>
      <c r="AK568" t="s">
        <v>42</v>
      </c>
      <c r="AL568" s="1">
        <v>9400</v>
      </c>
      <c r="AM568" t="s">
        <v>8</v>
      </c>
      <c r="AN568" t="s">
        <v>8</v>
      </c>
      <c r="AO568" t="s">
        <v>8</v>
      </c>
      <c r="AP568" s="1">
        <v>21.95</v>
      </c>
      <c r="AQ568" t="s">
        <v>8</v>
      </c>
      <c r="AR568" t="s">
        <v>8</v>
      </c>
      <c r="AS568" t="s">
        <v>8</v>
      </c>
      <c r="AT568">
        <v>11945.7</v>
      </c>
    </row>
    <row r="569" spans="34:46" x14ac:dyDescent="0.35">
      <c r="AH569" t="s">
        <v>204</v>
      </c>
      <c r="AI569" t="s">
        <v>180</v>
      </c>
      <c r="AJ569" s="3">
        <v>44742</v>
      </c>
      <c r="AK569" t="s">
        <v>42</v>
      </c>
      <c r="AL569" s="1">
        <v>9600</v>
      </c>
      <c r="AM569" t="s">
        <v>8</v>
      </c>
      <c r="AN569" t="s">
        <v>8</v>
      </c>
      <c r="AO569" t="s">
        <v>8</v>
      </c>
      <c r="AP569" s="1">
        <v>29.25</v>
      </c>
      <c r="AQ569" t="s">
        <v>8</v>
      </c>
      <c r="AR569" t="s">
        <v>8</v>
      </c>
      <c r="AS569" t="s">
        <v>8</v>
      </c>
      <c r="AT569">
        <v>11945.7</v>
      </c>
    </row>
    <row r="570" spans="34:46" x14ac:dyDescent="0.35">
      <c r="AH570" t="s">
        <v>204</v>
      </c>
      <c r="AI570" t="s">
        <v>180</v>
      </c>
      <c r="AJ570" s="3">
        <v>43657</v>
      </c>
      <c r="AK570" t="s">
        <v>41</v>
      </c>
      <c r="AL570" s="1">
        <v>10850</v>
      </c>
      <c r="AM570" t="s">
        <v>8</v>
      </c>
      <c r="AN570" t="s">
        <v>8</v>
      </c>
      <c r="AO570" t="s">
        <v>8</v>
      </c>
      <c r="AP570" s="1">
        <v>646.85</v>
      </c>
      <c r="AQ570" t="s">
        <v>8</v>
      </c>
      <c r="AR570" t="s">
        <v>8</v>
      </c>
      <c r="AS570" t="s">
        <v>8</v>
      </c>
      <c r="AT570">
        <v>11945.7</v>
      </c>
    </row>
    <row r="571" spans="34:46" x14ac:dyDescent="0.35">
      <c r="AH571" t="s">
        <v>204</v>
      </c>
      <c r="AI571" t="s">
        <v>180</v>
      </c>
      <c r="AJ571" s="3">
        <v>44371</v>
      </c>
      <c r="AK571" t="s">
        <v>42</v>
      </c>
      <c r="AL571" s="1">
        <v>7000</v>
      </c>
      <c r="AM571" t="s">
        <v>8</v>
      </c>
      <c r="AN571" t="s">
        <v>8</v>
      </c>
      <c r="AO571" t="s">
        <v>8</v>
      </c>
      <c r="AP571">
        <v>87.7</v>
      </c>
      <c r="AQ571" t="s">
        <v>8</v>
      </c>
      <c r="AR571" t="s">
        <v>8</v>
      </c>
      <c r="AS571" t="s">
        <v>8</v>
      </c>
      <c r="AT571">
        <v>11945.7</v>
      </c>
    </row>
    <row r="572" spans="34:46" x14ac:dyDescent="0.35">
      <c r="AH572" t="s">
        <v>204</v>
      </c>
      <c r="AI572" t="s">
        <v>180</v>
      </c>
      <c r="AJ572" s="3">
        <v>44742</v>
      </c>
      <c r="AK572" t="s">
        <v>42</v>
      </c>
      <c r="AL572" s="1">
        <v>9800</v>
      </c>
      <c r="AM572" t="s">
        <v>8</v>
      </c>
      <c r="AN572" t="s">
        <v>8</v>
      </c>
      <c r="AO572" t="s">
        <v>8</v>
      </c>
      <c r="AP572" s="1">
        <v>38.299999999999997</v>
      </c>
      <c r="AQ572" t="s">
        <v>8</v>
      </c>
      <c r="AR572" t="s">
        <v>8</v>
      </c>
      <c r="AS572" t="s">
        <v>8</v>
      </c>
      <c r="AT572">
        <v>11945.7</v>
      </c>
    </row>
    <row r="573" spans="34:46" x14ac:dyDescent="0.35">
      <c r="AH573" t="s">
        <v>204</v>
      </c>
      <c r="AI573" t="s">
        <v>180</v>
      </c>
      <c r="AJ573" s="3">
        <v>43657</v>
      </c>
      <c r="AK573" t="s">
        <v>42</v>
      </c>
      <c r="AL573" s="1">
        <v>12400</v>
      </c>
      <c r="AM573" t="s">
        <v>8</v>
      </c>
      <c r="AN573" t="s">
        <v>8</v>
      </c>
      <c r="AO573" t="s">
        <v>8</v>
      </c>
      <c r="AP573" s="1">
        <v>972.3</v>
      </c>
      <c r="AQ573" t="s">
        <v>8</v>
      </c>
      <c r="AR573" t="s">
        <v>8</v>
      </c>
      <c r="AS573" t="s">
        <v>8</v>
      </c>
      <c r="AT573">
        <v>11945.7</v>
      </c>
    </row>
    <row r="574" spans="34:46" x14ac:dyDescent="0.35">
      <c r="AH574" t="s">
        <v>204</v>
      </c>
      <c r="AI574" t="s">
        <v>180</v>
      </c>
      <c r="AJ574" s="3">
        <v>45106</v>
      </c>
      <c r="AK574" t="s">
        <v>42</v>
      </c>
      <c r="AL574" s="1">
        <v>9000</v>
      </c>
      <c r="AM574" t="s">
        <v>8</v>
      </c>
      <c r="AN574" t="s">
        <v>8</v>
      </c>
      <c r="AO574" t="s">
        <v>8</v>
      </c>
      <c r="AP574" s="1">
        <v>14</v>
      </c>
      <c r="AQ574" t="s">
        <v>8</v>
      </c>
      <c r="AR574" t="s">
        <v>8</v>
      </c>
      <c r="AS574" t="s">
        <v>8</v>
      </c>
      <c r="AT574">
        <v>11945.7</v>
      </c>
    </row>
    <row r="575" spans="34:46" x14ac:dyDescent="0.35">
      <c r="AH575" t="s">
        <v>204</v>
      </c>
      <c r="AI575" t="s">
        <v>180</v>
      </c>
      <c r="AJ575" s="3">
        <v>44371</v>
      </c>
      <c r="AK575" t="s">
        <v>42</v>
      </c>
      <c r="AL575" s="1">
        <v>5700</v>
      </c>
      <c r="AM575" t="s">
        <v>8</v>
      </c>
      <c r="AN575" t="s">
        <v>8</v>
      </c>
      <c r="AO575" t="s">
        <v>8</v>
      </c>
      <c r="AP575" s="1">
        <v>95.8</v>
      </c>
      <c r="AQ575" t="s">
        <v>8</v>
      </c>
      <c r="AR575" t="s">
        <v>8</v>
      </c>
      <c r="AS575" t="s">
        <v>8</v>
      </c>
      <c r="AT575">
        <v>11945.7</v>
      </c>
    </row>
    <row r="576" spans="34:46" x14ac:dyDescent="0.35">
      <c r="AH576" t="s">
        <v>204</v>
      </c>
      <c r="AI576" t="s">
        <v>180</v>
      </c>
      <c r="AJ576" s="3">
        <v>44371</v>
      </c>
      <c r="AK576" t="s">
        <v>42</v>
      </c>
      <c r="AL576" s="1">
        <v>5900</v>
      </c>
      <c r="AM576" t="s">
        <v>8</v>
      </c>
      <c r="AN576" t="s">
        <v>8</v>
      </c>
      <c r="AO576" t="s">
        <v>8</v>
      </c>
      <c r="AP576">
        <v>27.3</v>
      </c>
      <c r="AQ576" t="s">
        <v>8</v>
      </c>
      <c r="AR576" t="s">
        <v>8</v>
      </c>
      <c r="AS576" t="s">
        <v>8</v>
      </c>
      <c r="AT576">
        <v>11945.7</v>
      </c>
    </row>
    <row r="577" spans="34:46" x14ac:dyDescent="0.35">
      <c r="AH577" t="s">
        <v>204</v>
      </c>
      <c r="AI577" t="s">
        <v>180</v>
      </c>
      <c r="AJ577" s="3">
        <v>44007</v>
      </c>
      <c r="AK577" t="s">
        <v>41</v>
      </c>
      <c r="AL577" s="1">
        <v>11800</v>
      </c>
      <c r="AM577" t="s">
        <v>8</v>
      </c>
      <c r="AN577" t="s">
        <v>8</v>
      </c>
      <c r="AO577" t="s">
        <v>8</v>
      </c>
      <c r="AP577" s="1" t="s">
        <v>8</v>
      </c>
      <c r="AQ577" t="s">
        <v>8</v>
      </c>
      <c r="AR577" t="s">
        <v>8</v>
      </c>
      <c r="AS577" t="s">
        <v>8</v>
      </c>
      <c r="AT577">
        <v>11945.7</v>
      </c>
    </row>
    <row r="578" spans="34:46" x14ac:dyDescent="0.35">
      <c r="AH578" t="s">
        <v>204</v>
      </c>
      <c r="AI578" t="s">
        <v>180</v>
      </c>
      <c r="AJ578" s="3">
        <v>44924</v>
      </c>
      <c r="AK578" t="s">
        <v>42</v>
      </c>
      <c r="AL578" s="1">
        <v>11900</v>
      </c>
      <c r="AM578" t="s">
        <v>8</v>
      </c>
      <c r="AN578" t="s">
        <v>8</v>
      </c>
      <c r="AO578" t="s">
        <v>8</v>
      </c>
      <c r="AP578" s="1">
        <v>279.10000000000002</v>
      </c>
      <c r="AQ578" t="s">
        <v>8</v>
      </c>
      <c r="AR578" t="s">
        <v>8</v>
      </c>
      <c r="AS578" t="s">
        <v>8</v>
      </c>
      <c r="AT578">
        <v>11945.7</v>
      </c>
    </row>
    <row r="579" spans="34:46" x14ac:dyDescent="0.35">
      <c r="AH579" t="s">
        <v>204</v>
      </c>
      <c r="AI579" t="s">
        <v>180</v>
      </c>
      <c r="AJ579" s="3">
        <v>45106</v>
      </c>
      <c r="AK579" t="s">
        <v>42</v>
      </c>
      <c r="AL579" s="1">
        <v>7900</v>
      </c>
      <c r="AM579" t="s">
        <v>8</v>
      </c>
      <c r="AN579" t="s">
        <v>8</v>
      </c>
      <c r="AO579" t="s">
        <v>8</v>
      </c>
      <c r="AP579">
        <v>172.35</v>
      </c>
      <c r="AQ579" t="s">
        <v>8</v>
      </c>
      <c r="AR579" t="s">
        <v>8</v>
      </c>
      <c r="AS579" t="s">
        <v>8</v>
      </c>
      <c r="AT579">
        <v>11945.7</v>
      </c>
    </row>
    <row r="580" spans="34:46" x14ac:dyDescent="0.35">
      <c r="AH580" t="s">
        <v>204</v>
      </c>
      <c r="AI580" t="s">
        <v>180</v>
      </c>
      <c r="AJ580" s="3">
        <v>43629</v>
      </c>
      <c r="AK580" t="s">
        <v>41</v>
      </c>
      <c r="AL580" s="1">
        <v>11150</v>
      </c>
      <c r="AM580" t="s">
        <v>8</v>
      </c>
      <c r="AN580" t="s">
        <v>8</v>
      </c>
      <c r="AO580" t="s">
        <v>8</v>
      </c>
      <c r="AP580" s="1">
        <v>623.95000000000005</v>
      </c>
      <c r="AQ580" t="s">
        <v>8</v>
      </c>
      <c r="AR580" t="s">
        <v>8</v>
      </c>
      <c r="AS580" t="s">
        <v>8</v>
      </c>
      <c r="AT580">
        <v>11945.7</v>
      </c>
    </row>
    <row r="581" spans="34:46" x14ac:dyDescent="0.35">
      <c r="AH581" t="s">
        <v>204</v>
      </c>
      <c r="AI581" t="s">
        <v>180</v>
      </c>
      <c r="AJ581" s="3">
        <v>44007</v>
      </c>
      <c r="AK581" t="s">
        <v>42</v>
      </c>
      <c r="AL581" s="1">
        <v>9900</v>
      </c>
      <c r="AM581" t="s">
        <v>8</v>
      </c>
      <c r="AN581" t="s">
        <v>8</v>
      </c>
      <c r="AO581" t="s">
        <v>8</v>
      </c>
      <c r="AP581" s="1">
        <v>241</v>
      </c>
      <c r="AQ581" t="s">
        <v>8</v>
      </c>
      <c r="AR581" t="s">
        <v>8</v>
      </c>
      <c r="AS581" t="s">
        <v>8</v>
      </c>
      <c r="AT581">
        <v>11945.7</v>
      </c>
    </row>
    <row r="582" spans="34:46" x14ac:dyDescent="0.35">
      <c r="AH582" t="s">
        <v>204</v>
      </c>
      <c r="AI582" t="s">
        <v>180</v>
      </c>
      <c r="AJ582" s="3">
        <v>43622</v>
      </c>
      <c r="AK582" t="s">
        <v>42</v>
      </c>
      <c r="AL582" s="1">
        <v>12750</v>
      </c>
      <c r="AM582" t="s">
        <v>8</v>
      </c>
      <c r="AN582" t="s">
        <v>8</v>
      </c>
      <c r="AO582" t="s">
        <v>8</v>
      </c>
      <c r="AP582" s="1">
        <v>1012.25</v>
      </c>
      <c r="AQ582" t="s">
        <v>8</v>
      </c>
      <c r="AR582" t="s">
        <v>8</v>
      </c>
      <c r="AS582" t="s">
        <v>8</v>
      </c>
      <c r="AT582">
        <v>11945.7</v>
      </c>
    </row>
    <row r="583" spans="34:46" x14ac:dyDescent="0.35">
      <c r="AH583" t="s">
        <v>204</v>
      </c>
      <c r="AI583" t="s">
        <v>180</v>
      </c>
      <c r="AJ583" s="3">
        <v>44371</v>
      </c>
      <c r="AK583" t="s">
        <v>42</v>
      </c>
      <c r="AL583" s="1">
        <v>11900</v>
      </c>
      <c r="AM583" t="s">
        <v>8</v>
      </c>
      <c r="AN583" t="s">
        <v>8</v>
      </c>
      <c r="AO583" t="s">
        <v>8</v>
      </c>
      <c r="AP583" t="s">
        <v>8</v>
      </c>
      <c r="AQ583" t="s">
        <v>8</v>
      </c>
      <c r="AR583" t="s">
        <v>8</v>
      </c>
      <c r="AS583" t="s">
        <v>8</v>
      </c>
      <c r="AT583">
        <v>11945.7</v>
      </c>
    </row>
    <row r="584" spans="34:46" x14ac:dyDescent="0.35">
      <c r="AH584" t="s">
        <v>204</v>
      </c>
      <c r="AI584" t="s">
        <v>180</v>
      </c>
      <c r="AJ584" s="3">
        <v>43622</v>
      </c>
      <c r="AK584" t="s">
        <v>42</v>
      </c>
      <c r="AL584" s="1">
        <v>12950</v>
      </c>
      <c r="AM584" t="s">
        <v>8</v>
      </c>
      <c r="AN584" t="s">
        <v>8</v>
      </c>
      <c r="AO584" t="s">
        <v>8</v>
      </c>
      <c r="AP584" s="1">
        <v>1201.9000000000001</v>
      </c>
      <c r="AQ584" t="s">
        <v>8</v>
      </c>
      <c r="AR584" t="s">
        <v>8</v>
      </c>
      <c r="AS584" t="s">
        <v>8</v>
      </c>
      <c r="AT584">
        <v>11945.7</v>
      </c>
    </row>
    <row r="585" spans="34:46" x14ac:dyDescent="0.35">
      <c r="AH585" t="s">
        <v>204</v>
      </c>
      <c r="AI585" t="s">
        <v>180</v>
      </c>
      <c r="AJ585" s="3">
        <v>43671</v>
      </c>
      <c r="AK585" t="s">
        <v>42</v>
      </c>
      <c r="AL585" s="1">
        <v>10350</v>
      </c>
      <c r="AM585" t="s">
        <v>8</v>
      </c>
      <c r="AN585" t="s">
        <v>8</v>
      </c>
      <c r="AO585" t="s">
        <v>8</v>
      </c>
      <c r="AP585" s="1">
        <v>6.45</v>
      </c>
      <c r="AQ585" t="s">
        <v>8</v>
      </c>
      <c r="AR585" t="s">
        <v>8</v>
      </c>
      <c r="AS585" t="s">
        <v>8</v>
      </c>
      <c r="AT585">
        <v>11945.7</v>
      </c>
    </row>
    <row r="586" spans="34:46" x14ac:dyDescent="0.35">
      <c r="AH586" t="s">
        <v>204</v>
      </c>
      <c r="AI586" t="s">
        <v>180</v>
      </c>
      <c r="AJ586" s="3">
        <v>44742</v>
      </c>
      <c r="AK586" t="s">
        <v>42</v>
      </c>
      <c r="AL586" s="1">
        <v>10000</v>
      </c>
      <c r="AM586" t="s">
        <v>8</v>
      </c>
      <c r="AN586" t="s">
        <v>8</v>
      </c>
      <c r="AO586" t="s">
        <v>8</v>
      </c>
      <c r="AP586">
        <v>49.45</v>
      </c>
      <c r="AQ586" t="s">
        <v>8</v>
      </c>
      <c r="AR586" t="s">
        <v>8</v>
      </c>
      <c r="AS586" t="s">
        <v>8</v>
      </c>
      <c r="AT586">
        <v>11945.7</v>
      </c>
    </row>
    <row r="587" spans="34:46" x14ac:dyDescent="0.35">
      <c r="AH587" t="s">
        <v>204</v>
      </c>
      <c r="AI587" t="s">
        <v>180</v>
      </c>
      <c r="AJ587" s="3">
        <v>43629</v>
      </c>
      <c r="AK587" t="s">
        <v>42</v>
      </c>
      <c r="AL587" s="1">
        <v>11400</v>
      </c>
      <c r="AM587" t="s">
        <v>8</v>
      </c>
      <c r="AN587" t="s">
        <v>8</v>
      </c>
      <c r="AO587" t="s">
        <v>8</v>
      </c>
      <c r="AP587" s="1">
        <v>99.4</v>
      </c>
      <c r="AQ587" t="s">
        <v>8</v>
      </c>
      <c r="AR587" t="s">
        <v>8</v>
      </c>
      <c r="AS587" t="s">
        <v>8</v>
      </c>
      <c r="AT587">
        <v>11945.7</v>
      </c>
    </row>
    <row r="588" spans="34:46" x14ac:dyDescent="0.35">
      <c r="AH588" t="s">
        <v>204</v>
      </c>
      <c r="AI588" t="s">
        <v>180</v>
      </c>
      <c r="AJ588" s="3">
        <v>43671</v>
      </c>
      <c r="AK588" t="s">
        <v>42</v>
      </c>
      <c r="AL588" s="1">
        <v>10550</v>
      </c>
      <c r="AM588" t="s">
        <v>8</v>
      </c>
      <c r="AN588" t="s">
        <v>8</v>
      </c>
      <c r="AO588" t="s">
        <v>8</v>
      </c>
      <c r="AP588">
        <v>13.4</v>
      </c>
      <c r="AQ588" t="s">
        <v>8</v>
      </c>
      <c r="AR588" t="s">
        <v>8</v>
      </c>
      <c r="AS588" t="s">
        <v>8</v>
      </c>
      <c r="AT588">
        <v>11945.7</v>
      </c>
    </row>
    <row r="589" spans="34:46" x14ac:dyDescent="0.35">
      <c r="AH589" t="s">
        <v>204</v>
      </c>
      <c r="AI589" t="s">
        <v>180</v>
      </c>
      <c r="AJ589" s="3">
        <v>44742</v>
      </c>
      <c r="AK589" t="s">
        <v>42</v>
      </c>
      <c r="AL589" s="1">
        <v>10200</v>
      </c>
      <c r="AM589" t="s">
        <v>8</v>
      </c>
      <c r="AN589" t="s">
        <v>8</v>
      </c>
      <c r="AO589" t="s">
        <v>8</v>
      </c>
      <c r="AP589" s="1">
        <v>62.95</v>
      </c>
      <c r="AQ589" t="s">
        <v>8</v>
      </c>
      <c r="AR589" t="s">
        <v>8</v>
      </c>
      <c r="AS589" t="s">
        <v>8</v>
      </c>
      <c r="AT589">
        <v>11945.7</v>
      </c>
    </row>
    <row r="590" spans="34:46" x14ac:dyDescent="0.35">
      <c r="AH590" t="s">
        <v>204</v>
      </c>
      <c r="AI590" t="s">
        <v>180</v>
      </c>
      <c r="AJ590" s="3">
        <v>43671</v>
      </c>
      <c r="AK590" t="s">
        <v>42</v>
      </c>
      <c r="AL590" s="1">
        <v>10750</v>
      </c>
      <c r="AM590" t="s">
        <v>8</v>
      </c>
      <c r="AN590" t="s">
        <v>8</v>
      </c>
      <c r="AO590" t="s">
        <v>8</v>
      </c>
      <c r="AP590" s="1">
        <v>25.75</v>
      </c>
      <c r="AQ590" t="s">
        <v>8</v>
      </c>
      <c r="AR590" t="s">
        <v>8</v>
      </c>
      <c r="AS590" t="s">
        <v>8</v>
      </c>
      <c r="AT590">
        <v>11945.7</v>
      </c>
    </row>
    <row r="591" spans="34:46" x14ac:dyDescent="0.35">
      <c r="AH591" t="s">
        <v>204</v>
      </c>
      <c r="AI591" t="s">
        <v>180</v>
      </c>
      <c r="AJ591" s="3">
        <v>44742</v>
      </c>
      <c r="AK591" t="s">
        <v>42</v>
      </c>
      <c r="AL591" s="1">
        <v>10400</v>
      </c>
      <c r="AM591" t="s">
        <v>8</v>
      </c>
      <c r="AN591" t="s">
        <v>8</v>
      </c>
      <c r="AO591" t="s">
        <v>8</v>
      </c>
      <c r="AP591" s="1">
        <v>79.150000000000006</v>
      </c>
      <c r="AQ591" t="s">
        <v>8</v>
      </c>
      <c r="AR591" t="s">
        <v>8</v>
      </c>
      <c r="AS591" t="s">
        <v>8</v>
      </c>
      <c r="AT591">
        <v>11945.7</v>
      </c>
    </row>
    <row r="592" spans="34:46" x14ac:dyDescent="0.35">
      <c r="AH592" t="s">
        <v>204</v>
      </c>
      <c r="AI592" t="s">
        <v>180</v>
      </c>
      <c r="AJ592" s="3">
        <v>44196</v>
      </c>
      <c r="AK592" t="s">
        <v>41</v>
      </c>
      <c r="AL592" s="1">
        <v>11100</v>
      </c>
      <c r="AM592" t="s">
        <v>8</v>
      </c>
      <c r="AN592" t="s">
        <v>8</v>
      </c>
      <c r="AO592" t="s">
        <v>8</v>
      </c>
      <c r="AP592" s="1" t="s">
        <v>8</v>
      </c>
      <c r="AQ592" t="s">
        <v>8</v>
      </c>
      <c r="AR592" t="s">
        <v>8</v>
      </c>
      <c r="AS592" t="s">
        <v>8</v>
      </c>
      <c r="AT592">
        <v>11945.7</v>
      </c>
    </row>
    <row r="593" spans="34:46" x14ac:dyDescent="0.35">
      <c r="AH593" t="s">
        <v>204</v>
      </c>
      <c r="AI593" t="s">
        <v>180</v>
      </c>
      <c r="AJ593" s="3">
        <v>44560</v>
      </c>
      <c r="AK593" t="s">
        <v>42</v>
      </c>
      <c r="AL593" s="1">
        <v>8500</v>
      </c>
      <c r="AM593" t="s">
        <v>8</v>
      </c>
      <c r="AN593" t="s">
        <v>8</v>
      </c>
      <c r="AO593" t="s">
        <v>8</v>
      </c>
      <c r="AP593" s="1">
        <v>212.65</v>
      </c>
      <c r="AQ593" t="s">
        <v>8</v>
      </c>
      <c r="AR593" t="s">
        <v>8</v>
      </c>
      <c r="AS593" t="s">
        <v>8</v>
      </c>
      <c r="AT593">
        <v>11945.7</v>
      </c>
    </row>
    <row r="594" spans="34:46" x14ac:dyDescent="0.35">
      <c r="AH594" t="s">
        <v>204</v>
      </c>
      <c r="AI594" t="s">
        <v>180</v>
      </c>
      <c r="AJ594" s="3">
        <v>44196</v>
      </c>
      <c r="AK594" t="s">
        <v>41</v>
      </c>
      <c r="AL594" s="1">
        <v>11300</v>
      </c>
      <c r="AM594" t="s">
        <v>8</v>
      </c>
      <c r="AN594" t="s">
        <v>8</v>
      </c>
      <c r="AO594" t="s">
        <v>8</v>
      </c>
      <c r="AP594" t="s">
        <v>8</v>
      </c>
      <c r="AQ594" t="s">
        <v>8</v>
      </c>
      <c r="AR594" t="s">
        <v>8</v>
      </c>
      <c r="AS594" t="s">
        <v>8</v>
      </c>
      <c r="AT594">
        <v>11945.7</v>
      </c>
    </row>
    <row r="595" spans="34:46" x14ac:dyDescent="0.35">
      <c r="AH595" t="s">
        <v>204</v>
      </c>
      <c r="AI595" t="s">
        <v>180</v>
      </c>
      <c r="AJ595" s="3">
        <v>44560</v>
      </c>
      <c r="AK595" t="s">
        <v>42</v>
      </c>
      <c r="AL595" s="1">
        <v>8700</v>
      </c>
      <c r="AM595" t="s">
        <v>8</v>
      </c>
      <c r="AN595" t="s">
        <v>8</v>
      </c>
      <c r="AO595" t="s">
        <v>8</v>
      </c>
      <c r="AP595" s="1">
        <v>389.75</v>
      </c>
      <c r="AQ595" t="s">
        <v>8</v>
      </c>
      <c r="AR595" t="s">
        <v>8</v>
      </c>
      <c r="AS595" t="s">
        <v>8</v>
      </c>
      <c r="AT595">
        <v>11945.7</v>
      </c>
    </row>
    <row r="596" spans="34:46" x14ac:dyDescent="0.35">
      <c r="AH596" t="s">
        <v>204</v>
      </c>
      <c r="AI596" t="s">
        <v>180</v>
      </c>
      <c r="AJ596" s="3">
        <v>43916</v>
      </c>
      <c r="AK596" t="s">
        <v>42</v>
      </c>
      <c r="AL596" s="1">
        <v>9900</v>
      </c>
      <c r="AM596" t="s">
        <v>8</v>
      </c>
      <c r="AN596" t="s">
        <v>8</v>
      </c>
      <c r="AO596" t="s">
        <v>8</v>
      </c>
      <c r="AP596" s="1">
        <v>26.5</v>
      </c>
      <c r="AQ596" t="s">
        <v>8</v>
      </c>
      <c r="AR596" t="s">
        <v>8</v>
      </c>
      <c r="AS596" t="s">
        <v>8</v>
      </c>
      <c r="AT596">
        <v>11945.7</v>
      </c>
    </row>
    <row r="597" spans="34:46" x14ac:dyDescent="0.35">
      <c r="AH597" t="s">
        <v>204</v>
      </c>
      <c r="AI597" t="s">
        <v>180</v>
      </c>
      <c r="AJ597" s="3">
        <v>43629</v>
      </c>
      <c r="AK597" t="s">
        <v>41</v>
      </c>
      <c r="AL597" s="1">
        <v>13100</v>
      </c>
      <c r="AM597" t="s">
        <v>8</v>
      </c>
      <c r="AN597" t="s">
        <v>8</v>
      </c>
      <c r="AO597" t="s">
        <v>8</v>
      </c>
      <c r="AP597" s="1">
        <v>3</v>
      </c>
      <c r="AQ597" t="s">
        <v>8</v>
      </c>
      <c r="AR597" t="s">
        <v>8</v>
      </c>
      <c r="AS597" t="s">
        <v>8</v>
      </c>
      <c r="AT597">
        <v>11945.7</v>
      </c>
    </row>
    <row r="598" spans="34:46" x14ac:dyDescent="0.35">
      <c r="AH598" t="s">
        <v>204</v>
      </c>
      <c r="AI598" t="s">
        <v>180</v>
      </c>
      <c r="AJ598" s="3">
        <v>43671</v>
      </c>
      <c r="AK598" t="s">
        <v>41</v>
      </c>
      <c r="AL598" s="1">
        <v>12250</v>
      </c>
      <c r="AM598" t="s">
        <v>8</v>
      </c>
      <c r="AN598" t="s">
        <v>8</v>
      </c>
      <c r="AO598" t="s">
        <v>8</v>
      </c>
      <c r="AP598" s="1">
        <v>161.55000000000001</v>
      </c>
      <c r="AQ598" t="s">
        <v>8</v>
      </c>
      <c r="AR598" t="s">
        <v>8</v>
      </c>
      <c r="AS598" t="s">
        <v>8</v>
      </c>
      <c r="AT598">
        <v>11945.7</v>
      </c>
    </row>
    <row r="599" spans="34:46" x14ac:dyDescent="0.35">
      <c r="AH599" t="s">
        <v>204</v>
      </c>
      <c r="AI599" t="s">
        <v>180</v>
      </c>
      <c r="AJ599" s="3">
        <v>44007</v>
      </c>
      <c r="AK599" t="s">
        <v>42</v>
      </c>
      <c r="AL599" s="1">
        <v>6000</v>
      </c>
      <c r="AM599" t="s">
        <v>8</v>
      </c>
      <c r="AN599" t="s">
        <v>8</v>
      </c>
      <c r="AO599" t="s">
        <v>8</v>
      </c>
      <c r="AP599" s="1">
        <v>32.049999999999997</v>
      </c>
      <c r="AQ599" t="s">
        <v>8</v>
      </c>
      <c r="AR599" t="s">
        <v>8</v>
      </c>
      <c r="AS599" t="s">
        <v>8</v>
      </c>
      <c r="AT599">
        <v>11945.7</v>
      </c>
    </row>
    <row r="600" spans="34:46" x14ac:dyDescent="0.35">
      <c r="AH600" t="s">
        <v>204</v>
      </c>
      <c r="AI600" t="s">
        <v>180</v>
      </c>
      <c r="AJ600" s="3">
        <v>43629</v>
      </c>
      <c r="AK600" t="s">
        <v>41</v>
      </c>
      <c r="AL600" s="1">
        <v>13300</v>
      </c>
      <c r="AM600" t="s">
        <v>8</v>
      </c>
      <c r="AN600" t="s">
        <v>8</v>
      </c>
      <c r="AO600" t="s">
        <v>8</v>
      </c>
      <c r="AP600" s="1">
        <v>1.95</v>
      </c>
      <c r="AQ600" t="s">
        <v>8</v>
      </c>
      <c r="AR600" t="s">
        <v>8</v>
      </c>
      <c r="AS600" t="s">
        <v>8</v>
      </c>
      <c r="AT600">
        <v>11945.7</v>
      </c>
    </row>
    <row r="601" spans="34:46" x14ac:dyDescent="0.35">
      <c r="AH601" t="s">
        <v>204</v>
      </c>
      <c r="AI601" t="s">
        <v>180</v>
      </c>
      <c r="AJ601" s="3">
        <v>43671</v>
      </c>
      <c r="AK601" t="s">
        <v>41</v>
      </c>
      <c r="AL601" s="1">
        <v>12450</v>
      </c>
      <c r="AM601" t="s">
        <v>8</v>
      </c>
      <c r="AN601" t="s">
        <v>8</v>
      </c>
      <c r="AO601" t="s">
        <v>8</v>
      </c>
      <c r="AP601" s="1">
        <v>110.5</v>
      </c>
      <c r="AQ601" t="s">
        <v>8</v>
      </c>
      <c r="AR601" t="s">
        <v>8</v>
      </c>
      <c r="AS601" t="s">
        <v>8</v>
      </c>
      <c r="AT601">
        <v>11945.7</v>
      </c>
    </row>
    <row r="602" spans="34:46" x14ac:dyDescent="0.35">
      <c r="AH602" t="s">
        <v>204</v>
      </c>
      <c r="AI602" t="s">
        <v>180</v>
      </c>
      <c r="AJ602" s="3">
        <v>44007</v>
      </c>
      <c r="AK602" t="s">
        <v>42</v>
      </c>
      <c r="AL602" s="1">
        <v>6200</v>
      </c>
      <c r="AM602" t="s">
        <v>8</v>
      </c>
      <c r="AN602" t="s">
        <v>8</v>
      </c>
      <c r="AO602" t="s">
        <v>8</v>
      </c>
      <c r="AP602" s="1">
        <v>39.85</v>
      </c>
      <c r="AQ602" t="s">
        <v>8</v>
      </c>
      <c r="AR602" t="s">
        <v>8</v>
      </c>
      <c r="AS602" t="s">
        <v>8</v>
      </c>
      <c r="AT602">
        <v>11945.7</v>
      </c>
    </row>
    <row r="603" spans="34:46" x14ac:dyDescent="0.35">
      <c r="AH603" t="s">
        <v>204</v>
      </c>
      <c r="AI603" t="s">
        <v>180</v>
      </c>
      <c r="AJ603" s="3">
        <v>43671</v>
      </c>
      <c r="AK603" t="s">
        <v>41</v>
      </c>
      <c r="AL603" s="1">
        <v>9950</v>
      </c>
      <c r="AM603" t="s">
        <v>8</v>
      </c>
      <c r="AN603" t="s">
        <v>8</v>
      </c>
      <c r="AO603" t="s">
        <v>8</v>
      </c>
      <c r="AP603" s="1">
        <v>1562.65</v>
      </c>
      <c r="AQ603" t="s">
        <v>8</v>
      </c>
      <c r="AR603" t="s">
        <v>8</v>
      </c>
      <c r="AS603" t="s">
        <v>8</v>
      </c>
      <c r="AT603">
        <v>11945.7</v>
      </c>
    </row>
    <row r="604" spans="34:46" x14ac:dyDescent="0.35">
      <c r="AH604" t="s">
        <v>204</v>
      </c>
      <c r="AI604" t="s">
        <v>180</v>
      </c>
      <c r="AJ604" s="3">
        <v>43650</v>
      </c>
      <c r="AK604" t="s">
        <v>41</v>
      </c>
      <c r="AL604" s="1">
        <v>10650</v>
      </c>
      <c r="AM604" t="s">
        <v>8</v>
      </c>
      <c r="AN604" t="s">
        <v>8</v>
      </c>
      <c r="AO604" t="s">
        <v>8</v>
      </c>
      <c r="AP604" s="1">
        <v>1210.3499999999999</v>
      </c>
      <c r="AQ604" t="s">
        <v>8</v>
      </c>
      <c r="AR604" t="s">
        <v>8</v>
      </c>
      <c r="AS604" t="s">
        <v>8</v>
      </c>
      <c r="AT604">
        <v>11945.7</v>
      </c>
    </row>
    <row r="605" spans="34:46" x14ac:dyDescent="0.35">
      <c r="AH605" t="s">
        <v>204</v>
      </c>
      <c r="AI605" t="s">
        <v>180</v>
      </c>
      <c r="AJ605" s="3">
        <v>43825</v>
      </c>
      <c r="AK605" t="s">
        <v>42</v>
      </c>
      <c r="AL605" s="1">
        <v>10200</v>
      </c>
      <c r="AM605" t="s">
        <v>8</v>
      </c>
      <c r="AN605" t="s">
        <v>8</v>
      </c>
      <c r="AO605" t="s">
        <v>8</v>
      </c>
      <c r="AP605" s="1">
        <v>124</v>
      </c>
      <c r="AQ605" t="s">
        <v>8</v>
      </c>
      <c r="AR605" t="s">
        <v>8</v>
      </c>
      <c r="AS605" t="s">
        <v>8</v>
      </c>
      <c r="AT605">
        <v>11945.7</v>
      </c>
    </row>
    <row r="606" spans="34:46" x14ac:dyDescent="0.35">
      <c r="AH606" t="s">
        <v>204</v>
      </c>
      <c r="AI606" t="s">
        <v>180</v>
      </c>
      <c r="AJ606" s="3">
        <v>43671</v>
      </c>
      <c r="AK606" t="s">
        <v>41</v>
      </c>
      <c r="AL606" s="1">
        <v>12650</v>
      </c>
      <c r="AM606" t="s">
        <v>8</v>
      </c>
      <c r="AN606" t="s">
        <v>8</v>
      </c>
      <c r="AO606" t="s">
        <v>8</v>
      </c>
      <c r="AP606">
        <v>73.150000000000006</v>
      </c>
      <c r="AQ606" t="s">
        <v>8</v>
      </c>
      <c r="AR606" t="s">
        <v>8</v>
      </c>
      <c r="AS606" t="s">
        <v>8</v>
      </c>
      <c r="AT606">
        <v>11945.7</v>
      </c>
    </row>
    <row r="607" spans="34:46" x14ac:dyDescent="0.35">
      <c r="AH607" t="s">
        <v>204</v>
      </c>
      <c r="AI607" t="s">
        <v>180</v>
      </c>
      <c r="AJ607" s="3">
        <v>44924</v>
      </c>
      <c r="AK607" t="s">
        <v>42</v>
      </c>
      <c r="AL607" s="1">
        <v>8100</v>
      </c>
      <c r="AM607" t="s">
        <v>8</v>
      </c>
      <c r="AN607" t="s">
        <v>8</v>
      </c>
      <c r="AO607" t="s">
        <v>8</v>
      </c>
      <c r="AP607" s="1">
        <v>5.8</v>
      </c>
      <c r="AQ607" t="s">
        <v>8</v>
      </c>
      <c r="AR607" t="s">
        <v>8</v>
      </c>
      <c r="AS607" t="s">
        <v>8</v>
      </c>
      <c r="AT607">
        <v>11945.7</v>
      </c>
    </row>
    <row r="608" spans="34:46" x14ac:dyDescent="0.35">
      <c r="AH608" t="s">
        <v>204</v>
      </c>
      <c r="AI608" t="s">
        <v>180</v>
      </c>
      <c r="AJ608" s="3">
        <v>44560</v>
      </c>
      <c r="AK608" t="s">
        <v>42</v>
      </c>
      <c r="AL608" s="1">
        <v>11200</v>
      </c>
      <c r="AM608" t="s">
        <v>8</v>
      </c>
      <c r="AN608" t="s">
        <v>8</v>
      </c>
      <c r="AO608" t="s">
        <v>8</v>
      </c>
      <c r="AP608" s="1">
        <v>806.9</v>
      </c>
      <c r="AQ608" t="s">
        <v>8</v>
      </c>
      <c r="AR608" t="s">
        <v>8</v>
      </c>
      <c r="AS608" t="s">
        <v>8</v>
      </c>
      <c r="AT608">
        <v>11945.7</v>
      </c>
    </row>
    <row r="609" spans="34:46" x14ac:dyDescent="0.35">
      <c r="AH609" t="s">
        <v>204</v>
      </c>
      <c r="AI609" t="s">
        <v>180</v>
      </c>
      <c r="AJ609" s="3">
        <v>43650</v>
      </c>
      <c r="AK609" t="s">
        <v>41</v>
      </c>
      <c r="AL609" s="1">
        <v>10850</v>
      </c>
      <c r="AM609" t="s">
        <v>8</v>
      </c>
      <c r="AN609" t="s">
        <v>8</v>
      </c>
      <c r="AO609" t="s">
        <v>8</v>
      </c>
      <c r="AP609" s="1">
        <v>1020.25</v>
      </c>
      <c r="AQ609" t="s">
        <v>8</v>
      </c>
      <c r="AR609" t="s">
        <v>8</v>
      </c>
      <c r="AS609" t="s">
        <v>8</v>
      </c>
      <c r="AT609">
        <v>11945.7</v>
      </c>
    </row>
    <row r="610" spans="34:46" x14ac:dyDescent="0.35">
      <c r="AH610" t="s">
        <v>204</v>
      </c>
      <c r="AI610" t="s">
        <v>180</v>
      </c>
      <c r="AJ610" s="3">
        <v>44007</v>
      </c>
      <c r="AK610" t="s">
        <v>42</v>
      </c>
      <c r="AL610" s="1">
        <v>4900</v>
      </c>
      <c r="AM610" t="s">
        <v>8</v>
      </c>
      <c r="AN610" t="s">
        <v>8</v>
      </c>
      <c r="AO610" t="s">
        <v>8</v>
      </c>
      <c r="AP610" s="1">
        <v>29.3</v>
      </c>
      <c r="AQ610" t="s">
        <v>8</v>
      </c>
      <c r="AR610" t="s">
        <v>8</v>
      </c>
      <c r="AS610" t="s">
        <v>8</v>
      </c>
      <c r="AT610">
        <v>11945.7</v>
      </c>
    </row>
    <row r="611" spans="34:46" x14ac:dyDescent="0.35">
      <c r="AH611" t="s">
        <v>204</v>
      </c>
      <c r="AI611" t="s">
        <v>180</v>
      </c>
      <c r="AJ611" s="3">
        <v>44560</v>
      </c>
      <c r="AK611" t="s">
        <v>42</v>
      </c>
      <c r="AL611" s="1">
        <v>11400</v>
      </c>
      <c r="AM611" t="s">
        <v>8</v>
      </c>
      <c r="AN611" t="s">
        <v>8</v>
      </c>
      <c r="AO611" t="s">
        <v>8</v>
      </c>
      <c r="AP611" s="1">
        <v>735</v>
      </c>
      <c r="AQ611" t="s">
        <v>8</v>
      </c>
      <c r="AR611" t="s">
        <v>8</v>
      </c>
      <c r="AS611" t="s">
        <v>8</v>
      </c>
      <c r="AT611">
        <v>11945.7</v>
      </c>
    </row>
    <row r="612" spans="34:46" x14ac:dyDescent="0.35">
      <c r="AH612" t="s">
        <v>204</v>
      </c>
      <c r="AI612" t="s">
        <v>180</v>
      </c>
      <c r="AJ612" s="3">
        <v>43671</v>
      </c>
      <c r="AK612" t="s">
        <v>42</v>
      </c>
      <c r="AL612" s="1">
        <v>12900</v>
      </c>
      <c r="AM612" t="s">
        <v>8</v>
      </c>
      <c r="AN612" t="s">
        <v>8</v>
      </c>
      <c r="AO612" t="s">
        <v>8</v>
      </c>
      <c r="AP612" s="1">
        <v>1073.95</v>
      </c>
      <c r="AQ612" t="s">
        <v>8</v>
      </c>
      <c r="AR612" t="s">
        <v>8</v>
      </c>
      <c r="AS612" t="s">
        <v>8</v>
      </c>
      <c r="AT612">
        <v>11945.7</v>
      </c>
    </row>
    <row r="613" spans="34:46" x14ac:dyDescent="0.35">
      <c r="AH613" t="s">
        <v>204</v>
      </c>
      <c r="AI613" t="s">
        <v>180</v>
      </c>
      <c r="AJ613" s="3">
        <v>43825</v>
      </c>
      <c r="AK613" t="s">
        <v>41</v>
      </c>
      <c r="AL613" s="1">
        <v>12100</v>
      </c>
      <c r="AM613" t="s">
        <v>8</v>
      </c>
      <c r="AN613" t="s">
        <v>8</v>
      </c>
      <c r="AO613" t="s">
        <v>8</v>
      </c>
      <c r="AP613" s="1">
        <v>1160</v>
      </c>
      <c r="AQ613" t="s">
        <v>8</v>
      </c>
      <c r="AR613" t="s">
        <v>8</v>
      </c>
      <c r="AS613" t="s">
        <v>8</v>
      </c>
      <c r="AT613">
        <v>11945.7</v>
      </c>
    </row>
    <row r="614" spans="34:46" x14ac:dyDescent="0.35">
      <c r="AH614" t="s">
        <v>204</v>
      </c>
      <c r="AI614" t="s">
        <v>180</v>
      </c>
      <c r="AJ614" s="3">
        <v>43643</v>
      </c>
      <c r="AK614" t="s">
        <v>41</v>
      </c>
      <c r="AL614" s="1">
        <v>11250</v>
      </c>
      <c r="AM614" t="s">
        <v>8</v>
      </c>
      <c r="AN614" t="s">
        <v>8</v>
      </c>
      <c r="AO614" t="s">
        <v>8</v>
      </c>
      <c r="AP614" s="1">
        <v>724.95</v>
      </c>
      <c r="AQ614" t="s">
        <v>8</v>
      </c>
      <c r="AR614" t="s">
        <v>8</v>
      </c>
      <c r="AS614" t="s">
        <v>8</v>
      </c>
      <c r="AT614">
        <v>11945.7</v>
      </c>
    </row>
    <row r="615" spans="34:46" x14ac:dyDescent="0.35">
      <c r="AH615" t="s">
        <v>204</v>
      </c>
      <c r="AI615" t="s">
        <v>180</v>
      </c>
      <c r="AJ615" s="3">
        <v>45288</v>
      </c>
      <c r="AK615" t="s">
        <v>42</v>
      </c>
      <c r="AL615" s="1">
        <v>10000</v>
      </c>
      <c r="AM615" t="s">
        <v>8</v>
      </c>
      <c r="AN615" t="s">
        <v>8</v>
      </c>
      <c r="AO615" t="s">
        <v>8</v>
      </c>
      <c r="AP615">
        <v>230.15</v>
      </c>
      <c r="AQ615" t="s">
        <v>8</v>
      </c>
      <c r="AR615" t="s">
        <v>8</v>
      </c>
      <c r="AS615" t="s">
        <v>8</v>
      </c>
      <c r="AT615">
        <v>11945.7</v>
      </c>
    </row>
    <row r="616" spans="34:46" x14ac:dyDescent="0.35">
      <c r="AH616" t="s">
        <v>204</v>
      </c>
      <c r="AI616" t="s">
        <v>180</v>
      </c>
      <c r="AJ616" s="3">
        <v>43678</v>
      </c>
      <c r="AK616" t="s">
        <v>41</v>
      </c>
      <c r="AL616" s="1">
        <v>11500</v>
      </c>
      <c r="AM616" t="s">
        <v>8</v>
      </c>
      <c r="AN616" t="s">
        <v>8</v>
      </c>
      <c r="AO616" t="s">
        <v>8</v>
      </c>
      <c r="AP616" s="1">
        <v>599.5</v>
      </c>
      <c r="AQ616" t="s">
        <v>8</v>
      </c>
      <c r="AR616" t="s">
        <v>8</v>
      </c>
      <c r="AS616" t="s">
        <v>8</v>
      </c>
      <c r="AT616">
        <v>11945.7</v>
      </c>
    </row>
    <row r="617" spans="34:46" x14ac:dyDescent="0.35">
      <c r="AH617" t="s">
        <v>204</v>
      </c>
      <c r="AI617" t="s">
        <v>180</v>
      </c>
      <c r="AJ617" s="3">
        <v>43825</v>
      </c>
      <c r="AK617" t="s">
        <v>42</v>
      </c>
      <c r="AL617" s="1">
        <v>9700</v>
      </c>
      <c r="AM617" t="s">
        <v>8</v>
      </c>
      <c r="AN617" t="s">
        <v>8</v>
      </c>
      <c r="AO617" t="s">
        <v>8</v>
      </c>
      <c r="AP617" s="1">
        <v>100</v>
      </c>
      <c r="AQ617" t="s">
        <v>8</v>
      </c>
      <c r="AR617" t="s">
        <v>8</v>
      </c>
      <c r="AS617" t="s">
        <v>8</v>
      </c>
      <c r="AT617">
        <v>11945.7</v>
      </c>
    </row>
    <row r="618" spans="34:46" x14ac:dyDescent="0.35">
      <c r="AH618" t="s">
        <v>204</v>
      </c>
      <c r="AI618" t="s">
        <v>180</v>
      </c>
      <c r="AJ618" s="3">
        <v>43643</v>
      </c>
      <c r="AK618" t="s">
        <v>41</v>
      </c>
      <c r="AL618" s="1">
        <v>11450</v>
      </c>
      <c r="AM618" t="s">
        <v>8</v>
      </c>
      <c r="AN618" t="s">
        <v>8</v>
      </c>
      <c r="AO618" t="s">
        <v>8</v>
      </c>
      <c r="AP618">
        <v>540</v>
      </c>
      <c r="AQ618" t="s">
        <v>8</v>
      </c>
      <c r="AR618" t="s">
        <v>8</v>
      </c>
      <c r="AS618" t="s">
        <v>8</v>
      </c>
      <c r="AT618">
        <v>11945.7</v>
      </c>
    </row>
    <row r="619" spans="34:46" x14ac:dyDescent="0.35">
      <c r="AH619" t="s">
        <v>204</v>
      </c>
      <c r="AI619" t="s">
        <v>180</v>
      </c>
      <c r="AJ619" s="3">
        <v>43678</v>
      </c>
      <c r="AK619" t="s">
        <v>41</v>
      </c>
      <c r="AL619" s="1">
        <v>11700</v>
      </c>
      <c r="AM619" t="s">
        <v>8</v>
      </c>
      <c r="AN619" t="s">
        <v>8</v>
      </c>
      <c r="AO619" t="s">
        <v>8</v>
      </c>
      <c r="AP619" s="1">
        <v>488.85</v>
      </c>
      <c r="AQ619" t="s">
        <v>8</v>
      </c>
      <c r="AR619" t="s">
        <v>8</v>
      </c>
      <c r="AS619" t="s">
        <v>8</v>
      </c>
      <c r="AT619">
        <v>11945.7</v>
      </c>
    </row>
    <row r="620" spans="34:46" x14ac:dyDescent="0.35">
      <c r="AH620" t="s">
        <v>204</v>
      </c>
      <c r="AI620" t="s">
        <v>180</v>
      </c>
      <c r="AJ620" s="3">
        <v>43825</v>
      </c>
      <c r="AK620" t="s">
        <v>42</v>
      </c>
      <c r="AL620" s="1">
        <v>9900</v>
      </c>
      <c r="AM620" t="s">
        <v>8</v>
      </c>
      <c r="AN620" t="s">
        <v>8</v>
      </c>
      <c r="AO620" t="s">
        <v>8</v>
      </c>
      <c r="AP620" s="1">
        <v>48.25</v>
      </c>
      <c r="AQ620" t="s">
        <v>8</v>
      </c>
      <c r="AR620" t="s">
        <v>8</v>
      </c>
      <c r="AS620" t="s">
        <v>8</v>
      </c>
      <c r="AT620">
        <v>11945.7</v>
      </c>
    </row>
    <row r="621" spans="34:46" x14ac:dyDescent="0.35">
      <c r="AH621" t="s">
        <v>204</v>
      </c>
      <c r="AI621" t="s">
        <v>180</v>
      </c>
      <c r="AJ621" s="3">
        <v>43678</v>
      </c>
      <c r="AK621" t="s">
        <v>41</v>
      </c>
      <c r="AL621" s="1">
        <v>11900</v>
      </c>
      <c r="AM621" t="s">
        <v>8</v>
      </c>
      <c r="AN621" t="s">
        <v>8</v>
      </c>
      <c r="AO621" t="s">
        <v>8</v>
      </c>
      <c r="AP621" s="1">
        <v>392.6</v>
      </c>
      <c r="AQ621" t="s">
        <v>8</v>
      </c>
      <c r="AR621" t="s">
        <v>8</v>
      </c>
      <c r="AS621" t="s">
        <v>8</v>
      </c>
      <c r="AT621">
        <v>11945.7</v>
      </c>
    </row>
    <row r="622" spans="34:46" x14ac:dyDescent="0.35">
      <c r="AH622" t="s">
        <v>204</v>
      </c>
      <c r="AI622" t="s">
        <v>180</v>
      </c>
      <c r="AJ622" s="3">
        <v>44196</v>
      </c>
      <c r="AK622" t="s">
        <v>42</v>
      </c>
      <c r="AL622" s="1">
        <v>7500</v>
      </c>
      <c r="AM622" t="s">
        <v>8</v>
      </c>
      <c r="AN622" t="s">
        <v>8</v>
      </c>
      <c r="AO622" t="s">
        <v>8</v>
      </c>
      <c r="AP622" s="1">
        <v>69.25</v>
      </c>
      <c r="AQ622" t="s">
        <v>8</v>
      </c>
      <c r="AR622" t="s">
        <v>8</v>
      </c>
      <c r="AS622" t="s">
        <v>8</v>
      </c>
      <c r="AT622">
        <v>11945.7</v>
      </c>
    </row>
    <row r="623" spans="34:46" x14ac:dyDescent="0.35">
      <c r="AH623" t="s">
        <v>204</v>
      </c>
      <c r="AI623" t="s">
        <v>180</v>
      </c>
      <c r="AJ623" s="3">
        <v>43615</v>
      </c>
      <c r="AK623" t="s">
        <v>41</v>
      </c>
      <c r="AL623" s="1">
        <v>10550</v>
      </c>
      <c r="AM623" t="s">
        <v>8</v>
      </c>
      <c r="AN623" t="s">
        <v>8</v>
      </c>
      <c r="AO623" t="s">
        <v>8</v>
      </c>
      <c r="AP623" s="1">
        <v>1339</v>
      </c>
      <c r="AQ623" t="s">
        <v>8</v>
      </c>
      <c r="AR623" t="s">
        <v>8</v>
      </c>
      <c r="AS623" t="s">
        <v>8</v>
      </c>
      <c r="AT623">
        <v>11945.7</v>
      </c>
    </row>
    <row r="624" spans="34:46" x14ac:dyDescent="0.35">
      <c r="AH624" t="s">
        <v>204</v>
      </c>
      <c r="AI624" t="s">
        <v>180</v>
      </c>
      <c r="AJ624" s="3">
        <v>44196</v>
      </c>
      <c r="AK624" t="s">
        <v>42</v>
      </c>
      <c r="AL624" s="1">
        <v>7700</v>
      </c>
      <c r="AM624" t="s">
        <v>8</v>
      </c>
      <c r="AN624" t="s">
        <v>8</v>
      </c>
      <c r="AO624" t="s">
        <v>8</v>
      </c>
      <c r="AP624">
        <v>87</v>
      </c>
      <c r="AQ624" t="s">
        <v>8</v>
      </c>
      <c r="AR624" t="s">
        <v>8</v>
      </c>
      <c r="AS624" t="s">
        <v>8</v>
      </c>
      <c r="AT624">
        <v>11945.7</v>
      </c>
    </row>
    <row r="625" spans="34:46" x14ac:dyDescent="0.35">
      <c r="AH625" t="s">
        <v>204</v>
      </c>
      <c r="AI625" t="s">
        <v>180</v>
      </c>
      <c r="AJ625" s="3">
        <v>43615</v>
      </c>
      <c r="AK625" t="s">
        <v>41</v>
      </c>
      <c r="AL625" s="1">
        <v>10750</v>
      </c>
      <c r="AM625" t="s">
        <v>8</v>
      </c>
      <c r="AN625" t="s">
        <v>8</v>
      </c>
      <c r="AO625" t="s">
        <v>8</v>
      </c>
      <c r="AP625" s="1">
        <v>1159.6500000000001</v>
      </c>
      <c r="AQ625" t="s">
        <v>8</v>
      </c>
      <c r="AR625" t="s">
        <v>8</v>
      </c>
      <c r="AS625" t="s">
        <v>8</v>
      </c>
      <c r="AT625">
        <v>11945.7</v>
      </c>
    </row>
    <row r="626" spans="34:46" x14ac:dyDescent="0.35">
      <c r="AH626" t="s">
        <v>204</v>
      </c>
      <c r="AI626" t="s">
        <v>180</v>
      </c>
      <c r="AJ626" s="3">
        <v>43643</v>
      </c>
      <c r="AK626" t="s">
        <v>41</v>
      </c>
      <c r="AL626" s="1">
        <v>7000</v>
      </c>
      <c r="AM626" t="s">
        <v>8</v>
      </c>
      <c r="AN626" t="s">
        <v>8</v>
      </c>
      <c r="AO626" t="s">
        <v>8</v>
      </c>
      <c r="AP626" s="1">
        <v>4840</v>
      </c>
      <c r="AQ626" t="s">
        <v>8</v>
      </c>
      <c r="AR626" t="s">
        <v>8</v>
      </c>
      <c r="AS626" t="s">
        <v>8</v>
      </c>
      <c r="AT626">
        <v>11945.7</v>
      </c>
    </row>
    <row r="627" spans="34:46" x14ac:dyDescent="0.35">
      <c r="AH627" t="s">
        <v>204</v>
      </c>
      <c r="AI627" t="s">
        <v>180</v>
      </c>
      <c r="AJ627" s="3">
        <v>43636</v>
      </c>
      <c r="AK627" t="s">
        <v>42</v>
      </c>
      <c r="AL627" s="1">
        <v>12000</v>
      </c>
      <c r="AM627" t="s">
        <v>8</v>
      </c>
      <c r="AN627" t="s">
        <v>8</v>
      </c>
      <c r="AO627" t="s">
        <v>8</v>
      </c>
      <c r="AP627" s="1">
        <v>281.3</v>
      </c>
      <c r="AQ627" t="s">
        <v>8</v>
      </c>
      <c r="AR627" t="s">
        <v>8</v>
      </c>
      <c r="AS627" t="s">
        <v>8</v>
      </c>
      <c r="AT627">
        <v>11945.7</v>
      </c>
    </row>
    <row r="628" spans="34:46" x14ac:dyDescent="0.35">
      <c r="AH628" t="s">
        <v>204</v>
      </c>
      <c r="AI628" t="s">
        <v>180</v>
      </c>
      <c r="AJ628" s="3">
        <v>43622</v>
      </c>
      <c r="AK628" t="s">
        <v>41</v>
      </c>
      <c r="AL628" s="1">
        <v>9800</v>
      </c>
      <c r="AM628" t="s">
        <v>8</v>
      </c>
      <c r="AN628" t="s">
        <v>8</v>
      </c>
      <c r="AO628" t="s">
        <v>8</v>
      </c>
      <c r="AP628" s="1">
        <v>1552.5</v>
      </c>
      <c r="AQ628" t="s">
        <v>8</v>
      </c>
      <c r="AR628" t="s">
        <v>8</v>
      </c>
      <c r="AS628" t="s">
        <v>8</v>
      </c>
      <c r="AT628">
        <v>11945.7</v>
      </c>
    </row>
    <row r="629" spans="34:46" x14ac:dyDescent="0.35">
      <c r="AH629" t="s">
        <v>204</v>
      </c>
      <c r="AI629" t="s">
        <v>180</v>
      </c>
      <c r="AJ629" s="3">
        <v>44196</v>
      </c>
      <c r="AK629" t="s">
        <v>42</v>
      </c>
      <c r="AL629" s="1">
        <v>7900</v>
      </c>
      <c r="AM629" t="s">
        <v>8</v>
      </c>
      <c r="AN629" t="s">
        <v>8</v>
      </c>
      <c r="AO629" t="s">
        <v>8</v>
      </c>
      <c r="AP629" s="1">
        <v>95</v>
      </c>
      <c r="AQ629" t="s">
        <v>8</v>
      </c>
      <c r="AR629" t="s">
        <v>8</v>
      </c>
      <c r="AS629" t="s">
        <v>8</v>
      </c>
      <c r="AT629">
        <v>11945.7</v>
      </c>
    </row>
    <row r="630" spans="34:46" x14ac:dyDescent="0.35">
      <c r="AH630" t="s">
        <v>204</v>
      </c>
      <c r="AI630" t="s">
        <v>180</v>
      </c>
      <c r="AJ630" s="3">
        <v>43636</v>
      </c>
      <c r="AK630" t="s">
        <v>41</v>
      </c>
      <c r="AL630" s="1">
        <v>10850</v>
      </c>
      <c r="AM630" t="s">
        <v>8</v>
      </c>
      <c r="AN630" t="s">
        <v>8</v>
      </c>
      <c r="AO630" t="s">
        <v>8</v>
      </c>
      <c r="AP630" s="1">
        <v>1032.05</v>
      </c>
      <c r="AQ630" t="s">
        <v>8</v>
      </c>
      <c r="AR630" t="s">
        <v>8</v>
      </c>
      <c r="AS630" t="s">
        <v>8</v>
      </c>
      <c r="AT630">
        <v>11945.7</v>
      </c>
    </row>
    <row r="631" spans="34:46" x14ac:dyDescent="0.35">
      <c r="AH631" t="s">
        <v>204</v>
      </c>
      <c r="AI631" t="s">
        <v>180</v>
      </c>
      <c r="AJ631" s="3">
        <v>43636</v>
      </c>
      <c r="AK631" t="s">
        <v>42</v>
      </c>
      <c r="AL631" s="1">
        <v>12200</v>
      </c>
      <c r="AM631" t="s">
        <v>8</v>
      </c>
      <c r="AN631" t="s">
        <v>8</v>
      </c>
      <c r="AO631" t="s">
        <v>8</v>
      </c>
      <c r="AP631" s="1">
        <v>410.55</v>
      </c>
      <c r="AQ631" t="s">
        <v>8</v>
      </c>
      <c r="AR631" t="s">
        <v>8</v>
      </c>
      <c r="AS631" t="s">
        <v>8</v>
      </c>
      <c r="AT631">
        <v>11945.7</v>
      </c>
    </row>
    <row r="632" spans="34:46" x14ac:dyDescent="0.35">
      <c r="AH632" t="s">
        <v>204</v>
      </c>
      <c r="AI632" t="s">
        <v>180</v>
      </c>
      <c r="AJ632" s="3">
        <v>43643</v>
      </c>
      <c r="AK632" t="s">
        <v>41</v>
      </c>
      <c r="AL632" s="1">
        <v>5700</v>
      </c>
      <c r="AM632" t="s">
        <v>8</v>
      </c>
      <c r="AN632" t="s">
        <v>8</v>
      </c>
      <c r="AO632" t="s">
        <v>8</v>
      </c>
      <c r="AP632" s="1">
        <v>3843.2</v>
      </c>
      <c r="AQ632" t="s">
        <v>8</v>
      </c>
      <c r="AR632" t="s">
        <v>8</v>
      </c>
      <c r="AS632" t="s">
        <v>8</v>
      </c>
      <c r="AT632">
        <v>11945.7</v>
      </c>
    </row>
    <row r="633" spans="34:46" x14ac:dyDescent="0.35">
      <c r="AH633" t="s">
        <v>204</v>
      </c>
      <c r="AI633" t="s">
        <v>180</v>
      </c>
      <c r="AJ633" s="3">
        <v>43622</v>
      </c>
      <c r="AK633" t="s">
        <v>41</v>
      </c>
      <c r="AL633" s="1">
        <v>13100</v>
      </c>
      <c r="AM633" t="s">
        <v>8</v>
      </c>
      <c r="AN633" t="s">
        <v>8</v>
      </c>
      <c r="AO633" t="s">
        <v>8</v>
      </c>
      <c r="AP633" s="1">
        <v>4.1500000000000004</v>
      </c>
      <c r="AQ633" t="s">
        <v>8</v>
      </c>
      <c r="AR633" t="s">
        <v>8</v>
      </c>
      <c r="AS633" t="s">
        <v>8</v>
      </c>
      <c r="AT633">
        <v>11945.7</v>
      </c>
    </row>
    <row r="634" spans="34:46" x14ac:dyDescent="0.35">
      <c r="AH634" t="s">
        <v>204</v>
      </c>
      <c r="AI634" t="s">
        <v>180</v>
      </c>
      <c r="AJ634" s="3">
        <v>43643</v>
      </c>
      <c r="AK634" t="s">
        <v>41</v>
      </c>
      <c r="AL634" s="1">
        <v>5900</v>
      </c>
      <c r="AM634" t="s">
        <v>8</v>
      </c>
      <c r="AN634" t="s">
        <v>8</v>
      </c>
      <c r="AO634" t="s">
        <v>8</v>
      </c>
      <c r="AP634" s="1">
        <v>3720.15</v>
      </c>
      <c r="AQ634" t="s">
        <v>8</v>
      </c>
      <c r="AR634" t="s">
        <v>8</v>
      </c>
      <c r="AS634" t="s">
        <v>8</v>
      </c>
      <c r="AT634">
        <v>11945.7</v>
      </c>
    </row>
    <row r="635" spans="34:46" x14ac:dyDescent="0.35">
      <c r="AH635" t="s">
        <v>204</v>
      </c>
      <c r="AI635" t="s">
        <v>180</v>
      </c>
      <c r="AJ635" s="3">
        <v>43636</v>
      </c>
      <c r="AK635" t="s">
        <v>42</v>
      </c>
      <c r="AL635" s="1">
        <v>10900</v>
      </c>
      <c r="AM635" t="s">
        <v>8</v>
      </c>
      <c r="AN635" t="s">
        <v>8</v>
      </c>
      <c r="AO635" t="s">
        <v>8</v>
      </c>
      <c r="AP635" s="1">
        <v>6.85</v>
      </c>
      <c r="AQ635" t="s">
        <v>8</v>
      </c>
      <c r="AR635" t="s">
        <v>8</v>
      </c>
      <c r="AS635" t="s">
        <v>8</v>
      </c>
      <c r="AT635">
        <v>11945.7</v>
      </c>
    </row>
    <row r="636" spans="34:46" x14ac:dyDescent="0.35">
      <c r="AH636" t="s">
        <v>204</v>
      </c>
      <c r="AI636" t="s">
        <v>180</v>
      </c>
      <c r="AJ636" s="3">
        <v>43643</v>
      </c>
      <c r="AK636" t="s">
        <v>41</v>
      </c>
      <c r="AL636" s="1">
        <v>13600</v>
      </c>
      <c r="AM636" t="s">
        <v>8</v>
      </c>
      <c r="AN636" t="s">
        <v>8</v>
      </c>
      <c r="AO636" t="s">
        <v>8</v>
      </c>
      <c r="AP636" s="1">
        <v>13</v>
      </c>
      <c r="AQ636" t="s">
        <v>8</v>
      </c>
      <c r="AR636" t="s">
        <v>8</v>
      </c>
      <c r="AS636" t="s">
        <v>8</v>
      </c>
      <c r="AT636">
        <v>11945.7</v>
      </c>
    </row>
    <row r="637" spans="34:46" x14ac:dyDescent="0.35">
      <c r="AH637" t="s">
        <v>204</v>
      </c>
      <c r="AI637" t="s">
        <v>180</v>
      </c>
      <c r="AJ637" s="3">
        <v>44007</v>
      </c>
      <c r="AK637" t="s">
        <v>42</v>
      </c>
      <c r="AL637" s="1">
        <v>10300</v>
      </c>
      <c r="AM637" t="s">
        <v>8</v>
      </c>
      <c r="AN637" t="s">
        <v>8</v>
      </c>
      <c r="AO637" t="s">
        <v>8</v>
      </c>
      <c r="AP637" s="1" t="s">
        <v>8</v>
      </c>
      <c r="AQ637" t="s">
        <v>8</v>
      </c>
      <c r="AR637" t="s">
        <v>8</v>
      </c>
      <c r="AS637" t="s">
        <v>8</v>
      </c>
      <c r="AT637">
        <v>11945.7</v>
      </c>
    </row>
    <row r="638" spans="34:46" x14ac:dyDescent="0.35">
      <c r="AH638" t="s">
        <v>204</v>
      </c>
      <c r="AI638" t="s">
        <v>180</v>
      </c>
      <c r="AJ638" s="3">
        <v>44007</v>
      </c>
      <c r="AK638" t="s">
        <v>42</v>
      </c>
      <c r="AL638" s="1">
        <v>10500</v>
      </c>
      <c r="AM638" t="s">
        <v>8</v>
      </c>
      <c r="AN638" t="s">
        <v>8</v>
      </c>
      <c r="AO638" t="s">
        <v>8</v>
      </c>
      <c r="AP638" t="s">
        <v>8</v>
      </c>
      <c r="AQ638" t="s">
        <v>8</v>
      </c>
      <c r="AR638" t="s">
        <v>8</v>
      </c>
      <c r="AS638" t="s">
        <v>8</v>
      </c>
      <c r="AT638">
        <v>11945.7</v>
      </c>
    </row>
    <row r="639" spans="34:46" x14ac:dyDescent="0.35">
      <c r="AH639" t="s">
        <v>204</v>
      </c>
      <c r="AI639" t="s">
        <v>180</v>
      </c>
      <c r="AJ639" s="3">
        <v>45106</v>
      </c>
      <c r="AK639" t="s">
        <v>42</v>
      </c>
      <c r="AL639" s="1">
        <v>11500</v>
      </c>
      <c r="AM639" t="s">
        <v>8</v>
      </c>
      <c r="AN639" t="s">
        <v>8</v>
      </c>
      <c r="AO639" t="s">
        <v>8</v>
      </c>
      <c r="AP639">
        <v>152.35</v>
      </c>
      <c r="AQ639" t="s">
        <v>8</v>
      </c>
      <c r="AR639" t="s">
        <v>8</v>
      </c>
      <c r="AS639" t="s">
        <v>8</v>
      </c>
      <c r="AT639">
        <v>11945.7</v>
      </c>
    </row>
    <row r="640" spans="34:46" x14ac:dyDescent="0.35">
      <c r="AH640" t="s">
        <v>204</v>
      </c>
      <c r="AI640" t="s">
        <v>180</v>
      </c>
      <c r="AJ640" s="3">
        <v>44007</v>
      </c>
      <c r="AK640" t="s">
        <v>42</v>
      </c>
      <c r="AL640" s="1">
        <v>10700</v>
      </c>
      <c r="AM640" t="s">
        <v>8</v>
      </c>
      <c r="AN640" t="s">
        <v>8</v>
      </c>
      <c r="AO640" t="s">
        <v>8</v>
      </c>
      <c r="AP640" s="1" t="s">
        <v>8</v>
      </c>
      <c r="AQ640" t="s">
        <v>8</v>
      </c>
      <c r="AR640" t="s">
        <v>8</v>
      </c>
      <c r="AS640" t="s">
        <v>8</v>
      </c>
      <c r="AT640">
        <v>11945.7</v>
      </c>
    </row>
    <row r="641" spans="34:46" x14ac:dyDescent="0.35">
      <c r="AH641" t="s">
        <v>204</v>
      </c>
      <c r="AI641" t="s">
        <v>180</v>
      </c>
      <c r="AJ641" s="3">
        <v>43664</v>
      </c>
      <c r="AK641" t="s">
        <v>42</v>
      </c>
      <c r="AL641" s="1">
        <v>12500</v>
      </c>
      <c r="AM641" t="s">
        <v>8</v>
      </c>
      <c r="AN641" t="s">
        <v>8</v>
      </c>
      <c r="AO641" t="s">
        <v>8</v>
      </c>
      <c r="AP641" s="1">
        <v>1107.25</v>
      </c>
      <c r="AQ641" t="s">
        <v>8</v>
      </c>
      <c r="AR641" t="s">
        <v>8</v>
      </c>
      <c r="AS641" t="s">
        <v>8</v>
      </c>
      <c r="AT641">
        <v>11945.7</v>
      </c>
    </row>
    <row r="642" spans="34:46" x14ac:dyDescent="0.35">
      <c r="AH642" t="s">
        <v>204</v>
      </c>
      <c r="AI642" t="s">
        <v>180</v>
      </c>
      <c r="AJ642" s="3">
        <v>43825</v>
      </c>
      <c r="AK642" t="s">
        <v>42</v>
      </c>
      <c r="AL642" s="1">
        <v>4700</v>
      </c>
      <c r="AM642" t="s">
        <v>8</v>
      </c>
      <c r="AN642" t="s">
        <v>8</v>
      </c>
      <c r="AO642" t="s">
        <v>8</v>
      </c>
      <c r="AP642" s="1">
        <v>87.15</v>
      </c>
      <c r="AQ642" t="s">
        <v>8</v>
      </c>
      <c r="AR642" t="s">
        <v>8</v>
      </c>
      <c r="AS642" t="s">
        <v>8</v>
      </c>
      <c r="AT642">
        <v>11945.7</v>
      </c>
    </row>
    <row r="643" spans="34:46" x14ac:dyDescent="0.35">
      <c r="AH643" t="s">
        <v>204</v>
      </c>
      <c r="AI643" t="s">
        <v>180</v>
      </c>
      <c r="AJ643" s="3">
        <v>43825</v>
      </c>
      <c r="AK643" t="s">
        <v>42</v>
      </c>
      <c r="AL643" s="1">
        <v>4900</v>
      </c>
      <c r="AM643" t="s">
        <v>8</v>
      </c>
      <c r="AN643" t="s">
        <v>8</v>
      </c>
      <c r="AO643" t="s">
        <v>8</v>
      </c>
      <c r="AP643" s="1">
        <v>27.3</v>
      </c>
      <c r="AQ643" t="s">
        <v>8</v>
      </c>
      <c r="AR643" t="s">
        <v>8</v>
      </c>
      <c r="AS643" t="s">
        <v>8</v>
      </c>
      <c r="AT643">
        <v>11945.7</v>
      </c>
    </row>
    <row r="644" spans="34:46" x14ac:dyDescent="0.35">
      <c r="AH644" t="s">
        <v>204</v>
      </c>
      <c r="AI644" t="s">
        <v>180</v>
      </c>
      <c r="AJ644" s="3">
        <v>43657</v>
      </c>
      <c r="AK644" t="s">
        <v>42</v>
      </c>
      <c r="AL644" s="1">
        <v>13000</v>
      </c>
      <c r="AM644" t="s">
        <v>8</v>
      </c>
      <c r="AN644" t="s">
        <v>8</v>
      </c>
      <c r="AO644" t="s">
        <v>8</v>
      </c>
      <c r="AP644" s="1">
        <v>1128.0999999999999</v>
      </c>
      <c r="AQ644" t="s">
        <v>8</v>
      </c>
      <c r="AR644" t="s">
        <v>8</v>
      </c>
      <c r="AS644" t="s">
        <v>8</v>
      </c>
      <c r="AT644">
        <v>11945.7</v>
      </c>
    </row>
    <row r="645" spans="34:46" x14ac:dyDescent="0.35">
      <c r="AH645" t="s">
        <v>204</v>
      </c>
      <c r="AI645" t="s">
        <v>180</v>
      </c>
      <c r="AJ645" s="3">
        <v>43636</v>
      </c>
      <c r="AK645" t="s">
        <v>41</v>
      </c>
      <c r="AL645" s="1">
        <v>12800</v>
      </c>
      <c r="AM645" t="s">
        <v>8</v>
      </c>
      <c r="AN645" t="s">
        <v>8</v>
      </c>
      <c r="AO645" t="s">
        <v>8</v>
      </c>
      <c r="AP645" s="1">
        <v>14.5</v>
      </c>
      <c r="AQ645" t="s">
        <v>8</v>
      </c>
      <c r="AR645" t="s">
        <v>8</v>
      </c>
      <c r="AS645" t="s">
        <v>8</v>
      </c>
      <c r="AT645">
        <v>11945.7</v>
      </c>
    </row>
    <row r="646" spans="34:46" x14ac:dyDescent="0.35">
      <c r="AH646" t="s">
        <v>204</v>
      </c>
      <c r="AI646" t="s">
        <v>180</v>
      </c>
      <c r="AJ646" s="3">
        <v>44371</v>
      </c>
      <c r="AK646" t="s">
        <v>42</v>
      </c>
      <c r="AL646" s="1">
        <v>6300</v>
      </c>
      <c r="AM646" t="s">
        <v>8</v>
      </c>
      <c r="AN646" t="s">
        <v>8</v>
      </c>
      <c r="AO646" t="s">
        <v>8</v>
      </c>
      <c r="AP646" s="1">
        <v>43.55</v>
      </c>
      <c r="AQ646" t="s">
        <v>8</v>
      </c>
      <c r="AR646" t="s">
        <v>8</v>
      </c>
      <c r="AS646" t="s">
        <v>8</v>
      </c>
      <c r="AT646">
        <v>11945.7</v>
      </c>
    </row>
    <row r="647" spans="34:46" x14ac:dyDescent="0.35">
      <c r="AH647" t="s">
        <v>204</v>
      </c>
      <c r="AI647" t="s">
        <v>180</v>
      </c>
      <c r="AJ647" s="3">
        <v>44371</v>
      </c>
      <c r="AK647" t="s">
        <v>42</v>
      </c>
      <c r="AL647" s="1">
        <v>6500</v>
      </c>
      <c r="AM647" t="s">
        <v>8</v>
      </c>
      <c r="AN647" t="s">
        <v>8</v>
      </c>
      <c r="AO647" t="s">
        <v>8</v>
      </c>
      <c r="AP647" s="1">
        <v>53.95</v>
      </c>
      <c r="AQ647" t="s">
        <v>8</v>
      </c>
      <c r="AR647" t="s">
        <v>8</v>
      </c>
      <c r="AS647" t="s">
        <v>8</v>
      </c>
      <c r="AT647">
        <v>11945.7</v>
      </c>
    </row>
    <row r="648" spans="34:46" x14ac:dyDescent="0.35">
      <c r="AH648" t="s">
        <v>204</v>
      </c>
      <c r="AI648" t="s">
        <v>180</v>
      </c>
      <c r="AJ648" s="3">
        <v>45288</v>
      </c>
      <c r="AK648" t="s">
        <v>42</v>
      </c>
      <c r="AL648" s="1">
        <v>8200</v>
      </c>
      <c r="AM648" t="s">
        <v>8</v>
      </c>
      <c r="AN648" t="s">
        <v>8</v>
      </c>
      <c r="AO648" t="s">
        <v>8</v>
      </c>
      <c r="AP648" s="1">
        <v>14.3</v>
      </c>
      <c r="AQ648" t="s">
        <v>8</v>
      </c>
      <c r="AR648" t="s">
        <v>8</v>
      </c>
      <c r="AS648" t="s">
        <v>8</v>
      </c>
      <c r="AT648">
        <v>11945.7</v>
      </c>
    </row>
    <row r="649" spans="34:46" x14ac:dyDescent="0.35">
      <c r="AH649" t="s">
        <v>204</v>
      </c>
      <c r="AI649" t="s">
        <v>180</v>
      </c>
      <c r="AJ649" s="3">
        <v>43657</v>
      </c>
      <c r="AK649" t="s">
        <v>42</v>
      </c>
      <c r="AL649" s="1">
        <v>11700</v>
      </c>
      <c r="AM649" t="s">
        <v>8</v>
      </c>
      <c r="AN649" t="s">
        <v>8</v>
      </c>
      <c r="AO649" t="s">
        <v>8</v>
      </c>
      <c r="AP649" s="1">
        <v>411.1</v>
      </c>
      <c r="AQ649" t="s">
        <v>8</v>
      </c>
      <c r="AR649" t="s">
        <v>8</v>
      </c>
      <c r="AS649" t="s">
        <v>8</v>
      </c>
      <c r="AT649">
        <v>11945.7</v>
      </c>
    </row>
    <row r="650" spans="34:46" x14ac:dyDescent="0.35">
      <c r="AH650" t="s">
        <v>204</v>
      </c>
      <c r="AI650" t="s">
        <v>180</v>
      </c>
      <c r="AJ650" s="3">
        <v>45288</v>
      </c>
      <c r="AK650" t="s">
        <v>42</v>
      </c>
      <c r="AL650" s="1">
        <v>8400</v>
      </c>
      <c r="AM650" t="s">
        <v>8</v>
      </c>
      <c r="AN650" t="s">
        <v>8</v>
      </c>
      <c r="AO650" t="s">
        <v>8</v>
      </c>
      <c r="AP650" s="1">
        <v>83.3</v>
      </c>
      <c r="AQ650" t="s">
        <v>8</v>
      </c>
      <c r="AR650" t="s">
        <v>8</v>
      </c>
      <c r="AS650" t="s">
        <v>8</v>
      </c>
      <c r="AT650">
        <v>11945.7</v>
      </c>
    </row>
    <row r="651" spans="34:46" x14ac:dyDescent="0.35">
      <c r="AH651" t="s">
        <v>204</v>
      </c>
      <c r="AI651" t="s">
        <v>180</v>
      </c>
      <c r="AJ651" s="3">
        <v>44371</v>
      </c>
      <c r="AK651" t="s">
        <v>42</v>
      </c>
      <c r="AL651" s="1">
        <v>6700</v>
      </c>
      <c r="AM651" t="s">
        <v>8</v>
      </c>
      <c r="AN651" t="s">
        <v>8</v>
      </c>
      <c r="AO651" t="s">
        <v>8</v>
      </c>
      <c r="AP651" s="1">
        <v>66.05</v>
      </c>
      <c r="AQ651" t="s">
        <v>8</v>
      </c>
      <c r="AR651" t="s">
        <v>8</v>
      </c>
      <c r="AS651" t="s">
        <v>8</v>
      </c>
      <c r="AT651">
        <v>11945.7</v>
      </c>
    </row>
    <row r="652" spans="34:46" x14ac:dyDescent="0.35">
      <c r="AH652" t="s">
        <v>204</v>
      </c>
      <c r="AI652" t="s">
        <v>180</v>
      </c>
      <c r="AJ652" s="3">
        <v>43657</v>
      </c>
      <c r="AK652" t="s">
        <v>42</v>
      </c>
      <c r="AL652" s="1">
        <v>11900</v>
      </c>
      <c r="AM652" t="s">
        <v>8</v>
      </c>
      <c r="AN652" t="s">
        <v>8</v>
      </c>
      <c r="AO652" t="s">
        <v>8</v>
      </c>
      <c r="AP652">
        <v>552.29999999999995</v>
      </c>
      <c r="AQ652" t="s">
        <v>8</v>
      </c>
      <c r="AR652" t="s">
        <v>8</v>
      </c>
      <c r="AS652" t="s">
        <v>8</v>
      </c>
      <c r="AT652">
        <v>11945.7</v>
      </c>
    </row>
    <row r="653" spans="34:46" x14ac:dyDescent="0.35">
      <c r="AH653" t="s">
        <v>204</v>
      </c>
      <c r="AI653" t="s">
        <v>180</v>
      </c>
      <c r="AJ653" s="3">
        <v>44924</v>
      </c>
      <c r="AK653" t="s">
        <v>42</v>
      </c>
      <c r="AL653" s="1">
        <v>12500</v>
      </c>
      <c r="AM653" t="s">
        <v>8</v>
      </c>
      <c r="AN653" t="s">
        <v>8</v>
      </c>
      <c r="AO653" t="s">
        <v>8</v>
      </c>
      <c r="AP653" s="1">
        <v>401.5</v>
      </c>
      <c r="AQ653" t="s">
        <v>8</v>
      </c>
      <c r="AR653" t="s">
        <v>8</v>
      </c>
      <c r="AS653" t="s">
        <v>8</v>
      </c>
      <c r="AT653">
        <v>11945.7</v>
      </c>
    </row>
    <row r="654" spans="34:46" x14ac:dyDescent="0.35">
      <c r="AH654" t="s">
        <v>204</v>
      </c>
      <c r="AI654" t="s">
        <v>180</v>
      </c>
      <c r="AJ654" s="3">
        <v>45106</v>
      </c>
      <c r="AK654" t="s">
        <v>42</v>
      </c>
      <c r="AL654" s="1">
        <v>8500</v>
      </c>
      <c r="AM654" t="s">
        <v>8</v>
      </c>
      <c r="AN654" t="s">
        <v>8</v>
      </c>
      <c r="AO654" t="s">
        <v>8</v>
      </c>
      <c r="AP654" s="1">
        <v>7.2</v>
      </c>
      <c r="AQ654" t="s">
        <v>8</v>
      </c>
      <c r="AR654" t="s">
        <v>8</v>
      </c>
      <c r="AS654" t="s">
        <v>8</v>
      </c>
      <c r="AT654">
        <v>11945.7</v>
      </c>
    </row>
    <row r="655" spans="34:46" x14ac:dyDescent="0.35">
      <c r="AH655" t="s">
        <v>204</v>
      </c>
      <c r="AI655" t="s">
        <v>180</v>
      </c>
      <c r="AJ655" s="3">
        <v>45288</v>
      </c>
      <c r="AK655" t="s">
        <v>42</v>
      </c>
      <c r="AL655" s="1">
        <v>8600</v>
      </c>
      <c r="AM655" t="s">
        <v>8</v>
      </c>
      <c r="AN655" t="s">
        <v>8</v>
      </c>
      <c r="AO655" t="s">
        <v>8</v>
      </c>
      <c r="AP655" s="1">
        <v>96.35</v>
      </c>
      <c r="AQ655" t="s">
        <v>8</v>
      </c>
      <c r="AR655" t="s">
        <v>8</v>
      </c>
      <c r="AS655" t="s">
        <v>8</v>
      </c>
      <c r="AT655">
        <v>11945.7</v>
      </c>
    </row>
    <row r="656" spans="34:46" x14ac:dyDescent="0.35">
      <c r="AH656" t="s">
        <v>204</v>
      </c>
      <c r="AI656" t="s">
        <v>180</v>
      </c>
      <c r="AJ656" s="3">
        <v>44924</v>
      </c>
      <c r="AK656" t="s">
        <v>42</v>
      </c>
      <c r="AL656" s="1">
        <v>12700</v>
      </c>
      <c r="AM656" t="s">
        <v>8</v>
      </c>
      <c r="AN656" t="s">
        <v>8</v>
      </c>
      <c r="AO656" t="s">
        <v>8</v>
      </c>
      <c r="AP656" s="1">
        <v>448.4</v>
      </c>
      <c r="AQ656" t="s">
        <v>8</v>
      </c>
      <c r="AR656" t="s">
        <v>8</v>
      </c>
      <c r="AS656" t="s">
        <v>8</v>
      </c>
      <c r="AT656">
        <v>11945.7</v>
      </c>
    </row>
    <row r="657" spans="34:46" x14ac:dyDescent="0.35">
      <c r="AH657" t="s">
        <v>204</v>
      </c>
      <c r="AI657" t="s">
        <v>180</v>
      </c>
      <c r="AJ657" s="3">
        <v>45106</v>
      </c>
      <c r="AK657" t="s">
        <v>42</v>
      </c>
      <c r="AL657" s="1">
        <v>8700</v>
      </c>
      <c r="AM657" t="s">
        <v>8</v>
      </c>
      <c r="AN657" t="s">
        <v>8</v>
      </c>
      <c r="AO657" t="s">
        <v>8</v>
      </c>
      <c r="AP657" s="1">
        <v>9.5</v>
      </c>
      <c r="AQ657" t="s">
        <v>8</v>
      </c>
      <c r="AR657" t="s">
        <v>8</v>
      </c>
      <c r="AS657" t="s">
        <v>8</v>
      </c>
      <c r="AT657">
        <v>11945.7</v>
      </c>
    </row>
    <row r="658" spans="34:46" x14ac:dyDescent="0.35">
      <c r="AH658" t="s">
        <v>204</v>
      </c>
      <c r="AI658" t="s">
        <v>180</v>
      </c>
      <c r="AJ658" s="3">
        <v>44196</v>
      </c>
      <c r="AK658" t="s">
        <v>42</v>
      </c>
      <c r="AL658" s="1">
        <v>10000</v>
      </c>
      <c r="AM658" t="s">
        <v>8</v>
      </c>
      <c r="AN658" t="s">
        <v>8</v>
      </c>
      <c r="AO658" t="s">
        <v>8</v>
      </c>
      <c r="AP658" s="1">
        <v>196.95</v>
      </c>
      <c r="AQ658" t="s">
        <v>8</v>
      </c>
      <c r="AR658" t="s">
        <v>8</v>
      </c>
      <c r="AS658" t="s">
        <v>8</v>
      </c>
      <c r="AT658">
        <v>11945.7</v>
      </c>
    </row>
    <row r="659" spans="34:46" x14ac:dyDescent="0.35">
      <c r="AH659" t="s">
        <v>204</v>
      </c>
      <c r="AI659" t="s">
        <v>180</v>
      </c>
      <c r="AJ659" s="3">
        <v>44371</v>
      </c>
      <c r="AK659" t="s">
        <v>42</v>
      </c>
      <c r="AL659" s="1">
        <v>12500</v>
      </c>
      <c r="AM659" t="s">
        <v>8</v>
      </c>
      <c r="AN659" t="s">
        <v>8</v>
      </c>
      <c r="AO659" t="s">
        <v>8</v>
      </c>
      <c r="AP659" s="1">
        <v>805</v>
      </c>
      <c r="AQ659" t="s">
        <v>8</v>
      </c>
      <c r="AR659" t="s">
        <v>8</v>
      </c>
      <c r="AS659" t="s">
        <v>8</v>
      </c>
      <c r="AT659">
        <v>11945.7</v>
      </c>
    </row>
    <row r="660" spans="34:46" x14ac:dyDescent="0.35">
      <c r="AH660" t="s">
        <v>204</v>
      </c>
      <c r="AI660" t="s">
        <v>180</v>
      </c>
      <c r="AJ660" s="3">
        <v>43629</v>
      </c>
      <c r="AK660" t="s">
        <v>41</v>
      </c>
      <c r="AL660" s="1">
        <v>10450</v>
      </c>
      <c r="AM660" t="s">
        <v>8</v>
      </c>
      <c r="AN660" t="s">
        <v>8</v>
      </c>
      <c r="AO660" t="s">
        <v>8</v>
      </c>
      <c r="AP660" s="1">
        <v>1272.5</v>
      </c>
      <c r="AQ660" t="s">
        <v>8</v>
      </c>
      <c r="AR660" t="s">
        <v>8</v>
      </c>
      <c r="AS660" t="s">
        <v>8</v>
      </c>
      <c r="AT660">
        <v>11945.7</v>
      </c>
    </row>
    <row r="661" spans="34:46" x14ac:dyDescent="0.35">
      <c r="AH661" t="s">
        <v>204</v>
      </c>
      <c r="AI661" t="s">
        <v>180</v>
      </c>
      <c r="AJ661" s="3">
        <v>43629</v>
      </c>
      <c r="AK661" t="s">
        <v>41</v>
      </c>
      <c r="AL661" s="1">
        <v>10650</v>
      </c>
      <c r="AM661" t="s">
        <v>8</v>
      </c>
      <c r="AN661" t="s">
        <v>8</v>
      </c>
      <c r="AO661" t="s">
        <v>8</v>
      </c>
      <c r="AP661" s="1">
        <v>1078.45</v>
      </c>
      <c r="AQ661" t="s">
        <v>8</v>
      </c>
      <c r="AR661" t="s">
        <v>8</v>
      </c>
      <c r="AS661" t="s">
        <v>8</v>
      </c>
      <c r="AT661">
        <v>11945.7</v>
      </c>
    </row>
    <row r="662" spans="34:46" x14ac:dyDescent="0.35">
      <c r="AH662" t="s">
        <v>204</v>
      </c>
      <c r="AI662" t="s">
        <v>180</v>
      </c>
      <c r="AJ662" s="3">
        <v>43671</v>
      </c>
      <c r="AK662" t="s">
        <v>42</v>
      </c>
      <c r="AL662" s="1">
        <v>11150</v>
      </c>
      <c r="AM662" t="s">
        <v>8</v>
      </c>
      <c r="AN662" t="s">
        <v>8</v>
      </c>
      <c r="AO662" t="s">
        <v>8</v>
      </c>
      <c r="AP662" s="1">
        <v>77.75</v>
      </c>
      <c r="AQ662" t="s">
        <v>8</v>
      </c>
      <c r="AR662" t="s">
        <v>8</v>
      </c>
      <c r="AS662" t="s">
        <v>8</v>
      </c>
      <c r="AT662">
        <v>11945.7</v>
      </c>
    </row>
    <row r="663" spans="34:46" x14ac:dyDescent="0.35">
      <c r="AH663" t="s">
        <v>204</v>
      </c>
      <c r="AI663" t="s">
        <v>180</v>
      </c>
      <c r="AJ663" s="3">
        <v>43629</v>
      </c>
      <c r="AK663" t="s">
        <v>41</v>
      </c>
      <c r="AL663" s="1">
        <v>10850</v>
      </c>
      <c r="AM663" t="s">
        <v>8</v>
      </c>
      <c r="AN663" t="s">
        <v>8</v>
      </c>
      <c r="AO663" t="s">
        <v>8</v>
      </c>
      <c r="AP663" s="1">
        <v>889.3</v>
      </c>
      <c r="AQ663" t="s">
        <v>8</v>
      </c>
      <c r="AR663" t="s">
        <v>8</v>
      </c>
      <c r="AS663" t="s">
        <v>8</v>
      </c>
      <c r="AT663">
        <v>11945.7</v>
      </c>
    </row>
    <row r="664" spans="34:46" x14ac:dyDescent="0.35">
      <c r="AH664" t="s">
        <v>204</v>
      </c>
      <c r="AI664" t="s">
        <v>180</v>
      </c>
      <c r="AJ664" s="3">
        <v>43671</v>
      </c>
      <c r="AK664" t="s">
        <v>42</v>
      </c>
      <c r="AL664" s="1">
        <v>11350</v>
      </c>
      <c r="AM664" t="s">
        <v>8</v>
      </c>
      <c r="AN664" t="s">
        <v>8</v>
      </c>
      <c r="AO664" t="s">
        <v>8</v>
      </c>
      <c r="AP664" s="1">
        <v>123.9</v>
      </c>
      <c r="AQ664" t="s">
        <v>8</v>
      </c>
      <c r="AR664" t="s">
        <v>8</v>
      </c>
      <c r="AS664" t="s">
        <v>8</v>
      </c>
      <c r="AT664">
        <v>11945.7</v>
      </c>
    </row>
    <row r="665" spans="34:46" x14ac:dyDescent="0.35">
      <c r="AH665" t="s">
        <v>204</v>
      </c>
      <c r="AI665" t="s">
        <v>180</v>
      </c>
      <c r="AJ665" s="3">
        <v>44742</v>
      </c>
      <c r="AK665" t="s">
        <v>42</v>
      </c>
      <c r="AL665" s="1">
        <v>11000</v>
      </c>
      <c r="AM665" t="s">
        <v>8</v>
      </c>
      <c r="AN665" t="s">
        <v>8</v>
      </c>
      <c r="AO665" t="s">
        <v>8</v>
      </c>
      <c r="AP665" s="1">
        <v>146.6</v>
      </c>
      <c r="AQ665" t="s">
        <v>8</v>
      </c>
      <c r="AR665" t="s">
        <v>8</v>
      </c>
      <c r="AS665" t="s">
        <v>8</v>
      </c>
      <c r="AT665">
        <v>11945.7</v>
      </c>
    </row>
    <row r="666" spans="34:46" x14ac:dyDescent="0.35">
      <c r="AH666" t="s">
        <v>204</v>
      </c>
      <c r="AI666" t="s">
        <v>180</v>
      </c>
      <c r="AJ666" s="3">
        <v>43629</v>
      </c>
      <c r="AK666" t="s">
        <v>42</v>
      </c>
      <c r="AL666" s="1">
        <v>10700</v>
      </c>
      <c r="AM666" t="s">
        <v>8</v>
      </c>
      <c r="AN666" t="s">
        <v>8</v>
      </c>
      <c r="AO666" t="s">
        <v>8</v>
      </c>
      <c r="AP666" s="1">
        <v>7.05</v>
      </c>
      <c r="AQ666" t="s">
        <v>8</v>
      </c>
      <c r="AR666" t="s">
        <v>8</v>
      </c>
      <c r="AS666" t="s">
        <v>8</v>
      </c>
      <c r="AT666">
        <v>11945.7</v>
      </c>
    </row>
    <row r="667" spans="34:46" x14ac:dyDescent="0.35">
      <c r="AH667" t="s">
        <v>204</v>
      </c>
      <c r="AI667" t="s">
        <v>180</v>
      </c>
      <c r="AJ667" s="3">
        <v>43734</v>
      </c>
      <c r="AK667" t="s">
        <v>41</v>
      </c>
      <c r="AL667" s="1">
        <v>10000</v>
      </c>
      <c r="AM667" t="s">
        <v>8</v>
      </c>
      <c r="AN667" t="s">
        <v>8</v>
      </c>
      <c r="AO667" t="s">
        <v>8</v>
      </c>
      <c r="AP667" s="1">
        <v>1813.65</v>
      </c>
      <c r="AQ667" t="s">
        <v>8</v>
      </c>
      <c r="AR667" t="s">
        <v>8</v>
      </c>
      <c r="AS667" t="s">
        <v>8</v>
      </c>
      <c r="AT667">
        <v>11945.7</v>
      </c>
    </row>
    <row r="668" spans="34:46" x14ac:dyDescent="0.35">
      <c r="AH668" t="s">
        <v>204</v>
      </c>
      <c r="AI668" t="s">
        <v>180</v>
      </c>
      <c r="AJ668" s="3">
        <v>44560</v>
      </c>
      <c r="AK668" t="s">
        <v>42</v>
      </c>
      <c r="AL668" s="1">
        <v>9100</v>
      </c>
      <c r="AM668" t="s">
        <v>8</v>
      </c>
      <c r="AN668" t="s">
        <v>8</v>
      </c>
      <c r="AO668" t="s">
        <v>8</v>
      </c>
      <c r="AP668" s="1">
        <v>280</v>
      </c>
      <c r="AQ668" t="s">
        <v>8</v>
      </c>
      <c r="AR668" t="s">
        <v>8</v>
      </c>
      <c r="AS668" t="s">
        <v>8</v>
      </c>
      <c r="AT668">
        <v>11945.7</v>
      </c>
    </row>
    <row r="669" spans="34:46" x14ac:dyDescent="0.35">
      <c r="AH669" t="s">
        <v>204</v>
      </c>
      <c r="AI669" t="s">
        <v>180</v>
      </c>
      <c r="AJ669" s="3">
        <v>43629</v>
      </c>
      <c r="AK669" t="s">
        <v>42</v>
      </c>
      <c r="AL669" s="1">
        <v>10900</v>
      </c>
      <c r="AM669" t="s">
        <v>8</v>
      </c>
      <c r="AN669" t="s">
        <v>8</v>
      </c>
      <c r="AO669" t="s">
        <v>8</v>
      </c>
      <c r="AP669" s="1">
        <v>17.3</v>
      </c>
      <c r="AQ669" t="s">
        <v>8</v>
      </c>
      <c r="AR669" t="s">
        <v>8</v>
      </c>
      <c r="AS669" t="s">
        <v>8</v>
      </c>
      <c r="AT669">
        <v>11945.7</v>
      </c>
    </row>
    <row r="670" spans="34:46" x14ac:dyDescent="0.35">
      <c r="AH670" t="s">
        <v>204</v>
      </c>
      <c r="AI670" t="s">
        <v>180</v>
      </c>
      <c r="AJ670" s="3">
        <v>43664</v>
      </c>
      <c r="AK670" t="s">
        <v>41</v>
      </c>
      <c r="AL670" s="1">
        <v>9800</v>
      </c>
      <c r="AM670" t="s">
        <v>8</v>
      </c>
      <c r="AN670" t="s">
        <v>8</v>
      </c>
      <c r="AO670" t="s">
        <v>8</v>
      </c>
      <c r="AP670" s="1">
        <v>1578.15</v>
      </c>
      <c r="AQ670" t="s">
        <v>8</v>
      </c>
      <c r="AR670" t="s">
        <v>8</v>
      </c>
      <c r="AS670" t="s">
        <v>8</v>
      </c>
      <c r="AT670">
        <v>11945.7</v>
      </c>
    </row>
    <row r="671" spans="34:46" x14ac:dyDescent="0.35">
      <c r="AH671" t="s">
        <v>204</v>
      </c>
      <c r="AI671" t="s">
        <v>180</v>
      </c>
      <c r="AJ671" s="3">
        <v>44560</v>
      </c>
      <c r="AK671" t="s">
        <v>42</v>
      </c>
      <c r="AL671" s="1">
        <v>9300</v>
      </c>
      <c r="AM671" t="s">
        <v>8</v>
      </c>
      <c r="AN671" t="s">
        <v>8</v>
      </c>
      <c r="AO671" t="s">
        <v>8</v>
      </c>
      <c r="AP671" s="1">
        <v>538.95000000000005</v>
      </c>
      <c r="AQ671" t="s">
        <v>8</v>
      </c>
      <c r="AR671" t="s">
        <v>8</v>
      </c>
      <c r="AS671" t="s">
        <v>8</v>
      </c>
      <c r="AT671">
        <v>11945.7</v>
      </c>
    </row>
    <row r="672" spans="34:46" x14ac:dyDescent="0.35">
      <c r="AH672" t="s">
        <v>204</v>
      </c>
      <c r="AI672" t="s">
        <v>180</v>
      </c>
      <c r="AJ672" s="3">
        <v>43671</v>
      </c>
      <c r="AK672" t="s">
        <v>41</v>
      </c>
      <c r="AL672" s="1">
        <v>13050</v>
      </c>
      <c r="AM672" t="s">
        <v>8</v>
      </c>
      <c r="AN672" t="s">
        <v>8</v>
      </c>
      <c r="AO672" t="s">
        <v>8</v>
      </c>
      <c r="AP672" s="1">
        <v>29.15</v>
      </c>
      <c r="AQ672" t="s">
        <v>8</v>
      </c>
      <c r="AR672" t="s">
        <v>8</v>
      </c>
      <c r="AS672" t="s">
        <v>8</v>
      </c>
      <c r="AT672">
        <v>11945.7</v>
      </c>
    </row>
    <row r="673" spans="34:46" x14ac:dyDescent="0.35">
      <c r="AH673" t="s">
        <v>204</v>
      </c>
      <c r="AI673" t="s">
        <v>180</v>
      </c>
      <c r="AJ673" s="3">
        <v>44196</v>
      </c>
      <c r="AK673" t="s">
        <v>41</v>
      </c>
      <c r="AL673" s="1">
        <v>10600</v>
      </c>
      <c r="AM673" t="s">
        <v>8</v>
      </c>
      <c r="AN673" t="s">
        <v>8</v>
      </c>
      <c r="AO673" t="s">
        <v>8</v>
      </c>
      <c r="AP673" s="1">
        <v>2150</v>
      </c>
      <c r="AQ673" t="s">
        <v>8</v>
      </c>
      <c r="AR673" t="s">
        <v>8</v>
      </c>
      <c r="AS673" t="s">
        <v>8</v>
      </c>
      <c r="AT673">
        <v>11945.7</v>
      </c>
    </row>
    <row r="674" spans="34:46" x14ac:dyDescent="0.35">
      <c r="AH674" t="s">
        <v>204</v>
      </c>
      <c r="AI674" t="s">
        <v>180</v>
      </c>
      <c r="AJ674" s="3">
        <v>43650</v>
      </c>
      <c r="AK674" t="s">
        <v>41</v>
      </c>
      <c r="AL674" s="1">
        <v>11250</v>
      </c>
      <c r="AM674" t="s">
        <v>8</v>
      </c>
      <c r="AN674" t="s">
        <v>8</v>
      </c>
      <c r="AO674" t="s">
        <v>8</v>
      </c>
      <c r="AP674" s="1">
        <v>666.05</v>
      </c>
      <c r="AQ674" t="s">
        <v>8</v>
      </c>
      <c r="AR674" t="s">
        <v>8</v>
      </c>
      <c r="AS674" t="s">
        <v>8</v>
      </c>
      <c r="AT674">
        <v>11945.7</v>
      </c>
    </row>
    <row r="675" spans="34:46" x14ac:dyDescent="0.35">
      <c r="AH675" t="s">
        <v>204</v>
      </c>
      <c r="AI675" t="s">
        <v>180</v>
      </c>
      <c r="AJ675" s="3">
        <v>43734</v>
      </c>
      <c r="AK675" t="s">
        <v>42</v>
      </c>
      <c r="AL675" s="1">
        <v>8000</v>
      </c>
      <c r="AM675" t="s">
        <v>8</v>
      </c>
      <c r="AN675" t="s">
        <v>8</v>
      </c>
      <c r="AO675" t="s">
        <v>8</v>
      </c>
      <c r="AP675" s="1">
        <v>59</v>
      </c>
      <c r="AQ675" t="s">
        <v>8</v>
      </c>
      <c r="AR675" t="s">
        <v>8</v>
      </c>
      <c r="AS675" t="s">
        <v>8</v>
      </c>
      <c r="AT675">
        <v>11945.7</v>
      </c>
    </row>
    <row r="676" spans="34:46" x14ac:dyDescent="0.35">
      <c r="AH676" t="s">
        <v>204</v>
      </c>
      <c r="AI676" t="s">
        <v>180</v>
      </c>
      <c r="AJ676" s="3">
        <v>44196</v>
      </c>
      <c r="AK676" t="s">
        <v>41</v>
      </c>
      <c r="AL676" s="1">
        <v>10800</v>
      </c>
      <c r="AM676" t="s">
        <v>8</v>
      </c>
      <c r="AN676" t="s">
        <v>8</v>
      </c>
      <c r="AO676" t="s">
        <v>8</v>
      </c>
      <c r="AP676" s="1">
        <v>2078</v>
      </c>
      <c r="AQ676" t="s">
        <v>8</v>
      </c>
      <c r="AR676" t="s">
        <v>8</v>
      </c>
      <c r="AS676" t="s">
        <v>8</v>
      </c>
      <c r="AT676">
        <v>11945.7</v>
      </c>
    </row>
    <row r="677" spans="34:46" x14ac:dyDescent="0.35">
      <c r="AH677" t="s">
        <v>204</v>
      </c>
      <c r="AI677" t="s">
        <v>180</v>
      </c>
      <c r="AJ677" s="3">
        <v>43650</v>
      </c>
      <c r="AK677" t="s">
        <v>41</v>
      </c>
      <c r="AL677" s="1">
        <v>11450</v>
      </c>
      <c r="AM677" t="s">
        <v>8</v>
      </c>
      <c r="AN677" t="s">
        <v>8</v>
      </c>
      <c r="AO677" t="s">
        <v>8</v>
      </c>
      <c r="AP677" s="1">
        <v>511.25</v>
      </c>
      <c r="AQ677" t="s">
        <v>8</v>
      </c>
      <c r="AR677" t="s">
        <v>8</v>
      </c>
      <c r="AS677" t="s">
        <v>8</v>
      </c>
      <c r="AT677">
        <v>11945.7</v>
      </c>
    </row>
    <row r="678" spans="34:46" x14ac:dyDescent="0.35">
      <c r="AH678" t="s">
        <v>204</v>
      </c>
      <c r="AI678" t="s">
        <v>180</v>
      </c>
      <c r="AJ678" s="3">
        <v>43734</v>
      </c>
      <c r="AK678" t="s">
        <v>42</v>
      </c>
      <c r="AL678" s="1">
        <v>8200</v>
      </c>
      <c r="AM678" t="s">
        <v>8</v>
      </c>
      <c r="AN678" t="s">
        <v>8</v>
      </c>
      <c r="AO678" t="s">
        <v>8</v>
      </c>
      <c r="AP678" s="1">
        <v>27.5</v>
      </c>
      <c r="AQ678" t="s">
        <v>8</v>
      </c>
      <c r="AR678" t="s">
        <v>8</v>
      </c>
      <c r="AS678" t="s">
        <v>8</v>
      </c>
      <c r="AT678">
        <v>11945.7</v>
      </c>
    </row>
    <row r="679" spans="34:46" x14ac:dyDescent="0.35">
      <c r="AH679" t="s">
        <v>204</v>
      </c>
      <c r="AI679" t="s">
        <v>180</v>
      </c>
      <c r="AJ679" s="3">
        <v>44007</v>
      </c>
      <c r="AK679" t="s">
        <v>42</v>
      </c>
      <c r="AL679" s="1">
        <v>5500</v>
      </c>
      <c r="AM679" t="s">
        <v>8</v>
      </c>
      <c r="AN679" t="s">
        <v>8</v>
      </c>
      <c r="AO679" t="s">
        <v>8</v>
      </c>
      <c r="AP679" s="1">
        <v>310.14999999999998</v>
      </c>
      <c r="AQ679" t="s">
        <v>8</v>
      </c>
      <c r="AR679" t="s">
        <v>8</v>
      </c>
      <c r="AS679" t="s">
        <v>8</v>
      </c>
      <c r="AT679">
        <v>11945.7</v>
      </c>
    </row>
    <row r="680" spans="34:46" x14ac:dyDescent="0.35">
      <c r="AH680" t="s">
        <v>204</v>
      </c>
      <c r="AI680" t="s">
        <v>180</v>
      </c>
      <c r="AJ680" s="3">
        <v>43671</v>
      </c>
      <c r="AK680" t="s">
        <v>42</v>
      </c>
      <c r="AL680" s="1">
        <v>13100</v>
      </c>
      <c r="AM680" t="s">
        <v>8</v>
      </c>
      <c r="AN680" t="s">
        <v>8</v>
      </c>
      <c r="AO680" t="s">
        <v>8</v>
      </c>
      <c r="AP680" s="1">
        <v>1254.4000000000001</v>
      </c>
      <c r="AQ680" t="s">
        <v>8</v>
      </c>
      <c r="AR680" t="s">
        <v>8</v>
      </c>
      <c r="AS680" t="s">
        <v>8</v>
      </c>
      <c r="AT680">
        <v>11945.7</v>
      </c>
    </row>
    <row r="681" spans="34:46" x14ac:dyDescent="0.35">
      <c r="AH681" t="s">
        <v>204</v>
      </c>
      <c r="AI681" t="s">
        <v>180</v>
      </c>
      <c r="AJ681" s="3">
        <v>43643</v>
      </c>
      <c r="AK681" t="s">
        <v>42</v>
      </c>
      <c r="AL681" s="1">
        <v>10150</v>
      </c>
      <c r="AM681" t="s">
        <v>8</v>
      </c>
      <c r="AN681" t="s">
        <v>8</v>
      </c>
      <c r="AO681" t="s">
        <v>8</v>
      </c>
      <c r="AP681" s="1">
        <v>3.7</v>
      </c>
      <c r="AQ681" t="s">
        <v>8</v>
      </c>
      <c r="AR681" t="s">
        <v>8</v>
      </c>
      <c r="AS681" t="s">
        <v>8</v>
      </c>
      <c r="AT681">
        <v>11945.7</v>
      </c>
    </row>
    <row r="682" spans="34:46" x14ac:dyDescent="0.35">
      <c r="AH682" t="s">
        <v>204</v>
      </c>
      <c r="AI682" t="s">
        <v>180</v>
      </c>
      <c r="AJ682" s="3">
        <v>44560</v>
      </c>
      <c r="AK682" t="s">
        <v>42</v>
      </c>
      <c r="AL682" s="1">
        <v>12000</v>
      </c>
      <c r="AM682" t="s">
        <v>8</v>
      </c>
      <c r="AN682" t="s">
        <v>8</v>
      </c>
      <c r="AO682" t="s">
        <v>8</v>
      </c>
      <c r="AP682" s="1">
        <v>658.9</v>
      </c>
      <c r="AQ682" t="s">
        <v>8</v>
      </c>
      <c r="AR682" t="s">
        <v>8</v>
      </c>
      <c r="AS682" t="s">
        <v>8</v>
      </c>
      <c r="AT682">
        <v>11945.7</v>
      </c>
    </row>
    <row r="683" spans="34:46" x14ac:dyDescent="0.35">
      <c r="AH683" t="s">
        <v>204</v>
      </c>
      <c r="AI683" t="s">
        <v>180</v>
      </c>
      <c r="AJ683" s="3">
        <v>43650</v>
      </c>
      <c r="AK683" t="s">
        <v>41</v>
      </c>
      <c r="AL683" s="1">
        <v>11650</v>
      </c>
      <c r="AM683" t="s">
        <v>8</v>
      </c>
      <c r="AN683" t="s">
        <v>8</v>
      </c>
      <c r="AO683" t="s">
        <v>8</v>
      </c>
      <c r="AP683" s="1">
        <v>376.1</v>
      </c>
      <c r="AQ683" t="s">
        <v>8</v>
      </c>
      <c r="AR683" t="s">
        <v>8</v>
      </c>
      <c r="AS683" t="s">
        <v>8</v>
      </c>
      <c r="AT683">
        <v>11945.7</v>
      </c>
    </row>
    <row r="684" spans="34:46" x14ac:dyDescent="0.35">
      <c r="AH684" t="s">
        <v>204</v>
      </c>
      <c r="AI684" t="s">
        <v>180</v>
      </c>
      <c r="AJ684" s="3">
        <v>43629</v>
      </c>
      <c r="AK684" t="s">
        <v>41</v>
      </c>
      <c r="AL684" s="1">
        <v>12800</v>
      </c>
      <c r="AM684" t="s">
        <v>8</v>
      </c>
      <c r="AN684" t="s">
        <v>8</v>
      </c>
      <c r="AO684" t="s">
        <v>8</v>
      </c>
      <c r="AP684" s="1">
        <v>10.15</v>
      </c>
      <c r="AQ684" t="s">
        <v>8</v>
      </c>
      <c r="AR684" t="s">
        <v>8</v>
      </c>
      <c r="AS684" t="s">
        <v>8</v>
      </c>
      <c r="AT684">
        <v>11945.7</v>
      </c>
    </row>
    <row r="685" spans="34:46" x14ac:dyDescent="0.35">
      <c r="AH685" t="s">
        <v>204</v>
      </c>
      <c r="AI685" t="s">
        <v>180</v>
      </c>
      <c r="AJ685" s="3">
        <v>43671</v>
      </c>
      <c r="AK685" t="s">
        <v>41</v>
      </c>
      <c r="AL685" s="1">
        <v>11950</v>
      </c>
      <c r="AM685" t="s">
        <v>8</v>
      </c>
      <c r="AN685" t="s">
        <v>8</v>
      </c>
      <c r="AO685" t="s">
        <v>8</v>
      </c>
      <c r="AP685" s="1">
        <v>269.7</v>
      </c>
      <c r="AQ685" t="s">
        <v>8</v>
      </c>
      <c r="AR685" t="s">
        <v>8</v>
      </c>
      <c r="AS685" t="s">
        <v>8</v>
      </c>
      <c r="AT685">
        <v>11945.7</v>
      </c>
    </row>
    <row r="686" spans="34:46" x14ac:dyDescent="0.35">
      <c r="AH686" t="s">
        <v>204</v>
      </c>
      <c r="AI686" t="s">
        <v>180</v>
      </c>
      <c r="AJ686" s="3">
        <v>44007</v>
      </c>
      <c r="AK686" t="s">
        <v>42</v>
      </c>
      <c r="AL686" s="1">
        <v>5700</v>
      </c>
      <c r="AM686" t="s">
        <v>8</v>
      </c>
      <c r="AN686" t="s">
        <v>8</v>
      </c>
      <c r="AO686" t="s">
        <v>8</v>
      </c>
      <c r="AP686" s="1">
        <v>346.75</v>
      </c>
      <c r="AQ686" t="s">
        <v>8</v>
      </c>
      <c r="AR686" t="s">
        <v>8</v>
      </c>
      <c r="AS686" t="s">
        <v>8</v>
      </c>
      <c r="AT686">
        <v>11945.7</v>
      </c>
    </row>
    <row r="687" spans="34:46" x14ac:dyDescent="0.35">
      <c r="AH687" t="s">
        <v>204</v>
      </c>
      <c r="AI687" t="s">
        <v>180</v>
      </c>
      <c r="AJ687" s="3">
        <v>43643</v>
      </c>
      <c r="AK687" t="s">
        <v>42</v>
      </c>
      <c r="AL687" s="1">
        <v>10350</v>
      </c>
      <c r="AM687" t="s">
        <v>8</v>
      </c>
      <c r="AN687" t="s">
        <v>8</v>
      </c>
      <c r="AO687" t="s">
        <v>8</v>
      </c>
      <c r="AP687" s="1">
        <v>8.1</v>
      </c>
      <c r="AQ687" t="s">
        <v>8</v>
      </c>
      <c r="AR687" t="s">
        <v>8</v>
      </c>
      <c r="AS687" t="s">
        <v>8</v>
      </c>
      <c r="AT687">
        <v>11945.7</v>
      </c>
    </row>
    <row r="688" spans="34:46" x14ac:dyDescent="0.35">
      <c r="AH688" t="s">
        <v>204</v>
      </c>
      <c r="AI688" t="s">
        <v>180</v>
      </c>
      <c r="AJ688" s="3">
        <v>43650</v>
      </c>
      <c r="AK688" t="s">
        <v>42</v>
      </c>
      <c r="AL688" s="1">
        <v>11500</v>
      </c>
      <c r="AM688" t="s">
        <v>8</v>
      </c>
      <c r="AN688" t="s">
        <v>8</v>
      </c>
      <c r="AO688" t="s">
        <v>8</v>
      </c>
      <c r="AP688">
        <v>109.6</v>
      </c>
      <c r="AQ688" t="s">
        <v>8</v>
      </c>
      <c r="AR688" t="s">
        <v>8</v>
      </c>
      <c r="AS688" t="s">
        <v>8</v>
      </c>
      <c r="AT688">
        <v>11945.7</v>
      </c>
    </row>
    <row r="689" spans="34:46" x14ac:dyDescent="0.35">
      <c r="AH689" t="s">
        <v>204</v>
      </c>
      <c r="AI689" t="s">
        <v>180</v>
      </c>
      <c r="AJ689" s="3">
        <v>44924</v>
      </c>
      <c r="AK689" t="s">
        <v>42</v>
      </c>
      <c r="AL689" s="1">
        <v>7600</v>
      </c>
      <c r="AM689" t="s">
        <v>8</v>
      </c>
      <c r="AN689" t="s">
        <v>8</v>
      </c>
      <c r="AO689" t="s">
        <v>8</v>
      </c>
      <c r="AP689" s="1">
        <v>39.15</v>
      </c>
      <c r="AQ689" t="s">
        <v>8</v>
      </c>
      <c r="AR689" t="s">
        <v>8</v>
      </c>
      <c r="AS689" t="s">
        <v>8</v>
      </c>
      <c r="AT689">
        <v>11945.7</v>
      </c>
    </row>
    <row r="690" spans="34:46" x14ac:dyDescent="0.35">
      <c r="AH690" t="s">
        <v>204</v>
      </c>
      <c r="AI690" t="s">
        <v>180</v>
      </c>
      <c r="AJ690" s="3">
        <v>44007</v>
      </c>
      <c r="AK690" t="s">
        <v>42</v>
      </c>
      <c r="AL690" s="1">
        <v>5900</v>
      </c>
      <c r="AM690" t="s">
        <v>8</v>
      </c>
      <c r="AN690" t="s">
        <v>8</v>
      </c>
      <c r="AO690" t="s">
        <v>8</v>
      </c>
      <c r="AP690" s="1">
        <v>22.85</v>
      </c>
      <c r="AQ690" t="s">
        <v>8</v>
      </c>
      <c r="AR690" t="s">
        <v>8</v>
      </c>
      <c r="AS690" t="s">
        <v>8</v>
      </c>
      <c r="AT690">
        <v>11945.7</v>
      </c>
    </row>
    <row r="691" spans="34:46" x14ac:dyDescent="0.35">
      <c r="AH691" t="s">
        <v>204</v>
      </c>
      <c r="AI691" t="s">
        <v>180</v>
      </c>
      <c r="AJ691" s="3">
        <v>44560</v>
      </c>
      <c r="AK691" t="s">
        <v>42</v>
      </c>
      <c r="AL691" s="1">
        <v>10700</v>
      </c>
      <c r="AM691" t="s">
        <v>8</v>
      </c>
      <c r="AN691" t="s">
        <v>8</v>
      </c>
      <c r="AO691" t="s">
        <v>8</v>
      </c>
      <c r="AP691" s="1">
        <v>400</v>
      </c>
      <c r="AQ691" t="s">
        <v>8</v>
      </c>
      <c r="AR691" t="s">
        <v>8</v>
      </c>
      <c r="AS691" t="s">
        <v>8</v>
      </c>
      <c r="AT691">
        <v>11945.7</v>
      </c>
    </row>
    <row r="692" spans="34:46" x14ac:dyDescent="0.35">
      <c r="AH692" t="s">
        <v>204</v>
      </c>
      <c r="AI692" t="s">
        <v>180</v>
      </c>
      <c r="AJ692" s="3">
        <v>44560</v>
      </c>
      <c r="AK692" t="s">
        <v>42</v>
      </c>
      <c r="AL692" s="1">
        <v>10900</v>
      </c>
      <c r="AM692" t="s">
        <v>8</v>
      </c>
      <c r="AN692" t="s">
        <v>8</v>
      </c>
      <c r="AO692" t="s">
        <v>8</v>
      </c>
      <c r="AP692">
        <v>354</v>
      </c>
      <c r="AQ692" t="s">
        <v>8</v>
      </c>
      <c r="AR692" t="s">
        <v>8</v>
      </c>
      <c r="AS692" t="s">
        <v>8</v>
      </c>
      <c r="AT692">
        <v>11945.7</v>
      </c>
    </row>
    <row r="693" spans="34:46" x14ac:dyDescent="0.35">
      <c r="AH693" t="s">
        <v>204</v>
      </c>
      <c r="AI693" t="s">
        <v>180</v>
      </c>
      <c r="AJ693" s="3">
        <v>43622</v>
      </c>
      <c r="AK693" t="s">
        <v>41</v>
      </c>
      <c r="AL693" s="1">
        <v>10250</v>
      </c>
      <c r="AM693" t="s">
        <v>8</v>
      </c>
      <c r="AN693" t="s">
        <v>8</v>
      </c>
      <c r="AO693" t="s">
        <v>8</v>
      </c>
      <c r="AP693" s="1">
        <v>1473.5</v>
      </c>
      <c r="AQ693" t="s">
        <v>8</v>
      </c>
      <c r="AR693" t="s">
        <v>8</v>
      </c>
      <c r="AS693" t="s">
        <v>8</v>
      </c>
      <c r="AT693">
        <v>11945.7</v>
      </c>
    </row>
    <row r="694" spans="34:46" x14ac:dyDescent="0.35">
      <c r="AH694" t="s">
        <v>204</v>
      </c>
      <c r="AI694" t="s">
        <v>180</v>
      </c>
      <c r="AJ694" s="3">
        <v>43825</v>
      </c>
      <c r="AK694" t="s">
        <v>41</v>
      </c>
      <c r="AL694" s="1">
        <v>11600</v>
      </c>
      <c r="AM694" t="s">
        <v>8</v>
      </c>
      <c r="AN694" t="s">
        <v>8</v>
      </c>
      <c r="AO694" t="s">
        <v>8</v>
      </c>
      <c r="AP694" s="1">
        <v>860</v>
      </c>
      <c r="AQ694" t="s">
        <v>8</v>
      </c>
      <c r="AR694" t="s">
        <v>8</v>
      </c>
      <c r="AS694" t="s">
        <v>8</v>
      </c>
      <c r="AT694">
        <v>11945.7</v>
      </c>
    </row>
    <row r="695" spans="34:46" x14ac:dyDescent="0.35">
      <c r="AH695" t="s">
        <v>204</v>
      </c>
      <c r="AI695" t="s">
        <v>180</v>
      </c>
      <c r="AJ695" s="3">
        <v>43650</v>
      </c>
      <c r="AK695" t="s">
        <v>41</v>
      </c>
      <c r="AL695" s="1">
        <v>9650</v>
      </c>
      <c r="AM695" t="s">
        <v>8</v>
      </c>
      <c r="AN695" t="s">
        <v>8</v>
      </c>
      <c r="AO695" t="s">
        <v>8</v>
      </c>
      <c r="AP695" s="1">
        <v>1596.5</v>
      </c>
      <c r="AQ695" t="s">
        <v>8</v>
      </c>
      <c r="AR695" t="s">
        <v>8</v>
      </c>
      <c r="AS695" t="s">
        <v>8</v>
      </c>
      <c r="AT695">
        <v>11945.7</v>
      </c>
    </row>
    <row r="696" spans="34:46" x14ac:dyDescent="0.35">
      <c r="AH696" t="s">
        <v>204</v>
      </c>
      <c r="AI696" t="s">
        <v>180</v>
      </c>
      <c r="AJ696" s="3">
        <v>43622</v>
      </c>
      <c r="AK696" t="s">
        <v>41</v>
      </c>
      <c r="AL696" s="1">
        <v>10450</v>
      </c>
      <c r="AM696" t="s">
        <v>8</v>
      </c>
      <c r="AN696" t="s">
        <v>8</v>
      </c>
      <c r="AO696" t="s">
        <v>8</v>
      </c>
      <c r="AP696" s="1">
        <v>1277.6500000000001</v>
      </c>
      <c r="AQ696" t="s">
        <v>8</v>
      </c>
      <c r="AR696" t="s">
        <v>8</v>
      </c>
      <c r="AS696" t="s">
        <v>8</v>
      </c>
      <c r="AT696">
        <v>11945.7</v>
      </c>
    </row>
    <row r="697" spans="34:46" x14ac:dyDescent="0.35">
      <c r="AH697" t="s">
        <v>204</v>
      </c>
      <c r="AI697" t="s">
        <v>180</v>
      </c>
      <c r="AJ697" s="3">
        <v>43825</v>
      </c>
      <c r="AK697" t="s">
        <v>41</v>
      </c>
      <c r="AL697" s="1">
        <v>11800</v>
      </c>
      <c r="AM697" t="s">
        <v>8</v>
      </c>
      <c r="AN697" t="s">
        <v>8</v>
      </c>
      <c r="AO697" t="s">
        <v>8</v>
      </c>
      <c r="AP697" s="1">
        <v>1060</v>
      </c>
      <c r="AQ697" t="s">
        <v>8</v>
      </c>
      <c r="AR697" t="s">
        <v>8</v>
      </c>
      <c r="AS697" t="s">
        <v>8</v>
      </c>
      <c r="AT697">
        <v>11945.7</v>
      </c>
    </row>
    <row r="698" spans="34:46" x14ac:dyDescent="0.35">
      <c r="AH698" t="s">
        <v>204</v>
      </c>
      <c r="AI698" t="s">
        <v>180</v>
      </c>
      <c r="AJ698" s="3">
        <v>43650</v>
      </c>
      <c r="AK698" t="s">
        <v>41</v>
      </c>
      <c r="AL698" s="1">
        <v>9850</v>
      </c>
      <c r="AM698" t="s">
        <v>8</v>
      </c>
      <c r="AN698" t="s">
        <v>8</v>
      </c>
      <c r="AO698" t="s">
        <v>8</v>
      </c>
      <c r="AP698" s="1">
        <v>1618.95</v>
      </c>
      <c r="AQ698" t="s">
        <v>8</v>
      </c>
      <c r="AR698" t="s">
        <v>8</v>
      </c>
      <c r="AS698" t="s">
        <v>8</v>
      </c>
      <c r="AT698">
        <v>11945.7</v>
      </c>
    </row>
    <row r="699" spans="34:46" x14ac:dyDescent="0.35">
      <c r="AH699" t="s">
        <v>204</v>
      </c>
      <c r="AI699" t="s">
        <v>180</v>
      </c>
      <c r="AJ699" s="3">
        <v>43622</v>
      </c>
      <c r="AK699" t="s">
        <v>41</v>
      </c>
      <c r="AL699" s="1">
        <v>10650</v>
      </c>
      <c r="AM699" t="s">
        <v>8</v>
      </c>
      <c r="AN699" t="s">
        <v>8</v>
      </c>
      <c r="AO699" t="s">
        <v>8</v>
      </c>
      <c r="AP699" s="1">
        <v>1084.45</v>
      </c>
      <c r="AQ699" t="s">
        <v>8</v>
      </c>
      <c r="AR699" t="s">
        <v>8</v>
      </c>
      <c r="AS699" t="s">
        <v>8</v>
      </c>
      <c r="AT699">
        <v>11945.7</v>
      </c>
    </row>
    <row r="700" spans="34:46" x14ac:dyDescent="0.35">
      <c r="AH700" t="s">
        <v>204</v>
      </c>
      <c r="AI700" t="s">
        <v>180</v>
      </c>
      <c r="AJ700" s="3">
        <v>43643</v>
      </c>
      <c r="AK700" t="s">
        <v>41</v>
      </c>
      <c r="AL700" s="1">
        <v>10950</v>
      </c>
      <c r="AM700" t="s">
        <v>8</v>
      </c>
      <c r="AN700" t="s">
        <v>8</v>
      </c>
      <c r="AO700" t="s">
        <v>8</v>
      </c>
      <c r="AP700" s="1">
        <v>877.85</v>
      </c>
      <c r="AQ700" t="s">
        <v>8</v>
      </c>
      <c r="AR700" t="s">
        <v>8</v>
      </c>
      <c r="AS700" t="s">
        <v>8</v>
      </c>
      <c r="AT700">
        <v>11945.7</v>
      </c>
    </row>
    <row r="701" spans="34:46" x14ac:dyDescent="0.35">
      <c r="AH701" t="s">
        <v>204</v>
      </c>
      <c r="AI701" t="s">
        <v>180</v>
      </c>
      <c r="AJ701" s="3">
        <v>44196</v>
      </c>
      <c r="AK701" t="s">
        <v>42</v>
      </c>
      <c r="AL701" s="1">
        <v>8300</v>
      </c>
      <c r="AM701" t="s">
        <v>8</v>
      </c>
      <c r="AN701" t="s">
        <v>8</v>
      </c>
      <c r="AO701" t="s">
        <v>8</v>
      </c>
      <c r="AP701">
        <v>194</v>
      </c>
      <c r="AQ701" t="s">
        <v>8</v>
      </c>
      <c r="AR701" t="s">
        <v>8</v>
      </c>
      <c r="AS701" t="s">
        <v>8</v>
      </c>
      <c r="AT701">
        <v>11945.7</v>
      </c>
    </row>
    <row r="702" spans="34:46" x14ac:dyDescent="0.35">
      <c r="AH702" t="s">
        <v>204</v>
      </c>
      <c r="AI702" t="s">
        <v>180</v>
      </c>
      <c r="AJ702" s="3">
        <v>43622</v>
      </c>
      <c r="AK702" t="s">
        <v>42</v>
      </c>
      <c r="AL702" s="1">
        <v>10700</v>
      </c>
      <c r="AM702" t="s">
        <v>8</v>
      </c>
      <c r="AN702" t="s">
        <v>8</v>
      </c>
      <c r="AO702" t="s">
        <v>8</v>
      </c>
      <c r="AP702" s="1">
        <v>8.6999999999999993</v>
      </c>
      <c r="AQ702" t="s">
        <v>8</v>
      </c>
      <c r="AR702" t="s">
        <v>8</v>
      </c>
      <c r="AS702" t="s">
        <v>8</v>
      </c>
      <c r="AT702">
        <v>11945.7</v>
      </c>
    </row>
    <row r="703" spans="34:46" x14ac:dyDescent="0.35">
      <c r="AH703" t="s">
        <v>204</v>
      </c>
      <c r="AI703" t="s">
        <v>180</v>
      </c>
      <c r="AJ703" s="3">
        <v>44196</v>
      </c>
      <c r="AK703" t="s">
        <v>42</v>
      </c>
      <c r="AL703" s="1">
        <v>8500</v>
      </c>
      <c r="AM703" t="s">
        <v>8</v>
      </c>
      <c r="AN703" t="s">
        <v>8</v>
      </c>
      <c r="AO703" t="s">
        <v>8</v>
      </c>
      <c r="AP703" s="1">
        <v>209</v>
      </c>
      <c r="AQ703" t="s">
        <v>8</v>
      </c>
      <c r="AR703" t="s">
        <v>8</v>
      </c>
      <c r="AS703" t="s">
        <v>8</v>
      </c>
      <c r="AT703">
        <v>11945.7</v>
      </c>
    </row>
    <row r="704" spans="34:46" x14ac:dyDescent="0.35">
      <c r="AH704" t="s">
        <v>204</v>
      </c>
      <c r="AI704" t="s">
        <v>180</v>
      </c>
      <c r="AJ704" s="3">
        <v>43636</v>
      </c>
      <c r="AK704" t="s">
        <v>41</v>
      </c>
      <c r="AL704" s="1">
        <v>11450</v>
      </c>
      <c r="AM704" t="s">
        <v>8</v>
      </c>
      <c r="AN704" t="s">
        <v>8</v>
      </c>
      <c r="AO704" t="s">
        <v>8</v>
      </c>
      <c r="AP704" s="1">
        <v>499.3</v>
      </c>
      <c r="AQ704" t="s">
        <v>8</v>
      </c>
      <c r="AR704" t="s">
        <v>8</v>
      </c>
      <c r="AS704" t="s">
        <v>8</v>
      </c>
      <c r="AT704">
        <v>11945.7</v>
      </c>
    </row>
    <row r="705" spans="34:46" x14ac:dyDescent="0.35">
      <c r="AH705" t="s">
        <v>204</v>
      </c>
      <c r="AI705" t="s">
        <v>180</v>
      </c>
      <c r="AJ705" s="3">
        <v>43636</v>
      </c>
      <c r="AK705" t="s">
        <v>41</v>
      </c>
      <c r="AL705" s="1">
        <v>11650</v>
      </c>
      <c r="AM705" t="s">
        <v>8</v>
      </c>
      <c r="AN705" t="s">
        <v>8</v>
      </c>
      <c r="AO705" t="s">
        <v>8</v>
      </c>
      <c r="AP705" s="1">
        <v>356.6</v>
      </c>
      <c r="AQ705" t="s">
        <v>8</v>
      </c>
      <c r="AR705" t="s">
        <v>8</v>
      </c>
      <c r="AS705" t="s">
        <v>8</v>
      </c>
      <c r="AT705">
        <v>11945.7</v>
      </c>
    </row>
    <row r="706" spans="34:46" x14ac:dyDescent="0.35">
      <c r="AH706" t="s">
        <v>204</v>
      </c>
      <c r="AI706" t="s">
        <v>180</v>
      </c>
      <c r="AJ706" s="3">
        <v>43643</v>
      </c>
      <c r="AK706" t="s">
        <v>41</v>
      </c>
      <c r="AL706" s="1">
        <v>6300</v>
      </c>
      <c r="AM706" t="s">
        <v>8</v>
      </c>
      <c r="AN706" t="s">
        <v>8</v>
      </c>
      <c r="AO706" t="s">
        <v>8</v>
      </c>
      <c r="AP706" s="1">
        <v>3477.75</v>
      </c>
      <c r="AQ706" t="s">
        <v>8</v>
      </c>
      <c r="AR706" t="s">
        <v>8</v>
      </c>
      <c r="AS706" t="s">
        <v>8</v>
      </c>
      <c r="AT706">
        <v>11945.7</v>
      </c>
    </row>
    <row r="707" spans="34:46" x14ac:dyDescent="0.35">
      <c r="AH707" t="s">
        <v>204</v>
      </c>
      <c r="AI707" t="s">
        <v>180</v>
      </c>
      <c r="AJ707" s="3">
        <v>43643</v>
      </c>
      <c r="AK707" t="s">
        <v>41</v>
      </c>
      <c r="AL707" s="1">
        <v>6500</v>
      </c>
      <c r="AM707" t="s">
        <v>8</v>
      </c>
      <c r="AN707" t="s">
        <v>8</v>
      </c>
      <c r="AO707" t="s">
        <v>8</v>
      </c>
      <c r="AP707" s="1">
        <v>3358.7</v>
      </c>
      <c r="AQ707" t="s">
        <v>8</v>
      </c>
      <c r="AR707" t="s">
        <v>8</v>
      </c>
      <c r="AS707" t="s">
        <v>8</v>
      </c>
      <c r="AT707">
        <v>11945.7</v>
      </c>
    </row>
    <row r="708" spans="34:46" x14ac:dyDescent="0.35">
      <c r="AH708" t="s">
        <v>204</v>
      </c>
      <c r="AI708" t="s">
        <v>180</v>
      </c>
      <c r="AJ708" s="3">
        <v>43636</v>
      </c>
      <c r="AK708" t="s">
        <v>42</v>
      </c>
      <c r="AL708" s="1">
        <v>11500</v>
      </c>
      <c r="AM708" t="s">
        <v>8</v>
      </c>
      <c r="AN708" t="s">
        <v>8</v>
      </c>
      <c r="AO708" t="s">
        <v>8</v>
      </c>
      <c r="AP708" s="1">
        <v>77.25</v>
      </c>
      <c r="AQ708" t="s">
        <v>8</v>
      </c>
      <c r="AR708" t="s">
        <v>8</v>
      </c>
      <c r="AS708" t="s">
        <v>8</v>
      </c>
      <c r="AT708">
        <v>11945.7</v>
      </c>
    </row>
    <row r="709" spans="34:46" x14ac:dyDescent="0.35">
      <c r="AH709" t="s">
        <v>204</v>
      </c>
      <c r="AI709" t="s">
        <v>180</v>
      </c>
      <c r="AJ709" s="3">
        <v>43636</v>
      </c>
      <c r="AK709" t="s">
        <v>42</v>
      </c>
      <c r="AL709" s="1">
        <v>9700</v>
      </c>
      <c r="AM709" t="s">
        <v>8</v>
      </c>
      <c r="AN709" t="s">
        <v>8</v>
      </c>
      <c r="AO709" t="s">
        <v>8</v>
      </c>
      <c r="AP709">
        <v>0.1</v>
      </c>
      <c r="AQ709" t="s">
        <v>8</v>
      </c>
      <c r="AR709" t="s">
        <v>8</v>
      </c>
      <c r="AS709" t="s">
        <v>8</v>
      </c>
      <c r="AT709">
        <v>11945.7</v>
      </c>
    </row>
    <row r="710" spans="34:46" x14ac:dyDescent="0.35">
      <c r="AH710" t="s">
        <v>204</v>
      </c>
      <c r="AI710" t="s">
        <v>180</v>
      </c>
      <c r="AJ710" s="3">
        <v>43636</v>
      </c>
      <c r="AK710" t="s">
        <v>42</v>
      </c>
      <c r="AL710" s="1">
        <v>11700</v>
      </c>
      <c r="AM710" t="s">
        <v>8</v>
      </c>
      <c r="AN710" t="s">
        <v>8</v>
      </c>
      <c r="AO710" t="s">
        <v>8</v>
      </c>
      <c r="AP710" s="1">
        <v>138.44999999999999</v>
      </c>
      <c r="AQ710" t="s">
        <v>8</v>
      </c>
      <c r="AR710" t="s">
        <v>8</v>
      </c>
      <c r="AS710" t="s">
        <v>8</v>
      </c>
      <c r="AT710">
        <v>11945.7</v>
      </c>
    </row>
    <row r="711" spans="34:46" x14ac:dyDescent="0.35">
      <c r="AH711" t="s">
        <v>204</v>
      </c>
      <c r="AI711" t="s">
        <v>180</v>
      </c>
      <c r="AJ711" s="3">
        <v>43636</v>
      </c>
      <c r="AK711" t="s">
        <v>42</v>
      </c>
      <c r="AL711" s="1">
        <v>9900</v>
      </c>
      <c r="AM711" t="s">
        <v>8</v>
      </c>
      <c r="AN711" t="s">
        <v>8</v>
      </c>
      <c r="AO711" t="s">
        <v>8</v>
      </c>
      <c r="AP711" s="1">
        <v>0.2</v>
      </c>
      <c r="AQ711" t="s">
        <v>8</v>
      </c>
      <c r="AR711" t="s">
        <v>8</v>
      </c>
      <c r="AS711" t="s">
        <v>8</v>
      </c>
      <c r="AT711">
        <v>11945.7</v>
      </c>
    </row>
    <row r="712" spans="34:46" x14ac:dyDescent="0.35">
      <c r="AH712" t="s">
        <v>204</v>
      </c>
      <c r="AI712" t="s">
        <v>180</v>
      </c>
      <c r="AJ712" s="3">
        <v>43636</v>
      </c>
      <c r="AK712" t="s">
        <v>42</v>
      </c>
      <c r="AL712" s="1">
        <v>11900</v>
      </c>
      <c r="AM712" t="s">
        <v>8</v>
      </c>
      <c r="AN712" t="s">
        <v>8</v>
      </c>
      <c r="AO712" t="s">
        <v>8</v>
      </c>
      <c r="AP712" s="1">
        <v>226.65</v>
      </c>
      <c r="AQ712" t="s">
        <v>8</v>
      </c>
      <c r="AR712" t="s">
        <v>8</v>
      </c>
      <c r="AS712" t="s">
        <v>8</v>
      </c>
      <c r="AT712">
        <v>11945.7</v>
      </c>
    </row>
    <row r="713" spans="34:46" x14ac:dyDescent="0.35">
      <c r="AH713" t="s">
        <v>204</v>
      </c>
      <c r="AI713" t="s">
        <v>180</v>
      </c>
      <c r="AJ713" s="3">
        <v>43622</v>
      </c>
      <c r="AK713" t="s">
        <v>42</v>
      </c>
      <c r="AL713" s="1">
        <v>9700</v>
      </c>
      <c r="AM713" t="s">
        <v>8</v>
      </c>
      <c r="AN713" t="s">
        <v>8</v>
      </c>
      <c r="AO713" t="s">
        <v>8</v>
      </c>
      <c r="AP713" s="1">
        <v>0.05</v>
      </c>
      <c r="AQ713" t="s">
        <v>8</v>
      </c>
      <c r="AR713" t="s">
        <v>8</v>
      </c>
      <c r="AS713" t="s">
        <v>8</v>
      </c>
      <c r="AT713">
        <v>11945.7</v>
      </c>
    </row>
    <row r="714" spans="34:46" x14ac:dyDescent="0.35">
      <c r="AH714" t="s">
        <v>204</v>
      </c>
      <c r="AI714" t="s">
        <v>180</v>
      </c>
      <c r="AJ714" s="3">
        <v>44007</v>
      </c>
      <c r="AK714" t="s">
        <v>42</v>
      </c>
      <c r="AL714" s="1">
        <v>11300</v>
      </c>
      <c r="AM714" t="s">
        <v>8</v>
      </c>
      <c r="AN714" t="s">
        <v>8</v>
      </c>
      <c r="AO714" t="s">
        <v>8</v>
      </c>
      <c r="AP714" s="1" t="s">
        <v>8</v>
      </c>
      <c r="AQ714" t="s">
        <v>8</v>
      </c>
      <c r="AR714" t="s">
        <v>8</v>
      </c>
      <c r="AS714" t="s">
        <v>8</v>
      </c>
      <c r="AT714">
        <v>11945.7</v>
      </c>
    </row>
    <row r="715" spans="34:46" x14ac:dyDescent="0.35">
      <c r="AH715" t="s">
        <v>204</v>
      </c>
      <c r="AI715" t="s">
        <v>180</v>
      </c>
      <c r="AJ715" s="3">
        <v>43664</v>
      </c>
      <c r="AK715" t="s">
        <v>42</v>
      </c>
      <c r="AL715" s="1">
        <v>13100</v>
      </c>
      <c r="AM715" t="s">
        <v>8</v>
      </c>
      <c r="AN715" t="s">
        <v>8</v>
      </c>
      <c r="AO715" t="s">
        <v>8</v>
      </c>
      <c r="AP715" s="1">
        <v>1213.8</v>
      </c>
      <c r="AQ715" t="s">
        <v>8</v>
      </c>
      <c r="AR715" t="s">
        <v>8</v>
      </c>
      <c r="AS715" t="s">
        <v>8</v>
      </c>
      <c r="AT715">
        <v>11945.7</v>
      </c>
    </row>
    <row r="716" spans="34:46" x14ac:dyDescent="0.35">
      <c r="AH716" t="s">
        <v>204</v>
      </c>
      <c r="AI716" t="s">
        <v>180</v>
      </c>
      <c r="AJ716" s="3">
        <v>43825</v>
      </c>
      <c r="AK716" t="s">
        <v>42</v>
      </c>
      <c r="AL716" s="1">
        <v>5300</v>
      </c>
      <c r="AM716" t="s">
        <v>8</v>
      </c>
      <c r="AN716" t="s">
        <v>8</v>
      </c>
      <c r="AO716" t="s">
        <v>8</v>
      </c>
      <c r="AP716" s="1">
        <v>223.15</v>
      </c>
      <c r="AQ716" t="s">
        <v>8</v>
      </c>
      <c r="AR716" t="s">
        <v>8</v>
      </c>
      <c r="AS716" t="s">
        <v>8</v>
      </c>
      <c r="AT716">
        <v>11945.7</v>
      </c>
    </row>
    <row r="717" spans="34:46" x14ac:dyDescent="0.35">
      <c r="AH717" t="s">
        <v>204</v>
      </c>
      <c r="AI717" t="s">
        <v>180</v>
      </c>
      <c r="AJ717" s="3">
        <v>43622</v>
      </c>
      <c r="AK717" t="s">
        <v>42</v>
      </c>
      <c r="AL717" s="1">
        <v>9900</v>
      </c>
      <c r="AM717" t="s">
        <v>8</v>
      </c>
      <c r="AN717" t="s">
        <v>8</v>
      </c>
      <c r="AO717" t="s">
        <v>8</v>
      </c>
      <c r="AP717" s="1">
        <v>0.05</v>
      </c>
      <c r="AQ717" t="s">
        <v>8</v>
      </c>
      <c r="AR717" t="s">
        <v>8</v>
      </c>
      <c r="AS717" t="s">
        <v>8</v>
      </c>
      <c r="AT717">
        <v>11945.7</v>
      </c>
    </row>
    <row r="718" spans="34:46" x14ac:dyDescent="0.35">
      <c r="AH718" t="s">
        <v>204</v>
      </c>
      <c r="AI718" t="s">
        <v>180</v>
      </c>
      <c r="AJ718" s="3">
        <v>43825</v>
      </c>
      <c r="AK718" t="s">
        <v>42</v>
      </c>
      <c r="AL718" s="1">
        <v>5500</v>
      </c>
      <c r="AM718" t="s">
        <v>8</v>
      </c>
      <c r="AN718" t="s">
        <v>8</v>
      </c>
      <c r="AO718" t="s">
        <v>8</v>
      </c>
      <c r="AP718" s="1">
        <v>3.05</v>
      </c>
      <c r="AQ718" t="s">
        <v>8</v>
      </c>
      <c r="AR718" t="s">
        <v>8</v>
      </c>
      <c r="AS718" t="s">
        <v>8</v>
      </c>
      <c r="AT718">
        <v>11945.7</v>
      </c>
    </row>
    <row r="719" spans="34:46" x14ac:dyDescent="0.35">
      <c r="AH719" t="s">
        <v>204</v>
      </c>
      <c r="AI719" t="s">
        <v>180</v>
      </c>
      <c r="AJ719" s="3">
        <v>43671</v>
      </c>
      <c r="AK719" t="s">
        <v>41</v>
      </c>
      <c r="AL719" s="1">
        <v>10200</v>
      </c>
      <c r="AM719" t="s">
        <v>8</v>
      </c>
      <c r="AN719" t="s">
        <v>8</v>
      </c>
      <c r="AO719" t="s">
        <v>8</v>
      </c>
      <c r="AP719" s="1">
        <v>1624.05</v>
      </c>
      <c r="AQ719" t="s">
        <v>8</v>
      </c>
      <c r="AR719" t="s">
        <v>8</v>
      </c>
      <c r="AS719" t="s">
        <v>8</v>
      </c>
      <c r="AT719">
        <v>11945.7</v>
      </c>
    </row>
    <row r="720" spans="34:46" x14ac:dyDescent="0.35">
      <c r="AH720" t="s">
        <v>204</v>
      </c>
      <c r="AI720" t="s">
        <v>180</v>
      </c>
      <c r="AJ720" s="3">
        <v>43657</v>
      </c>
      <c r="AK720" t="s">
        <v>41</v>
      </c>
      <c r="AL720" s="1">
        <v>12250</v>
      </c>
      <c r="AM720" t="s">
        <v>8</v>
      </c>
      <c r="AN720" t="s">
        <v>8</v>
      </c>
      <c r="AO720" t="s">
        <v>8</v>
      </c>
      <c r="AP720" s="1">
        <v>39.9</v>
      </c>
      <c r="AQ720" t="s">
        <v>8</v>
      </c>
      <c r="AR720" t="s">
        <v>8</v>
      </c>
      <c r="AS720" t="s">
        <v>8</v>
      </c>
      <c r="AT720">
        <v>11945.7</v>
      </c>
    </row>
    <row r="721" spans="34:46" x14ac:dyDescent="0.35">
      <c r="AH721" t="s">
        <v>204</v>
      </c>
      <c r="AI721" t="s">
        <v>180</v>
      </c>
      <c r="AJ721" s="3">
        <v>43657</v>
      </c>
      <c r="AK721" t="s">
        <v>41</v>
      </c>
      <c r="AL721" s="1">
        <v>12450</v>
      </c>
      <c r="AM721" t="s">
        <v>8</v>
      </c>
      <c r="AN721" t="s">
        <v>8</v>
      </c>
      <c r="AO721" t="s">
        <v>8</v>
      </c>
      <c r="AP721" s="1">
        <v>22.15</v>
      </c>
      <c r="AQ721" t="s">
        <v>8</v>
      </c>
      <c r="AR721" t="s">
        <v>8</v>
      </c>
      <c r="AS721" t="s">
        <v>8</v>
      </c>
      <c r="AT721">
        <v>11945.7</v>
      </c>
    </row>
    <row r="722" spans="34:46" x14ac:dyDescent="0.35">
      <c r="AH722" t="s">
        <v>204</v>
      </c>
      <c r="AI722" t="s">
        <v>180</v>
      </c>
      <c r="AJ722" s="3">
        <v>44742</v>
      </c>
      <c r="AK722" t="s">
        <v>42</v>
      </c>
      <c r="AL722" s="1">
        <v>9700</v>
      </c>
      <c r="AM722" t="s">
        <v>8</v>
      </c>
      <c r="AN722" t="s">
        <v>8</v>
      </c>
      <c r="AO722" t="s">
        <v>8</v>
      </c>
      <c r="AP722">
        <v>33.5</v>
      </c>
      <c r="AQ722" t="s">
        <v>8</v>
      </c>
      <c r="AR722" t="s">
        <v>8</v>
      </c>
      <c r="AS722" t="s">
        <v>8</v>
      </c>
      <c r="AT722">
        <v>11945.7</v>
      </c>
    </row>
    <row r="723" spans="34:46" x14ac:dyDescent="0.35">
      <c r="AH723" t="s">
        <v>204</v>
      </c>
      <c r="AI723" t="s">
        <v>180</v>
      </c>
      <c r="AJ723" s="3">
        <v>44371</v>
      </c>
      <c r="AK723" t="s">
        <v>42</v>
      </c>
      <c r="AL723" s="1">
        <v>7100</v>
      </c>
      <c r="AM723" t="s">
        <v>8</v>
      </c>
      <c r="AN723" t="s">
        <v>8</v>
      </c>
      <c r="AO723" t="s">
        <v>8</v>
      </c>
      <c r="AP723" s="1">
        <v>95.9</v>
      </c>
      <c r="AQ723" t="s">
        <v>8</v>
      </c>
      <c r="AR723" t="s">
        <v>8</v>
      </c>
      <c r="AS723" t="s">
        <v>8</v>
      </c>
      <c r="AT723">
        <v>11945.7</v>
      </c>
    </row>
    <row r="724" spans="34:46" x14ac:dyDescent="0.35">
      <c r="AH724" t="s">
        <v>204</v>
      </c>
      <c r="AI724" t="s">
        <v>180</v>
      </c>
      <c r="AJ724" s="3">
        <v>44742</v>
      </c>
      <c r="AK724" t="s">
        <v>42</v>
      </c>
      <c r="AL724" s="1">
        <v>9900</v>
      </c>
      <c r="AM724" t="s">
        <v>8</v>
      </c>
      <c r="AN724" t="s">
        <v>8</v>
      </c>
      <c r="AO724" t="s">
        <v>8</v>
      </c>
      <c r="AP724" s="1">
        <v>43.6</v>
      </c>
      <c r="AQ724" t="s">
        <v>8</v>
      </c>
      <c r="AR724" t="s">
        <v>8</v>
      </c>
      <c r="AS724" t="s">
        <v>8</v>
      </c>
      <c r="AT724">
        <v>11945.7</v>
      </c>
    </row>
    <row r="725" spans="34:46" x14ac:dyDescent="0.35">
      <c r="AH725" t="s">
        <v>204</v>
      </c>
      <c r="AI725" t="s">
        <v>180</v>
      </c>
      <c r="AJ725" s="3">
        <v>45288</v>
      </c>
      <c r="AK725" t="s">
        <v>42</v>
      </c>
      <c r="AL725" s="1">
        <v>9000</v>
      </c>
      <c r="AM725" t="s">
        <v>8</v>
      </c>
      <c r="AN725" t="s">
        <v>8</v>
      </c>
      <c r="AO725" t="s">
        <v>8</v>
      </c>
      <c r="AP725" s="1">
        <v>126.65</v>
      </c>
      <c r="AQ725" t="s">
        <v>8</v>
      </c>
      <c r="AR725" t="s">
        <v>8</v>
      </c>
      <c r="AS725" t="s">
        <v>8</v>
      </c>
      <c r="AT725">
        <v>11945.7</v>
      </c>
    </row>
    <row r="726" spans="34:46" x14ac:dyDescent="0.35">
      <c r="AH726" t="s">
        <v>204</v>
      </c>
      <c r="AI726" t="s">
        <v>180</v>
      </c>
      <c r="AJ726" s="3">
        <v>44371</v>
      </c>
      <c r="AK726" t="s">
        <v>42</v>
      </c>
      <c r="AL726" s="1">
        <v>7300</v>
      </c>
      <c r="AM726" t="s">
        <v>8</v>
      </c>
      <c r="AN726" t="s">
        <v>8</v>
      </c>
      <c r="AO726" t="s">
        <v>8</v>
      </c>
      <c r="AP726" s="1">
        <v>113.95</v>
      </c>
      <c r="AQ726" t="s">
        <v>8</v>
      </c>
      <c r="AR726" t="s">
        <v>8</v>
      </c>
      <c r="AS726" t="s">
        <v>8</v>
      </c>
      <c r="AT726">
        <v>11945.7</v>
      </c>
    </row>
    <row r="727" spans="34:46" x14ac:dyDescent="0.35">
      <c r="AH727" t="s">
        <v>204</v>
      </c>
      <c r="AI727" t="s">
        <v>180</v>
      </c>
      <c r="AJ727" s="3">
        <v>43657</v>
      </c>
      <c r="AK727" t="s">
        <v>42</v>
      </c>
      <c r="AL727" s="1">
        <v>12500</v>
      </c>
      <c r="AM727" t="s">
        <v>8</v>
      </c>
      <c r="AN727" t="s">
        <v>8</v>
      </c>
      <c r="AO727" t="s">
        <v>8</v>
      </c>
      <c r="AP727" s="1">
        <v>1064.3</v>
      </c>
      <c r="AQ727" t="s">
        <v>8</v>
      </c>
      <c r="AR727" t="s">
        <v>8</v>
      </c>
      <c r="AS727" t="s">
        <v>8</v>
      </c>
      <c r="AT727">
        <v>11945.7</v>
      </c>
    </row>
    <row r="728" spans="34:46" x14ac:dyDescent="0.35">
      <c r="AH728" t="s">
        <v>204</v>
      </c>
      <c r="AI728" t="s">
        <v>180</v>
      </c>
      <c r="AJ728" s="3">
        <v>45288</v>
      </c>
      <c r="AK728" t="s">
        <v>42</v>
      </c>
      <c r="AL728" s="1">
        <v>9200</v>
      </c>
      <c r="AM728" t="s">
        <v>8</v>
      </c>
      <c r="AN728" t="s">
        <v>8</v>
      </c>
      <c r="AO728" t="s">
        <v>8</v>
      </c>
      <c r="AP728" s="1">
        <v>144.1</v>
      </c>
      <c r="AQ728" t="s">
        <v>8</v>
      </c>
      <c r="AR728" t="s">
        <v>8</v>
      </c>
      <c r="AS728" t="s">
        <v>8</v>
      </c>
      <c r="AT728">
        <v>11945.7</v>
      </c>
    </row>
    <row r="729" spans="34:46" x14ac:dyDescent="0.35">
      <c r="AH729" t="s">
        <v>204</v>
      </c>
      <c r="AI729" t="s">
        <v>180</v>
      </c>
      <c r="AJ729" s="3">
        <v>45106</v>
      </c>
      <c r="AK729" t="s">
        <v>42</v>
      </c>
      <c r="AL729" s="1">
        <v>9100</v>
      </c>
      <c r="AM729" t="s">
        <v>8</v>
      </c>
      <c r="AN729" t="s">
        <v>8</v>
      </c>
      <c r="AO729" t="s">
        <v>8</v>
      </c>
      <c r="AP729" s="1">
        <v>15.85</v>
      </c>
      <c r="AQ729" t="s">
        <v>8</v>
      </c>
      <c r="AR729" t="s">
        <v>8</v>
      </c>
      <c r="AS729" t="s">
        <v>8</v>
      </c>
      <c r="AT729">
        <v>11945.7</v>
      </c>
    </row>
    <row r="730" spans="34:46" x14ac:dyDescent="0.35">
      <c r="AH730" t="s">
        <v>204</v>
      </c>
      <c r="AI730" t="s">
        <v>180</v>
      </c>
      <c r="AJ730" s="3">
        <v>43657</v>
      </c>
      <c r="AK730" t="s">
        <v>42</v>
      </c>
      <c r="AL730" s="1">
        <v>12700</v>
      </c>
      <c r="AM730" t="s">
        <v>8</v>
      </c>
      <c r="AN730" t="s">
        <v>8</v>
      </c>
      <c r="AO730" t="s">
        <v>8</v>
      </c>
      <c r="AP730" s="1">
        <v>1252.75</v>
      </c>
      <c r="AQ730" t="s">
        <v>8</v>
      </c>
      <c r="AR730" t="s">
        <v>8</v>
      </c>
      <c r="AS730" t="s">
        <v>8</v>
      </c>
      <c r="AT730">
        <v>11945.7</v>
      </c>
    </row>
    <row r="731" spans="34:46" x14ac:dyDescent="0.35">
      <c r="AH731" t="s">
        <v>204</v>
      </c>
      <c r="AI731" t="s">
        <v>180</v>
      </c>
      <c r="AJ731" s="3">
        <v>45106</v>
      </c>
      <c r="AK731" t="s">
        <v>42</v>
      </c>
      <c r="AL731" s="1">
        <v>9300</v>
      </c>
      <c r="AM731" t="s">
        <v>8</v>
      </c>
      <c r="AN731" t="s">
        <v>8</v>
      </c>
      <c r="AO731" t="s">
        <v>8</v>
      </c>
      <c r="AP731">
        <v>20.100000000000001</v>
      </c>
      <c r="AQ731" t="s">
        <v>8</v>
      </c>
      <c r="AR731" t="s">
        <v>8</v>
      </c>
      <c r="AS731" t="s">
        <v>8</v>
      </c>
      <c r="AT731">
        <v>11945.7</v>
      </c>
    </row>
    <row r="732" spans="34:46" x14ac:dyDescent="0.35">
      <c r="AH732" t="s">
        <v>204</v>
      </c>
      <c r="AI732" t="s">
        <v>180</v>
      </c>
      <c r="AJ732" s="3">
        <v>44007</v>
      </c>
      <c r="AK732" t="s">
        <v>41</v>
      </c>
      <c r="AL732" s="1">
        <v>11900</v>
      </c>
      <c r="AM732" t="s">
        <v>8</v>
      </c>
      <c r="AN732" t="s">
        <v>8</v>
      </c>
      <c r="AO732" t="s">
        <v>8</v>
      </c>
      <c r="AP732" s="1">
        <v>1230</v>
      </c>
      <c r="AQ732" t="s">
        <v>8</v>
      </c>
      <c r="AR732" t="s">
        <v>8</v>
      </c>
      <c r="AS732" t="s">
        <v>8</v>
      </c>
      <c r="AT732">
        <v>11945.7</v>
      </c>
    </row>
    <row r="733" spans="34:46" x14ac:dyDescent="0.35">
      <c r="AH733" t="s">
        <v>204</v>
      </c>
      <c r="AI733" t="s">
        <v>180</v>
      </c>
      <c r="AJ733" s="3">
        <v>43629</v>
      </c>
      <c r="AK733" t="s">
        <v>41</v>
      </c>
      <c r="AL733" s="1">
        <v>11050</v>
      </c>
      <c r="AM733" t="s">
        <v>8</v>
      </c>
      <c r="AN733" t="s">
        <v>8</v>
      </c>
      <c r="AO733" t="s">
        <v>8</v>
      </c>
      <c r="AP733" s="1">
        <v>709.05</v>
      </c>
      <c r="AQ733" t="s">
        <v>8</v>
      </c>
      <c r="AR733" t="s">
        <v>8</v>
      </c>
      <c r="AS733" t="s">
        <v>8</v>
      </c>
      <c r="AT733">
        <v>11945.7</v>
      </c>
    </row>
    <row r="734" spans="34:46" x14ac:dyDescent="0.35">
      <c r="AH734" t="s">
        <v>204</v>
      </c>
      <c r="AI734" t="s">
        <v>180</v>
      </c>
      <c r="AJ734" s="3">
        <v>43629</v>
      </c>
      <c r="AK734" t="s">
        <v>41</v>
      </c>
      <c r="AL734" s="1">
        <v>11250</v>
      </c>
      <c r="AM734" t="s">
        <v>8</v>
      </c>
      <c r="AN734" t="s">
        <v>8</v>
      </c>
      <c r="AO734" t="s">
        <v>8</v>
      </c>
      <c r="AP734" s="1">
        <v>543.04999999999995</v>
      </c>
      <c r="AQ734" t="s">
        <v>8</v>
      </c>
      <c r="AR734" t="s">
        <v>8</v>
      </c>
      <c r="AS734" t="s">
        <v>8</v>
      </c>
      <c r="AT734">
        <v>11945.7</v>
      </c>
    </row>
    <row r="735" spans="34:46" x14ac:dyDescent="0.35">
      <c r="AH735" t="s">
        <v>204</v>
      </c>
      <c r="AI735" t="s">
        <v>180</v>
      </c>
      <c r="AJ735" s="3">
        <v>43629</v>
      </c>
      <c r="AK735" t="s">
        <v>41</v>
      </c>
      <c r="AL735" s="1">
        <v>11450</v>
      </c>
      <c r="AM735" t="s">
        <v>8</v>
      </c>
      <c r="AN735" t="s">
        <v>8</v>
      </c>
      <c r="AO735" t="s">
        <v>8</v>
      </c>
      <c r="AP735">
        <v>396.85</v>
      </c>
      <c r="AQ735" t="s">
        <v>8</v>
      </c>
      <c r="AR735" t="s">
        <v>8</v>
      </c>
      <c r="AS735" t="s">
        <v>8</v>
      </c>
      <c r="AT735">
        <v>11945.7</v>
      </c>
    </row>
    <row r="736" spans="34:46" x14ac:dyDescent="0.35">
      <c r="AH736" t="s">
        <v>204</v>
      </c>
      <c r="AI736" t="s">
        <v>180</v>
      </c>
      <c r="AJ736" s="3">
        <v>43671</v>
      </c>
      <c r="AK736" t="s">
        <v>42</v>
      </c>
      <c r="AL736" s="1">
        <v>10650</v>
      </c>
      <c r="AM736" t="s">
        <v>8</v>
      </c>
      <c r="AN736" t="s">
        <v>8</v>
      </c>
      <c r="AO736" t="s">
        <v>8</v>
      </c>
      <c r="AP736">
        <v>18.7</v>
      </c>
      <c r="AQ736" t="s">
        <v>8</v>
      </c>
      <c r="AR736" t="s">
        <v>8</v>
      </c>
      <c r="AS736" t="s">
        <v>8</v>
      </c>
      <c r="AT736">
        <v>11945.7</v>
      </c>
    </row>
    <row r="737" spans="34:46" x14ac:dyDescent="0.35">
      <c r="AH737" t="s">
        <v>204</v>
      </c>
      <c r="AI737" t="s">
        <v>180</v>
      </c>
      <c r="AJ737" s="3">
        <v>44742</v>
      </c>
      <c r="AK737" t="s">
        <v>42</v>
      </c>
      <c r="AL737" s="1">
        <v>10300</v>
      </c>
      <c r="AM737" t="s">
        <v>8</v>
      </c>
      <c r="AN737" t="s">
        <v>8</v>
      </c>
      <c r="AO737" t="s">
        <v>8</v>
      </c>
      <c r="AP737">
        <v>70.7</v>
      </c>
      <c r="AQ737" t="s">
        <v>8</v>
      </c>
      <c r="AR737" t="s">
        <v>8</v>
      </c>
      <c r="AS737" t="s">
        <v>8</v>
      </c>
      <c r="AT737">
        <v>11945.7</v>
      </c>
    </row>
    <row r="738" spans="34:46" x14ac:dyDescent="0.35">
      <c r="AH738" t="s">
        <v>204</v>
      </c>
      <c r="AI738" t="s">
        <v>180</v>
      </c>
      <c r="AJ738" s="3">
        <v>43671</v>
      </c>
      <c r="AK738" t="s">
        <v>42</v>
      </c>
      <c r="AL738" s="1">
        <v>10850</v>
      </c>
      <c r="AM738" t="s">
        <v>8</v>
      </c>
      <c r="AN738" t="s">
        <v>8</v>
      </c>
      <c r="AO738" t="s">
        <v>8</v>
      </c>
      <c r="AP738" s="1">
        <v>34.75</v>
      </c>
      <c r="AQ738" t="s">
        <v>8</v>
      </c>
      <c r="AR738" t="s">
        <v>8</v>
      </c>
      <c r="AS738" t="s">
        <v>8</v>
      </c>
      <c r="AT738">
        <v>11945.7</v>
      </c>
    </row>
    <row r="739" spans="34:46" x14ac:dyDescent="0.35">
      <c r="AH739" t="s">
        <v>204</v>
      </c>
      <c r="AI739" t="s">
        <v>180</v>
      </c>
      <c r="AJ739" s="3">
        <v>44742</v>
      </c>
      <c r="AK739" t="s">
        <v>42</v>
      </c>
      <c r="AL739" s="1">
        <v>10500</v>
      </c>
      <c r="AM739" t="s">
        <v>8</v>
      </c>
      <c r="AN739" t="s">
        <v>8</v>
      </c>
      <c r="AO739" t="s">
        <v>8</v>
      </c>
      <c r="AP739" s="1">
        <v>88.3</v>
      </c>
      <c r="AQ739" t="s">
        <v>8</v>
      </c>
      <c r="AR739" t="s">
        <v>8</v>
      </c>
      <c r="AS739" t="s">
        <v>8</v>
      </c>
      <c r="AT739">
        <v>11945.7</v>
      </c>
    </row>
    <row r="740" spans="34:46" x14ac:dyDescent="0.35">
      <c r="AH740" t="s">
        <v>204</v>
      </c>
      <c r="AI740" t="s">
        <v>180</v>
      </c>
      <c r="AJ740" s="3">
        <v>43734</v>
      </c>
      <c r="AK740" t="s">
        <v>41</v>
      </c>
      <c r="AL740" s="1">
        <v>11000</v>
      </c>
      <c r="AM740" t="s">
        <v>8</v>
      </c>
      <c r="AN740" t="s">
        <v>8</v>
      </c>
      <c r="AO740" t="s">
        <v>8</v>
      </c>
      <c r="AP740" s="1">
        <v>1082.5</v>
      </c>
      <c r="AQ740" t="s">
        <v>8</v>
      </c>
      <c r="AR740" t="s">
        <v>8</v>
      </c>
      <c r="AS740" t="s">
        <v>8</v>
      </c>
      <c r="AT740">
        <v>11945.7</v>
      </c>
    </row>
    <row r="741" spans="34:46" x14ac:dyDescent="0.35">
      <c r="AH741" t="s">
        <v>204</v>
      </c>
      <c r="AI741" t="s">
        <v>180</v>
      </c>
      <c r="AJ741" s="3">
        <v>44196</v>
      </c>
      <c r="AK741" t="s">
        <v>41</v>
      </c>
      <c r="AL741" s="1">
        <v>11200</v>
      </c>
      <c r="AM741" t="s">
        <v>8</v>
      </c>
      <c r="AN741" t="s">
        <v>8</v>
      </c>
      <c r="AO741" t="s">
        <v>8</v>
      </c>
      <c r="AP741" s="1" t="s">
        <v>8</v>
      </c>
      <c r="AQ741" t="s">
        <v>8</v>
      </c>
      <c r="AR741" t="s">
        <v>8</v>
      </c>
      <c r="AS741" t="s">
        <v>8</v>
      </c>
      <c r="AT741">
        <v>11945.7</v>
      </c>
    </row>
    <row r="742" spans="34:46" x14ac:dyDescent="0.35">
      <c r="AH742" t="s">
        <v>204</v>
      </c>
      <c r="AI742" t="s">
        <v>180</v>
      </c>
      <c r="AJ742" s="3">
        <v>44560</v>
      </c>
      <c r="AK742" t="s">
        <v>42</v>
      </c>
      <c r="AL742" s="1">
        <v>8600</v>
      </c>
      <c r="AM742" t="s">
        <v>8</v>
      </c>
      <c r="AN742" t="s">
        <v>8</v>
      </c>
      <c r="AO742" t="s">
        <v>8</v>
      </c>
      <c r="AP742" s="1">
        <v>367.65</v>
      </c>
      <c r="AQ742" t="s">
        <v>8</v>
      </c>
      <c r="AR742" t="s">
        <v>8</v>
      </c>
      <c r="AS742" t="s">
        <v>8</v>
      </c>
      <c r="AT742">
        <v>11945.7</v>
      </c>
    </row>
    <row r="743" spans="34:46" x14ac:dyDescent="0.35">
      <c r="AH743" t="s">
        <v>204</v>
      </c>
      <c r="AI743" t="s">
        <v>180</v>
      </c>
      <c r="AJ743" s="3">
        <v>43664</v>
      </c>
      <c r="AK743" t="s">
        <v>41</v>
      </c>
      <c r="AL743" s="1">
        <v>10000</v>
      </c>
      <c r="AM743" t="s">
        <v>8</v>
      </c>
      <c r="AN743" t="s">
        <v>8</v>
      </c>
      <c r="AO743" t="s">
        <v>8</v>
      </c>
      <c r="AP743" s="1">
        <v>1382.5</v>
      </c>
      <c r="AQ743" t="s">
        <v>8</v>
      </c>
      <c r="AR743" t="s">
        <v>8</v>
      </c>
      <c r="AS743" t="s">
        <v>8</v>
      </c>
      <c r="AT743">
        <v>11945.7</v>
      </c>
    </row>
    <row r="744" spans="34:46" x14ac:dyDescent="0.35">
      <c r="AH744" t="s">
        <v>204</v>
      </c>
      <c r="AI744" t="s">
        <v>180</v>
      </c>
      <c r="AJ744" s="3">
        <v>44196</v>
      </c>
      <c r="AK744" t="s">
        <v>41</v>
      </c>
      <c r="AL744" s="1">
        <v>11400</v>
      </c>
      <c r="AM744" t="s">
        <v>8</v>
      </c>
      <c r="AN744" t="s">
        <v>8</v>
      </c>
      <c r="AO744" t="s">
        <v>8</v>
      </c>
      <c r="AP744" s="1">
        <v>1715</v>
      </c>
      <c r="AQ744" t="s">
        <v>8</v>
      </c>
      <c r="AR744" t="s">
        <v>8</v>
      </c>
      <c r="AS744" t="s">
        <v>8</v>
      </c>
      <c r="AT744">
        <v>11945.7</v>
      </c>
    </row>
    <row r="745" spans="34:46" x14ac:dyDescent="0.35">
      <c r="AH745" t="s">
        <v>204</v>
      </c>
      <c r="AI745" t="s">
        <v>180</v>
      </c>
      <c r="AJ745" s="3">
        <v>44560</v>
      </c>
      <c r="AK745" t="s">
        <v>42</v>
      </c>
      <c r="AL745" s="1">
        <v>8800</v>
      </c>
      <c r="AM745" t="s">
        <v>8</v>
      </c>
      <c r="AN745" t="s">
        <v>8</v>
      </c>
      <c r="AO745" t="s">
        <v>8</v>
      </c>
      <c r="AP745" s="1">
        <v>412.6</v>
      </c>
      <c r="AQ745" t="s">
        <v>8</v>
      </c>
      <c r="AR745" t="s">
        <v>8</v>
      </c>
      <c r="AS745" t="s">
        <v>8</v>
      </c>
      <c r="AT745">
        <v>11945.7</v>
      </c>
    </row>
    <row r="746" spans="34:46" x14ac:dyDescent="0.35">
      <c r="AH746" t="s">
        <v>204</v>
      </c>
      <c r="AI746" t="s">
        <v>180</v>
      </c>
      <c r="AJ746" s="3">
        <v>43629</v>
      </c>
      <c r="AK746" t="s">
        <v>41</v>
      </c>
      <c r="AL746" s="1">
        <v>13200</v>
      </c>
      <c r="AM746" t="s">
        <v>8</v>
      </c>
      <c r="AN746" t="s">
        <v>8</v>
      </c>
      <c r="AO746" t="s">
        <v>8</v>
      </c>
      <c r="AP746">
        <v>1.8</v>
      </c>
      <c r="AQ746" t="s">
        <v>8</v>
      </c>
      <c r="AR746" t="s">
        <v>8</v>
      </c>
      <c r="AS746" t="s">
        <v>8</v>
      </c>
      <c r="AT746">
        <v>11945.7</v>
      </c>
    </row>
    <row r="747" spans="34:46" x14ac:dyDescent="0.35">
      <c r="AH747" t="s">
        <v>204</v>
      </c>
      <c r="AI747" t="s">
        <v>180</v>
      </c>
      <c r="AJ747" s="3">
        <v>44007</v>
      </c>
      <c r="AK747" t="s">
        <v>42</v>
      </c>
      <c r="AL747" s="1">
        <v>6100</v>
      </c>
      <c r="AM747" t="s">
        <v>8</v>
      </c>
      <c r="AN747" t="s">
        <v>8</v>
      </c>
      <c r="AO747" t="s">
        <v>8</v>
      </c>
      <c r="AP747" s="1">
        <v>35.799999999999997</v>
      </c>
      <c r="AQ747" t="s">
        <v>8</v>
      </c>
      <c r="AR747" t="s">
        <v>8</v>
      </c>
      <c r="AS747" t="s">
        <v>8</v>
      </c>
      <c r="AT747">
        <v>11945.7</v>
      </c>
    </row>
    <row r="748" spans="34:46" x14ac:dyDescent="0.35">
      <c r="AH748" t="s">
        <v>204</v>
      </c>
      <c r="AI748" t="s">
        <v>180</v>
      </c>
      <c r="AJ748" s="3">
        <v>44196</v>
      </c>
      <c r="AK748" t="s">
        <v>41</v>
      </c>
      <c r="AL748" s="1">
        <v>11600</v>
      </c>
      <c r="AM748" t="s">
        <v>8</v>
      </c>
      <c r="AN748" t="s">
        <v>8</v>
      </c>
      <c r="AO748" t="s">
        <v>8</v>
      </c>
      <c r="AP748" s="1">
        <v>1990</v>
      </c>
      <c r="AQ748" t="s">
        <v>8</v>
      </c>
      <c r="AR748" t="s">
        <v>8</v>
      </c>
      <c r="AS748" t="s">
        <v>8</v>
      </c>
      <c r="AT748">
        <v>11945.7</v>
      </c>
    </row>
    <row r="749" spans="34:46" x14ac:dyDescent="0.35">
      <c r="AH749" t="s">
        <v>204</v>
      </c>
      <c r="AI749" t="s">
        <v>180</v>
      </c>
      <c r="AJ749" s="3">
        <v>43671</v>
      </c>
      <c r="AK749" t="s">
        <v>41</v>
      </c>
      <c r="AL749" s="1">
        <v>12550</v>
      </c>
      <c r="AM749" t="s">
        <v>8</v>
      </c>
      <c r="AN749" t="s">
        <v>8</v>
      </c>
      <c r="AO749" t="s">
        <v>8</v>
      </c>
      <c r="AP749" s="1">
        <v>90.25</v>
      </c>
      <c r="AQ749" t="s">
        <v>8</v>
      </c>
      <c r="AR749" t="s">
        <v>8</v>
      </c>
      <c r="AS749" t="s">
        <v>8</v>
      </c>
      <c r="AT749">
        <v>11945.7</v>
      </c>
    </row>
    <row r="750" spans="34:46" x14ac:dyDescent="0.35">
      <c r="AH750" t="s">
        <v>204</v>
      </c>
      <c r="AI750" t="s">
        <v>180</v>
      </c>
      <c r="AJ750" s="3">
        <v>44007</v>
      </c>
      <c r="AK750" t="s">
        <v>42</v>
      </c>
      <c r="AL750" s="1">
        <v>6300</v>
      </c>
      <c r="AM750" t="s">
        <v>8</v>
      </c>
      <c r="AN750" t="s">
        <v>8</v>
      </c>
      <c r="AO750" t="s">
        <v>8</v>
      </c>
      <c r="AP750" s="1">
        <v>44.2</v>
      </c>
      <c r="AQ750" t="s">
        <v>8</v>
      </c>
      <c r="AR750" t="s">
        <v>8</v>
      </c>
      <c r="AS750" t="s">
        <v>8</v>
      </c>
      <c r="AT750">
        <v>11945.7</v>
      </c>
    </row>
    <row r="751" spans="34:46" x14ac:dyDescent="0.35">
      <c r="AH751" t="s">
        <v>204</v>
      </c>
      <c r="AI751" t="s">
        <v>180</v>
      </c>
      <c r="AJ751" s="3">
        <v>44924</v>
      </c>
      <c r="AK751" t="s">
        <v>42</v>
      </c>
      <c r="AL751" s="1">
        <v>8000</v>
      </c>
      <c r="AM751" t="s">
        <v>8</v>
      </c>
      <c r="AN751" t="s">
        <v>8</v>
      </c>
      <c r="AO751" t="s">
        <v>8</v>
      </c>
      <c r="AP751" s="1">
        <v>7.05</v>
      </c>
      <c r="AQ751" t="s">
        <v>8</v>
      </c>
      <c r="AR751" t="s">
        <v>8</v>
      </c>
      <c r="AS751" t="s">
        <v>8</v>
      </c>
      <c r="AT751">
        <v>11945.7</v>
      </c>
    </row>
    <row r="752" spans="34:46" x14ac:dyDescent="0.35">
      <c r="AH752" t="s">
        <v>204</v>
      </c>
      <c r="AI752" t="s">
        <v>180</v>
      </c>
      <c r="AJ752" s="3">
        <v>43825</v>
      </c>
      <c r="AK752" t="s">
        <v>42</v>
      </c>
      <c r="AL752" s="1">
        <v>10300</v>
      </c>
      <c r="AM752" t="s">
        <v>8</v>
      </c>
      <c r="AN752" t="s">
        <v>8</v>
      </c>
      <c r="AO752" t="s">
        <v>8</v>
      </c>
      <c r="AP752" s="1">
        <v>310.89999999999998</v>
      </c>
      <c r="AQ752" t="s">
        <v>8</v>
      </c>
      <c r="AR752" t="s">
        <v>8</v>
      </c>
      <c r="AS752" t="s">
        <v>8</v>
      </c>
      <c r="AT752">
        <v>11945.7</v>
      </c>
    </row>
    <row r="753" spans="34:46" x14ac:dyDescent="0.35">
      <c r="AH753" t="s">
        <v>204</v>
      </c>
      <c r="AI753" t="s">
        <v>180</v>
      </c>
      <c r="AJ753" s="3">
        <v>43671</v>
      </c>
      <c r="AK753" t="s">
        <v>41</v>
      </c>
      <c r="AL753" s="1">
        <v>12750</v>
      </c>
      <c r="AM753" t="s">
        <v>8</v>
      </c>
      <c r="AN753" t="s">
        <v>8</v>
      </c>
      <c r="AO753" t="s">
        <v>8</v>
      </c>
      <c r="AP753" s="1">
        <v>58.85</v>
      </c>
      <c r="AQ753" t="s">
        <v>8</v>
      </c>
      <c r="AR753" t="s">
        <v>8</v>
      </c>
      <c r="AS753" t="s">
        <v>8</v>
      </c>
      <c r="AT753">
        <v>11945.7</v>
      </c>
    </row>
    <row r="754" spans="34:46" x14ac:dyDescent="0.35">
      <c r="AH754" t="s">
        <v>204</v>
      </c>
      <c r="AI754" t="s">
        <v>180</v>
      </c>
      <c r="AJ754" s="3">
        <v>44924</v>
      </c>
      <c r="AK754" t="s">
        <v>42</v>
      </c>
      <c r="AL754" s="1">
        <v>8200</v>
      </c>
      <c r="AM754" t="s">
        <v>8</v>
      </c>
      <c r="AN754" t="s">
        <v>8</v>
      </c>
      <c r="AO754" t="s">
        <v>8</v>
      </c>
      <c r="AP754">
        <v>6.8</v>
      </c>
      <c r="AQ754" t="s">
        <v>8</v>
      </c>
      <c r="AR754" t="s">
        <v>8</v>
      </c>
      <c r="AS754" t="s">
        <v>8</v>
      </c>
      <c r="AT754">
        <v>11945.7</v>
      </c>
    </row>
    <row r="755" spans="34:46" x14ac:dyDescent="0.35">
      <c r="AH755" t="s">
        <v>204</v>
      </c>
      <c r="AI755" t="s">
        <v>180</v>
      </c>
      <c r="AJ755" s="3">
        <v>44007</v>
      </c>
      <c r="AK755" t="s">
        <v>42</v>
      </c>
      <c r="AL755" s="1">
        <v>6500</v>
      </c>
      <c r="AM755" t="s">
        <v>8</v>
      </c>
      <c r="AN755" t="s">
        <v>8</v>
      </c>
      <c r="AO755" t="s">
        <v>8</v>
      </c>
      <c r="AP755" s="1">
        <v>54</v>
      </c>
      <c r="AQ755" t="s">
        <v>8</v>
      </c>
      <c r="AR755" t="s">
        <v>8</v>
      </c>
      <c r="AS755" t="s">
        <v>8</v>
      </c>
      <c r="AT755">
        <v>11945.7</v>
      </c>
    </row>
    <row r="756" spans="34:46" x14ac:dyDescent="0.35">
      <c r="AH756" t="s">
        <v>204</v>
      </c>
      <c r="AI756" t="s">
        <v>180</v>
      </c>
      <c r="AJ756" s="3">
        <v>43650</v>
      </c>
      <c r="AK756" t="s">
        <v>41</v>
      </c>
      <c r="AL756" s="1">
        <v>10950</v>
      </c>
      <c r="AM756" t="s">
        <v>8</v>
      </c>
      <c r="AN756" t="s">
        <v>8</v>
      </c>
      <c r="AO756" t="s">
        <v>8</v>
      </c>
      <c r="AP756" s="1">
        <v>927.65</v>
      </c>
      <c r="AQ756" t="s">
        <v>8</v>
      </c>
      <c r="AR756" t="s">
        <v>8</v>
      </c>
      <c r="AS756" t="s">
        <v>8</v>
      </c>
      <c r="AT756">
        <v>11945.7</v>
      </c>
    </row>
    <row r="757" spans="34:46" x14ac:dyDescent="0.35">
      <c r="AH757" t="s">
        <v>204</v>
      </c>
      <c r="AI757" t="s">
        <v>180</v>
      </c>
      <c r="AJ757" s="3">
        <v>43671</v>
      </c>
      <c r="AK757" t="s">
        <v>41</v>
      </c>
      <c r="AL757" s="1">
        <v>12950</v>
      </c>
      <c r="AM757" t="s">
        <v>8</v>
      </c>
      <c r="AN757" t="s">
        <v>8</v>
      </c>
      <c r="AO757" t="s">
        <v>8</v>
      </c>
      <c r="AP757">
        <v>37.15</v>
      </c>
      <c r="AQ757" t="s">
        <v>8</v>
      </c>
      <c r="AR757" t="s">
        <v>8</v>
      </c>
      <c r="AS757" t="s">
        <v>8</v>
      </c>
      <c r="AT757">
        <v>11945.7</v>
      </c>
    </row>
    <row r="758" spans="34:46" x14ac:dyDescent="0.35">
      <c r="AH758" t="s">
        <v>204</v>
      </c>
      <c r="AI758" t="s">
        <v>180</v>
      </c>
      <c r="AJ758" s="3">
        <v>43734</v>
      </c>
      <c r="AK758" t="s">
        <v>42</v>
      </c>
      <c r="AL758" s="1">
        <v>7700</v>
      </c>
      <c r="AM758" t="s">
        <v>8</v>
      </c>
      <c r="AN758" t="s">
        <v>8</v>
      </c>
      <c r="AO758" t="s">
        <v>8</v>
      </c>
      <c r="AP758">
        <v>51.25</v>
      </c>
      <c r="AQ758" t="s">
        <v>8</v>
      </c>
      <c r="AR758" t="s">
        <v>8</v>
      </c>
      <c r="AS758" t="s">
        <v>8</v>
      </c>
      <c r="AT758">
        <v>11945.7</v>
      </c>
    </row>
    <row r="759" spans="34:46" x14ac:dyDescent="0.35">
      <c r="AH759" t="s">
        <v>204</v>
      </c>
      <c r="AI759" t="s">
        <v>180</v>
      </c>
      <c r="AJ759" s="3">
        <v>43650</v>
      </c>
      <c r="AK759" t="s">
        <v>42</v>
      </c>
      <c r="AL759" s="1">
        <v>12300</v>
      </c>
      <c r="AM759" t="s">
        <v>8</v>
      </c>
      <c r="AN759" t="s">
        <v>8</v>
      </c>
      <c r="AO759" t="s">
        <v>8</v>
      </c>
      <c r="AP759">
        <v>526.04999999999995</v>
      </c>
      <c r="AQ759" t="s">
        <v>8</v>
      </c>
      <c r="AR759" t="s">
        <v>8</v>
      </c>
      <c r="AS759" t="s">
        <v>8</v>
      </c>
      <c r="AT759">
        <v>11945.7</v>
      </c>
    </row>
    <row r="760" spans="34:46" x14ac:dyDescent="0.35">
      <c r="AH760" t="s">
        <v>204</v>
      </c>
      <c r="AI760" t="s">
        <v>180</v>
      </c>
      <c r="AJ760" s="3">
        <v>44924</v>
      </c>
      <c r="AK760" t="s">
        <v>42</v>
      </c>
      <c r="AL760" s="1">
        <v>8400</v>
      </c>
      <c r="AM760" t="s">
        <v>8</v>
      </c>
      <c r="AN760" t="s">
        <v>8</v>
      </c>
      <c r="AO760" t="s">
        <v>8</v>
      </c>
      <c r="AP760" s="1">
        <v>9.1</v>
      </c>
      <c r="AQ760" t="s">
        <v>8</v>
      </c>
      <c r="AR760" t="s">
        <v>8</v>
      </c>
      <c r="AS760" t="s">
        <v>8</v>
      </c>
      <c r="AT760">
        <v>11945.7</v>
      </c>
    </row>
    <row r="761" spans="34:46" x14ac:dyDescent="0.35">
      <c r="AH761" t="s">
        <v>204</v>
      </c>
      <c r="AI761" t="s">
        <v>180</v>
      </c>
      <c r="AJ761" s="3">
        <v>44560</v>
      </c>
      <c r="AK761" t="s">
        <v>42</v>
      </c>
      <c r="AL761" s="1">
        <v>11500</v>
      </c>
      <c r="AM761" t="s">
        <v>8</v>
      </c>
      <c r="AN761" t="s">
        <v>8</v>
      </c>
      <c r="AO761" t="s">
        <v>8</v>
      </c>
      <c r="AP761">
        <v>480.2</v>
      </c>
      <c r="AQ761" t="s">
        <v>8</v>
      </c>
      <c r="AR761" t="s">
        <v>8</v>
      </c>
      <c r="AS761" t="s">
        <v>8</v>
      </c>
      <c r="AT761">
        <v>11945.7</v>
      </c>
    </row>
    <row r="762" spans="34:46" x14ac:dyDescent="0.35">
      <c r="AH762" t="s">
        <v>204</v>
      </c>
      <c r="AI762" t="s">
        <v>180</v>
      </c>
      <c r="AJ762" s="3">
        <v>43657</v>
      </c>
      <c r="AK762" t="s">
        <v>41</v>
      </c>
      <c r="AL762" s="1">
        <v>9700</v>
      </c>
      <c r="AM762" t="s">
        <v>8</v>
      </c>
      <c r="AN762" t="s">
        <v>8</v>
      </c>
      <c r="AO762" t="s">
        <v>8</v>
      </c>
      <c r="AP762" s="1">
        <v>1560.6</v>
      </c>
      <c r="AQ762" t="s">
        <v>8</v>
      </c>
      <c r="AR762" t="s">
        <v>8</v>
      </c>
      <c r="AS762" t="s">
        <v>8</v>
      </c>
      <c r="AT762">
        <v>11945.7</v>
      </c>
    </row>
    <row r="763" spans="34:46" x14ac:dyDescent="0.35">
      <c r="AH763" t="s">
        <v>204</v>
      </c>
      <c r="AI763" t="s">
        <v>180</v>
      </c>
      <c r="AJ763" s="3">
        <v>43650</v>
      </c>
      <c r="AK763" t="s">
        <v>42</v>
      </c>
      <c r="AL763" s="1">
        <v>12500</v>
      </c>
      <c r="AM763" t="s">
        <v>8</v>
      </c>
      <c r="AN763" t="s">
        <v>8</v>
      </c>
      <c r="AO763" t="s">
        <v>8</v>
      </c>
      <c r="AP763" s="1">
        <v>682.8</v>
      </c>
      <c r="AQ763" t="s">
        <v>8</v>
      </c>
      <c r="AR763" t="s">
        <v>8</v>
      </c>
      <c r="AS763" t="s">
        <v>8</v>
      </c>
      <c r="AT763">
        <v>11945.7</v>
      </c>
    </row>
    <row r="764" spans="34:46" x14ac:dyDescent="0.35">
      <c r="AH764" t="s">
        <v>204</v>
      </c>
      <c r="AI764" t="s">
        <v>180</v>
      </c>
      <c r="AJ764" s="3">
        <v>43671</v>
      </c>
      <c r="AK764" t="s">
        <v>42</v>
      </c>
      <c r="AL764" s="1">
        <v>12800</v>
      </c>
      <c r="AM764" t="s">
        <v>8</v>
      </c>
      <c r="AN764" t="s">
        <v>8</v>
      </c>
      <c r="AO764" t="s">
        <v>8</v>
      </c>
      <c r="AP764" s="1">
        <v>986.5</v>
      </c>
      <c r="AQ764" t="s">
        <v>8</v>
      </c>
      <c r="AR764" t="s">
        <v>8</v>
      </c>
      <c r="AS764" t="s">
        <v>8</v>
      </c>
      <c r="AT764">
        <v>11945.7</v>
      </c>
    </row>
    <row r="765" spans="34:46" x14ac:dyDescent="0.35">
      <c r="AH765" t="s">
        <v>204</v>
      </c>
      <c r="AI765" t="s">
        <v>180</v>
      </c>
      <c r="AJ765" s="3">
        <v>44560</v>
      </c>
      <c r="AK765" t="s">
        <v>42</v>
      </c>
      <c r="AL765" s="1">
        <v>11700</v>
      </c>
      <c r="AM765" t="s">
        <v>8</v>
      </c>
      <c r="AN765" t="s">
        <v>8</v>
      </c>
      <c r="AO765" t="s">
        <v>8</v>
      </c>
      <c r="AP765" s="1">
        <v>702</v>
      </c>
      <c r="AQ765" t="s">
        <v>8</v>
      </c>
      <c r="AR765" t="s">
        <v>8</v>
      </c>
      <c r="AS765" t="s">
        <v>8</v>
      </c>
      <c r="AT765">
        <v>11945.7</v>
      </c>
    </row>
    <row r="766" spans="34:46" x14ac:dyDescent="0.35">
      <c r="AH766" t="s">
        <v>204</v>
      </c>
      <c r="AI766" t="s">
        <v>180</v>
      </c>
      <c r="AJ766" s="3">
        <v>43615</v>
      </c>
      <c r="AK766" t="s">
        <v>42</v>
      </c>
      <c r="AL766" s="1">
        <v>10050</v>
      </c>
      <c r="AM766" t="s">
        <v>8</v>
      </c>
      <c r="AN766" t="s">
        <v>8</v>
      </c>
      <c r="AO766" t="s">
        <v>8</v>
      </c>
      <c r="AP766" s="1">
        <v>0.4</v>
      </c>
      <c r="AQ766" t="s">
        <v>8</v>
      </c>
      <c r="AR766" t="s">
        <v>8</v>
      </c>
      <c r="AS766" t="s">
        <v>8</v>
      </c>
      <c r="AT766">
        <v>11945.7</v>
      </c>
    </row>
    <row r="767" spans="34:46" x14ac:dyDescent="0.35">
      <c r="AH767" t="s">
        <v>204</v>
      </c>
      <c r="AI767" t="s">
        <v>180</v>
      </c>
      <c r="AJ767" s="3">
        <v>43825</v>
      </c>
      <c r="AK767" t="s">
        <v>41</v>
      </c>
      <c r="AL767" s="1">
        <v>12200</v>
      </c>
      <c r="AM767" t="s">
        <v>8</v>
      </c>
      <c r="AN767" t="s">
        <v>8</v>
      </c>
      <c r="AO767" t="s">
        <v>8</v>
      </c>
      <c r="AP767" s="1">
        <v>970</v>
      </c>
      <c r="AQ767" t="s">
        <v>8</v>
      </c>
      <c r="AR767" t="s">
        <v>8</v>
      </c>
      <c r="AS767" t="s">
        <v>8</v>
      </c>
      <c r="AT767">
        <v>11945.7</v>
      </c>
    </row>
    <row r="768" spans="34:46" x14ac:dyDescent="0.35">
      <c r="AH768" t="s">
        <v>204</v>
      </c>
      <c r="AI768" t="s">
        <v>180</v>
      </c>
      <c r="AJ768" s="3">
        <v>43622</v>
      </c>
      <c r="AK768" t="s">
        <v>41</v>
      </c>
      <c r="AL768" s="1">
        <v>11050</v>
      </c>
      <c r="AM768" t="s">
        <v>8</v>
      </c>
      <c r="AN768" t="s">
        <v>8</v>
      </c>
      <c r="AO768" t="s">
        <v>8</v>
      </c>
      <c r="AP768" s="1">
        <v>717.9</v>
      </c>
      <c r="AQ768" t="s">
        <v>8</v>
      </c>
      <c r="AR768" t="s">
        <v>8</v>
      </c>
      <c r="AS768" t="s">
        <v>8</v>
      </c>
      <c r="AT768">
        <v>11945.7</v>
      </c>
    </row>
    <row r="769" spans="34:46" x14ac:dyDescent="0.35">
      <c r="AH769" t="s">
        <v>204</v>
      </c>
      <c r="AI769" t="s">
        <v>180</v>
      </c>
      <c r="AJ769" s="3">
        <v>43622</v>
      </c>
      <c r="AK769" t="s">
        <v>41</v>
      </c>
      <c r="AL769" s="1">
        <v>11250</v>
      </c>
      <c r="AM769" t="s">
        <v>8</v>
      </c>
      <c r="AN769" t="s">
        <v>8</v>
      </c>
      <c r="AO769" t="s">
        <v>8</v>
      </c>
      <c r="AP769" s="1">
        <v>553.65</v>
      </c>
      <c r="AQ769" t="s">
        <v>8</v>
      </c>
      <c r="AR769" t="s">
        <v>8</v>
      </c>
      <c r="AS769" t="s">
        <v>8</v>
      </c>
      <c r="AT769">
        <v>11945.7</v>
      </c>
    </row>
    <row r="770" spans="34:46" x14ac:dyDescent="0.35">
      <c r="AH770" t="s">
        <v>204</v>
      </c>
      <c r="AI770" t="s">
        <v>180</v>
      </c>
      <c r="AJ770" s="3">
        <v>43678</v>
      </c>
      <c r="AK770" t="s">
        <v>41</v>
      </c>
      <c r="AL770" s="1">
        <v>11800</v>
      </c>
      <c r="AM770" t="s">
        <v>8</v>
      </c>
      <c r="AN770" t="s">
        <v>8</v>
      </c>
      <c r="AO770" t="s">
        <v>8</v>
      </c>
      <c r="AP770">
        <v>438.9</v>
      </c>
      <c r="AQ770" t="s">
        <v>8</v>
      </c>
      <c r="AR770" t="s">
        <v>8</v>
      </c>
      <c r="AS770" t="s">
        <v>8</v>
      </c>
      <c r="AT770">
        <v>11945.7</v>
      </c>
    </row>
    <row r="771" spans="34:46" x14ac:dyDescent="0.35">
      <c r="AH771" t="s">
        <v>204</v>
      </c>
      <c r="AI771" t="s">
        <v>180</v>
      </c>
      <c r="AJ771" s="3">
        <v>45288</v>
      </c>
      <c r="AK771" t="s">
        <v>42</v>
      </c>
      <c r="AL771" s="1">
        <v>10500</v>
      </c>
      <c r="AM771" t="s">
        <v>8</v>
      </c>
      <c r="AN771" t="s">
        <v>8</v>
      </c>
      <c r="AO771" t="s">
        <v>8</v>
      </c>
      <c r="AP771" s="1">
        <v>298.3</v>
      </c>
      <c r="AQ771" t="s">
        <v>8</v>
      </c>
      <c r="AR771" t="s">
        <v>8</v>
      </c>
      <c r="AS771" t="s">
        <v>8</v>
      </c>
      <c r="AT771">
        <v>11945.7</v>
      </c>
    </row>
    <row r="772" spans="34:46" x14ac:dyDescent="0.35">
      <c r="AH772" t="s">
        <v>204</v>
      </c>
      <c r="AI772" t="s">
        <v>180</v>
      </c>
      <c r="AJ772" s="3">
        <v>44196</v>
      </c>
      <c r="AK772" t="s">
        <v>42</v>
      </c>
      <c r="AL772" s="1">
        <v>9100</v>
      </c>
      <c r="AM772" t="s">
        <v>8</v>
      </c>
      <c r="AN772" t="s">
        <v>8</v>
      </c>
      <c r="AO772" t="s">
        <v>8</v>
      </c>
      <c r="AP772">
        <v>311.39999999999998</v>
      </c>
      <c r="AQ772" t="s">
        <v>8</v>
      </c>
      <c r="AR772" t="s">
        <v>8</v>
      </c>
      <c r="AS772" t="s">
        <v>8</v>
      </c>
      <c r="AT772">
        <v>11945.7</v>
      </c>
    </row>
    <row r="773" spans="34:46" x14ac:dyDescent="0.35">
      <c r="AH773" t="s">
        <v>204</v>
      </c>
      <c r="AI773" t="s">
        <v>180</v>
      </c>
      <c r="AJ773" s="3">
        <v>43636</v>
      </c>
      <c r="AK773" t="s">
        <v>41</v>
      </c>
      <c r="AL773" s="1">
        <v>12050</v>
      </c>
      <c r="AM773" t="s">
        <v>8</v>
      </c>
      <c r="AN773" t="s">
        <v>8</v>
      </c>
      <c r="AO773" t="s">
        <v>8</v>
      </c>
      <c r="AP773" s="1">
        <v>151.65</v>
      </c>
      <c r="AQ773" t="s">
        <v>8</v>
      </c>
      <c r="AR773" t="s">
        <v>8</v>
      </c>
      <c r="AS773" t="s">
        <v>8</v>
      </c>
      <c r="AT773">
        <v>11945.7</v>
      </c>
    </row>
    <row r="774" spans="34:46" x14ac:dyDescent="0.35">
      <c r="AH774" t="s">
        <v>204</v>
      </c>
      <c r="AI774" t="s">
        <v>180</v>
      </c>
      <c r="AJ774" s="3">
        <v>43636</v>
      </c>
      <c r="AK774" t="s">
        <v>41</v>
      </c>
      <c r="AL774" s="1">
        <v>12250</v>
      </c>
      <c r="AM774" t="s">
        <v>8</v>
      </c>
      <c r="AN774" t="s">
        <v>8</v>
      </c>
      <c r="AO774" t="s">
        <v>8</v>
      </c>
      <c r="AP774" s="1">
        <v>89.45</v>
      </c>
      <c r="AQ774" t="s">
        <v>8</v>
      </c>
      <c r="AR774" t="s">
        <v>8</v>
      </c>
      <c r="AS774" t="s">
        <v>8</v>
      </c>
      <c r="AT774">
        <v>11945.7</v>
      </c>
    </row>
    <row r="775" spans="34:46" x14ac:dyDescent="0.35">
      <c r="AH775" t="s">
        <v>204</v>
      </c>
      <c r="AI775" t="s">
        <v>180</v>
      </c>
      <c r="AJ775" s="3">
        <v>43825</v>
      </c>
      <c r="AK775" t="s">
        <v>41</v>
      </c>
      <c r="AL775" s="1">
        <v>7000</v>
      </c>
      <c r="AM775" t="s">
        <v>8</v>
      </c>
      <c r="AN775" t="s">
        <v>8</v>
      </c>
      <c r="AO775" t="s">
        <v>8</v>
      </c>
      <c r="AP775" s="1">
        <v>4970</v>
      </c>
      <c r="AQ775" t="s">
        <v>8</v>
      </c>
      <c r="AR775" t="s">
        <v>8</v>
      </c>
      <c r="AS775" t="s">
        <v>8</v>
      </c>
      <c r="AT775">
        <v>11945.7</v>
      </c>
    </row>
    <row r="776" spans="34:46" x14ac:dyDescent="0.35">
      <c r="AH776" t="s">
        <v>204</v>
      </c>
      <c r="AI776" t="s">
        <v>180</v>
      </c>
      <c r="AJ776" s="3">
        <v>44196</v>
      </c>
      <c r="AK776" t="s">
        <v>42</v>
      </c>
      <c r="AL776" s="1">
        <v>7800</v>
      </c>
      <c r="AM776" t="s">
        <v>8</v>
      </c>
      <c r="AN776" t="s">
        <v>8</v>
      </c>
      <c r="AO776" t="s">
        <v>8</v>
      </c>
      <c r="AP776" s="1">
        <v>152.35</v>
      </c>
      <c r="AQ776" t="s">
        <v>8</v>
      </c>
      <c r="AR776" t="s">
        <v>8</v>
      </c>
      <c r="AS776" t="s">
        <v>8</v>
      </c>
      <c r="AT776">
        <v>11945.7</v>
      </c>
    </row>
    <row r="777" spans="34:46" x14ac:dyDescent="0.35">
      <c r="AH777" t="s">
        <v>204</v>
      </c>
      <c r="AI777" t="s">
        <v>180</v>
      </c>
      <c r="AJ777" s="3">
        <v>43643</v>
      </c>
      <c r="AK777" t="s">
        <v>41</v>
      </c>
      <c r="AL777" s="1">
        <v>7100</v>
      </c>
      <c r="AM777" t="s">
        <v>8</v>
      </c>
      <c r="AN777" t="s">
        <v>8</v>
      </c>
      <c r="AO777" t="s">
        <v>8</v>
      </c>
      <c r="AP777" s="1">
        <v>3011.85</v>
      </c>
      <c r="AQ777" t="s">
        <v>8</v>
      </c>
      <c r="AR777" t="s">
        <v>8</v>
      </c>
      <c r="AS777" t="s">
        <v>8</v>
      </c>
      <c r="AT777">
        <v>11945.7</v>
      </c>
    </row>
    <row r="778" spans="34:46" x14ac:dyDescent="0.35">
      <c r="AH778" t="s">
        <v>204</v>
      </c>
      <c r="AI778" t="s">
        <v>180</v>
      </c>
      <c r="AJ778" s="3">
        <v>43636</v>
      </c>
      <c r="AK778" t="s">
        <v>42</v>
      </c>
      <c r="AL778" s="1">
        <v>12100</v>
      </c>
      <c r="AM778" t="s">
        <v>8</v>
      </c>
      <c r="AN778" t="s">
        <v>8</v>
      </c>
      <c r="AO778" t="s">
        <v>8</v>
      </c>
      <c r="AP778" s="1">
        <v>342.75</v>
      </c>
      <c r="AQ778" t="s">
        <v>8</v>
      </c>
      <c r="AR778" t="s">
        <v>8</v>
      </c>
      <c r="AS778" t="s">
        <v>8</v>
      </c>
      <c r="AT778">
        <v>11945.7</v>
      </c>
    </row>
    <row r="779" spans="34:46" x14ac:dyDescent="0.35">
      <c r="AH779" t="s">
        <v>204</v>
      </c>
      <c r="AI779" t="s">
        <v>180</v>
      </c>
      <c r="AJ779" s="3">
        <v>43636</v>
      </c>
      <c r="AK779" t="s">
        <v>41</v>
      </c>
      <c r="AL779" s="1">
        <v>10950</v>
      </c>
      <c r="AM779" t="s">
        <v>8</v>
      </c>
      <c r="AN779" t="s">
        <v>8</v>
      </c>
      <c r="AO779" t="s">
        <v>8</v>
      </c>
      <c r="AP779" s="1">
        <v>936.65</v>
      </c>
      <c r="AQ779" t="s">
        <v>8</v>
      </c>
      <c r="AR779" t="s">
        <v>8</v>
      </c>
      <c r="AS779" t="s">
        <v>8</v>
      </c>
      <c r="AT779">
        <v>11945.7</v>
      </c>
    </row>
    <row r="780" spans="34:46" x14ac:dyDescent="0.35">
      <c r="AH780" t="s">
        <v>204</v>
      </c>
      <c r="AI780" t="s">
        <v>180</v>
      </c>
      <c r="AJ780" s="3">
        <v>43636</v>
      </c>
      <c r="AK780" t="s">
        <v>42</v>
      </c>
      <c r="AL780" s="1">
        <v>12300</v>
      </c>
      <c r="AM780" t="s">
        <v>8</v>
      </c>
      <c r="AN780" t="s">
        <v>8</v>
      </c>
      <c r="AO780" t="s">
        <v>8</v>
      </c>
      <c r="AP780" s="1">
        <v>484.3</v>
      </c>
      <c r="AQ780" t="s">
        <v>8</v>
      </c>
      <c r="AR780" t="s">
        <v>8</v>
      </c>
      <c r="AS780" t="s">
        <v>8</v>
      </c>
      <c r="AT780">
        <v>11945.7</v>
      </c>
    </row>
    <row r="781" spans="34:46" x14ac:dyDescent="0.35">
      <c r="AH781" t="s">
        <v>204</v>
      </c>
      <c r="AI781" t="s">
        <v>180</v>
      </c>
      <c r="AJ781" s="3">
        <v>43636</v>
      </c>
      <c r="AK781" t="s">
        <v>42</v>
      </c>
      <c r="AL781" s="1">
        <v>12500</v>
      </c>
      <c r="AM781" t="s">
        <v>8</v>
      </c>
      <c r="AN781" t="s">
        <v>8</v>
      </c>
      <c r="AO781" t="s">
        <v>8</v>
      </c>
      <c r="AP781" s="1">
        <v>646.29999999999995</v>
      </c>
      <c r="AQ781" t="s">
        <v>8</v>
      </c>
      <c r="AR781" t="s">
        <v>8</v>
      </c>
      <c r="AS781" t="s">
        <v>8</v>
      </c>
      <c r="AT781">
        <v>11945.7</v>
      </c>
    </row>
    <row r="782" spans="34:46" x14ac:dyDescent="0.35">
      <c r="AH782" t="s">
        <v>204</v>
      </c>
      <c r="AI782" t="s">
        <v>180</v>
      </c>
      <c r="AJ782" s="3">
        <v>43643</v>
      </c>
      <c r="AK782" t="s">
        <v>41</v>
      </c>
      <c r="AL782" s="1">
        <v>5800</v>
      </c>
      <c r="AM782" t="s">
        <v>8</v>
      </c>
      <c r="AN782" t="s">
        <v>8</v>
      </c>
      <c r="AO782" t="s">
        <v>8</v>
      </c>
      <c r="AP782" s="1">
        <v>3781.5</v>
      </c>
      <c r="AQ782" t="s">
        <v>8</v>
      </c>
      <c r="AR782" t="s">
        <v>8</v>
      </c>
      <c r="AS782" t="s">
        <v>8</v>
      </c>
      <c r="AT782">
        <v>11945.7</v>
      </c>
    </row>
    <row r="783" spans="34:46" x14ac:dyDescent="0.35">
      <c r="AH783" t="s">
        <v>204</v>
      </c>
      <c r="AI783" t="s">
        <v>180</v>
      </c>
      <c r="AJ783" s="3">
        <v>43622</v>
      </c>
      <c r="AK783" t="s">
        <v>41</v>
      </c>
      <c r="AL783" s="1">
        <v>13200</v>
      </c>
      <c r="AM783" t="s">
        <v>8</v>
      </c>
      <c r="AN783" t="s">
        <v>8</v>
      </c>
      <c r="AO783" t="s">
        <v>8</v>
      </c>
      <c r="AP783" s="1">
        <v>0.95</v>
      </c>
      <c r="AQ783" t="s">
        <v>8</v>
      </c>
      <c r="AR783" t="s">
        <v>8</v>
      </c>
      <c r="AS783" t="s">
        <v>8</v>
      </c>
      <c r="AT783">
        <v>11945.7</v>
      </c>
    </row>
    <row r="784" spans="34:46" x14ac:dyDescent="0.35">
      <c r="AH784" t="s">
        <v>204</v>
      </c>
      <c r="AI784" t="s">
        <v>180</v>
      </c>
      <c r="AJ784" s="3">
        <v>43622</v>
      </c>
      <c r="AK784" t="s">
        <v>41</v>
      </c>
      <c r="AL784" s="1">
        <v>13400</v>
      </c>
      <c r="AM784" t="s">
        <v>8</v>
      </c>
      <c r="AN784" t="s">
        <v>8</v>
      </c>
      <c r="AO784" t="s">
        <v>8</v>
      </c>
      <c r="AP784" s="1">
        <v>0.1</v>
      </c>
      <c r="AQ784" t="s">
        <v>8</v>
      </c>
      <c r="AR784" t="s">
        <v>8</v>
      </c>
      <c r="AS784" t="s">
        <v>8</v>
      </c>
      <c r="AT784">
        <v>11945.7</v>
      </c>
    </row>
    <row r="785" spans="34:46" x14ac:dyDescent="0.35">
      <c r="AH785" t="s">
        <v>204</v>
      </c>
      <c r="AI785" t="s">
        <v>180</v>
      </c>
      <c r="AJ785" s="3">
        <v>43825</v>
      </c>
      <c r="AK785" t="s">
        <v>42</v>
      </c>
      <c r="AL785" s="1">
        <v>6100</v>
      </c>
      <c r="AM785" t="s">
        <v>8</v>
      </c>
      <c r="AN785" t="s">
        <v>8</v>
      </c>
      <c r="AO785" t="s">
        <v>8</v>
      </c>
      <c r="AP785" s="1">
        <v>22.1</v>
      </c>
      <c r="AQ785" t="s">
        <v>8</v>
      </c>
      <c r="AR785" t="s">
        <v>8</v>
      </c>
      <c r="AS785" t="s">
        <v>8</v>
      </c>
      <c r="AT785">
        <v>11945.7</v>
      </c>
    </row>
    <row r="786" spans="34:46" x14ac:dyDescent="0.35">
      <c r="AH786" t="s">
        <v>204</v>
      </c>
      <c r="AI786" t="s">
        <v>180</v>
      </c>
      <c r="AJ786" s="3">
        <v>43643</v>
      </c>
      <c r="AK786" t="s">
        <v>42</v>
      </c>
      <c r="AL786" s="1">
        <v>6000</v>
      </c>
      <c r="AM786" t="s">
        <v>8</v>
      </c>
      <c r="AN786" t="s">
        <v>8</v>
      </c>
      <c r="AO786" t="s">
        <v>8</v>
      </c>
      <c r="AP786" s="1">
        <v>3.15</v>
      </c>
      <c r="AQ786" t="s">
        <v>8</v>
      </c>
      <c r="AR786" t="s">
        <v>8</v>
      </c>
      <c r="AS786" t="s">
        <v>8</v>
      </c>
      <c r="AT786">
        <v>11945.7</v>
      </c>
    </row>
    <row r="787" spans="34:46" x14ac:dyDescent="0.35">
      <c r="AH787" t="s">
        <v>204</v>
      </c>
      <c r="AI787" t="s">
        <v>180</v>
      </c>
      <c r="AJ787" s="3">
        <v>43643</v>
      </c>
      <c r="AK787" t="s">
        <v>41</v>
      </c>
      <c r="AL787" s="1">
        <v>13700</v>
      </c>
      <c r="AM787" t="s">
        <v>8</v>
      </c>
      <c r="AN787" t="s">
        <v>8</v>
      </c>
      <c r="AO787" t="s">
        <v>8</v>
      </c>
      <c r="AP787" s="1">
        <v>69.3</v>
      </c>
      <c r="AQ787" t="s">
        <v>8</v>
      </c>
      <c r="AR787" t="s">
        <v>8</v>
      </c>
      <c r="AS787" t="s">
        <v>8</v>
      </c>
      <c r="AT787">
        <v>11945.7</v>
      </c>
    </row>
    <row r="788" spans="34:46" x14ac:dyDescent="0.35">
      <c r="AH788" t="s">
        <v>204</v>
      </c>
      <c r="AI788" t="s">
        <v>180</v>
      </c>
      <c r="AJ788" s="3">
        <v>43643</v>
      </c>
      <c r="AK788" t="s">
        <v>41</v>
      </c>
      <c r="AL788" s="1">
        <v>13900</v>
      </c>
      <c r="AM788" t="s">
        <v>8</v>
      </c>
      <c r="AN788" t="s">
        <v>8</v>
      </c>
      <c r="AO788" t="s">
        <v>8</v>
      </c>
      <c r="AP788" s="1">
        <v>62.45</v>
      </c>
      <c r="AQ788" t="s">
        <v>8</v>
      </c>
      <c r="AR788" t="s">
        <v>8</v>
      </c>
      <c r="AS788" t="s">
        <v>8</v>
      </c>
      <c r="AT788">
        <v>11945.7</v>
      </c>
    </row>
    <row r="789" spans="34:46" x14ac:dyDescent="0.35">
      <c r="AH789" t="s">
        <v>204</v>
      </c>
      <c r="AI789" t="s">
        <v>180</v>
      </c>
      <c r="AJ789" s="3">
        <v>44007</v>
      </c>
      <c r="AK789" t="s">
        <v>42</v>
      </c>
      <c r="AL789" s="1">
        <v>10600</v>
      </c>
      <c r="AM789" t="s">
        <v>8</v>
      </c>
      <c r="AN789" t="s">
        <v>8</v>
      </c>
      <c r="AO789" t="s">
        <v>8</v>
      </c>
      <c r="AP789" s="1" t="s">
        <v>8</v>
      </c>
      <c r="AQ789" t="s">
        <v>8</v>
      </c>
      <c r="AR789" t="s">
        <v>8</v>
      </c>
      <c r="AS789" t="s">
        <v>8</v>
      </c>
      <c r="AT789">
        <v>11945.7</v>
      </c>
    </row>
    <row r="790" spans="34:46" x14ac:dyDescent="0.35">
      <c r="AH790" t="s">
        <v>204</v>
      </c>
      <c r="AI790" t="s">
        <v>180</v>
      </c>
      <c r="AJ790" s="3">
        <v>44007</v>
      </c>
      <c r="AK790" t="s">
        <v>42</v>
      </c>
      <c r="AL790" s="1">
        <v>10800</v>
      </c>
      <c r="AM790" t="s">
        <v>8</v>
      </c>
      <c r="AN790" t="s">
        <v>8</v>
      </c>
      <c r="AO790" t="s">
        <v>8</v>
      </c>
      <c r="AP790" s="1" t="s">
        <v>8</v>
      </c>
      <c r="AQ790" t="s">
        <v>8</v>
      </c>
      <c r="AR790" t="s">
        <v>8</v>
      </c>
      <c r="AS790" t="s">
        <v>8</v>
      </c>
      <c r="AT790">
        <v>11945.7</v>
      </c>
    </row>
    <row r="791" spans="34:46" x14ac:dyDescent="0.35">
      <c r="AH791" t="s">
        <v>204</v>
      </c>
      <c r="AI791" t="s">
        <v>180</v>
      </c>
      <c r="AJ791" s="3">
        <v>43664</v>
      </c>
      <c r="AK791" t="s">
        <v>42</v>
      </c>
      <c r="AL791" s="1">
        <v>12600</v>
      </c>
      <c r="AM791" t="s">
        <v>8</v>
      </c>
      <c r="AN791" t="s">
        <v>8</v>
      </c>
      <c r="AO791" t="s">
        <v>8</v>
      </c>
      <c r="AP791" s="1">
        <v>1201.3</v>
      </c>
      <c r="AQ791" t="s">
        <v>8</v>
      </c>
      <c r="AR791" t="s">
        <v>8</v>
      </c>
      <c r="AS791" t="s">
        <v>8</v>
      </c>
      <c r="AT791">
        <v>11945.7</v>
      </c>
    </row>
    <row r="792" spans="34:46" x14ac:dyDescent="0.35">
      <c r="AH792" t="s">
        <v>204</v>
      </c>
      <c r="AI792" t="s">
        <v>180</v>
      </c>
      <c r="AJ792" s="3">
        <v>43825</v>
      </c>
      <c r="AK792" t="s">
        <v>42</v>
      </c>
      <c r="AL792" s="1">
        <v>4800</v>
      </c>
      <c r="AM792" t="s">
        <v>8</v>
      </c>
      <c r="AN792" t="s">
        <v>8</v>
      </c>
      <c r="AO792" t="s">
        <v>8</v>
      </c>
      <c r="AP792" s="1">
        <v>31.15</v>
      </c>
      <c r="AQ792" t="s">
        <v>8</v>
      </c>
      <c r="AR792" t="s">
        <v>8</v>
      </c>
      <c r="AS792" t="s">
        <v>8</v>
      </c>
      <c r="AT792">
        <v>11945.7</v>
      </c>
    </row>
    <row r="793" spans="34:46" x14ac:dyDescent="0.35">
      <c r="AH793" t="s">
        <v>204</v>
      </c>
      <c r="AI793" t="s">
        <v>180</v>
      </c>
      <c r="AJ793" s="3">
        <v>43664</v>
      </c>
      <c r="AK793" t="s">
        <v>42</v>
      </c>
      <c r="AL793" s="1">
        <v>12800</v>
      </c>
      <c r="AM793" t="s">
        <v>8</v>
      </c>
      <c r="AN793" t="s">
        <v>8</v>
      </c>
      <c r="AO793" t="s">
        <v>8</v>
      </c>
      <c r="AP793" s="1">
        <v>1257.45</v>
      </c>
      <c r="AQ793" t="s">
        <v>8</v>
      </c>
      <c r="AR793" t="s">
        <v>8</v>
      </c>
      <c r="AS793" t="s">
        <v>8</v>
      </c>
      <c r="AT793">
        <v>11945.7</v>
      </c>
    </row>
    <row r="794" spans="34:46" x14ac:dyDescent="0.35">
      <c r="AH794" t="s">
        <v>204</v>
      </c>
      <c r="AI794" t="s">
        <v>180</v>
      </c>
      <c r="AJ794" s="3">
        <v>43657</v>
      </c>
      <c r="AK794" t="s">
        <v>42</v>
      </c>
      <c r="AL794" s="1">
        <v>13100</v>
      </c>
      <c r="AM794" t="s">
        <v>8</v>
      </c>
      <c r="AN794" t="s">
        <v>8</v>
      </c>
      <c r="AO794" t="s">
        <v>8</v>
      </c>
      <c r="AP794" s="1">
        <v>1213.3</v>
      </c>
      <c r="AQ794" t="s">
        <v>8</v>
      </c>
      <c r="AR794" t="s">
        <v>8</v>
      </c>
      <c r="AS794" t="s">
        <v>8</v>
      </c>
      <c r="AT794">
        <v>11945.7</v>
      </c>
    </row>
    <row r="795" spans="34:46" x14ac:dyDescent="0.35">
      <c r="AH795" t="s">
        <v>204</v>
      </c>
      <c r="AI795" t="s">
        <v>180</v>
      </c>
      <c r="AJ795" s="3">
        <v>43657</v>
      </c>
      <c r="AK795" t="s">
        <v>42</v>
      </c>
      <c r="AL795" s="1">
        <v>13300</v>
      </c>
      <c r="AM795" t="s">
        <v>8</v>
      </c>
      <c r="AN795" t="s">
        <v>8</v>
      </c>
      <c r="AO795" t="s">
        <v>8</v>
      </c>
      <c r="AP795" s="1">
        <v>1389.15</v>
      </c>
      <c r="AQ795" t="s">
        <v>8</v>
      </c>
      <c r="AR795" t="s">
        <v>8</v>
      </c>
      <c r="AS795" t="s">
        <v>8</v>
      </c>
      <c r="AT795">
        <v>11945.7</v>
      </c>
    </row>
    <row r="796" spans="34:46" x14ac:dyDescent="0.35">
      <c r="AH796" t="s">
        <v>204</v>
      </c>
      <c r="AI796" t="s">
        <v>180</v>
      </c>
      <c r="AJ796" s="3">
        <v>44371</v>
      </c>
      <c r="AK796" t="s">
        <v>42</v>
      </c>
      <c r="AL796" s="1">
        <v>6600</v>
      </c>
      <c r="AM796" t="s">
        <v>8</v>
      </c>
      <c r="AN796" t="s">
        <v>8</v>
      </c>
      <c r="AO796" t="s">
        <v>8</v>
      </c>
      <c r="AP796" s="1">
        <v>59.8</v>
      </c>
      <c r="AQ796" t="s">
        <v>8</v>
      </c>
      <c r="AR796" t="s">
        <v>8</v>
      </c>
      <c r="AS796" t="s">
        <v>8</v>
      </c>
      <c r="AT796">
        <v>11945.7</v>
      </c>
    </row>
    <row r="797" spans="34:46" x14ac:dyDescent="0.35">
      <c r="AH797" t="s">
        <v>204</v>
      </c>
      <c r="AI797" t="s">
        <v>180</v>
      </c>
      <c r="AJ797" s="3">
        <v>44371</v>
      </c>
      <c r="AK797" t="s">
        <v>42</v>
      </c>
      <c r="AL797" s="1">
        <v>6800</v>
      </c>
      <c r="AM797" t="s">
        <v>8</v>
      </c>
      <c r="AN797" t="s">
        <v>8</v>
      </c>
      <c r="AO797" t="s">
        <v>8</v>
      </c>
      <c r="AP797" s="1">
        <v>72.8</v>
      </c>
      <c r="AQ797" t="s">
        <v>8</v>
      </c>
      <c r="AR797" t="s">
        <v>8</v>
      </c>
      <c r="AS797" t="s">
        <v>8</v>
      </c>
      <c r="AT797">
        <v>11945.7</v>
      </c>
    </row>
    <row r="798" spans="34:46" x14ac:dyDescent="0.35">
      <c r="AH798" t="s">
        <v>204</v>
      </c>
      <c r="AI798" t="s">
        <v>180</v>
      </c>
      <c r="AJ798" s="3">
        <v>45288</v>
      </c>
      <c r="AK798" t="s">
        <v>42</v>
      </c>
      <c r="AL798" s="1">
        <v>8500</v>
      </c>
      <c r="AM798" t="s">
        <v>8</v>
      </c>
      <c r="AN798" t="s">
        <v>8</v>
      </c>
      <c r="AO798" t="s">
        <v>8</v>
      </c>
      <c r="AP798" s="1">
        <v>89.65</v>
      </c>
      <c r="AQ798" t="s">
        <v>8</v>
      </c>
      <c r="AR798" t="s">
        <v>8</v>
      </c>
      <c r="AS798" t="s">
        <v>8</v>
      </c>
      <c r="AT798">
        <v>11945.7</v>
      </c>
    </row>
    <row r="799" spans="34:46" x14ac:dyDescent="0.35">
      <c r="AH799" t="s">
        <v>204</v>
      </c>
      <c r="AI799" t="s">
        <v>180</v>
      </c>
      <c r="AJ799" s="3">
        <v>45288</v>
      </c>
      <c r="AK799" t="s">
        <v>42</v>
      </c>
      <c r="AL799" s="1">
        <v>8700</v>
      </c>
      <c r="AM799" t="s">
        <v>8</v>
      </c>
      <c r="AN799" t="s">
        <v>8</v>
      </c>
      <c r="AO799" t="s">
        <v>8</v>
      </c>
      <c r="AP799" s="1">
        <v>103.4</v>
      </c>
      <c r="AQ799" t="s">
        <v>8</v>
      </c>
      <c r="AR799" t="s">
        <v>8</v>
      </c>
      <c r="AS799" t="s">
        <v>8</v>
      </c>
      <c r="AT799">
        <v>11945.7</v>
      </c>
    </row>
    <row r="800" spans="34:46" x14ac:dyDescent="0.35">
      <c r="AH800" t="s">
        <v>204</v>
      </c>
      <c r="AI800" t="s">
        <v>180</v>
      </c>
      <c r="AJ800" s="3">
        <v>45106</v>
      </c>
      <c r="AK800" t="s">
        <v>42</v>
      </c>
      <c r="AL800" s="1">
        <v>8600</v>
      </c>
      <c r="AM800" t="s">
        <v>8</v>
      </c>
      <c r="AN800" t="s">
        <v>8</v>
      </c>
      <c r="AO800" t="s">
        <v>8</v>
      </c>
      <c r="AP800" s="1">
        <v>8.3000000000000007</v>
      </c>
      <c r="AQ800" t="s">
        <v>8</v>
      </c>
      <c r="AR800" t="s">
        <v>8</v>
      </c>
      <c r="AS800" t="s">
        <v>8</v>
      </c>
      <c r="AT800">
        <v>11945.7</v>
      </c>
    </row>
    <row r="801" spans="34:46" x14ac:dyDescent="0.35">
      <c r="AH801" t="s">
        <v>204</v>
      </c>
      <c r="AI801" t="s">
        <v>180</v>
      </c>
      <c r="AJ801" s="3">
        <v>45106</v>
      </c>
      <c r="AK801" t="s">
        <v>42</v>
      </c>
      <c r="AL801" s="1">
        <v>8800</v>
      </c>
      <c r="AM801" t="s">
        <v>8</v>
      </c>
      <c r="AN801" t="s">
        <v>8</v>
      </c>
      <c r="AO801" t="s">
        <v>8</v>
      </c>
      <c r="AP801" s="1">
        <v>10.85</v>
      </c>
      <c r="AQ801" t="s">
        <v>8</v>
      </c>
      <c r="AR801" t="s">
        <v>8</v>
      </c>
      <c r="AS801" t="s">
        <v>8</v>
      </c>
      <c r="AT801">
        <v>11945.7</v>
      </c>
    </row>
    <row r="802" spans="34:46" x14ac:dyDescent="0.35">
      <c r="AH802" t="s">
        <v>204</v>
      </c>
      <c r="AI802" t="s">
        <v>180</v>
      </c>
      <c r="AJ802" s="3">
        <v>44196</v>
      </c>
      <c r="AK802" t="s">
        <v>42</v>
      </c>
      <c r="AL802" s="1">
        <v>10100</v>
      </c>
      <c r="AM802" t="s">
        <v>8</v>
      </c>
      <c r="AN802" t="s">
        <v>8</v>
      </c>
      <c r="AO802" t="s">
        <v>8</v>
      </c>
      <c r="AP802" s="1" t="s">
        <v>8</v>
      </c>
      <c r="AQ802" t="s">
        <v>8</v>
      </c>
      <c r="AR802" t="s">
        <v>8</v>
      </c>
      <c r="AS802" t="s">
        <v>8</v>
      </c>
      <c r="AT802">
        <v>11945.7</v>
      </c>
    </row>
    <row r="803" spans="34:46" x14ac:dyDescent="0.35">
      <c r="AH803" t="s">
        <v>204</v>
      </c>
      <c r="AI803" t="s">
        <v>180</v>
      </c>
      <c r="AJ803" s="3">
        <v>43629</v>
      </c>
      <c r="AK803" t="s">
        <v>41</v>
      </c>
      <c r="AL803" s="1">
        <v>10750</v>
      </c>
      <c r="AM803" t="s">
        <v>8</v>
      </c>
      <c r="AN803" t="s">
        <v>8</v>
      </c>
      <c r="AO803" t="s">
        <v>8</v>
      </c>
      <c r="AP803" s="1">
        <v>983.05</v>
      </c>
      <c r="AQ803" t="s">
        <v>8</v>
      </c>
      <c r="AR803" t="s">
        <v>8</v>
      </c>
      <c r="AS803" t="s">
        <v>8</v>
      </c>
      <c r="AT803">
        <v>11945.7</v>
      </c>
    </row>
    <row r="804" spans="34:46" x14ac:dyDescent="0.35">
      <c r="AH804" t="s">
        <v>204</v>
      </c>
      <c r="AI804" t="s">
        <v>180</v>
      </c>
      <c r="AJ804" s="3">
        <v>43671</v>
      </c>
      <c r="AK804" t="s">
        <v>42</v>
      </c>
      <c r="AL804" s="1">
        <v>11250</v>
      </c>
      <c r="AM804" t="s">
        <v>8</v>
      </c>
      <c r="AN804" t="s">
        <v>8</v>
      </c>
      <c r="AO804" t="s">
        <v>8</v>
      </c>
      <c r="AP804" s="1">
        <v>98.7</v>
      </c>
      <c r="AQ804" t="s">
        <v>8</v>
      </c>
      <c r="AR804" t="s">
        <v>8</v>
      </c>
      <c r="AS804" t="s">
        <v>8</v>
      </c>
      <c r="AT804">
        <v>11945.7</v>
      </c>
    </row>
    <row r="805" spans="34:46" x14ac:dyDescent="0.35">
      <c r="AH805" t="s">
        <v>204</v>
      </c>
      <c r="AI805" t="s">
        <v>180</v>
      </c>
      <c r="AJ805" s="3">
        <v>43629</v>
      </c>
      <c r="AK805" t="s">
        <v>41</v>
      </c>
      <c r="AL805" s="1">
        <v>10950</v>
      </c>
      <c r="AM805" t="s">
        <v>8</v>
      </c>
      <c r="AN805" t="s">
        <v>8</v>
      </c>
      <c r="AO805" t="s">
        <v>8</v>
      </c>
      <c r="AP805" s="1">
        <v>797.75</v>
      </c>
      <c r="AQ805" t="s">
        <v>8</v>
      </c>
      <c r="AR805" t="s">
        <v>8</v>
      </c>
      <c r="AS805" t="s">
        <v>8</v>
      </c>
      <c r="AT805">
        <v>11945.7</v>
      </c>
    </row>
    <row r="806" spans="34:46" x14ac:dyDescent="0.35">
      <c r="AH806" t="s">
        <v>204</v>
      </c>
      <c r="AI806" t="s">
        <v>180</v>
      </c>
      <c r="AJ806" s="3">
        <v>43629</v>
      </c>
      <c r="AK806" t="s">
        <v>42</v>
      </c>
      <c r="AL806" s="1">
        <v>12300</v>
      </c>
      <c r="AM806" t="s">
        <v>8</v>
      </c>
      <c r="AN806" t="s">
        <v>8</v>
      </c>
      <c r="AO806" t="s">
        <v>8</v>
      </c>
      <c r="AP806">
        <v>613</v>
      </c>
      <c r="AQ806" t="s">
        <v>8</v>
      </c>
      <c r="AR806" t="s">
        <v>8</v>
      </c>
      <c r="AS806" t="s">
        <v>8</v>
      </c>
      <c r="AT806">
        <v>11945.7</v>
      </c>
    </row>
    <row r="807" spans="34:46" x14ac:dyDescent="0.35">
      <c r="AH807" t="s">
        <v>204</v>
      </c>
      <c r="AI807" t="s">
        <v>180</v>
      </c>
      <c r="AJ807" s="3">
        <v>43671</v>
      </c>
      <c r="AK807" t="s">
        <v>42</v>
      </c>
      <c r="AL807" s="1">
        <v>11450</v>
      </c>
      <c r="AM807" t="s">
        <v>8</v>
      </c>
      <c r="AN807" t="s">
        <v>8</v>
      </c>
      <c r="AO807" t="s">
        <v>8</v>
      </c>
      <c r="AP807" s="1">
        <v>152.5</v>
      </c>
      <c r="AQ807" t="s">
        <v>8</v>
      </c>
      <c r="AR807" t="s">
        <v>8</v>
      </c>
      <c r="AS807" t="s">
        <v>8</v>
      </c>
      <c r="AT807">
        <v>11945.7</v>
      </c>
    </row>
    <row r="808" spans="34:46" x14ac:dyDescent="0.35">
      <c r="AH808" t="s">
        <v>204</v>
      </c>
      <c r="AI808" t="s">
        <v>180</v>
      </c>
      <c r="AJ808" s="3">
        <v>44742</v>
      </c>
      <c r="AK808" t="s">
        <v>42</v>
      </c>
      <c r="AL808" s="1">
        <v>11100</v>
      </c>
      <c r="AM808" t="s">
        <v>8</v>
      </c>
      <c r="AN808" t="s">
        <v>8</v>
      </c>
      <c r="AO808" t="s">
        <v>8</v>
      </c>
      <c r="AP808" s="1">
        <v>732</v>
      </c>
      <c r="AQ808" t="s">
        <v>8</v>
      </c>
      <c r="AR808" t="s">
        <v>8</v>
      </c>
      <c r="AS808" t="s">
        <v>8</v>
      </c>
      <c r="AT808">
        <v>11945.7</v>
      </c>
    </row>
    <row r="809" spans="34:46" x14ac:dyDescent="0.35">
      <c r="AH809" t="s">
        <v>204</v>
      </c>
      <c r="AI809" t="s">
        <v>180</v>
      </c>
      <c r="AJ809" s="3">
        <v>43671</v>
      </c>
      <c r="AK809" t="s">
        <v>42</v>
      </c>
      <c r="AL809" s="1">
        <v>11650</v>
      </c>
      <c r="AM809" t="s">
        <v>8</v>
      </c>
      <c r="AN809" t="s">
        <v>8</v>
      </c>
      <c r="AO809" t="s">
        <v>8</v>
      </c>
      <c r="AP809" s="1">
        <v>224.45</v>
      </c>
      <c r="AQ809" t="s">
        <v>8</v>
      </c>
      <c r="AR809" t="s">
        <v>8</v>
      </c>
      <c r="AS809" t="s">
        <v>8</v>
      </c>
      <c r="AT809">
        <v>11945.7</v>
      </c>
    </row>
    <row r="810" spans="34:46" x14ac:dyDescent="0.35">
      <c r="AH810" t="s">
        <v>204</v>
      </c>
      <c r="AI810" t="s">
        <v>180</v>
      </c>
      <c r="AJ810" s="3">
        <v>43643</v>
      </c>
      <c r="AK810" t="s">
        <v>41</v>
      </c>
      <c r="AL810" s="1">
        <v>9650</v>
      </c>
      <c r="AM810" t="s">
        <v>8</v>
      </c>
      <c r="AN810" t="s">
        <v>8</v>
      </c>
      <c r="AO810" t="s">
        <v>8</v>
      </c>
      <c r="AP810" s="1">
        <v>1583.2</v>
      </c>
      <c r="AQ810" t="s">
        <v>8</v>
      </c>
      <c r="AR810" t="s">
        <v>8</v>
      </c>
      <c r="AS810" t="s">
        <v>8</v>
      </c>
      <c r="AT810">
        <v>11945.7</v>
      </c>
    </row>
    <row r="811" spans="34:46" x14ac:dyDescent="0.35">
      <c r="AH811" t="s">
        <v>204</v>
      </c>
      <c r="AI811" t="s">
        <v>180</v>
      </c>
      <c r="AJ811" s="3">
        <v>44560</v>
      </c>
      <c r="AK811" t="s">
        <v>42</v>
      </c>
      <c r="AL811" s="1">
        <v>9200</v>
      </c>
      <c r="AM811" t="s">
        <v>8</v>
      </c>
      <c r="AN811" t="s">
        <v>8</v>
      </c>
      <c r="AO811" t="s">
        <v>8</v>
      </c>
      <c r="AP811" s="1">
        <v>269</v>
      </c>
      <c r="AQ811" t="s">
        <v>8</v>
      </c>
      <c r="AR811" t="s">
        <v>8</v>
      </c>
      <c r="AS811" t="s">
        <v>8</v>
      </c>
      <c r="AT811">
        <v>11945.7</v>
      </c>
    </row>
    <row r="812" spans="34:46" x14ac:dyDescent="0.35">
      <c r="AH812" t="s">
        <v>204</v>
      </c>
      <c r="AI812" t="s">
        <v>180</v>
      </c>
      <c r="AJ812" s="3">
        <v>43643</v>
      </c>
      <c r="AK812" t="s">
        <v>41</v>
      </c>
      <c r="AL812" s="1">
        <v>9850</v>
      </c>
      <c r="AM812" t="s">
        <v>8</v>
      </c>
      <c r="AN812" t="s">
        <v>8</v>
      </c>
      <c r="AO812" t="s">
        <v>8</v>
      </c>
      <c r="AP812" s="1">
        <v>1605.35</v>
      </c>
      <c r="AQ812" t="s">
        <v>8</v>
      </c>
      <c r="AR812" t="s">
        <v>8</v>
      </c>
      <c r="AS812" t="s">
        <v>8</v>
      </c>
      <c r="AT812">
        <v>11945.7</v>
      </c>
    </row>
    <row r="813" spans="34:46" x14ac:dyDescent="0.35">
      <c r="AH813" t="s">
        <v>204</v>
      </c>
      <c r="AI813" t="s">
        <v>180</v>
      </c>
      <c r="AJ813" s="3">
        <v>44196</v>
      </c>
      <c r="AK813" t="s">
        <v>41</v>
      </c>
      <c r="AL813" s="1">
        <v>12000</v>
      </c>
      <c r="AM813" t="s">
        <v>8</v>
      </c>
      <c r="AN813" t="s">
        <v>8</v>
      </c>
      <c r="AO813" t="s">
        <v>8</v>
      </c>
      <c r="AP813" s="1">
        <v>1443.6</v>
      </c>
      <c r="AQ813" t="s">
        <v>8</v>
      </c>
      <c r="AR813" t="s">
        <v>8</v>
      </c>
      <c r="AS813" t="s">
        <v>8</v>
      </c>
      <c r="AT813">
        <v>11945.7</v>
      </c>
    </row>
    <row r="814" spans="34:46" x14ac:dyDescent="0.35">
      <c r="AH814" t="s">
        <v>204</v>
      </c>
      <c r="AI814" t="s">
        <v>180</v>
      </c>
      <c r="AJ814" s="3">
        <v>43664</v>
      </c>
      <c r="AK814" t="s">
        <v>41</v>
      </c>
      <c r="AL814" s="1">
        <v>9900</v>
      </c>
      <c r="AM814" t="s">
        <v>8</v>
      </c>
      <c r="AN814" t="s">
        <v>8</v>
      </c>
      <c r="AO814" t="s">
        <v>8</v>
      </c>
      <c r="AP814" s="1">
        <v>1480.1</v>
      </c>
      <c r="AQ814" t="s">
        <v>8</v>
      </c>
      <c r="AR814" t="s">
        <v>8</v>
      </c>
      <c r="AS814" t="s">
        <v>8</v>
      </c>
      <c r="AT814">
        <v>11945.7</v>
      </c>
    </row>
    <row r="815" spans="34:46" x14ac:dyDescent="0.35">
      <c r="AH815" t="s">
        <v>204</v>
      </c>
      <c r="AI815" t="s">
        <v>180</v>
      </c>
      <c r="AJ815" s="3">
        <v>44560</v>
      </c>
      <c r="AK815" t="s">
        <v>42</v>
      </c>
      <c r="AL815" s="1">
        <v>9400</v>
      </c>
      <c r="AM815" t="s">
        <v>8</v>
      </c>
      <c r="AN815" t="s">
        <v>8</v>
      </c>
      <c r="AO815" t="s">
        <v>8</v>
      </c>
      <c r="AP815">
        <v>566.29999999999995</v>
      </c>
      <c r="AQ815" t="s">
        <v>8</v>
      </c>
      <c r="AR815" t="s">
        <v>8</v>
      </c>
      <c r="AS815" t="s">
        <v>8</v>
      </c>
      <c r="AT815">
        <v>11945.7</v>
      </c>
    </row>
    <row r="816" spans="34:46" x14ac:dyDescent="0.35">
      <c r="AH816" t="s">
        <v>204</v>
      </c>
      <c r="AI816" t="s">
        <v>180</v>
      </c>
      <c r="AJ816" s="3">
        <v>44196</v>
      </c>
      <c r="AK816" t="s">
        <v>41</v>
      </c>
      <c r="AL816" s="1">
        <v>12200</v>
      </c>
      <c r="AM816" t="s">
        <v>8</v>
      </c>
      <c r="AN816" t="s">
        <v>8</v>
      </c>
      <c r="AO816" t="s">
        <v>8</v>
      </c>
      <c r="AP816" s="1" t="s">
        <v>8</v>
      </c>
      <c r="AQ816" t="s">
        <v>8</v>
      </c>
      <c r="AR816" t="s">
        <v>8</v>
      </c>
      <c r="AS816" t="s">
        <v>8</v>
      </c>
      <c r="AT816">
        <v>11945.7</v>
      </c>
    </row>
    <row r="817" spans="34:46" x14ac:dyDescent="0.35">
      <c r="AH817" t="s">
        <v>204</v>
      </c>
      <c r="AI817" t="s">
        <v>180</v>
      </c>
      <c r="AJ817" s="3">
        <v>43734</v>
      </c>
      <c r="AK817" t="s">
        <v>41</v>
      </c>
      <c r="AL817" s="1">
        <v>10500</v>
      </c>
      <c r="AM817" t="s">
        <v>8</v>
      </c>
      <c r="AN817" t="s">
        <v>8</v>
      </c>
      <c r="AO817" t="s">
        <v>8</v>
      </c>
      <c r="AP817" s="1">
        <v>1440.75</v>
      </c>
      <c r="AQ817" t="s">
        <v>8</v>
      </c>
      <c r="AR817" t="s">
        <v>8</v>
      </c>
      <c r="AS817" t="s">
        <v>8</v>
      </c>
      <c r="AT817">
        <v>11945.7</v>
      </c>
    </row>
    <row r="818" spans="34:46" x14ac:dyDescent="0.35">
      <c r="AH818" t="s">
        <v>204</v>
      </c>
      <c r="AI818" t="s">
        <v>180</v>
      </c>
      <c r="AJ818" s="3">
        <v>44560</v>
      </c>
      <c r="AK818" t="s">
        <v>42</v>
      </c>
      <c r="AL818" s="1">
        <v>9600</v>
      </c>
      <c r="AM818" t="s">
        <v>8</v>
      </c>
      <c r="AN818" t="s">
        <v>8</v>
      </c>
      <c r="AO818" t="s">
        <v>8</v>
      </c>
      <c r="AP818" s="1">
        <v>624.1</v>
      </c>
      <c r="AQ818" t="s">
        <v>8</v>
      </c>
      <c r="AR818" t="s">
        <v>8</v>
      </c>
      <c r="AS818" t="s">
        <v>8</v>
      </c>
      <c r="AT818">
        <v>11945.7</v>
      </c>
    </row>
    <row r="819" spans="34:46" x14ac:dyDescent="0.35">
      <c r="AH819" t="s">
        <v>204</v>
      </c>
      <c r="AI819" t="s">
        <v>180</v>
      </c>
      <c r="AJ819" s="3">
        <v>43671</v>
      </c>
      <c r="AK819" t="s">
        <v>41</v>
      </c>
      <c r="AL819" s="1">
        <v>13350</v>
      </c>
      <c r="AM819" t="s">
        <v>8</v>
      </c>
      <c r="AN819" t="s">
        <v>8</v>
      </c>
      <c r="AO819" t="s">
        <v>8</v>
      </c>
      <c r="AP819">
        <v>76.25</v>
      </c>
      <c r="AQ819" t="s">
        <v>8</v>
      </c>
      <c r="AR819" t="s">
        <v>8</v>
      </c>
      <c r="AS819" t="s">
        <v>8</v>
      </c>
      <c r="AT819">
        <v>11945.7</v>
      </c>
    </row>
    <row r="820" spans="34:46" x14ac:dyDescent="0.35">
      <c r="AH820" t="s">
        <v>204</v>
      </c>
      <c r="AI820" t="s">
        <v>180</v>
      </c>
      <c r="AJ820" s="3">
        <v>43734</v>
      </c>
      <c r="AK820" t="s">
        <v>42</v>
      </c>
      <c r="AL820" s="1">
        <v>8100</v>
      </c>
      <c r="AM820" t="s">
        <v>8</v>
      </c>
      <c r="AN820" t="s">
        <v>8</v>
      </c>
      <c r="AO820" t="s">
        <v>8</v>
      </c>
      <c r="AP820" s="1">
        <v>67.349999999999994</v>
      </c>
      <c r="AQ820" t="s">
        <v>8</v>
      </c>
      <c r="AR820" t="s">
        <v>8</v>
      </c>
      <c r="AS820" t="s">
        <v>8</v>
      </c>
      <c r="AT820">
        <v>11945.7</v>
      </c>
    </row>
    <row r="821" spans="34:46" x14ac:dyDescent="0.35">
      <c r="AH821" t="s">
        <v>204</v>
      </c>
      <c r="AI821" t="s">
        <v>180</v>
      </c>
      <c r="AJ821" s="3">
        <v>44007</v>
      </c>
      <c r="AK821" t="s">
        <v>42</v>
      </c>
      <c r="AL821" s="1">
        <v>7100</v>
      </c>
      <c r="AM821" t="s">
        <v>8</v>
      </c>
      <c r="AN821" t="s">
        <v>8</v>
      </c>
      <c r="AO821" t="s">
        <v>8</v>
      </c>
      <c r="AP821">
        <v>3.45</v>
      </c>
      <c r="AQ821" t="s">
        <v>8</v>
      </c>
      <c r="AR821" t="s">
        <v>8</v>
      </c>
      <c r="AS821" t="s">
        <v>8</v>
      </c>
      <c r="AT821">
        <v>11945.7</v>
      </c>
    </row>
    <row r="822" spans="34:46" x14ac:dyDescent="0.35">
      <c r="AH822" t="s">
        <v>204</v>
      </c>
      <c r="AI822" t="s">
        <v>180</v>
      </c>
      <c r="AJ822" s="3">
        <v>44196</v>
      </c>
      <c r="AK822" t="s">
        <v>41</v>
      </c>
      <c r="AL822" s="1">
        <v>10900</v>
      </c>
      <c r="AM822" t="s">
        <v>8</v>
      </c>
      <c r="AN822" t="s">
        <v>8</v>
      </c>
      <c r="AO822" t="s">
        <v>8</v>
      </c>
      <c r="AP822" s="1" t="s">
        <v>8</v>
      </c>
      <c r="AQ822" t="s">
        <v>8</v>
      </c>
      <c r="AR822" t="s">
        <v>8</v>
      </c>
      <c r="AS822" t="s">
        <v>8</v>
      </c>
      <c r="AT822">
        <v>11945.7</v>
      </c>
    </row>
    <row r="823" spans="34:46" x14ac:dyDescent="0.35">
      <c r="AH823" t="s">
        <v>204</v>
      </c>
      <c r="AI823" t="s">
        <v>180</v>
      </c>
      <c r="AJ823" s="3">
        <v>43650</v>
      </c>
      <c r="AK823" t="s">
        <v>41</v>
      </c>
      <c r="AL823" s="1">
        <v>11550</v>
      </c>
      <c r="AM823" t="s">
        <v>8</v>
      </c>
      <c r="AN823" t="s">
        <v>8</v>
      </c>
      <c r="AO823" t="s">
        <v>8</v>
      </c>
      <c r="AP823" s="1">
        <v>440.65</v>
      </c>
      <c r="AQ823" t="s">
        <v>8</v>
      </c>
      <c r="AR823" t="s">
        <v>8</v>
      </c>
      <c r="AS823" t="s">
        <v>8</v>
      </c>
      <c r="AT823">
        <v>11945.7</v>
      </c>
    </row>
    <row r="824" spans="34:46" x14ac:dyDescent="0.35">
      <c r="AH824" t="s">
        <v>204</v>
      </c>
      <c r="AI824" t="s">
        <v>180</v>
      </c>
      <c r="AJ824" s="3">
        <v>43825</v>
      </c>
      <c r="AK824" t="s">
        <v>42</v>
      </c>
      <c r="AL824" s="1">
        <v>11100</v>
      </c>
      <c r="AM824" t="s">
        <v>8</v>
      </c>
      <c r="AN824" t="s">
        <v>8</v>
      </c>
      <c r="AO824" t="s">
        <v>8</v>
      </c>
      <c r="AP824" s="1" t="s">
        <v>8</v>
      </c>
      <c r="AQ824" t="s">
        <v>8</v>
      </c>
      <c r="AR824" t="s">
        <v>8</v>
      </c>
      <c r="AS824" t="s">
        <v>8</v>
      </c>
      <c r="AT824">
        <v>11945.7</v>
      </c>
    </row>
    <row r="825" spans="34:46" x14ac:dyDescent="0.35">
      <c r="AH825" t="s">
        <v>204</v>
      </c>
      <c r="AI825" t="s">
        <v>180</v>
      </c>
      <c r="AJ825" s="3">
        <v>43734</v>
      </c>
      <c r="AK825" t="s">
        <v>42</v>
      </c>
      <c r="AL825" s="1">
        <v>8300</v>
      </c>
      <c r="AM825" t="s">
        <v>8</v>
      </c>
      <c r="AN825" t="s">
        <v>8</v>
      </c>
      <c r="AO825" t="s">
        <v>8</v>
      </c>
      <c r="AP825" s="1">
        <v>32.4</v>
      </c>
      <c r="AQ825" t="s">
        <v>8</v>
      </c>
      <c r="AR825" t="s">
        <v>8</v>
      </c>
      <c r="AS825" t="s">
        <v>8</v>
      </c>
      <c r="AT825">
        <v>11945.7</v>
      </c>
    </row>
    <row r="826" spans="34:46" x14ac:dyDescent="0.35">
      <c r="AH826" t="s">
        <v>204</v>
      </c>
      <c r="AI826" t="s">
        <v>180</v>
      </c>
      <c r="AJ826" s="3">
        <v>44924</v>
      </c>
      <c r="AK826" t="s">
        <v>42</v>
      </c>
      <c r="AL826" s="1">
        <v>9000</v>
      </c>
      <c r="AM826" t="s">
        <v>8</v>
      </c>
      <c r="AN826" t="s">
        <v>8</v>
      </c>
      <c r="AO826" t="s">
        <v>8</v>
      </c>
      <c r="AP826" s="1">
        <v>20.350000000000001</v>
      </c>
      <c r="AQ826" t="s">
        <v>8</v>
      </c>
      <c r="AR826" t="s">
        <v>8</v>
      </c>
      <c r="AS826" t="s">
        <v>8</v>
      </c>
      <c r="AT826">
        <v>11945.7</v>
      </c>
    </row>
    <row r="827" spans="34:46" x14ac:dyDescent="0.35">
      <c r="AH827" t="s">
        <v>204</v>
      </c>
      <c r="AI827" t="s">
        <v>180</v>
      </c>
      <c r="AJ827" s="3">
        <v>43643</v>
      </c>
      <c r="AK827" t="s">
        <v>42</v>
      </c>
      <c r="AL827" s="1">
        <v>10250</v>
      </c>
      <c r="AM827" t="s">
        <v>8</v>
      </c>
      <c r="AN827" t="s">
        <v>8</v>
      </c>
      <c r="AO827" t="s">
        <v>8</v>
      </c>
      <c r="AP827" s="1">
        <v>5.55</v>
      </c>
      <c r="AQ827" t="s">
        <v>8</v>
      </c>
      <c r="AR827" t="s">
        <v>8</v>
      </c>
      <c r="AS827" t="s">
        <v>8</v>
      </c>
      <c r="AT827">
        <v>11945.7</v>
      </c>
    </row>
    <row r="828" spans="34:46" x14ac:dyDescent="0.35">
      <c r="AH828" t="s">
        <v>204</v>
      </c>
      <c r="AI828" t="s">
        <v>180</v>
      </c>
      <c r="AJ828" s="3">
        <v>44560</v>
      </c>
      <c r="AK828" t="s">
        <v>42</v>
      </c>
      <c r="AL828" s="1">
        <v>12100</v>
      </c>
      <c r="AM828" t="s">
        <v>8</v>
      </c>
      <c r="AN828" t="s">
        <v>8</v>
      </c>
      <c r="AO828" t="s">
        <v>8</v>
      </c>
      <c r="AP828">
        <v>690.75</v>
      </c>
      <c r="AQ828" t="s">
        <v>8</v>
      </c>
      <c r="AR828" t="s">
        <v>8</v>
      </c>
      <c r="AS828" t="s">
        <v>8</v>
      </c>
      <c r="AT828">
        <v>11945.7</v>
      </c>
    </row>
    <row r="829" spans="34:46" x14ac:dyDescent="0.35">
      <c r="AH829" t="s">
        <v>204</v>
      </c>
      <c r="AI829" t="s">
        <v>180</v>
      </c>
      <c r="AJ829" s="3">
        <v>43650</v>
      </c>
      <c r="AK829" t="s">
        <v>41</v>
      </c>
      <c r="AL829" s="1">
        <v>11750</v>
      </c>
      <c r="AM829" t="s">
        <v>8</v>
      </c>
      <c r="AN829" t="s">
        <v>8</v>
      </c>
      <c r="AO829" t="s">
        <v>8</v>
      </c>
      <c r="AP829" s="1">
        <v>317.45</v>
      </c>
      <c r="AQ829" t="s">
        <v>8</v>
      </c>
      <c r="AR829" t="s">
        <v>8</v>
      </c>
      <c r="AS829" t="s">
        <v>8</v>
      </c>
      <c r="AT829">
        <v>11945.7</v>
      </c>
    </row>
    <row r="830" spans="34:46" x14ac:dyDescent="0.35">
      <c r="AH830" t="s">
        <v>204</v>
      </c>
      <c r="AI830" t="s">
        <v>180</v>
      </c>
      <c r="AJ830" s="3">
        <v>43650</v>
      </c>
      <c r="AK830" t="s">
        <v>42</v>
      </c>
      <c r="AL830" s="1">
        <v>13100</v>
      </c>
      <c r="AM830" t="s">
        <v>8</v>
      </c>
      <c r="AN830" t="s">
        <v>8</v>
      </c>
      <c r="AO830" t="s">
        <v>8</v>
      </c>
      <c r="AP830" s="1">
        <v>1224.5</v>
      </c>
      <c r="AQ830" t="s">
        <v>8</v>
      </c>
      <c r="AR830" t="s">
        <v>8</v>
      </c>
      <c r="AS830" t="s">
        <v>8</v>
      </c>
      <c r="AT830">
        <v>11945.7</v>
      </c>
    </row>
    <row r="831" spans="34:46" x14ac:dyDescent="0.35">
      <c r="AH831" t="s">
        <v>204</v>
      </c>
      <c r="AI831" t="s">
        <v>180</v>
      </c>
      <c r="AJ831" s="3">
        <v>43629</v>
      </c>
      <c r="AK831" t="s">
        <v>41</v>
      </c>
      <c r="AL831" s="1">
        <v>12900</v>
      </c>
      <c r="AM831" t="s">
        <v>8</v>
      </c>
      <c r="AN831" t="s">
        <v>8</v>
      </c>
      <c r="AO831" t="s">
        <v>8</v>
      </c>
      <c r="AP831" s="1">
        <v>6.9</v>
      </c>
      <c r="AQ831" t="s">
        <v>8</v>
      </c>
      <c r="AR831" t="s">
        <v>8</v>
      </c>
      <c r="AS831" t="s">
        <v>8</v>
      </c>
      <c r="AT831">
        <v>11945.7</v>
      </c>
    </row>
    <row r="832" spans="34:46" x14ac:dyDescent="0.35">
      <c r="AH832" t="s">
        <v>204</v>
      </c>
      <c r="AI832" t="s">
        <v>180</v>
      </c>
      <c r="AJ832" s="3">
        <v>43657</v>
      </c>
      <c r="AK832" t="s">
        <v>41</v>
      </c>
      <c r="AL832" s="1">
        <v>10000</v>
      </c>
      <c r="AM832" t="s">
        <v>8</v>
      </c>
      <c r="AN832" t="s">
        <v>8</v>
      </c>
      <c r="AO832" t="s">
        <v>8</v>
      </c>
      <c r="AP832" s="1">
        <v>1426.25</v>
      </c>
      <c r="AQ832" t="s">
        <v>8</v>
      </c>
      <c r="AR832" t="s">
        <v>8</v>
      </c>
      <c r="AS832" t="s">
        <v>8</v>
      </c>
      <c r="AT832">
        <v>11945.7</v>
      </c>
    </row>
    <row r="833" spans="34:46" x14ac:dyDescent="0.35">
      <c r="AH833" t="s">
        <v>204</v>
      </c>
      <c r="AI833" t="s">
        <v>180</v>
      </c>
      <c r="AJ833" s="3">
        <v>44007</v>
      </c>
      <c r="AK833" t="s">
        <v>42</v>
      </c>
      <c r="AL833" s="1">
        <v>5800</v>
      </c>
      <c r="AM833" t="s">
        <v>8</v>
      </c>
      <c r="AN833" t="s">
        <v>8</v>
      </c>
      <c r="AO833" t="s">
        <v>8</v>
      </c>
      <c r="AP833">
        <v>365.9</v>
      </c>
      <c r="AQ833" t="s">
        <v>8</v>
      </c>
      <c r="AR833" t="s">
        <v>8</v>
      </c>
      <c r="AS833" t="s">
        <v>8</v>
      </c>
      <c r="AT833">
        <v>11945.7</v>
      </c>
    </row>
    <row r="834" spans="34:46" x14ac:dyDescent="0.35">
      <c r="AH834" t="s">
        <v>204</v>
      </c>
      <c r="AI834" t="s">
        <v>180</v>
      </c>
      <c r="AJ834" s="3">
        <v>43671</v>
      </c>
      <c r="AK834" t="s">
        <v>42</v>
      </c>
      <c r="AL834" s="1">
        <v>13400</v>
      </c>
      <c r="AM834" t="s">
        <v>8</v>
      </c>
      <c r="AN834" t="s">
        <v>8</v>
      </c>
      <c r="AO834" t="s">
        <v>8</v>
      </c>
      <c r="AP834" s="1">
        <v>1381.3</v>
      </c>
      <c r="AQ834" t="s">
        <v>8</v>
      </c>
      <c r="AR834" t="s">
        <v>8</v>
      </c>
      <c r="AS834" t="s">
        <v>8</v>
      </c>
      <c r="AT834">
        <v>11945.7</v>
      </c>
    </row>
    <row r="835" spans="34:46" x14ac:dyDescent="0.35">
      <c r="AH835" t="s">
        <v>204</v>
      </c>
      <c r="AI835" t="s">
        <v>180</v>
      </c>
      <c r="AJ835" s="3">
        <v>43643</v>
      </c>
      <c r="AK835" t="s">
        <v>42</v>
      </c>
      <c r="AL835" s="1">
        <v>10450</v>
      </c>
      <c r="AM835" t="s">
        <v>8</v>
      </c>
      <c r="AN835" t="s">
        <v>8</v>
      </c>
      <c r="AO835" t="s">
        <v>8</v>
      </c>
      <c r="AP835" s="1">
        <v>5</v>
      </c>
      <c r="AQ835" t="s">
        <v>8</v>
      </c>
      <c r="AR835" t="s">
        <v>8</v>
      </c>
      <c r="AS835" t="s">
        <v>8</v>
      </c>
      <c r="AT835">
        <v>11945.7</v>
      </c>
    </row>
    <row r="836" spans="34:46" x14ac:dyDescent="0.35">
      <c r="AH836" t="s">
        <v>204</v>
      </c>
      <c r="AI836" t="s">
        <v>180</v>
      </c>
      <c r="AJ836" s="3">
        <v>44560</v>
      </c>
      <c r="AK836" t="s">
        <v>42</v>
      </c>
      <c r="AL836" s="1">
        <v>12300</v>
      </c>
      <c r="AM836" t="s">
        <v>8</v>
      </c>
      <c r="AN836" t="s">
        <v>8</v>
      </c>
      <c r="AO836" t="s">
        <v>8</v>
      </c>
      <c r="AP836" s="1">
        <v>1411</v>
      </c>
      <c r="AQ836" t="s">
        <v>8</v>
      </c>
      <c r="AR836" t="s">
        <v>8</v>
      </c>
      <c r="AS836" t="s">
        <v>8</v>
      </c>
      <c r="AT836">
        <v>11945.7</v>
      </c>
    </row>
    <row r="837" spans="34:46" x14ac:dyDescent="0.35">
      <c r="AH837" t="s">
        <v>204</v>
      </c>
      <c r="AI837" t="s">
        <v>180</v>
      </c>
      <c r="AJ837" s="3">
        <v>43657</v>
      </c>
      <c r="AK837" t="s">
        <v>41</v>
      </c>
      <c r="AL837" s="1">
        <v>10200</v>
      </c>
      <c r="AM837" t="s">
        <v>8</v>
      </c>
      <c r="AN837" t="s">
        <v>8</v>
      </c>
      <c r="AO837" t="s">
        <v>8</v>
      </c>
      <c r="AP837" s="1">
        <v>1232.0999999999999</v>
      </c>
      <c r="AQ837" t="s">
        <v>8</v>
      </c>
      <c r="AR837" t="s">
        <v>8</v>
      </c>
      <c r="AS837" t="s">
        <v>8</v>
      </c>
      <c r="AT837">
        <v>11945.7</v>
      </c>
    </row>
    <row r="838" spans="34:46" x14ac:dyDescent="0.35">
      <c r="AH838" t="s">
        <v>204</v>
      </c>
      <c r="AI838" t="s">
        <v>180</v>
      </c>
      <c r="AJ838" s="3">
        <v>44924</v>
      </c>
      <c r="AK838" t="s">
        <v>42</v>
      </c>
      <c r="AL838" s="1">
        <v>7700</v>
      </c>
      <c r="AM838" t="s">
        <v>8</v>
      </c>
      <c r="AN838" t="s">
        <v>8</v>
      </c>
      <c r="AO838" t="s">
        <v>8</v>
      </c>
      <c r="AP838" s="1">
        <v>51.85</v>
      </c>
      <c r="AQ838" t="s">
        <v>8</v>
      </c>
      <c r="AR838" t="s">
        <v>8</v>
      </c>
      <c r="AS838" t="s">
        <v>8</v>
      </c>
      <c r="AT838">
        <v>11945.7</v>
      </c>
    </row>
    <row r="839" spans="34:46" x14ac:dyDescent="0.35">
      <c r="AH839" t="s">
        <v>204</v>
      </c>
      <c r="AI839" t="s">
        <v>180</v>
      </c>
      <c r="AJ839" s="3">
        <v>44924</v>
      </c>
      <c r="AK839" t="s">
        <v>42</v>
      </c>
      <c r="AL839" s="1">
        <v>7900</v>
      </c>
      <c r="AM839" t="s">
        <v>8</v>
      </c>
      <c r="AN839" t="s">
        <v>8</v>
      </c>
      <c r="AO839" t="s">
        <v>8</v>
      </c>
      <c r="AP839" s="1">
        <v>26.8</v>
      </c>
      <c r="AQ839" t="s">
        <v>8</v>
      </c>
      <c r="AR839" t="s">
        <v>8</v>
      </c>
      <c r="AS839" t="s">
        <v>8</v>
      </c>
      <c r="AT839">
        <v>11945.7</v>
      </c>
    </row>
    <row r="840" spans="34:46" x14ac:dyDescent="0.35">
      <c r="AH840" t="s">
        <v>204</v>
      </c>
      <c r="AI840" t="s">
        <v>180</v>
      </c>
      <c r="AJ840" s="3">
        <v>44196</v>
      </c>
      <c r="AK840" t="s">
        <v>41</v>
      </c>
      <c r="AL840" s="1">
        <v>9500</v>
      </c>
      <c r="AM840" t="s">
        <v>8</v>
      </c>
      <c r="AN840" t="s">
        <v>8</v>
      </c>
      <c r="AO840" t="s">
        <v>8</v>
      </c>
      <c r="AP840" s="1" t="s">
        <v>8</v>
      </c>
      <c r="AQ840" t="s">
        <v>8</v>
      </c>
      <c r="AR840" t="s">
        <v>8</v>
      </c>
      <c r="AS840" t="s">
        <v>8</v>
      </c>
      <c r="AT840">
        <v>11945.7</v>
      </c>
    </row>
    <row r="841" spans="34:46" x14ac:dyDescent="0.35">
      <c r="AH841" t="s">
        <v>204</v>
      </c>
      <c r="AI841" t="s">
        <v>180</v>
      </c>
      <c r="AJ841" s="3">
        <v>44196</v>
      </c>
      <c r="AK841" t="s">
        <v>41</v>
      </c>
      <c r="AL841" s="1">
        <v>9700</v>
      </c>
      <c r="AM841" t="s">
        <v>8</v>
      </c>
      <c r="AN841" t="s">
        <v>8</v>
      </c>
      <c r="AO841" t="s">
        <v>8</v>
      </c>
      <c r="AP841" s="1" t="s">
        <v>8</v>
      </c>
      <c r="AQ841" t="s">
        <v>8</v>
      </c>
      <c r="AR841" t="s">
        <v>8</v>
      </c>
      <c r="AS841" t="s">
        <v>8</v>
      </c>
      <c r="AT841">
        <v>11945.7</v>
      </c>
    </row>
    <row r="842" spans="34:46" x14ac:dyDescent="0.35">
      <c r="AH842" t="s">
        <v>204</v>
      </c>
      <c r="AI842" t="s">
        <v>180</v>
      </c>
      <c r="AJ842" s="3">
        <v>43825</v>
      </c>
      <c r="AK842" t="s">
        <v>41</v>
      </c>
      <c r="AL842" s="1">
        <v>11700</v>
      </c>
      <c r="AM842" t="s">
        <v>8</v>
      </c>
      <c r="AN842" t="s">
        <v>8</v>
      </c>
      <c r="AO842" t="s">
        <v>8</v>
      </c>
      <c r="AP842" s="1">
        <v>801</v>
      </c>
      <c r="AQ842" t="s">
        <v>8</v>
      </c>
      <c r="AR842" t="s">
        <v>8</v>
      </c>
      <c r="AS842" t="s">
        <v>8</v>
      </c>
      <c r="AT842">
        <v>11945.7</v>
      </c>
    </row>
    <row r="843" spans="34:46" x14ac:dyDescent="0.35">
      <c r="AH843" t="s">
        <v>204</v>
      </c>
      <c r="AI843" t="s">
        <v>180</v>
      </c>
      <c r="AJ843" s="3">
        <v>43650</v>
      </c>
      <c r="AK843" t="s">
        <v>41</v>
      </c>
      <c r="AL843" s="1">
        <v>9750</v>
      </c>
      <c r="AM843" t="s">
        <v>8</v>
      </c>
      <c r="AN843" t="s">
        <v>8</v>
      </c>
      <c r="AO843" t="s">
        <v>8</v>
      </c>
      <c r="AP843" s="1">
        <v>1497.8</v>
      </c>
      <c r="AQ843" t="s">
        <v>8</v>
      </c>
      <c r="AR843" t="s">
        <v>8</v>
      </c>
      <c r="AS843" t="s">
        <v>8</v>
      </c>
      <c r="AT843">
        <v>11945.7</v>
      </c>
    </row>
    <row r="844" spans="34:46" x14ac:dyDescent="0.35">
      <c r="AH844" t="s">
        <v>204</v>
      </c>
      <c r="AI844" t="s">
        <v>180</v>
      </c>
      <c r="AJ844" s="3">
        <v>43622</v>
      </c>
      <c r="AK844" t="s">
        <v>41</v>
      </c>
      <c r="AL844" s="1">
        <v>10550</v>
      </c>
      <c r="AM844" t="s">
        <v>8</v>
      </c>
      <c r="AN844" t="s">
        <v>8</v>
      </c>
      <c r="AO844" t="s">
        <v>8</v>
      </c>
      <c r="AP844" s="1">
        <v>1180.5999999999999</v>
      </c>
      <c r="AQ844" t="s">
        <v>8</v>
      </c>
      <c r="AR844" t="s">
        <v>8</v>
      </c>
      <c r="AS844" t="s">
        <v>8</v>
      </c>
      <c r="AT844">
        <v>11945.7</v>
      </c>
    </row>
    <row r="845" spans="34:46" x14ac:dyDescent="0.35">
      <c r="AH845" t="s">
        <v>204</v>
      </c>
      <c r="AI845" t="s">
        <v>180</v>
      </c>
      <c r="AJ845" s="3">
        <v>43643</v>
      </c>
      <c r="AK845" t="s">
        <v>41</v>
      </c>
      <c r="AL845" s="1">
        <v>12550</v>
      </c>
      <c r="AM845" t="s">
        <v>8</v>
      </c>
      <c r="AN845" t="s">
        <v>8</v>
      </c>
      <c r="AO845" t="s">
        <v>8</v>
      </c>
      <c r="AP845" s="1">
        <v>79.7</v>
      </c>
      <c r="AQ845" t="s">
        <v>8</v>
      </c>
      <c r="AR845" t="s">
        <v>8</v>
      </c>
      <c r="AS845" t="s">
        <v>8</v>
      </c>
      <c r="AT845">
        <v>11945.7</v>
      </c>
    </row>
    <row r="846" spans="34:46" x14ac:dyDescent="0.35">
      <c r="AH846" t="s">
        <v>204</v>
      </c>
      <c r="AI846" t="s">
        <v>180</v>
      </c>
      <c r="AJ846" s="3">
        <v>43825</v>
      </c>
      <c r="AK846" t="s">
        <v>41</v>
      </c>
      <c r="AL846" s="1">
        <v>11900</v>
      </c>
      <c r="AM846" t="s">
        <v>8</v>
      </c>
      <c r="AN846" t="s">
        <v>8</v>
      </c>
      <c r="AO846" t="s">
        <v>8</v>
      </c>
      <c r="AP846" s="1">
        <v>408</v>
      </c>
      <c r="AQ846" t="s">
        <v>8</v>
      </c>
      <c r="AR846" t="s">
        <v>8</v>
      </c>
      <c r="AS846" t="s">
        <v>8</v>
      </c>
      <c r="AT846">
        <v>11945.7</v>
      </c>
    </row>
    <row r="847" spans="34:46" x14ac:dyDescent="0.35">
      <c r="AH847" t="s">
        <v>204</v>
      </c>
      <c r="AI847" t="s">
        <v>180</v>
      </c>
      <c r="AJ847" s="3">
        <v>43650</v>
      </c>
      <c r="AK847" t="s">
        <v>41</v>
      </c>
      <c r="AL847" s="1">
        <v>9950</v>
      </c>
      <c r="AM847" t="s">
        <v>8</v>
      </c>
      <c r="AN847" t="s">
        <v>8</v>
      </c>
      <c r="AO847" t="s">
        <v>8</v>
      </c>
      <c r="AP847" s="1">
        <v>1520.45</v>
      </c>
      <c r="AQ847" t="s">
        <v>8</v>
      </c>
      <c r="AR847" t="s">
        <v>8</v>
      </c>
      <c r="AS847" t="s">
        <v>8</v>
      </c>
      <c r="AT847">
        <v>11945.7</v>
      </c>
    </row>
    <row r="848" spans="34:46" x14ac:dyDescent="0.35">
      <c r="AH848" t="s">
        <v>204</v>
      </c>
      <c r="AI848" t="s">
        <v>180</v>
      </c>
      <c r="AJ848" s="3">
        <v>43622</v>
      </c>
      <c r="AK848" t="s">
        <v>41</v>
      </c>
      <c r="AL848" s="1">
        <v>10750</v>
      </c>
      <c r="AM848" t="s">
        <v>8</v>
      </c>
      <c r="AN848" t="s">
        <v>8</v>
      </c>
      <c r="AO848" t="s">
        <v>8</v>
      </c>
      <c r="AP848">
        <v>989.6</v>
      </c>
      <c r="AQ848" t="s">
        <v>8</v>
      </c>
      <c r="AR848" t="s">
        <v>8</v>
      </c>
      <c r="AS848" t="s">
        <v>8</v>
      </c>
      <c r="AT848">
        <v>11945.7</v>
      </c>
    </row>
    <row r="849" spans="34:46" x14ac:dyDescent="0.35">
      <c r="AH849" t="s">
        <v>204</v>
      </c>
      <c r="AI849" t="s">
        <v>180</v>
      </c>
      <c r="AJ849" s="3">
        <v>44196</v>
      </c>
      <c r="AK849" t="s">
        <v>42</v>
      </c>
      <c r="AL849" s="1">
        <v>8400</v>
      </c>
      <c r="AM849" t="s">
        <v>8</v>
      </c>
      <c r="AN849" t="s">
        <v>8</v>
      </c>
      <c r="AO849" t="s">
        <v>8</v>
      </c>
      <c r="AP849" s="1">
        <v>205</v>
      </c>
      <c r="AQ849" t="s">
        <v>8</v>
      </c>
      <c r="AR849" t="s">
        <v>8</v>
      </c>
      <c r="AS849" t="s">
        <v>8</v>
      </c>
      <c r="AT849">
        <v>11945.7</v>
      </c>
    </row>
    <row r="850" spans="34:46" x14ac:dyDescent="0.35">
      <c r="AH850" t="s">
        <v>204</v>
      </c>
      <c r="AI850" t="s">
        <v>180</v>
      </c>
      <c r="AJ850" s="3">
        <v>44196</v>
      </c>
      <c r="AK850" t="s">
        <v>42</v>
      </c>
      <c r="AL850" s="1">
        <v>8600</v>
      </c>
      <c r="AM850" t="s">
        <v>8</v>
      </c>
      <c r="AN850" t="s">
        <v>8</v>
      </c>
      <c r="AO850" t="s">
        <v>8</v>
      </c>
      <c r="AP850">
        <v>223</v>
      </c>
      <c r="AQ850" t="s">
        <v>8</v>
      </c>
      <c r="AR850" t="s">
        <v>8</v>
      </c>
      <c r="AS850" t="s">
        <v>8</v>
      </c>
      <c r="AT850">
        <v>11945.7</v>
      </c>
    </row>
    <row r="851" spans="34:46" x14ac:dyDescent="0.35">
      <c r="AH851" t="s">
        <v>204</v>
      </c>
      <c r="AI851" t="s">
        <v>180</v>
      </c>
      <c r="AJ851" s="3">
        <v>43636</v>
      </c>
      <c r="AK851" t="s">
        <v>41</v>
      </c>
      <c r="AL851" s="1">
        <v>11550</v>
      </c>
      <c r="AM851" t="s">
        <v>8</v>
      </c>
      <c r="AN851" t="s">
        <v>8</v>
      </c>
      <c r="AO851" t="s">
        <v>8</v>
      </c>
      <c r="AP851" s="1">
        <v>424.85</v>
      </c>
      <c r="AQ851" t="s">
        <v>8</v>
      </c>
      <c r="AR851" t="s">
        <v>8</v>
      </c>
      <c r="AS851" t="s">
        <v>8</v>
      </c>
      <c r="AT851">
        <v>11945.7</v>
      </c>
    </row>
    <row r="852" spans="34:46" x14ac:dyDescent="0.35">
      <c r="AH852" t="s">
        <v>204</v>
      </c>
      <c r="AI852" t="s">
        <v>180</v>
      </c>
      <c r="AJ852" s="3">
        <v>44196</v>
      </c>
      <c r="AK852" t="s">
        <v>42</v>
      </c>
      <c r="AL852" s="1">
        <v>8800</v>
      </c>
      <c r="AM852" t="s">
        <v>8</v>
      </c>
      <c r="AN852" t="s">
        <v>8</v>
      </c>
      <c r="AO852" t="s">
        <v>8</v>
      </c>
      <c r="AP852">
        <v>255.55</v>
      </c>
      <c r="AQ852" t="s">
        <v>8</v>
      </c>
      <c r="AR852" t="s">
        <v>8</v>
      </c>
      <c r="AS852" t="s">
        <v>8</v>
      </c>
      <c r="AT852">
        <v>11945.7</v>
      </c>
    </row>
    <row r="853" spans="34:46" x14ac:dyDescent="0.35">
      <c r="AH853" t="s">
        <v>204</v>
      </c>
      <c r="AI853" t="s">
        <v>180</v>
      </c>
      <c r="AJ853" s="3">
        <v>43636</v>
      </c>
      <c r="AK853" t="s">
        <v>41</v>
      </c>
      <c r="AL853" s="1">
        <v>11750</v>
      </c>
      <c r="AM853" t="s">
        <v>8</v>
      </c>
      <c r="AN853" t="s">
        <v>8</v>
      </c>
      <c r="AO853" t="s">
        <v>8</v>
      </c>
      <c r="AP853">
        <v>294.95</v>
      </c>
      <c r="AQ853" t="s">
        <v>8</v>
      </c>
      <c r="AR853" t="s">
        <v>8</v>
      </c>
      <c r="AS853" t="s">
        <v>8</v>
      </c>
      <c r="AT853">
        <v>11945.7</v>
      </c>
    </row>
    <row r="854" spans="34:46" x14ac:dyDescent="0.35">
      <c r="AH854" t="s">
        <v>204</v>
      </c>
      <c r="AI854" t="s">
        <v>180</v>
      </c>
      <c r="AJ854" s="3">
        <v>43636</v>
      </c>
      <c r="AK854" t="s">
        <v>42</v>
      </c>
      <c r="AL854" s="1">
        <v>13100</v>
      </c>
      <c r="AM854" t="s">
        <v>8</v>
      </c>
      <c r="AN854" t="s">
        <v>8</v>
      </c>
      <c r="AO854" t="s">
        <v>8</v>
      </c>
      <c r="AP854" s="1">
        <v>1201.8</v>
      </c>
      <c r="AQ854" t="s">
        <v>8</v>
      </c>
      <c r="AR854" t="s">
        <v>8</v>
      </c>
      <c r="AS854" t="s">
        <v>8</v>
      </c>
      <c r="AT854">
        <v>11945.7</v>
      </c>
    </row>
    <row r="855" spans="34:46" x14ac:dyDescent="0.35">
      <c r="AH855" t="s">
        <v>204</v>
      </c>
      <c r="AI855" t="s">
        <v>180</v>
      </c>
      <c r="AJ855" s="3">
        <v>43636</v>
      </c>
      <c r="AK855" t="s">
        <v>41</v>
      </c>
      <c r="AL855" s="1">
        <v>11950</v>
      </c>
      <c r="AM855" t="s">
        <v>8</v>
      </c>
      <c r="AN855" t="s">
        <v>8</v>
      </c>
      <c r="AO855" t="s">
        <v>8</v>
      </c>
      <c r="AP855" s="1">
        <v>192.45</v>
      </c>
      <c r="AQ855" t="s">
        <v>8</v>
      </c>
      <c r="AR855" t="s">
        <v>8</v>
      </c>
      <c r="AS855" t="s">
        <v>8</v>
      </c>
      <c r="AT855">
        <v>11945.7</v>
      </c>
    </row>
    <row r="856" spans="34:46" x14ac:dyDescent="0.35">
      <c r="AH856" t="s">
        <v>204</v>
      </c>
      <c r="AI856" t="s">
        <v>180</v>
      </c>
      <c r="AJ856" s="3">
        <v>43643</v>
      </c>
      <c r="AK856" t="s">
        <v>41</v>
      </c>
      <c r="AL856" s="1">
        <v>6600</v>
      </c>
      <c r="AM856" t="s">
        <v>8</v>
      </c>
      <c r="AN856" t="s">
        <v>8</v>
      </c>
      <c r="AO856" t="s">
        <v>8</v>
      </c>
      <c r="AP856" s="1">
        <v>3299.8</v>
      </c>
      <c r="AQ856" t="s">
        <v>8</v>
      </c>
      <c r="AR856" t="s">
        <v>8</v>
      </c>
      <c r="AS856" t="s">
        <v>8</v>
      </c>
      <c r="AT856">
        <v>11945.7</v>
      </c>
    </row>
    <row r="857" spans="34:46" x14ac:dyDescent="0.35">
      <c r="AH857" t="s">
        <v>204</v>
      </c>
      <c r="AI857" t="s">
        <v>180</v>
      </c>
      <c r="AJ857" s="3">
        <v>43643</v>
      </c>
      <c r="AK857" t="s">
        <v>41</v>
      </c>
      <c r="AL857" s="1">
        <v>6800</v>
      </c>
      <c r="AM857" t="s">
        <v>8</v>
      </c>
      <c r="AN857" t="s">
        <v>8</v>
      </c>
      <c r="AO857" t="s">
        <v>8</v>
      </c>
      <c r="AP857" s="1">
        <v>3183.25</v>
      </c>
      <c r="AQ857" t="s">
        <v>8</v>
      </c>
      <c r="AR857" t="s">
        <v>8</v>
      </c>
      <c r="AS857" t="s">
        <v>8</v>
      </c>
      <c r="AT857">
        <v>11945.7</v>
      </c>
    </row>
    <row r="858" spans="34:46" x14ac:dyDescent="0.35">
      <c r="AH858" t="s">
        <v>204</v>
      </c>
      <c r="AI858" t="s">
        <v>180</v>
      </c>
      <c r="AJ858" s="3">
        <v>43636</v>
      </c>
      <c r="AK858" t="s">
        <v>42</v>
      </c>
      <c r="AL858" s="1">
        <v>11800</v>
      </c>
      <c r="AM858" t="s">
        <v>8</v>
      </c>
      <c r="AN858" t="s">
        <v>8</v>
      </c>
      <c r="AO858" t="s">
        <v>8</v>
      </c>
      <c r="AP858" s="1">
        <v>179.05</v>
      </c>
      <c r="AQ858" t="s">
        <v>8</v>
      </c>
      <c r="AR858" t="s">
        <v>8</v>
      </c>
      <c r="AS858" t="s">
        <v>8</v>
      </c>
      <c r="AT858">
        <v>11945.7</v>
      </c>
    </row>
    <row r="859" spans="34:46" x14ac:dyDescent="0.35">
      <c r="AH859" t="s">
        <v>204</v>
      </c>
      <c r="AI859" t="s">
        <v>180</v>
      </c>
      <c r="AJ859" s="3">
        <v>44007</v>
      </c>
      <c r="AK859" t="s">
        <v>42</v>
      </c>
      <c r="AL859" s="1">
        <v>11200</v>
      </c>
      <c r="AM859" t="s">
        <v>8</v>
      </c>
      <c r="AN859" t="s">
        <v>8</v>
      </c>
      <c r="AO859" t="s">
        <v>8</v>
      </c>
      <c r="AP859" s="1" t="s">
        <v>8</v>
      </c>
      <c r="AQ859" t="s">
        <v>8</v>
      </c>
      <c r="AR859" t="s">
        <v>8</v>
      </c>
      <c r="AS859" t="s">
        <v>8</v>
      </c>
      <c r="AT859">
        <v>11945.7</v>
      </c>
    </row>
    <row r="860" spans="34:46" x14ac:dyDescent="0.35">
      <c r="AH860" t="s">
        <v>204</v>
      </c>
      <c r="AI860" t="s">
        <v>180</v>
      </c>
      <c r="AJ860" s="3">
        <v>43643</v>
      </c>
      <c r="AK860" t="s">
        <v>42</v>
      </c>
      <c r="AL860" s="1">
        <v>7000</v>
      </c>
      <c r="AM860" t="s">
        <v>8</v>
      </c>
      <c r="AN860" t="s">
        <v>8</v>
      </c>
      <c r="AO860" t="s">
        <v>8</v>
      </c>
      <c r="AP860" s="1">
        <v>1.1499999999999999</v>
      </c>
      <c r="AQ860" t="s">
        <v>8</v>
      </c>
      <c r="AR860" t="s">
        <v>8</v>
      </c>
      <c r="AS860" t="s">
        <v>8</v>
      </c>
      <c r="AT860">
        <v>11945.7</v>
      </c>
    </row>
    <row r="861" spans="34:46" x14ac:dyDescent="0.35">
      <c r="AH861" t="s">
        <v>204</v>
      </c>
      <c r="AI861" t="s">
        <v>180</v>
      </c>
      <c r="AJ861" s="3">
        <v>43622</v>
      </c>
      <c r="AK861" t="s">
        <v>42</v>
      </c>
      <c r="AL861" s="1">
        <v>9800</v>
      </c>
      <c r="AM861" t="s">
        <v>8</v>
      </c>
      <c r="AN861" t="s">
        <v>8</v>
      </c>
      <c r="AO861" t="s">
        <v>8</v>
      </c>
      <c r="AP861" s="1">
        <v>0.05</v>
      </c>
      <c r="AQ861" t="s">
        <v>8</v>
      </c>
      <c r="AR861" t="s">
        <v>8</v>
      </c>
      <c r="AS861" t="s">
        <v>8</v>
      </c>
      <c r="AT861">
        <v>11945.7</v>
      </c>
    </row>
    <row r="862" spans="34:46" x14ac:dyDescent="0.35">
      <c r="AH862" t="s">
        <v>204</v>
      </c>
      <c r="AI862" t="s">
        <v>180</v>
      </c>
      <c r="AJ862" s="3">
        <v>44007</v>
      </c>
      <c r="AK862" t="s">
        <v>42</v>
      </c>
      <c r="AL862" s="1">
        <v>11400</v>
      </c>
      <c r="AM862" t="s">
        <v>8</v>
      </c>
      <c r="AN862" t="s">
        <v>8</v>
      </c>
      <c r="AO862" t="s">
        <v>8</v>
      </c>
      <c r="AP862" s="1" t="s">
        <v>8</v>
      </c>
      <c r="AQ862" t="s">
        <v>8</v>
      </c>
      <c r="AR862" t="s">
        <v>8</v>
      </c>
      <c r="AS862" t="s">
        <v>8</v>
      </c>
      <c r="AT862">
        <v>11945.7</v>
      </c>
    </row>
    <row r="863" spans="34:46" x14ac:dyDescent="0.35">
      <c r="AH863" t="s">
        <v>204</v>
      </c>
      <c r="AI863" t="s">
        <v>180</v>
      </c>
      <c r="AJ863" s="3">
        <v>43664</v>
      </c>
      <c r="AK863" t="s">
        <v>42</v>
      </c>
      <c r="AL863" s="1">
        <v>13200</v>
      </c>
      <c r="AM863" t="s">
        <v>8</v>
      </c>
      <c r="AN863" t="s">
        <v>8</v>
      </c>
      <c r="AO863" t="s">
        <v>8</v>
      </c>
      <c r="AP863" s="1">
        <v>1299.0999999999999</v>
      </c>
      <c r="AQ863" t="s">
        <v>8</v>
      </c>
      <c r="AR863" t="s">
        <v>8</v>
      </c>
      <c r="AS863" t="s">
        <v>8</v>
      </c>
      <c r="AT863">
        <v>11945.7</v>
      </c>
    </row>
    <row r="864" spans="34:46" x14ac:dyDescent="0.35">
      <c r="AH864" t="s">
        <v>204</v>
      </c>
      <c r="AI864" t="s">
        <v>180</v>
      </c>
      <c r="AJ864" s="3">
        <v>43825</v>
      </c>
      <c r="AK864" t="s">
        <v>42</v>
      </c>
      <c r="AL864" s="1">
        <v>5400</v>
      </c>
      <c r="AM864" t="s">
        <v>8</v>
      </c>
      <c r="AN864" t="s">
        <v>8</v>
      </c>
      <c r="AO864" t="s">
        <v>8</v>
      </c>
      <c r="AP864" s="1">
        <v>283.25</v>
      </c>
      <c r="AQ864" t="s">
        <v>8</v>
      </c>
      <c r="AR864" t="s">
        <v>8</v>
      </c>
      <c r="AS864" t="s">
        <v>8</v>
      </c>
      <c r="AT864">
        <v>11945.7</v>
      </c>
    </row>
    <row r="865" spans="34:46" x14ac:dyDescent="0.35">
      <c r="AH865" t="s">
        <v>204</v>
      </c>
      <c r="AI865" t="s">
        <v>180</v>
      </c>
      <c r="AJ865" s="3">
        <v>44007</v>
      </c>
      <c r="AK865" t="s">
        <v>42</v>
      </c>
      <c r="AL865" s="1">
        <v>11600</v>
      </c>
      <c r="AM865" t="s">
        <v>8</v>
      </c>
      <c r="AN865" t="s">
        <v>8</v>
      </c>
      <c r="AO865" t="s">
        <v>8</v>
      </c>
      <c r="AP865" s="1" t="s">
        <v>8</v>
      </c>
      <c r="AQ865" t="s">
        <v>8</v>
      </c>
      <c r="AR865" t="s">
        <v>8</v>
      </c>
      <c r="AS865" t="s">
        <v>8</v>
      </c>
      <c r="AT865">
        <v>11945.7</v>
      </c>
    </row>
    <row r="866" spans="34:46" x14ac:dyDescent="0.35">
      <c r="AH866" t="s">
        <v>204</v>
      </c>
      <c r="AI866" t="s">
        <v>180</v>
      </c>
      <c r="AJ866" s="3">
        <v>43664</v>
      </c>
      <c r="AK866" t="s">
        <v>42</v>
      </c>
      <c r="AL866" s="1">
        <v>13400</v>
      </c>
      <c r="AM866" t="s">
        <v>8</v>
      </c>
      <c r="AN866" t="s">
        <v>8</v>
      </c>
      <c r="AO866" t="s">
        <v>8</v>
      </c>
      <c r="AP866" s="1">
        <v>1385.75</v>
      </c>
      <c r="AQ866" t="s">
        <v>8</v>
      </c>
      <c r="AR866" t="s">
        <v>8</v>
      </c>
      <c r="AS866" t="s">
        <v>8</v>
      </c>
      <c r="AT866">
        <v>11945.7</v>
      </c>
    </row>
    <row r="867" spans="34:46" x14ac:dyDescent="0.35">
      <c r="AH867" t="s">
        <v>204</v>
      </c>
      <c r="AI867" t="s">
        <v>180</v>
      </c>
      <c r="AJ867" s="3">
        <v>43825</v>
      </c>
      <c r="AK867" t="s">
        <v>42</v>
      </c>
      <c r="AL867" s="1">
        <v>5600</v>
      </c>
      <c r="AM867" t="s">
        <v>8</v>
      </c>
      <c r="AN867" t="s">
        <v>8</v>
      </c>
      <c r="AO867" t="s">
        <v>8</v>
      </c>
      <c r="AP867" s="1">
        <v>46.8</v>
      </c>
      <c r="AQ867" t="s">
        <v>8</v>
      </c>
      <c r="AR867" t="s">
        <v>8</v>
      </c>
      <c r="AS867" t="s">
        <v>8</v>
      </c>
      <c r="AT867">
        <v>11945.7</v>
      </c>
    </row>
    <row r="868" spans="34:46" x14ac:dyDescent="0.35">
      <c r="AH868" t="s">
        <v>204</v>
      </c>
      <c r="AI868" t="s">
        <v>180</v>
      </c>
      <c r="AJ868" s="3">
        <v>43671</v>
      </c>
      <c r="AK868" t="s">
        <v>41</v>
      </c>
      <c r="AL868" s="1">
        <v>10300</v>
      </c>
      <c r="AM868" t="s">
        <v>8</v>
      </c>
      <c r="AN868" t="s">
        <v>8</v>
      </c>
      <c r="AO868" t="s">
        <v>8</v>
      </c>
      <c r="AP868" s="1">
        <v>1527.6</v>
      </c>
      <c r="AQ868" t="s">
        <v>8</v>
      </c>
      <c r="AR868" t="s">
        <v>8</v>
      </c>
      <c r="AS868" t="s">
        <v>8</v>
      </c>
      <c r="AT868">
        <v>11945.7</v>
      </c>
    </row>
    <row r="869" spans="34:46" x14ac:dyDescent="0.35">
      <c r="AH869" t="s">
        <v>204</v>
      </c>
      <c r="AI869" t="s">
        <v>180</v>
      </c>
      <c r="AJ869" s="3">
        <v>43657</v>
      </c>
      <c r="AK869" t="s">
        <v>41</v>
      </c>
      <c r="AL869" s="1">
        <v>12350</v>
      </c>
      <c r="AM869" t="s">
        <v>8</v>
      </c>
      <c r="AN869" t="s">
        <v>8</v>
      </c>
      <c r="AO869" t="s">
        <v>8</v>
      </c>
      <c r="AP869" s="1">
        <v>29.95</v>
      </c>
      <c r="AQ869" t="s">
        <v>8</v>
      </c>
      <c r="AR869" t="s">
        <v>8</v>
      </c>
      <c r="AS869" t="s">
        <v>8</v>
      </c>
      <c r="AT869">
        <v>11945.7</v>
      </c>
    </row>
    <row r="870" spans="34:46" x14ac:dyDescent="0.35">
      <c r="AH870" t="s">
        <v>204</v>
      </c>
      <c r="AI870" t="s">
        <v>180</v>
      </c>
      <c r="AJ870" s="3">
        <v>43825</v>
      </c>
      <c r="AK870" t="s">
        <v>42</v>
      </c>
      <c r="AL870" s="1">
        <v>5800</v>
      </c>
      <c r="AM870" t="s">
        <v>8</v>
      </c>
      <c r="AN870" t="s">
        <v>8</v>
      </c>
      <c r="AO870" t="s">
        <v>8</v>
      </c>
      <c r="AP870">
        <v>54</v>
      </c>
      <c r="AQ870" t="s">
        <v>8</v>
      </c>
      <c r="AR870" t="s">
        <v>8</v>
      </c>
      <c r="AS870" t="s">
        <v>8</v>
      </c>
      <c r="AT870">
        <v>11945.7</v>
      </c>
    </row>
    <row r="871" spans="34:46" x14ac:dyDescent="0.35">
      <c r="AH871" t="s">
        <v>204</v>
      </c>
      <c r="AI871" t="s">
        <v>180</v>
      </c>
      <c r="AJ871" s="3">
        <v>44371</v>
      </c>
      <c r="AK871" t="s">
        <v>42</v>
      </c>
      <c r="AL871" s="1">
        <v>7200</v>
      </c>
      <c r="AM871" t="s">
        <v>8</v>
      </c>
      <c r="AN871" t="s">
        <v>8</v>
      </c>
      <c r="AO871" t="s">
        <v>8</v>
      </c>
      <c r="AP871" s="1">
        <v>104.65</v>
      </c>
      <c r="AQ871" t="s">
        <v>8</v>
      </c>
      <c r="AR871" t="s">
        <v>8</v>
      </c>
      <c r="AS871" t="s">
        <v>8</v>
      </c>
      <c r="AT871">
        <v>11945.7</v>
      </c>
    </row>
    <row r="872" spans="34:46" x14ac:dyDescent="0.35">
      <c r="AH872" t="s">
        <v>204</v>
      </c>
      <c r="AI872" t="s">
        <v>180</v>
      </c>
      <c r="AJ872" s="3">
        <v>44371</v>
      </c>
      <c r="AK872" t="s">
        <v>42</v>
      </c>
      <c r="AL872" s="1">
        <v>7400</v>
      </c>
      <c r="AM872" t="s">
        <v>8</v>
      </c>
      <c r="AN872" t="s">
        <v>8</v>
      </c>
      <c r="AO872" t="s">
        <v>8</v>
      </c>
      <c r="AP872" s="1">
        <v>123.75</v>
      </c>
      <c r="AQ872" t="s">
        <v>8</v>
      </c>
      <c r="AR872" t="s">
        <v>8</v>
      </c>
      <c r="AS872" t="s">
        <v>8</v>
      </c>
      <c r="AT872">
        <v>11945.7</v>
      </c>
    </row>
    <row r="873" spans="34:46" x14ac:dyDescent="0.35">
      <c r="AH873" t="s">
        <v>204</v>
      </c>
      <c r="AI873" t="s">
        <v>180</v>
      </c>
      <c r="AJ873" s="3">
        <v>45288</v>
      </c>
      <c r="AK873" t="s">
        <v>42</v>
      </c>
      <c r="AL873" s="1">
        <v>9100</v>
      </c>
      <c r="AM873" t="s">
        <v>8</v>
      </c>
      <c r="AN873" t="s">
        <v>8</v>
      </c>
      <c r="AO873" t="s">
        <v>8</v>
      </c>
      <c r="AP873" s="1">
        <v>135.19999999999999</v>
      </c>
      <c r="AQ873" t="s">
        <v>8</v>
      </c>
      <c r="AR873" t="s">
        <v>8</v>
      </c>
      <c r="AS873" t="s">
        <v>8</v>
      </c>
      <c r="AT873">
        <v>11945.7</v>
      </c>
    </row>
    <row r="874" spans="34:46" x14ac:dyDescent="0.35">
      <c r="AH874" t="s">
        <v>204</v>
      </c>
      <c r="AI874" t="s">
        <v>180</v>
      </c>
      <c r="AJ874" s="3">
        <v>43657</v>
      </c>
      <c r="AK874" t="s">
        <v>42</v>
      </c>
      <c r="AL874" s="1">
        <v>12600</v>
      </c>
      <c r="AM874" t="s">
        <v>8</v>
      </c>
      <c r="AN874" t="s">
        <v>8</v>
      </c>
      <c r="AO874" t="s">
        <v>8</v>
      </c>
      <c r="AP874" s="1">
        <v>1157.9000000000001</v>
      </c>
      <c r="AQ874" t="s">
        <v>8</v>
      </c>
      <c r="AR874" t="s">
        <v>8</v>
      </c>
      <c r="AS874" t="s">
        <v>8</v>
      </c>
      <c r="AT874">
        <v>11945.7</v>
      </c>
    </row>
    <row r="875" spans="34:46" x14ac:dyDescent="0.35">
      <c r="AH875" t="s">
        <v>204</v>
      </c>
      <c r="AI875" t="s">
        <v>180</v>
      </c>
      <c r="AJ875" s="3">
        <v>45288</v>
      </c>
      <c r="AK875" t="s">
        <v>42</v>
      </c>
      <c r="AL875" s="1">
        <v>9300</v>
      </c>
      <c r="AM875" t="s">
        <v>8</v>
      </c>
      <c r="AN875" t="s">
        <v>8</v>
      </c>
      <c r="AO875" t="s">
        <v>8</v>
      </c>
      <c r="AP875" s="1">
        <v>153.35</v>
      </c>
      <c r="AQ875" t="s">
        <v>8</v>
      </c>
      <c r="AR875" t="s">
        <v>8</v>
      </c>
      <c r="AS875" t="s">
        <v>8</v>
      </c>
      <c r="AT875">
        <v>11945.7</v>
      </c>
    </row>
    <row r="876" spans="34:46" x14ac:dyDescent="0.35">
      <c r="AH876" t="s">
        <v>204</v>
      </c>
      <c r="AI876" t="s">
        <v>180</v>
      </c>
      <c r="AJ876" s="3">
        <v>45106</v>
      </c>
      <c r="AK876" t="s">
        <v>42</v>
      </c>
      <c r="AL876" s="1">
        <v>9200</v>
      </c>
      <c r="AM876" t="s">
        <v>8</v>
      </c>
      <c r="AN876" t="s">
        <v>8</v>
      </c>
      <c r="AO876" t="s">
        <v>8</v>
      </c>
      <c r="AP876" s="1">
        <v>17.899999999999999</v>
      </c>
      <c r="AQ876" t="s">
        <v>8</v>
      </c>
      <c r="AR876" t="s">
        <v>8</v>
      </c>
      <c r="AS876" t="s">
        <v>8</v>
      </c>
      <c r="AT876">
        <v>11945.7</v>
      </c>
    </row>
    <row r="877" spans="34:46" x14ac:dyDescent="0.35">
      <c r="AH877" t="s">
        <v>204</v>
      </c>
      <c r="AI877" t="s">
        <v>180</v>
      </c>
      <c r="AJ877" s="3">
        <v>43657</v>
      </c>
      <c r="AK877" t="s">
        <v>42</v>
      </c>
      <c r="AL877" s="1">
        <v>12800</v>
      </c>
      <c r="AM877" t="s">
        <v>8</v>
      </c>
      <c r="AN877" t="s">
        <v>8</v>
      </c>
      <c r="AO877" t="s">
        <v>8</v>
      </c>
      <c r="AP877" s="1">
        <v>1348.65</v>
      </c>
      <c r="AQ877" t="s">
        <v>8</v>
      </c>
      <c r="AR877" t="s">
        <v>8</v>
      </c>
      <c r="AS877" t="s">
        <v>8</v>
      </c>
      <c r="AT877">
        <v>11945.7</v>
      </c>
    </row>
    <row r="878" spans="34:46" x14ac:dyDescent="0.35">
      <c r="AH878" t="s">
        <v>204</v>
      </c>
      <c r="AI878" t="s">
        <v>180</v>
      </c>
      <c r="AJ878" s="3">
        <v>45106</v>
      </c>
      <c r="AK878" t="s">
        <v>42</v>
      </c>
      <c r="AL878" s="1">
        <v>9400</v>
      </c>
      <c r="AM878" t="s">
        <v>8</v>
      </c>
      <c r="AN878" t="s">
        <v>8</v>
      </c>
      <c r="AO878" t="s">
        <v>8</v>
      </c>
      <c r="AP878" s="1">
        <v>22.55</v>
      </c>
      <c r="AQ878" t="s">
        <v>8</v>
      </c>
      <c r="AR878" t="s">
        <v>8</v>
      </c>
      <c r="AS878" t="s">
        <v>8</v>
      </c>
      <c r="AT878">
        <v>11945.7</v>
      </c>
    </row>
    <row r="879" spans="34:46" x14ac:dyDescent="0.35">
      <c r="AH879" t="s">
        <v>204</v>
      </c>
      <c r="AI879" t="s">
        <v>180</v>
      </c>
      <c r="AJ879" s="3">
        <v>45106</v>
      </c>
      <c r="AK879" t="s">
        <v>42</v>
      </c>
      <c r="AL879" s="1">
        <v>9600</v>
      </c>
      <c r="AM879" t="s">
        <v>8</v>
      </c>
      <c r="AN879" t="s">
        <v>8</v>
      </c>
      <c r="AO879" t="s">
        <v>8</v>
      </c>
      <c r="AP879">
        <v>28.2</v>
      </c>
      <c r="AQ879" t="s">
        <v>8</v>
      </c>
      <c r="AR879" t="s">
        <v>8</v>
      </c>
      <c r="AS879" t="s">
        <v>8</v>
      </c>
      <c r="AT879">
        <v>11945.7</v>
      </c>
    </row>
    <row r="880" spans="34:46" x14ac:dyDescent="0.35">
      <c r="AH880" t="s">
        <v>204</v>
      </c>
      <c r="AI880" t="s">
        <v>180</v>
      </c>
      <c r="AJ880" s="3">
        <v>43629</v>
      </c>
      <c r="AK880" t="s">
        <v>41</v>
      </c>
      <c r="AL880" s="1">
        <v>11350</v>
      </c>
      <c r="AM880" t="s">
        <v>8</v>
      </c>
      <c r="AN880" t="s">
        <v>8</v>
      </c>
      <c r="AO880" t="s">
        <v>8</v>
      </c>
      <c r="AP880" s="1">
        <v>467.6</v>
      </c>
      <c r="AQ880" t="s">
        <v>8</v>
      </c>
      <c r="AR880" t="s">
        <v>8</v>
      </c>
      <c r="AS880" t="s">
        <v>8</v>
      </c>
      <c r="AT880">
        <v>11945.7</v>
      </c>
    </row>
    <row r="881" spans="34:46" x14ac:dyDescent="0.35">
      <c r="AH881" t="s">
        <v>204</v>
      </c>
      <c r="AI881" t="s">
        <v>180</v>
      </c>
      <c r="AJ881" s="3">
        <v>43629</v>
      </c>
      <c r="AK881" t="s">
        <v>41</v>
      </c>
      <c r="AL881" s="1">
        <v>11550</v>
      </c>
      <c r="AM881" t="s">
        <v>8</v>
      </c>
      <c r="AN881" t="s">
        <v>8</v>
      </c>
      <c r="AO881" t="s">
        <v>8</v>
      </c>
      <c r="AP881" s="1">
        <v>332.8</v>
      </c>
      <c r="AQ881" t="s">
        <v>8</v>
      </c>
      <c r="AR881" t="s">
        <v>8</v>
      </c>
      <c r="AS881" t="s">
        <v>8</v>
      </c>
      <c r="AT881">
        <v>11945.7</v>
      </c>
    </row>
    <row r="882" spans="34:46" x14ac:dyDescent="0.35">
      <c r="AH882" t="s">
        <v>204</v>
      </c>
      <c r="AI882" t="s">
        <v>180</v>
      </c>
      <c r="AJ882" s="3">
        <v>43671</v>
      </c>
      <c r="AK882" t="s">
        <v>42</v>
      </c>
      <c r="AL882" s="1">
        <v>12050</v>
      </c>
      <c r="AM882" t="s">
        <v>8</v>
      </c>
      <c r="AN882" t="s">
        <v>8</v>
      </c>
      <c r="AO882" t="s">
        <v>8</v>
      </c>
      <c r="AP882" s="1">
        <v>426.2</v>
      </c>
      <c r="AQ882" t="s">
        <v>8</v>
      </c>
      <c r="AR882" t="s">
        <v>8</v>
      </c>
      <c r="AS882" t="s">
        <v>8</v>
      </c>
      <c r="AT882">
        <v>11945.7</v>
      </c>
    </row>
    <row r="883" spans="34:46" x14ac:dyDescent="0.35">
      <c r="AH883" t="s">
        <v>204</v>
      </c>
      <c r="AI883" t="s">
        <v>180</v>
      </c>
      <c r="AJ883" s="3">
        <v>43629</v>
      </c>
      <c r="AK883" t="s">
        <v>41</v>
      </c>
      <c r="AL883" s="1">
        <v>11750</v>
      </c>
      <c r="AM883" t="s">
        <v>8</v>
      </c>
      <c r="AN883" t="s">
        <v>8</v>
      </c>
      <c r="AO883" t="s">
        <v>8</v>
      </c>
      <c r="AP883" s="1">
        <v>224.4</v>
      </c>
      <c r="AQ883" t="s">
        <v>8</v>
      </c>
      <c r="AR883" t="s">
        <v>8</v>
      </c>
      <c r="AS883" t="s">
        <v>8</v>
      </c>
      <c r="AT883">
        <v>11945.7</v>
      </c>
    </row>
    <row r="884" spans="34:46" x14ac:dyDescent="0.35">
      <c r="AH884" t="s">
        <v>204</v>
      </c>
      <c r="AI884" t="s">
        <v>180</v>
      </c>
      <c r="AJ884" s="3">
        <v>43671</v>
      </c>
      <c r="AK884" t="s">
        <v>42</v>
      </c>
      <c r="AL884" s="1">
        <v>12250</v>
      </c>
      <c r="AM884" t="s">
        <v>8</v>
      </c>
      <c r="AN884" t="s">
        <v>8</v>
      </c>
      <c r="AO884" t="s">
        <v>8</v>
      </c>
      <c r="AP884">
        <v>555.1</v>
      </c>
      <c r="AQ884" t="s">
        <v>8</v>
      </c>
      <c r="AR884" t="s">
        <v>8</v>
      </c>
      <c r="AS884" t="s">
        <v>8</v>
      </c>
      <c r="AT884">
        <v>11945.7</v>
      </c>
    </row>
    <row r="885" spans="34:46" x14ac:dyDescent="0.35">
      <c r="AH885" t="s">
        <v>204</v>
      </c>
      <c r="AI885" t="s">
        <v>180</v>
      </c>
      <c r="AJ885" s="3">
        <v>43636</v>
      </c>
      <c r="AK885" t="s">
        <v>41</v>
      </c>
      <c r="AL885" s="1">
        <v>10000</v>
      </c>
      <c r="AM885" t="s">
        <v>8</v>
      </c>
      <c r="AN885" t="s">
        <v>8</v>
      </c>
      <c r="AO885" t="s">
        <v>8</v>
      </c>
      <c r="AP885" s="1">
        <v>1583.5</v>
      </c>
      <c r="AQ885" t="s">
        <v>8</v>
      </c>
      <c r="AR885" t="s">
        <v>8</v>
      </c>
      <c r="AS885" t="s">
        <v>8</v>
      </c>
      <c r="AT885">
        <v>11945.7</v>
      </c>
    </row>
    <row r="886" spans="34:46" x14ac:dyDescent="0.35">
      <c r="AH886" t="s">
        <v>204</v>
      </c>
      <c r="AI886" t="s">
        <v>180</v>
      </c>
      <c r="AJ886" s="3">
        <v>43671</v>
      </c>
      <c r="AK886" t="s">
        <v>42</v>
      </c>
      <c r="AL886" s="1">
        <v>10950</v>
      </c>
      <c r="AM886" t="s">
        <v>8</v>
      </c>
      <c r="AN886" t="s">
        <v>8</v>
      </c>
      <c r="AO886" t="s">
        <v>8</v>
      </c>
      <c r="AP886">
        <v>46.2</v>
      </c>
      <c r="AQ886" t="s">
        <v>8</v>
      </c>
      <c r="AR886" t="s">
        <v>8</v>
      </c>
      <c r="AS886" t="s">
        <v>8</v>
      </c>
      <c r="AT886">
        <v>11945.7</v>
      </c>
    </row>
    <row r="887" spans="34:46" x14ac:dyDescent="0.35">
      <c r="AH887" t="s">
        <v>204</v>
      </c>
      <c r="AI887" t="s">
        <v>180</v>
      </c>
      <c r="AJ887" s="3">
        <v>44742</v>
      </c>
      <c r="AK887" t="s">
        <v>42</v>
      </c>
      <c r="AL887" s="1">
        <v>10600</v>
      </c>
      <c r="AM887" t="s">
        <v>8</v>
      </c>
      <c r="AN887" t="s">
        <v>8</v>
      </c>
      <c r="AO887" t="s">
        <v>8</v>
      </c>
      <c r="AP887" s="1">
        <v>98.3</v>
      </c>
      <c r="AQ887" t="s">
        <v>8</v>
      </c>
      <c r="AR887" t="s">
        <v>8</v>
      </c>
      <c r="AS887" t="s">
        <v>8</v>
      </c>
      <c r="AT887">
        <v>11945.7</v>
      </c>
    </row>
    <row r="888" spans="34:46" x14ac:dyDescent="0.35">
      <c r="AH888" t="s">
        <v>204</v>
      </c>
      <c r="AI888" t="s">
        <v>180</v>
      </c>
      <c r="AJ888" s="3">
        <v>44742</v>
      </c>
      <c r="AK888" t="s">
        <v>42</v>
      </c>
      <c r="AL888" s="1">
        <v>10800</v>
      </c>
      <c r="AM888" t="s">
        <v>8</v>
      </c>
      <c r="AN888" t="s">
        <v>8</v>
      </c>
      <c r="AO888" t="s">
        <v>8</v>
      </c>
      <c r="AP888" s="1">
        <v>120.7</v>
      </c>
      <c r="AQ888" t="s">
        <v>8</v>
      </c>
      <c r="AR888" t="s">
        <v>8</v>
      </c>
      <c r="AS888" t="s">
        <v>8</v>
      </c>
      <c r="AT888">
        <v>11945.7</v>
      </c>
    </row>
    <row r="889" spans="34:46" x14ac:dyDescent="0.35">
      <c r="AH889" t="s">
        <v>204</v>
      </c>
      <c r="AI889" t="s">
        <v>180</v>
      </c>
      <c r="AJ889" s="3">
        <v>43664</v>
      </c>
      <c r="AK889" t="s">
        <v>41</v>
      </c>
      <c r="AL889" s="1">
        <v>10100</v>
      </c>
      <c r="AM889" t="s">
        <v>8</v>
      </c>
      <c r="AN889" t="s">
        <v>8</v>
      </c>
      <c r="AO889" t="s">
        <v>8</v>
      </c>
      <c r="AP889" s="1">
        <v>1285.5</v>
      </c>
      <c r="AQ889" t="s">
        <v>8</v>
      </c>
      <c r="AR889" t="s">
        <v>8</v>
      </c>
      <c r="AS889" t="s">
        <v>8</v>
      </c>
      <c r="AT889">
        <v>11945.7</v>
      </c>
    </row>
    <row r="890" spans="34:46" x14ac:dyDescent="0.35">
      <c r="AH890" t="s">
        <v>204</v>
      </c>
      <c r="AI890" t="s">
        <v>180</v>
      </c>
      <c r="AJ890" s="3">
        <v>44196</v>
      </c>
      <c r="AK890" t="s">
        <v>41</v>
      </c>
      <c r="AL890" s="1">
        <v>11500</v>
      </c>
      <c r="AM890" t="s">
        <v>8</v>
      </c>
      <c r="AN890" t="s">
        <v>8</v>
      </c>
      <c r="AO890" t="s">
        <v>8</v>
      </c>
      <c r="AP890" s="1">
        <v>1980</v>
      </c>
      <c r="AQ890" t="s">
        <v>8</v>
      </c>
      <c r="AR890" t="s">
        <v>8</v>
      </c>
      <c r="AS890" t="s">
        <v>8</v>
      </c>
      <c r="AT890">
        <v>11945.7</v>
      </c>
    </row>
    <row r="891" spans="34:46" x14ac:dyDescent="0.35">
      <c r="AH891" t="s">
        <v>204</v>
      </c>
      <c r="AI891" t="s">
        <v>180</v>
      </c>
      <c r="AJ891" s="3">
        <v>44560</v>
      </c>
      <c r="AK891" t="s">
        <v>42</v>
      </c>
      <c r="AL891" s="1">
        <v>8900</v>
      </c>
      <c r="AM891" t="s">
        <v>8</v>
      </c>
      <c r="AN891" t="s">
        <v>8</v>
      </c>
      <c r="AO891" t="s">
        <v>8</v>
      </c>
      <c r="AP891" s="1">
        <v>202.2</v>
      </c>
      <c r="AQ891" t="s">
        <v>8</v>
      </c>
      <c r="AR891" t="s">
        <v>8</v>
      </c>
      <c r="AS891" t="s">
        <v>8</v>
      </c>
      <c r="AT891">
        <v>11945.7</v>
      </c>
    </row>
    <row r="892" spans="34:46" x14ac:dyDescent="0.35">
      <c r="AH892" t="s">
        <v>204</v>
      </c>
      <c r="AI892" t="s">
        <v>180</v>
      </c>
      <c r="AJ892" s="3">
        <v>43664</v>
      </c>
      <c r="AK892" t="s">
        <v>41</v>
      </c>
      <c r="AL892" s="1">
        <v>10300</v>
      </c>
      <c r="AM892" t="s">
        <v>8</v>
      </c>
      <c r="AN892" t="s">
        <v>8</v>
      </c>
      <c r="AO892" t="s">
        <v>8</v>
      </c>
      <c r="AP892" s="1">
        <v>1094.4000000000001</v>
      </c>
      <c r="AQ892" t="s">
        <v>8</v>
      </c>
      <c r="AR892" t="s">
        <v>8</v>
      </c>
      <c r="AS892" t="s">
        <v>8</v>
      </c>
      <c r="AT892">
        <v>11945.7</v>
      </c>
    </row>
    <row r="893" spans="34:46" x14ac:dyDescent="0.35">
      <c r="AH893" t="s">
        <v>204</v>
      </c>
      <c r="AI893" t="s">
        <v>180</v>
      </c>
      <c r="AJ893" s="3">
        <v>44196</v>
      </c>
      <c r="AK893" t="s">
        <v>41</v>
      </c>
      <c r="AL893" s="1">
        <v>11700</v>
      </c>
      <c r="AM893" t="s">
        <v>8</v>
      </c>
      <c r="AN893" t="s">
        <v>8</v>
      </c>
      <c r="AO893" t="s">
        <v>8</v>
      </c>
      <c r="AP893" s="1">
        <v>1790</v>
      </c>
      <c r="AQ893" t="s">
        <v>8</v>
      </c>
      <c r="AR893" t="s">
        <v>8</v>
      </c>
      <c r="AS893" t="s">
        <v>8</v>
      </c>
      <c r="AT893">
        <v>11945.7</v>
      </c>
    </row>
    <row r="894" spans="34:46" x14ac:dyDescent="0.35">
      <c r="AH894" t="s">
        <v>204</v>
      </c>
      <c r="AI894" t="s">
        <v>180</v>
      </c>
      <c r="AJ894" s="3">
        <v>44007</v>
      </c>
      <c r="AK894" t="s">
        <v>42</v>
      </c>
      <c r="AL894" s="1">
        <v>6400</v>
      </c>
      <c r="AM894" t="s">
        <v>8</v>
      </c>
      <c r="AN894" t="s">
        <v>8</v>
      </c>
      <c r="AO894" t="s">
        <v>8</v>
      </c>
      <c r="AP894" s="1">
        <v>48.9</v>
      </c>
      <c r="AQ894" t="s">
        <v>8</v>
      </c>
      <c r="AR894" t="s">
        <v>8</v>
      </c>
      <c r="AS894" t="s">
        <v>8</v>
      </c>
      <c r="AT894">
        <v>11945.7</v>
      </c>
    </row>
    <row r="895" spans="34:46" x14ac:dyDescent="0.35">
      <c r="AH895" t="s">
        <v>204</v>
      </c>
      <c r="AI895" t="s">
        <v>180</v>
      </c>
      <c r="AJ895" s="3">
        <v>44196</v>
      </c>
      <c r="AK895" t="s">
        <v>41</v>
      </c>
      <c r="AL895" s="1">
        <v>11900</v>
      </c>
      <c r="AM895" t="s">
        <v>8</v>
      </c>
      <c r="AN895" t="s">
        <v>8</v>
      </c>
      <c r="AO895" t="s">
        <v>8</v>
      </c>
      <c r="AP895" s="1" t="s">
        <v>8</v>
      </c>
      <c r="AQ895" t="s">
        <v>8</v>
      </c>
      <c r="AR895" t="s">
        <v>8</v>
      </c>
      <c r="AS895" t="s">
        <v>8</v>
      </c>
      <c r="AT895">
        <v>11945.7</v>
      </c>
    </row>
    <row r="896" spans="34:46" x14ac:dyDescent="0.35">
      <c r="AH896" t="s">
        <v>204</v>
      </c>
      <c r="AI896" t="s">
        <v>180</v>
      </c>
      <c r="AJ896" s="3">
        <v>43825</v>
      </c>
      <c r="AK896" t="s">
        <v>42</v>
      </c>
      <c r="AL896" s="1">
        <v>10400</v>
      </c>
      <c r="AM896" t="s">
        <v>8</v>
      </c>
      <c r="AN896" t="s">
        <v>8</v>
      </c>
      <c r="AO896" t="s">
        <v>8</v>
      </c>
      <c r="AP896" s="1">
        <v>430</v>
      </c>
      <c r="AQ896" t="s">
        <v>8</v>
      </c>
      <c r="AR896" t="s">
        <v>8</v>
      </c>
      <c r="AS896" t="s">
        <v>8</v>
      </c>
      <c r="AT896">
        <v>11945.7</v>
      </c>
    </row>
    <row r="897" spans="34:46" x14ac:dyDescent="0.35">
      <c r="AH897" t="s">
        <v>204</v>
      </c>
      <c r="AI897" t="s">
        <v>180</v>
      </c>
      <c r="AJ897" s="3">
        <v>43671</v>
      </c>
      <c r="AK897" t="s">
        <v>41</v>
      </c>
      <c r="AL897" s="1">
        <v>12850</v>
      </c>
      <c r="AM897" t="s">
        <v>8</v>
      </c>
      <c r="AN897" t="s">
        <v>8</v>
      </c>
      <c r="AO897" t="s">
        <v>8</v>
      </c>
      <c r="AP897" s="1">
        <v>46.9</v>
      </c>
      <c r="AQ897" t="s">
        <v>8</v>
      </c>
      <c r="AR897" t="s">
        <v>8</v>
      </c>
      <c r="AS897" t="s">
        <v>8</v>
      </c>
      <c r="AT897">
        <v>11945.7</v>
      </c>
    </row>
    <row r="898" spans="34:46" x14ac:dyDescent="0.35">
      <c r="AH898" t="s">
        <v>204</v>
      </c>
      <c r="AI898" t="s">
        <v>180</v>
      </c>
      <c r="AJ898" s="3">
        <v>43734</v>
      </c>
      <c r="AK898" t="s">
        <v>42</v>
      </c>
      <c r="AL898" s="1">
        <v>7600</v>
      </c>
      <c r="AM898" t="s">
        <v>8</v>
      </c>
      <c r="AN898" t="s">
        <v>8</v>
      </c>
      <c r="AO898" t="s">
        <v>8</v>
      </c>
      <c r="AP898" s="1">
        <v>40.4</v>
      </c>
      <c r="AQ898" t="s">
        <v>8</v>
      </c>
      <c r="AR898" t="s">
        <v>8</v>
      </c>
      <c r="AS898" t="s">
        <v>8</v>
      </c>
      <c r="AT898">
        <v>11945.7</v>
      </c>
    </row>
    <row r="899" spans="34:46" x14ac:dyDescent="0.35">
      <c r="AH899" t="s">
        <v>204</v>
      </c>
      <c r="AI899" t="s">
        <v>180</v>
      </c>
      <c r="AJ899" s="3">
        <v>44007</v>
      </c>
      <c r="AK899" t="s">
        <v>42</v>
      </c>
      <c r="AL899" s="1">
        <v>6600</v>
      </c>
      <c r="AM899" t="s">
        <v>8</v>
      </c>
      <c r="AN899" t="s">
        <v>8</v>
      </c>
      <c r="AO899" t="s">
        <v>8</v>
      </c>
      <c r="AP899" s="1">
        <v>140</v>
      </c>
      <c r="AQ899" t="s">
        <v>8</v>
      </c>
      <c r="AR899" t="s">
        <v>8</v>
      </c>
      <c r="AS899" t="s">
        <v>8</v>
      </c>
      <c r="AT899">
        <v>11945.7</v>
      </c>
    </row>
    <row r="900" spans="34:46" x14ac:dyDescent="0.35">
      <c r="AH900" t="s">
        <v>204</v>
      </c>
      <c r="AI900" t="s">
        <v>180</v>
      </c>
      <c r="AJ900" s="3">
        <v>44924</v>
      </c>
      <c r="AK900" t="s">
        <v>42</v>
      </c>
      <c r="AL900" s="1">
        <v>8300</v>
      </c>
      <c r="AM900" t="s">
        <v>8</v>
      </c>
      <c r="AN900" t="s">
        <v>8</v>
      </c>
      <c r="AO900" t="s">
        <v>8</v>
      </c>
      <c r="AP900" s="1">
        <v>7.85</v>
      </c>
      <c r="AQ900" t="s">
        <v>8</v>
      </c>
      <c r="AR900" t="s">
        <v>8</v>
      </c>
      <c r="AS900" t="s">
        <v>8</v>
      </c>
      <c r="AT900">
        <v>11945.7</v>
      </c>
    </row>
    <row r="901" spans="34:46" x14ac:dyDescent="0.35">
      <c r="AH901" t="s">
        <v>204</v>
      </c>
      <c r="AI901" t="s">
        <v>180</v>
      </c>
      <c r="AJ901" s="3">
        <v>43825</v>
      </c>
      <c r="AK901" t="s">
        <v>42</v>
      </c>
      <c r="AL901" s="1">
        <v>10600</v>
      </c>
      <c r="AM901" t="s">
        <v>8</v>
      </c>
      <c r="AN901" t="s">
        <v>8</v>
      </c>
      <c r="AO901" t="s">
        <v>8</v>
      </c>
      <c r="AP901" s="1">
        <v>318.05</v>
      </c>
      <c r="AQ901" t="s">
        <v>8</v>
      </c>
      <c r="AR901" t="s">
        <v>8</v>
      </c>
      <c r="AS901" t="s">
        <v>8</v>
      </c>
      <c r="AT901">
        <v>11945.7</v>
      </c>
    </row>
    <row r="902" spans="34:46" x14ac:dyDescent="0.35">
      <c r="AH902" t="s">
        <v>204</v>
      </c>
      <c r="AI902" t="s">
        <v>180</v>
      </c>
      <c r="AJ902" s="3">
        <v>43734</v>
      </c>
      <c r="AK902" t="s">
        <v>42</v>
      </c>
      <c r="AL902" s="1">
        <v>7800</v>
      </c>
      <c r="AM902" t="s">
        <v>8</v>
      </c>
      <c r="AN902" t="s">
        <v>8</v>
      </c>
      <c r="AO902" t="s">
        <v>8</v>
      </c>
      <c r="AP902" s="1">
        <v>59.1</v>
      </c>
      <c r="AQ902" t="s">
        <v>8</v>
      </c>
      <c r="AR902" t="s">
        <v>8</v>
      </c>
      <c r="AS902" t="s">
        <v>8</v>
      </c>
      <c r="AT902">
        <v>11945.7</v>
      </c>
    </row>
    <row r="903" spans="34:46" x14ac:dyDescent="0.35">
      <c r="AH903" t="s">
        <v>204</v>
      </c>
      <c r="AI903" t="s">
        <v>180</v>
      </c>
      <c r="AJ903" s="3">
        <v>43650</v>
      </c>
      <c r="AK903" t="s">
        <v>42</v>
      </c>
      <c r="AL903" s="1">
        <v>12400</v>
      </c>
      <c r="AM903" t="s">
        <v>8</v>
      </c>
      <c r="AN903" t="s">
        <v>8</v>
      </c>
      <c r="AO903" t="s">
        <v>8</v>
      </c>
      <c r="AP903" s="1">
        <v>602.15</v>
      </c>
      <c r="AQ903" t="s">
        <v>8</v>
      </c>
      <c r="AR903" t="s">
        <v>8</v>
      </c>
      <c r="AS903" t="s">
        <v>8</v>
      </c>
      <c r="AT903">
        <v>11945.7</v>
      </c>
    </row>
    <row r="904" spans="34:46" x14ac:dyDescent="0.35">
      <c r="AH904" t="s">
        <v>204</v>
      </c>
      <c r="AI904" t="s">
        <v>180</v>
      </c>
      <c r="AJ904" s="3">
        <v>44924</v>
      </c>
      <c r="AK904" t="s">
        <v>42</v>
      </c>
      <c r="AL904" s="1">
        <v>8500</v>
      </c>
      <c r="AM904" t="s">
        <v>8</v>
      </c>
      <c r="AN904" t="s">
        <v>8</v>
      </c>
      <c r="AO904" t="s">
        <v>8</v>
      </c>
      <c r="AP904">
        <v>10.5</v>
      </c>
      <c r="AQ904" t="s">
        <v>8</v>
      </c>
      <c r="AR904" t="s">
        <v>8</v>
      </c>
      <c r="AS904" t="s">
        <v>8</v>
      </c>
      <c r="AT904">
        <v>11945.7</v>
      </c>
    </row>
    <row r="905" spans="34:46" x14ac:dyDescent="0.35">
      <c r="AH905" t="s">
        <v>204</v>
      </c>
      <c r="AI905" t="s">
        <v>180</v>
      </c>
      <c r="AJ905" s="3">
        <v>44560</v>
      </c>
      <c r="AK905" t="s">
        <v>42</v>
      </c>
      <c r="AL905" s="1">
        <v>11600</v>
      </c>
      <c r="AM905" t="s">
        <v>8</v>
      </c>
      <c r="AN905" t="s">
        <v>8</v>
      </c>
      <c r="AO905" t="s">
        <v>8</v>
      </c>
      <c r="AP905">
        <v>739.45</v>
      </c>
      <c r="AQ905" t="s">
        <v>8</v>
      </c>
      <c r="AR905" t="s">
        <v>8</v>
      </c>
      <c r="AS905" t="s">
        <v>8</v>
      </c>
      <c r="AT905">
        <v>11945.7</v>
      </c>
    </row>
    <row r="906" spans="34:46" x14ac:dyDescent="0.35">
      <c r="AH906" t="s">
        <v>204</v>
      </c>
      <c r="AI906" t="s">
        <v>180</v>
      </c>
      <c r="AJ906" s="3">
        <v>43657</v>
      </c>
      <c r="AK906" t="s">
        <v>41</v>
      </c>
      <c r="AL906" s="1">
        <v>9800</v>
      </c>
      <c r="AM906" t="s">
        <v>8</v>
      </c>
      <c r="AN906" t="s">
        <v>8</v>
      </c>
      <c r="AO906" t="s">
        <v>8</v>
      </c>
      <c r="AP906" s="1">
        <v>1622.4</v>
      </c>
      <c r="AQ906" t="s">
        <v>8</v>
      </c>
      <c r="AR906" t="s">
        <v>8</v>
      </c>
      <c r="AS906" t="s">
        <v>8</v>
      </c>
      <c r="AT906">
        <v>11945.7</v>
      </c>
    </row>
    <row r="907" spans="34:46" x14ac:dyDescent="0.35">
      <c r="AH907" t="s">
        <v>204</v>
      </c>
      <c r="AI907" t="s">
        <v>180</v>
      </c>
      <c r="AJ907" s="3">
        <v>43825</v>
      </c>
      <c r="AK907" t="s">
        <v>42</v>
      </c>
      <c r="AL907" s="1">
        <v>10800</v>
      </c>
      <c r="AM907" t="s">
        <v>8</v>
      </c>
      <c r="AN907" t="s">
        <v>8</v>
      </c>
      <c r="AO907" t="s">
        <v>8</v>
      </c>
      <c r="AP907">
        <v>700</v>
      </c>
      <c r="AQ907" t="s">
        <v>8</v>
      </c>
      <c r="AR907" t="s">
        <v>8</v>
      </c>
      <c r="AS907" t="s">
        <v>8</v>
      </c>
      <c r="AT907">
        <v>11945.7</v>
      </c>
    </row>
    <row r="908" spans="34:46" x14ac:dyDescent="0.35">
      <c r="AH908" t="s">
        <v>204</v>
      </c>
      <c r="AI908" t="s">
        <v>180</v>
      </c>
      <c r="AJ908" s="3">
        <v>43650</v>
      </c>
      <c r="AK908" t="s">
        <v>42</v>
      </c>
      <c r="AL908" s="1">
        <v>12600</v>
      </c>
      <c r="AM908" t="s">
        <v>8</v>
      </c>
      <c r="AN908" t="s">
        <v>8</v>
      </c>
      <c r="AO908" t="s">
        <v>8</v>
      </c>
      <c r="AP908">
        <v>767</v>
      </c>
      <c r="AQ908" t="s">
        <v>8</v>
      </c>
      <c r="AR908" t="s">
        <v>8</v>
      </c>
      <c r="AS908" t="s">
        <v>8</v>
      </c>
      <c r="AT908">
        <v>11945.7</v>
      </c>
    </row>
    <row r="909" spans="34:46" x14ac:dyDescent="0.35">
      <c r="AH909" t="s">
        <v>204</v>
      </c>
      <c r="AI909" t="s">
        <v>180</v>
      </c>
      <c r="AJ909" s="3">
        <v>44560</v>
      </c>
      <c r="AK909" t="s">
        <v>42</v>
      </c>
      <c r="AL909" s="1">
        <v>11800</v>
      </c>
      <c r="AM909" t="s">
        <v>8</v>
      </c>
      <c r="AN909" t="s">
        <v>8</v>
      </c>
      <c r="AO909" t="s">
        <v>8</v>
      </c>
      <c r="AP909" s="1">
        <v>543.65</v>
      </c>
      <c r="AQ909" t="s">
        <v>8</v>
      </c>
      <c r="AR909" t="s">
        <v>8</v>
      </c>
      <c r="AS909" t="s">
        <v>8</v>
      </c>
      <c r="AT909">
        <v>11945.7</v>
      </c>
    </row>
    <row r="910" spans="34:46" x14ac:dyDescent="0.35">
      <c r="AH910" t="s">
        <v>204</v>
      </c>
      <c r="AI910" t="s">
        <v>180</v>
      </c>
      <c r="AJ910" s="3">
        <v>43615</v>
      </c>
      <c r="AK910" t="s">
        <v>42</v>
      </c>
      <c r="AL910" s="1">
        <v>10150</v>
      </c>
      <c r="AM910" t="s">
        <v>8</v>
      </c>
      <c r="AN910" t="s">
        <v>8</v>
      </c>
      <c r="AO910" t="s">
        <v>8</v>
      </c>
      <c r="AP910">
        <v>0.6</v>
      </c>
      <c r="AQ910" t="s">
        <v>8</v>
      </c>
      <c r="AR910" t="s">
        <v>8</v>
      </c>
      <c r="AS910" t="s">
        <v>8</v>
      </c>
      <c r="AT910">
        <v>11945.7</v>
      </c>
    </row>
    <row r="911" spans="34:46" x14ac:dyDescent="0.35">
      <c r="AH911" t="s">
        <v>204</v>
      </c>
      <c r="AI911" t="s">
        <v>180</v>
      </c>
      <c r="AJ911" s="3">
        <v>43615</v>
      </c>
      <c r="AK911" t="s">
        <v>42</v>
      </c>
      <c r="AL911" s="1">
        <v>10350</v>
      </c>
      <c r="AM911" t="s">
        <v>8</v>
      </c>
      <c r="AN911" t="s">
        <v>8</v>
      </c>
      <c r="AO911" t="s">
        <v>8</v>
      </c>
      <c r="AP911" s="1">
        <v>56.85</v>
      </c>
      <c r="AQ911" t="s">
        <v>8</v>
      </c>
      <c r="AR911" t="s">
        <v>8</v>
      </c>
      <c r="AS911" t="s">
        <v>8</v>
      </c>
      <c r="AT911">
        <v>11945.7</v>
      </c>
    </row>
    <row r="912" spans="34:46" x14ac:dyDescent="0.35">
      <c r="AH912" t="s">
        <v>204</v>
      </c>
      <c r="AI912" t="s">
        <v>180</v>
      </c>
      <c r="AJ912" s="3">
        <v>44371</v>
      </c>
      <c r="AK912" t="s">
        <v>41</v>
      </c>
      <c r="AL912" s="1">
        <v>10100</v>
      </c>
      <c r="AM912" t="s">
        <v>8</v>
      </c>
      <c r="AN912" t="s">
        <v>8</v>
      </c>
      <c r="AO912" t="s">
        <v>8</v>
      </c>
      <c r="AP912" t="s">
        <v>8</v>
      </c>
      <c r="AQ912" t="s">
        <v>8</v>
      </c>
      <c r="AR912" t="s">
        <v>8</v>
      </c>
      <c r="AS912" t="s">
        <v>8</v>
      </c>
      <c r="AT912">
        <v>11945.7</v>
      </c>
    </row>
    <row r="913" spans="34:46" x14ac:dyDescent="0.35">
      <c r="AH913" t="s">
        <v>204</v>
      </c>
      <c r="AI913" t="s">
        <v>180</v>
      </c>
      <c r="AJ913" s="3">
        <v>43622</v>
      </c>
      <c r="AK913" t="s">
        <v>41</v>
      </c>
      <c r="AL913" s="1">
        <v>11150</v>
      </c>
      <c r="AM913" t="s">
        <v>8</v>
      </c>
      <c r="AN913" t="s">
        <v>8</v>
      </c>
      <c r="AO913" t="s">
        <v>8</v>
      </c>
      <c r="AP913" s="1">
        <v>633.65</v>
      </c>
      <c r="AQ913" t="s">
        <v>8</v>
      </c>
      <c r="AR913" t="s">
        <v>8</v>
      </c>
      <c r="AS913" t="s">
        <v>8</v>
      </c>
      <c r="AT913">
        <v>11945.7</v>
      </c>
    </row>
    <row r="914" spans="34:46" x14ac:dyDescent="0.35">
      <c r="AH914" t="s">
        <v>204</v>
      </c>
      <c r="AI914" t="s">
        <v>180</v>
      </c>
      <c r="AJ914" s="3">
        <v>43643</v>
      </c>
      <c r="AK914" t="s">
        <v>41</v>
      </c>
      <c r="AL914" s="1">
        <v>13150</v>
      </c>
      <c r="AM914" t="s">
        <v>8</v>
      </c>
      <c r="AN914" t="s">
        <v>8</v>
      </c>
      <c r="AO914" t="s">
        <v>8</v>
      </c>
      <c r="AP914" s="1">
        <v>19.8</v>
      </c>
      <c r="AQ914" t="s">
        <v>8</v>
      </c>
      <c r="AR914" t="s">
        <v>8</v>
      </c>
      <c r="AS914" t="s">
        <v>8</v>
      </c>
      <c r="AT914">
        <v>11945.7</v>
      </c>
    </row>
    <row r="915" spans="34:46" x14ac:dyDescent="0.35">
      <c r="AH915" t="s">
        <v>204</v>
      </c>
      <c r="AI915" t="s">
        <v>180</v>
      </c>
      <c r="AJ915" s="3">
        <v>43636</v>
      </c>
      <c r="AK915" t="s">
        <v>42</v>
      </c>
      <c r="AL915" s="1">
        <v>10650</v>
      </c>
      <c r="AM915" t="s">
        <v>8</v>
      </c>
      <c r="AN915" t="s">
        <v>8</v>
      </c>
      <c r="AO915" t="s">
        <v>8</v>
      </c>
      <c r="AP915" s="1">
        <v>1.75</v>
      </c>
      <c r="AQ915" t="s">
        <v>8</v>
      </c>
      <c r="AR915" t="s">
        <v>8</v>
      </c>
      <c r="AS915" t="s">
        <v>8</v>
      </c>
      <c r="AT915">
        <v>11945.7</v>
      </c>
    </row>
    <row r="916" spans="34:46" x14ac:dyDescent="0.35">
      <c r="AH916" t="s">
        <v>204</v>
      </c>
      <c r="AI916" t="s">
        <v>180</v>
      </c>
      <c r="AJ916" s="3">
        <v>44371</v>
      </c>
      <c r="AK916" t="s">
        <v>41</v>
      </c>
      <c r="AL916" s="1">
        <v>10300</v>
      </c>
      <c r="AM916" t="s">
        <v>8</v>
      </c>
      <c r="AN916" t="s">
        <v>8</v>
      </c>
      <c r="AO916" t="s">
        <v>8</v>
      </c>
      <c r="AP916" s="1" t="s">
        <v>8</v>
      </c>
      <c r="AQ916" t="s">
        <v>8</v>
      </c>
      <c r="AR916" t="s">
        <v>8</v>
      </c>
      <c r="AS916" t="s">
        <v>8</v>
      </c>
      <c r="AT916">
        <v>11945.7</v>
      </c>
    </row>
    <row r="917" spans="34:46" x14ac:dyDescent="0.35">
      <c r="AH917" t="s">
        <v>204</v>
      </c>
      <c r="AI917" t="s">
        <v>180</v>
      </c>
      <c r="AJ917" s="3">
        <v>43622</v>
      </c>
      <c r="AK917" t="s">
        <v>41</v>
      </c>
      <c r="AL917" s="1">
        <v>11350</v>
      </c>
      <c r="AM917" t="s">
        <v>8</v>
      </c>
      <c r="AN917" t="s">
        <v>8</v>
      </c>
      <c r="AO917" t="s">
        <v>8</v>
      </c>
      <c r="AP917" s="1">
        <v>478.9</v>
      </c>
      <c r="AQ917" t="s">
        <v>8</v>
      </c>
      <c r="AR917" t="s">
        <v>8</v>
      </c>
      <c r="AS917" t="s">
        <v>8</v>
      </c>
      <c r="AT917">
        <v>11945.7</v>
      </c>
    </row>
    <row r="918" spans="34:46" x14ac:dyDescent="0.35">
      <c r="AH918" t="s">
        <v>204</v>
      </c>
      <c r="AI918" t="s">
        <v>180</v>
      </c>
      <c r="AJ918" s="3">
        <v>44371</v>
      </c>
      <c r="AK918" t="s">
        <v>41</v>
      </c>
      <c r="AL918" s="1">
        <v>10500</v>
      </c>
      <c r="AM918" t="s">
        <v>8</v>
      </c>
      <c r="AN918" t="s">
        <v>8</v>
      </c>
      <c r="AO918" t="s">
        <v>8</v>
      </c>
      <c r="AP918" s="1">
        <v>2526</v>
      </c>
      <c r="AQ918" t="s">
        <v>8</v>
      </c>
      <c r="AR918" t="s">
        <v>8</v>
      </c>
      <c r="AS918" t="s">
        <v>8</v>
      </c>
      <c r="AT918">
        <v>11945.7</v>
      </c>
    </row>
    <row r="919" spans="34:46" x14ac:dyDescent="0.35">
      <c r="AH919" t="s">
        <v>204</v>
      </c>
      <c r="AI919" t="s">
        <v>180</v>
      </c>
      <c r="AJ919" s="3">
        <v>43622</v>
      </c>
      <c r="AK919" t="s">
        <v>41</v>
      </c>
      <c r="AL919" s="1">
        <v>11550</v>
      </c>
      <c r="AM919" t="s">
        <v>8</v>
      </c>
      <c r="AN919" t="s">
        <v>8</v>
      </c>
      <c r="AO919" t="s">
        <v>8</v>
      </c>
      <c r="AP919" s="1">
        <v>390</v>
      </c>
      <c r="AQ919" t="s">
        <v>8</v>
      </c>
      <c r="AR919" t="s">
        <v>8</v>
      </c>
      <c r="AS919" t="s">
        <v>8</v>
      </c>
      <c r="AT919">
        <v>11945.7</v>
      </c>
    </row>
    <row r="920" spans="34:46" x14ac:dyDescent="0.35">
      <c r="AH920" t="s">
        <v>204</v>
      </c>
      <c r="AI920" t="s">
        <v>180</v>
      </c>
      <c r="AJ920" s="3">
        <v>44196</v>
      </c>
      <c r="AK920" t="s">
        <v>42</v>
      </c>
      <c r="AL920" s="1">
        <v>9000</v>
      </c>
      <c r="AM920" t="s">
        <v>8</v>
      </c>
      <c r="AN920" t="s">
        <v>8</v>
      </c>
      <c r="AO920" t="s">
        <v>8</v>
      </c>
      <c r="AP920">
        <v>169</v>
      </c>
      <c r="AQ920" t="s">
        <v>8</v>
      </c>
      <c r="AR920" t="s">
        <v>8</v>
      </c>
      <c r="AS920" t="s">
        <v>8</v>
      </c>
      <c r="AT920">
        <v>11945.7</v>
      </c>
    </row>
    <row r="921" spans="34:46" x14ac:dyDescent="0.35">
      <c r="AH921" t="s">
        <v>204</v>
      </c>
      <c r="AI921" t="s">
        <v>180</v>
      </c>
      <c r="AJ921" s="3">
        <v>44196</v>
      </c>
      <c r="AK921" t="s">
        <v>42</v>
      </c>
      <c r="AL921" s="1">
        <v>9200</v>
      </c>
      <c r="AM921" t="s">
        <v>8</v>
      </c>
      <c r="AN921" t="s">
        <v>8</v>
      </c>
      <c r="AO921" t="s">
        <v>8</v>
      </c>
      <c r="AP921" s="1">
        <v>291</v>
      </c>
      <c r="AQ921" t="s">
        <v>8</v>
      </c>
      <c r="AR921" t="s">
        <v>8</v>
      </c>
      <c r="AS921" t="s">
        <v>8</v>
      </c>
      <c r="AT921">
        <v>11945.7</v>
      </c>
    </row>
    <row r="922" spans="34:46" x14ac:dyDescent="0.35">
      <c r="AH922" t="s">
        <v>204</v>
      </c>
      <c r="AI922" t="s">
        <v>180</v>
      </c>
      <c r="AJ922" s="3">
        <v>43636</v>
      </c>
      <c r="AK922" t="s">
        <v>41</v>
      </c>
      <c r="AL922" s="1">
        <v>12150</v>
      </c>
      <c r="AM922" t="s">
        <v>8</v>
      </c>
      <c r="AN922" t="s">
        <v>8</v>
      </c>
      <c r="AO922" t="s">
        <v>8</v>
      </c>
      <c r="AP922" s="1">
        <v>117.5</v>
      </c>
      <c r="AQ922" t="s">
        <v>8</v>
      </c>
      <c r="AR922" t="s">
        <v>8</v>
      </c>
      <c r="AS922" t="s">
        <v>8</v>
      </c>
      <c r="AT922">
        <v>11945.7</v>
      </c>
    </row>
    <row r="923" spans="34:46" x14ac:dyDescent="0.35">
      <c r="AH923" t="s">
        <v>204</v>
      </c>
      <c r="AI923" t="s">
        <v>180</v>
      </c>
      <c r="AJ923" s="3">
        <v>44196</v>
      </c>
      <c r="AK923" t="s">
        <v>42</v>
      </c>
      <c r="AL923" s="1">
        <v>9400</v>
      </c>
      <c r="AM923" t="s">
        <v>8</v>
      </c>
      <c r="AN923" t="s">
        <v>8</v>
      </c>
      <c r="AO923" t="s">
        <v>8</v>
      </c>
      <c r="AP923" s="1">
        <v>374.15</v>
      </c>
      <c r="AQ923" t="s">
        <v>8</v>
      </c>
      <c r="AR923" t="s">
        <v>8</v>
      </c>
      <c r="AS923" t="s">
        <v>8</v>
      </c>
      <c r="AT923">
        <v>11945.7</v>
      </c>
    </row>
    <row r="924" spans="34:46" x14ac:dyDescent="0.35">
      <c r="AH924" t="s">
        <v>204</v>
      </c>
      <c r="AI924" t="s">
        <v>180</v>
      </c>
      <c r="AJ924" s="3">
        <v>43636</v>
      </c>
      <c r="AK924" t="s">
        <v>41</v>
      </c>
      <c r="AL924" s="1">
        <v>12350</v>
      </c>
      <c r="AM924" t="s">
        <v>8</v>
      </c>
      <c r="AN924" t="s">
        <v>8</v>
      </c>
      <c r="AO924" t="s">
        <v>8</v>
      </c>
      <c r="AP924" s="1">
        <v>67</v>
      </c>
      <c r="AQ924" t="s">
        <v>8</v>
      </c>
      <c r="AR924" t="s">
        <v>8</v>
      </c>
      <c r="AS924" t="s">
        <v>8</v>
      </c>
      <c r="AT924">
        <v>11945.7</v>
      </c>
    </row>
    <row r="925" spans="34:46" x14ac:dyDescent="0.35">
      <c r="AH925" t="s">
        <v>204</v>
      </c>
      <c r="AI925" t="s">
        <v>180</v>
      </c>
      <c r="AJ925" s="3">
        <v>43636</v>
      </c>
      <c r="AK925" t="s">
        <v>41</v>
      </c>
      <c r="AL925" s="1">
        <v>12550</v>
      </c>
      <c r="AM925" t="s">
        <v>8</v>
      </c>
      <c r="AN925" t="s">
        <v>8</v>
      </c>
      <c r="AO925" t="s">
        <v>8</v>
      </c>
      <c r="AP925">
        <v>35.5</v>
      </c>
      <c r="AQ925" t="s">
        <v>8</v>
      </c>
      <c r="AR925" t="s">
        <v>8</v>
      </c>
      <c r="AS925" t="s">
        <v>8</v>
      </c>
      <c r="AT925">
        <v>11945.7</v>
      </c>
    </row>
    <row r="926" spans="34:46" x14ac:dyDescent="0.35">
      <c r="AH926" t="s">
        <v>204</v>
      </c>
      <c r="AI926" t="s">
        <v>180</v>
      </c>
      <c r="AJ926" s="3">
        <v>43643</v>
      </c>
      <c r="AK926" t="s">
        <v>41</v>
      </c>
      <c r="AL926" s="1">
        <v>7200</v>
      </c>
      <c r="AM926" t="s">
        <v>8</v>
      </c>
      <c r="AN926" t="s">
        <v>8</v>
      </c>
      <c r="AO926" t="s">
        <v>8</v>
      </c>
      <c r="AP926" s="1">
        <v>1754.2</v>
      </c>
      <c r="AQ926" t="s">
        <v>8</v>
      </c>
      <c r="AR926" t="s">
        <v>8</v>
      </c>
      <c r="AS926" t="s">
        <v>8</v>
      </c>
      <c r="AT926">
        <v>11945.7</v>
      </c>
    </row>
    <row r="927" spans="34:46" x14ac:dyDescent="0.35">
      <c r="AH927" t="s">
        <v>204</v>
      </c>
      <c r="AI927" t="s">
        <v>180</v>
      </c>
      <c r="AJ927" s="3">
        <v>43643</v>
      </c>
      <c r="AK927" t="s">
        <v>41</v>
      </c>
      <c r="AL927" s="1">
        <v>7400</v>
      </c>
      <c r="AM927" t="s">
        <v>8</v>
      </c>
      <c r="AN927" t="s">
        <v>8</v>
      </c>
      <c r="AO927" t="s">
        <v>8</v>
      </c>
      <c r="AP927" s="1">
        <v>2844.95</v>
      </c>
      <c r="AQ927" t="s">
        <v>8</v>
      </c>
      <c r="AR927" t="s">
        <v>8</v>
      </c>
      <c r="AS927" t="s">
        <v>8</v>
      </c>
      <c r="AT927">
        <v>11945.7</v>
      </c>
    </row>
    <row r="928" spans="34:46" x14ac:dyDescent="0.35">
      <c r="AH928" t="s">
        <v>204</v>
      </c>
      <c r="AI928" t="s">
        <v>180</v>
      </c>
      <c r="AJ928" s="3">
        <v>43636</v>
      </c>
      <c r="AK928" t="s">
        <v>42</v>
      </c>
      <c r="AL928" s="1">
        <v>12400</v>
      </c>
      <c r="AM928" t="s">
        <v>8</v>
      </c>
      <c r="AN928" t="s">
        <v>8</v>
      </c>
      <c r="AO928" t="s">
        <v>8</v>
      </c>
      <c r="AP928" s="1">
        <v>563.1</v>
      </c>
      <c r="AQ928" t="s">
        <v>8</v>
      </c>
      <c r="AR928" t="s">
        <v>8</v>
      </c>
      <c r="AS928" t="s">
        <v>8</v>
      </c>
      <c r="AT928">
        <v>11945.7</v>
      </c>
    </row>
    <row r="929" spans="34:46" x14ac:dyDescent="0.35">
      <c r="AH929" t="s">
        <v>204</v>
      </c>
      <c r="AI929" t="s">
        <v>180</v>
      </c>
      <c r="AJ929" s="3">
        <v>43636</v>
      </c>
      <c r="AK929" t="s">
        <v>42</v>
      </c>
      <c r="AL929" s="1">
        <v>12600</v>
      </c>
      <c r="AM929" t="s">
        <v>8</v>
      </c>
      <c r="AN929" t="s">
        <v>8</v>
      </c>
      <c r="AO929" t="s">
        <v>8</v>
      </c>
      <c r="AP929">
        <v>733.2</v>
      </c>
      <c r="AQ929" t="s">
        <v>8</v>
      </c>
      <c r="AR929" t="s">
        <v>8</v>
      </c>
      <c r="AS929" t="s">
        <v>8</v>
      </c>
      <c r="AT929">
        <v>11945.7</v>
      </c>
    </row>
    <row r="930" spans="34:46" x14ac:dyDescent="0.35">
      <c r="AH930" t="s">
        <v>204</v>
      </c>
      <c r="AI930" t="s">
        <v>180</v>
      </c>
      <c r="AJ930" s="3">
        <v>43636</v>
      </c>
      <c r="AK930" t="s">
        <v>42</v>
      </c>
      <c r="AL930" s="1">
        <v>12800</v>
      </c>
      <c r="AM930" t="s">
        <v>8</v>
      </c>
      <c r="AN930" t="s">
        <v>8</v>
      </c>
      <c r="AO930" t="s">
        <v>8</v>
      </c>
      <c r="AP930">
        <v>915.45</v>
      </c>
      <c r="AQ930" t="s">
        <v>8</v>
      </c>
      <c r="AR930" t="s">
        <v>8</v>
      </c>
      <c r="AS930" t="s">
        <v>8</v>
      </c>
      <c r="AT930">
        <v>11945.7</v>
      </c>
    </row>
    <row r="931" spans="34:46" x14ac:dyDescent="0.35">
      <c r="AH931" t="s">
        <v>204</v>
      </c>
      <c r="AI931" t="s">
        <v>180</v>
      </c>
      <c r="AJ931" s="3">
        <v>44007</v>
      </c>
      <c r="AK931" t="s">
        <v>42</v>
      </c>
      <c r="AL931" s="1">
        <v>12000</v>
      </c>
      <c r="AM931" t="s">
        <v>8</v>
      </c>
      <c r="AN931" t="s">
        <v>8</v>
      </c>
      <c r="AO931" t="s">
        <v>8</v>
      </c>
      <c r="AP931" s="1" t="s">
        <v>8</v>
      </c>
      <c r="AQ931" t="s">
        <v>8</v>
      </c>
      <c r="AR931" t="s">
        <v>8</v>
      </c>
      <c r="AS931" t="s">
        <v>8</v>
      </c>
      <c r="AT931">
        <v>11945.7</v>
      </c>
    </row>
    <row r="932" spans="34:46" x14ac:dyDescent="0.35">
      <c r="AH932" t="s">
        <v>204</v>
      </c>
      <c r="AI932" t="s">
        <v>180</v>
      </c>
      <c r="AJ932" s="3">
        <v>43825</v>
      </c>
      <c r="AK932" t="s">
        <v>42</v>
      </c>
      <c r="AL932" s="1">
        <v>6000</v>
      </c>
      <c r="AM932" t="s">
        <v>8</v>
      </c>
      <c r="AN932" t="s">
        <v>8</v>
      </c>
      <c r="AO932" t="s">
        <v>8</v>
      </c>
      <c r="AP932">
        <v>21</v>
      </c>
      <c r="AQ932" t="s">
        <v>8</v>
      </c>
      <c r="AR932" t="s">
        <v>8</v>
      </c>
      <c r="AS932" t="s">
        <v>8</v>
      </c>
      <c r="AT932">
        <v>11945.7</v>
      </c>
    </row>
    <row r="933" spans="34:46" x14ac:dyDescent="0.35">
      <c r="AH933" t="s">
        <v>204</v>
      </c>
      <c r="AI933" t="s">
        <v>180</v>
      </c>
      <c r="AJ933" s="3">
        <v>45106</v>
      </c>
      <c r="AK933" t="s">
        <v>42</v>
      </c>
      <c r="AL933" s="1">
        <v>13000</v>
      </c>
      <c r="AM933" t="s">
        <v>8</v>
      </c>
      <c r="AN933" t="s">
        <v>8</v>
      </c>
      <c r="AO933" t="s">
        <v>8</v>
      </c>
      <c r="AP933" s="1">
        <v>387.95</v>
      </c>
      <c r="AQ933" t="s">
        <v>8</v>
      </c>
      <c r="AR933" t="s">
        <v>8</v>
      </c>
      <c r="AS933" t="s">
        <v>8</v>
      </c>
      <c r="AT933">
        <v>11945.7</v>
      </c>
    </row>
    <row r="934" spans="34:46" x14ac:dyDescent="0.35">
      <c r="AH934" t="s">
        <v>204</v>
      </c>
      <c r="AI934" t="s">
        <v>180</v>
      </c>
      <c r="AJ934" s="3">
        <v>44007</v>
      </c>
      <c r="AK934" t="s">
        <v>42</v>
      </c>
      <c r="AL934" s="1">
        <v>12200</v>
      </c>
      <c r="AM934" t="s">
        <v>8</v>
      </c>
      <c r="AN934" t="s">
        <v>8</v>
      </c>
      <c r="AO934" t="s">
        <v>8</v>
      </c>
      <c r="AP934" s="1" t="s">
        <v>8</v>
      </c>
      <c r="AQ934" t="s">
        <v>8</v>
      </c>
      <c r="AR934" t="s">
        <v>8</v>
      </c>
      <c r="AS934" t="s">
        <v>8</v>
      </c>
      <c r="AT934">
        <v>11945.7</v>
      </c>
    </row>
    <row r="935" spans="34:46" x14ac:dyDescent="0.35">
      <c r="AH935" t="s">
        <v>204</v>
      </c>
      <c r="AI935" t="s">
        <v>180</v>
      </c>
      <c r="AJ935" s="3">
        <v>43643</v>
      </c>
      <c r="AK935" t="s">
        <v>41</v>
      </c>
      <c r="AL935" s="1">
        <v>13800</v>
      </c>
      <c r="AM935" t="s">
        <v>8</v>
      </c>
      <c r="AN935" t="s">
        <v>8</v>
      </c>
      <c r="AO935" t="s">
        <v>8</v>
      </c>
      <c r="AP935">
        <v>20</v>
      </c>
      <c r="AQ935" t="s">
        <v>8</v>
      </c>
      <c r="AR935" t="s">
        <v>8</v>
      </c>
      <c r="AS935" t="s">
        <v>8</v>
      </c>
      <c r="AT935">
        <v>11945.7</v>
      </c>
    </row>
    <row r="936" spans="34:46" x14ac:dyDescent="0.35">
      <c r="AH936" t="s">
        <v>204</v>
      </c>
      <c r="AI936" t="s">
        <v>180</v>
      </c>
      <c r="AJ936" s="3">
        <v>43825</v>
      </c>
      <c r="AK936" t="s">
        <v>42</v>
      </c>
      <c r="AL936" s="1">
        <v>6200</v>
      </c>
      <c r="AM936" t="s">
        <v>8</v>
      </c>
      <c r="AN936" t="s">
        <v>8</v>
      </c>
      <c r="AO936" t="s">
        <v>8</v>
      </c>
      <c r="AP936">
        <v>24.95</v>
      </c>
      <c r="AQ936" t="s">
        <v>8</v>
      </c>
      <c r="AR936" t="s">
        <v>8</v>
      </c>
      <c r="AS936" t="s">
        <v>8</v>
      </c>
      <c r="AT936">
        <v>11945.7</v>
      </c>
    </row>
    <row r="937" spans="34:46" x14ac:dyDescent="0.35">
      <c r="AH937" t="s">
        <v>204</v>
      </c>
      <c r="AI937" t="s">
        <v>180</v>
      </c>
      <c r="AJ937" s="3">
        <v>43825</v>
      </c>
      <c r="AK937" t="s">
        <v>42</v>
      </c>
      <c r="AL937" s="1">
        <v>6400</v>
      </c>
      <c r="AM937" t="s">
        <v>8</v>
      </c>
      <c r="AN937" t="s">
        <v>8</v>
      </c>
      <c r="AO937" t="s">
        <v>8</v>
      </c>
      <c r="AP937" s="1">
        <v>15</v>
      </c>
      <c r="AQ937" t="s">
        <v>8</v>
      </c>
      <c r="AR937" t="s">
        <v>8</v>
      </c>
      <c r="AS937" t="s">
        <v>8</v>
      </c>
      <c r="AT937">
        <v>11945.7</v>
      </c>
    </row>
    <row r="938" spans="34:46" x14ac:dyDescent="0.35">
      <c r="AH938" t="s">
        <v>204</v>
      </c>
      <c r="AI938" t="s">
        <v>180</v>
      </c>
      <c r="AJ938" s="3">
        <v>43671</v>
      </c>
      <c r="AK938" t="s">
        <v>41</v>
      </c>
      <c r="AL938" s="1">
        <v>11100</v>
      </c>
      <c r="AM938" t="s">
        <v>8</v>
      </c>
      <c r="AN938" t="s">
        <v>8</v>
      </c>
      <c r="AO938" t="s">
        <v>8</v>
      </c>
      <c r="AP938" s="1">
        <v>867</v>
      </c>
      <c r="AQ938" t="s">
        <v>8</v>
      </c>
      <c r="AR938" t="s">
        <v>8</v>
      </c>
      <c r="AS938" t="s">
        <v>8</v>
      </c>
      <c r="AT938">
        <v>11945.7</v>
      </c>
    </row>
    <row r="939" spans="34:46" x14ac:dyDescent="0.35">
      <c r="AH939" t="s">
        <v>204</v>
      </c>
      <c r="AI939" t="s">
        <v>180</v>
      </c>
      <c r="AJ939" s="3">
        <v>43643</v>
      </c>
      <c r="AK939" t="s">
        <v>42</v>
      </c>
      <c r="AL939" s="1">
        <v>6500</v>
      </c>
      <c r="AM939" t="s">
        <v>8</v>
      </c>
      <c r="AN939" t="s">
        <v>8</v>
      </c>
      <c r="AO939" t="s">
        <v>8</v>
      </c>
      <c r="AP939" s="1">
        <v>3.8</v>
      </c>
      <c r="AQ939" t="s">
        <v>8</v>
      </c>
      <c r="AR939" t="s">
        <v>8</v>
      </c>
      <c r="AS939" t="s">
        <v>8</v>
      </c>
      <c r="AT939">
        <v>11945.7</v>
      </c>
    </row>
    <row r="940" spans="34:46" x14ac:dyDescent="0.35">
      <c r="AH940" t="s">
        <v>204</v>
      </c>
      <c r="AI940" t="s">
        <v>180</v>
      </c>
      <c r="AJ940" s="3">
        <v>44007</v>
      </c>
      <c r="AK940" t="s">
        <v>42</v>
      </c>
      <c r="AL940" s="1">
        <v>10900</v>
      </c>
      <c r="AM940" t="s">
        <v>8</v>
      </c>
      <c r="AN940" t="s">
        <v>8</v>
      </c>
      <c r="AO940" t="s">
        <v>8</v>
      </c>
      <c r="AP940" s="1" t="s">
        <v>8</v>
      </c>
      <c r="AQ940" t="s">
        <v>8</v>
      </c>
      <c r="AR940" t="s">
        <v>8</v>
      </c>
      <c r="AS940" t="s">
        <v>8</v>
      </c>
      <c r="AT940">
        <v>11945.7</v>
      </c>
    </row>
    <row r="941" spans="34:46" x14ac:dyDescent="0.35">
      <c r="AH941" t="s">
        <v>204</v>
      </c>
      <c r="AI941" t="s">
        <v>180</v>
      </c>
      <c r="AJ941" s="3">
        <v>43664</v>
      </c>
      <c r="AK941" t="s">
        <v>42</v>
      </c>
      <c r="AL941" s="1">
        <v>12700</v>
      </c>
      <c r="AM941" t="s">
        <v>8</v>
      </c>
      <c r="AN941" t="s">
        <v>8</v>
      </c>
      <c r="AO941" t="s">
        <v>8</v>
      </c>
      <c r="AP941" s="1">
        <v>1296.5</v>
      </c>
      <c r="AQ941" t="s">
        <v>8</v>
      </c>
      <c r="AR941" t="s">
        <v>8</v>
      </c>
      <c r="AS941" t="s">
        <v>8</v>
      </c>
      <c r="AT941">
        <v>11945.7</v>
      </c>
    </row>
    <row r="942" spans="34:46" x14ac:dyDescent="0.35">
      <c r="AH942" t="s">
        <v>204</v>
      </c>
      <c r="AI942" t="s">
        <v>180</v>
      </c>
      <c r="AJ942" s="3">
        <v>43664</v>
      </c>
      <c r="AK942" t="s">
        <v>42</v>
      </c>
      <c r="AL942" s="1">
        <v>12900</v>
      </c>
      <c r="AM942" t="s">
        <v>8</v>
      </c>
      <c r="AN942" t="s">
        <v>8</v>
      </c>
      <c r="AO942" t="s">
        <v>8</v>
      </c>
      <c r="AP942" s="1">
        <v>1352.6</v>
      </c>
      <c r="AQ942" t="s">
        <v>8</v>
      </c>
      <c r="AR942" t="s">
        <v>8</v>
      </c>
      <c r="AS942" t="s">
        <v>8</v>
      </c>
      <c r="AT942">
        <v>11945.7</v>
      </c>
    </row>
    <row r="943" spans="34:46" x14ac:dyDescent="0.35">
      <c r="AH943" t="s">
        <v>204</v>
      </c>
      <c r="AI943" t="s">
        <v>180</v>
      </c>
      <c r="AJ943" s="3">
        <v>44371</v>
      </c>
      <c r="AK943" t="s">
        <v>42</v>
      </c>
      <c r="AL943" s="1">
        <v>8000</v>
      </c>
      <c r="AM943" t="s">
        <v>8</v>
      </c>
      <c r="AN943" t="s">
        <v>8</v>
      </c>
      <c r="AO943" t="s">
        <v>8</v>
      </c>
      <c r="AP943">
        <v>195.2</v>
      </c>
      <c r="AQ943" t="s">
        <v>8</v>
      </c>
      <c r="AR943" t="s">
        <v>8</v>
      </c>
      <c r="AS943" t="s">
        <v>8</v>
      </c>
      <c r="AT943">
        <v>11945.7</v>
      </c>
    </row>
    <row r="944" spans="34:46" x14ac:dyDescent="0.35">
      <c r="AH944" t="s">
        <v>204</v>
      </c>
      <c r="AI944" t="s">
        <v>180</v>
      </c>
      <c r="AJ944" s="3">
        <v>43657</v>
      </c>
      <c r="AK944" t="s">
        <v>42</v>
      </c>
      <c r="AL944" s="1">
        <v>13200</v>
      </c>
      <c r="AM944" t="s">
        <v>8</v>
      </c>
      <c r="AN944" t="s">
        <v>8</v>
      </c>
      <c r="AO944" t="s">
        <v>8</v>
      </c>
      <c r="AP944" s="1">
        <v>1300.4000000000001</v>
      </c>
      <c r="AQ944" t="s">
        <v>8</v>
      </c>
      <c r="AR944" t="s">
        <v>8</v>
      </c>
      <c r="AS944" t="s">
        <v>8</v>
      </c>
      <c r="AT944">
        <v>11945.7</v>
      </c>
    </row>
    <row r="945" spans="34:46" x14ac:dyDescent="0.35">
      <c r="AH945" t="s">
        <v>204</v>
      </c>
      <c r="AI945" t="s">
        <v>180</v>
      </c>
      <c r="AJ945" s="3">
        <v>44371</v>
      </c>
      <c r="AK945" t="s">
        <v>42</v>
      </c>
      <c r="AL945" s="1">
        <v>8200</v>
      </c>
      <c r="AM945" t="s">
        <v>8</v>
      </c>
      <c r="AN945" t="s">
        <v>8</v>
      </c>
      <c r="AO945" t="s">
        <v>8</v>
      </c>
      <c r="AP945">
        <v>17.8</v>
      </c>
      <c r="AQ945" t="s">
        <v>8</v>
      </c>
      <c r="AR945" t="s">
        <v>8</v>
      </c>
      <c r="AS945" t="s">
        <v>8</v>
      </c>
      <c r="AT945">
        <v>11945.7</v>
      </c>
    </row>
    <row r="946" spans="34:46" x14ac:dyDescent="0.35">
      <c r="AH946" t="s">
        <v>204</v>
      </c>
      <c r="AI946" t="s">
        <v>180</v>
      </c>
      <c r="AJ946" s="3">
        <v>43657</v>
      </c>
      <c r="AK946" t="s">
        <v>42</v>
      </c>
      <c r="AL946" s="1">
        <v>13400</v>
      </c>
      <c r="AM946" t="s">
        <v>8</v>
      </c>
      <c r="AN946" t="s">
        <v>8</v>
      </c>
      <c r="AO946" t="s">
        <v>8</v>
      </c>
      <c r="AP946" s="1">
        <v>1391.3</v>
      </c>
      <c r="AQ946" t="s">
        <v>8</v>
      </c>
      <c r="AR946" t="s">
        <v>8</v>
      </c>
      <c r="AS946" t="s">
        <v>8</v>
      </c>
      <c r="AT946">
        <v>11945.7</v>
      </c>
    </row>
    <row r="947" spans="34:46" x14ac:dyDescent="0.35">
      <c r="AH947" t="s">
        <v>204</v>
      </c>
      <c r="AI947" t="s">
        <v>180</v>
      </c>
      <c r="AJ947" s="3">
        <v>43629</v>
      </c>
      <c r="AK947" t="s">
        <v>42</v>
      </c>
      <c r="AL947" s="1">
        <v>10450</v>
      </c>
      <c r="AM947" t="s">
        <v>8</v>
      </c>
      <c r="AN947" t="s">
        <v>8</v>
      </c>
      <c r="AO947" t="s">
        <v>8</v>
      </c>
      <c r="AP947" s="1">
        <v>1.9</v>
      </c>
      <c r="AQ947" t="s">
        <v>8</v>
      </c>
      <c r="AR947" t="s">
        <v>8</v>
      </c>
      <c r="AS947" t="s">
        <v>8</v>
      </c>
      <c r="AT947">
        <v>11945.7</v>
      </c>
    </row>
    <row r="948" spans="34:46" x14ac:dyDescent="0.35">
      <c r="AH948" t="s">
        <v>204</v>
      </c>
      <c r="AI948" t="s">
        <v>180</v>
      </c>
      <c r="AJ948" s="3">
        <v>44371</v>
      </c>
      <c r="AK948" t="s">
        <v>42</v>
      </c>
      <c r="AL948" s="1">
        <v>6900</v>
      </c>
      <c r="AM948" t="s">
        <v>8</v>
      </c>
      <c r="AN948" t="s">
        <v>8</v>
      </c>
      <c r="AO948" t="s">
        <v>8</v>
      </c>
      <c r="AP948" s="1">
        <v>80</v>
      </c>
      <c r="AQ948" t="s">
        <v>8</v>
      </c>
      <c r="AR948" t="s">
        <v>8</v>
      </c>
      <c r="AS948" t="s">
        <v>8</v>
      </c>
      <c r="AT948">
        <v>11945.7</v>
      </c>
    </row>
    <row r="949" spans="34:46" x14ac:dyDescent="0.35">
      <c r="AH949" t="s">
        <v>204</v>
      </c>
      <c r="AI949" t="s">
        <v>180</v>
      </c>
      <c r="AJ949" s="3">
        <v>45288</v>
      </c>
      <c r="AK949" t="s">
        <v>42</v>
      </c>
      <c r="AL949" s="1">
        <v>8800</v>
      </c>
      <c r="AM949" t="s">
        <v>8</v>
      </c>
      <c r="AN949" t="s">
        <v>8</v>
      </c>
      <c r="AO949" t="s">
        <v>8</v>
      </c>
      <c r="AP949" s="1">
        <v>110.75</v>
      </c>
      <c r="AQ949" t="s">
        <v>8</v>
      </c>
      <c r="AR949" t="s">
        <v>8</v>
      </c>
      <c r="AS949" t="s">
        <v>8</v>
      </c>
      <c r="AT949">
        <v>11945.7</v>
      </c>
    </row>
    <row r="950" spans="34:46" x14ac:dyDescent="0.35">
      <c r="AH950" t="s">
        <v>204</v>
      </c>
      <c r="AI950" t="s">
        <v>180</v>
      </c>
      <c r="AJ950" s="3">
        <v>45106</v>
      </c>
      <c r="AK950" t="s">
        <v>42</v>
      </c>
      <c r="AL950" s="1">
        <v>8900</v>
      </c>
      <c r="AM950" t="s">
        <v>8</v>
      </c>
      <c r="AN950" t="s">
        <v>8</v>
      </c>
      <c r="AO950" t="s">
        <v>8</v>
      </c>
      <c r="AP950">
        <v>12.35</v>
      </c>
      <c r="AQ950" t="s">
        <v>8</v>
      </c>
      <c r="AR950" t="s">
        <v>8</v>
      </c>
      <c r="AS950" t="s">
        <v>8</v>
      </c>
      <c r="AT950">
        <v>11945.7</v>
      </c>
    </row>
    <row r="951" spans="34:46" x14ac:dyDescent="0.35">
      <c r="AH951" t="s">
        <v>204</v>
      </c>
      <c r="AI951" t="s">
        <v>180</v>
      </c>
      <c r="AJ951" s="3">
        <v>43629</v>
      </c>
      <c r="AK951" t="s">
        <v>41</v>
      </c>
      <c r="AL951" s="1">
        <v>12150</v>
      </c>
      <c r="AM951" t="s">
        <v>8</v>
      </c>
      <c r="AN951" t="s">
        <v>8</v>
      </c>
      <c r="AO951" t="s">
        <v>8</v>
      </c>
      <c r="AP951">
        <v>85.2</v>
      </c>
      <c r="AQ951" t="s">
        <v>8</v>
      </c>
      <c r="AR951" t="s">
        <v>8</v>
      </c>
      <c r="AS951" t="s">
        <v>8</v>
      </c>
      <c r="AT951">
        <v>11945.7</v>
      </c>
    </row>
    <row r="952" spans="34:46" x14ac:dyDescent="0.35">
      <c r="AH952" t="s">
        <v>204</v>
      </c>
      <c r="AI952" t="s">
        <v>180</v>
      </c>
      <c r="AJ952" s="3">
        <v>44196</v>
      </c>
      <c r="AK952" t="s">
        <v>42</v>
      </c>
      <c r="AL952" s="1">
        <v>10200</v>
      </c>
      <c r="AM952" t="s">
        <v>8</v>
      </c>
      <c r="AN952" t="s">
        <v>8</v>
      </c>
      <c r="AO952" t="s">
        <v>8</v>
      </c>
      <c r="AP952" t="s">
        <v>8</v>
      </c>
      <c r="AQ952" t="s">
        <v>8</v>
      </c>
      <c r="AR952" t="s">
        <v>8</v>
      </c>
      <c r="AS952" t="s">
        <v>8</v>
      </c>
      <c r="AT952">
        <v>11945.7</v>
      </c>
    </row>
    <row r="953" spans="34:46" x14ac:dyDescent="0.35">
      <c r="AH953" t="s">
        <v>204</v>
      </c>
      <c r="AI953" t="s">
        <v>180</v>
      </c>
      <c r="AJ953" s="3">
        <v>43629</v>
      </c>
      <c r="AK953" t="s">
        <v>41</v>
      </c>
      <c r="AL953" s="1">
        <v>12350</v>
      </c>
      <c r="AM953" t="s">
        <v>8</v>
      </c>
      <c r="AN953" t="s">
        <v>8</v>
      </c>
      <c r="AO953" t="s">
        <v>8</v>
      </c>
      <c r="AP953" s="1">
        <v>47.75</v>
      </c>
      <c r="AQ953" t="s">
        <v>8</v>
      </c>
      <c r="AR953" t="s">
        <v>8</v>
      </c>
      <c r="AS953" t="s">
        <v>8</v>
      </c>
      <c r="AT953">
        <v>11945.7</v>
      </c>
    </row>
    <row r="954" spans="34:46" x14ac:dyDescent="0.35">
      <c r="AH954" t="s">
        <v>204</v>
      </c>
      <c r="AI954" t="s">
        <v>180</v>
      </c>
      <c r="AJ954" s="3">
        <v>44196</v>
      </c>
      <c r="AK954" t="s">
        <v>42</v>
      </c>
      <c r="AL954" s="1">
        <v>10400</v>
      </c>
      <c r="AM954" t="s">
        <v>8</v>
      </c>
      <c r="AN954" t="s">
        <v>8</v>
      </c>
      <c r="AO954" t="s">
        <v>8</v>
      </c>
      <c r="AP954" t="s">
        <v>8</v>
      </c>
      <c r="AQ954" t="s">
        <v>8</v>
      </c>
      <c r="AR954" t="s">
        <v>8</v>
      </c>
      <c r="AS954" t="s">
        <v>8</v>
      </c>
      <c r="AT954">
        <v>11945.7</v>
      </c>
    </row>
    <row r="955" spans="34:46" x14ac:dyDescent="0.35">
      <c r="AH955" t="s">
        <v>204</v>
      </c>
      <c r="AI955" t="s">
        <v>180</v>
      </c>
      <c r="AJ955" s="3">
        <v>43629</v>
      </c>
      <c r="AK955" t="s">
        <v>42</v>
      </c>
      <c r="AL955" s="1">
        <v>12200</v>
      </c>
      <c r="AM955" t="s">
        <v>8</v>
      </c>
      <c r="AN955" t="s">
        <v>8</v>
      </c>
      <c r="AO955" t="s">
        <v>8</v>
      </c>
      <c r="AP955">
        <v>532.85</v>
      </c>
      <c r="AQ955" t="s">
        <v>8</v>
      </c>
      <c r="AR955" t="s">
        <v>8</v>
      </c>
      <c r="AS955" t="s">
        <v>8</v>
      </c>
      <c r="AT955">
        <v>11945.7</v>
      </c>
    </row>
    <row r="956" spans="34:46" x14ac:dyDescent="0.35">
      <c r="AH956" t="s">
        <v>204</v>
      </c>
      <c r="AI956" t="s">
        <v>180</v>
      </c>
      <c r="AJ956" s="3">
        <v>44196</v>
      </c>
      <c r="AK956" t="s">
        <v>42</v>
      </c>
      <c r="AL956" s="1">
        <v>10600</v>
      </c>
      <c r="AM956" t="s">
        <v>8</v>
      </c>
      <c r="AN956" t="s">
        <v>8</v>
      </c>
      <c r="AO956" t="s">
        <v>8</v>
      </c>
      <c r="AP956" s="1" t="s">
        <v>8</v>
      </c>
      <c r="AQ956" t="s">
        <v>8</v>
      </c>
      <c r="AR956" t="s">
        <v>8</v>
      </c>
      <c r="AS956" t="s">
        <v>8</v>
      </c>
      <c r="AT956">
        <v>11945.7</v>
      </c>
    </row>
    <row r="957" spans="34:46" x14ac:dyDescent="0.35">
      <c r="AH957" t="s">
        <v>204</v>
      </c>
      <c r="AI957" t="s">
        <v>180</v>
      </c>
      <c r="AJ957" s="3">
        <v>43629</v>
      </c>
      <c r="AK957" t="s">
        <v>42</v>
      </c>
      <c r="AL957" s="1">
        <v>12400</v>
      </c>
      <c r="AM957" t="s">
        <v>8</v>
      </c>
      <c r="AN957" t="s">
        <v>8</v>
      </c>
      <c r="AO957" t="s">
        <v>8</v>
      </c>
      <c r="AP957" s="1">
        <v>697.15</v>
      </c>
      <c r="AQ957" t="s">
        <v>8</v>
      </c>
      <c r="AR957" t="s">
        <v>8</v>
      </c>
      <c r="AS957" t="s">
        <v>8</v>
      </c>
      <c r="AT957">
        <v>11945.7</v>
      </c>
    </row>
    <row r="958" spans="34:46" x14ac:dyDescent="0.35">
      <c r="AH958" t="s">
        <v>204</v>
      </c>
      <c r="AI958" t="s">
        <v>180</v>
      </c>
      <c r="AJ958" s="3">
        <v>43671</v>
      </c>
      <c r="AK958" t="s">
        <v>42</v>
      </c>
      <c r="AL958" s="1">
        <v>11550</v>
      </c>
      <c r="AM958" t="s">
        <v>8</v>
      </c>
      <c r="AN958" t="s">
        <v>8</v>
      </c>
      <c r="AO958" t="s">
        <v>8</v>
      </c>
      <c r="AP958" s="1">
        <v>186.15</v>
      </c>
      <c r="AQ958" t="s">
        <v>8</v>
      </c>
      <c r="AR958" t="s">
        <v>8</v>
      </c>
      <c r="AS958" t="s">
        <v>8</v>
      </c>
      <c r="AT958">
        <v>11945.7</v>
      </c>
    </row>
    <row r="959" spans="34:46" x14ac:dyDescent="0.35">
      <c r="AH959" t="s">
        <v>204</v>
      </c>
      <c r="AI959" t="s">
        <v>180</v>
      </c>
      <c r="AJ959" s="3">
        <v>44742</v>
      </c>
      <c r="AK959" t="s">
        <v>42</v>
      </c>
      <c r="AL959" s="1">
        <v>11200</v>
      </c>
      <c r="AM959" t="s">
        <v>8</v>
      </c>
      <c r="AN959" t="s">
        <v>8</v>
      </c>
      <c r="AO959" t="s">
        <v>8</v>
      </c>
      <c r="AP959" s="1">
        <v>755</v>
      </c>
      <c r="AQ959" t="s">
        <v>8</v>
      </c>
      <c r="AR959" t="s">
        <v>8</v>
      </c>
      <c r="AS959" t="s">
        <v>8</v>
      </c>
      <c r="AT959">
        <v>11945.7</v>
      </c>
    </row>
    <row r="960" spans="34:46" x14ac:dyDescent="0.35">
      <c r="AH960" t="s">
        <v>204</v>
      </c>
      <c r="AI960" t="s">
        <v>180</v>
      </c>
      <c r="AJ960" s="3">
        <v>43671</v>
      </c>
      <c r="AK960" t="s">
        <v>42</v>
      </c>
      <c r="AL960" s="1">
        <v>11750</v>
      </c>
      <c r="AM960" t="s">
        <v>8</v>
      </c>
      <c r="AN960" t="s">
        <v>8</v>
      </c>
      <c r="AO960" t="s">
        <v>8</v>
      </c>
      <c r="AP960" s="1">
        <v>267.60000000000002</v>
      </c>
      <c r="AQ960" t="s">
        <v>8</v>
      </c>
      <c r="AR960" t="s">
        <v>8</v>
      </c>
      <c r="AS960" t="s">
        <v>8</v>
      </c>
      <c r="AT960">
        <v>11945.7</v>
      </c>
    </row>
    <row r="961" spans="34:46" x14ac:dyDescent="0.35">
      <c r="AH961" t="s">
        <v>204</v>
      </c>
      <c r="AI961" t="s">
        <v>180</v>
      </c>
      <c r="AJ961" s="3">
        <v>43643</v>
      </c>
      <c r="AK961" t="s">
        <v>41</v>
      </c>
      <c r="AL961" s="1">
        <v>9750</v>
      </c>
      <c r="AM961" t="s">
        <v>8</v>
      </c>
      <c r="AN961" t="s">
        <v>8</v>
      </c>
      <c r="AO961" t="s">
        <v>8</v>
      </c>
      <c r="AP961" s="1">
        <v>1484.25</v>
      </c>
      <c r="AQ961" t="s">
        <v>8</v>
      </c>
      <c r="AR961" t="s">
        <v>8</v>
      </c>
      <c r="AS961" t="s">
        <v>8</v>
      </c>
      <c r="AT961">
        <v>11945.7</v>
      </c>
    </row>
    <row r="962" spans="34:46" x14ac:dyDescent="0.35">
      <c r="AH962" t="s">
        <v>204</v>
      </c>
      <c r="AI962" t="s">
        <v>180</v>
      </c>
      <c r="AJ962" s="3">
        <v>44742</v>
      </c>
      <c r="AK962" t="s">
        <v>42</v>
      </c>
      <c r="AL962" s="1">
        <v>11400</v>
      </c>
      <c r="AM962" t="s">
        <v>8</v>
      </c>
      <c r="AN962" t="s">
        <v>8</v>
      </c>
      <c r="AO962" t="s">
        <v>8</v>
      </c>
      <c r="AP962">
        <v>771</v>
      </c>
      <c r="AQ962" t="s">
        <v>8</v>
      </c>
      <c r="AR962" t="s">
        <v>8</v>
      </c>
      <c r="AS962" t="s">
        <v>8</v>
      </c>
      <c r="AT962">
        <v>11945.7</v>
      </c>
    </row>
    <row r="963" spans="34:46" x14ac:dyDescent="0.35">
      <c r="AH963" t="s">
        <v>204</v>
      </c>
      <c r="AI963" t="s">
        <v>180</v>
      </c>
      <c r="AJ963" s="3">
        <v>43643</v>
      </c>
      <c r="AK963" t="s">
        <v>41</v>
      </c>
      <c r="AL963" s="1">
        <v>9950</v>
      </c>
      <c r="AM963" t="s">
        <v>8</v>
      </c>
      <c r="AN963" t="s">
        <v>8</v>
      </c>
      <c r="AO963" t="s">
        <v>8</v>
      </c>
      <c r="AP963" s="1">
        <v>1506.6</v>
      </c>
      <c r="AQ963" t="s">
        <v>8</v>
      </c>
      <c r="AR963" t="s">
        <v>8</v>
      </c>
      <c r="AS963" t="s">
        <v>8</v>
      </c>
      <c r="AT963">
        <v>11945.7</v>
      </c>
    </row>
    <row r="964" spans="34:46" x14ac:dyDescent="0.35">
      <c r="AH964" t="s">
        <v>204</v>
      </c>
      <c r="AI964" t="s">
        <v>180</v>
      </c>
      <c r="AJ964" s="3">
        <v>44196</v>
      </c>
      <c r="AK964" t="s">
        <v>41</v>
      </c>
      <c r="AL964" s="1">
        <v>12100</v>
      </c>
      <c r="AM964" t="s">
        <v>8</v>
      </c>
      <c r="AN964" t="s">
        <v>8</v>
      </c>
      <c r="AO964" t="s">
        <v>8</v>
      </c>
      <c r="AP964" s="1">
        <v>1565</v>
      </c>
      <c r="AQ964" t="s">
        <v>8</v>
      </c>
      <c r="AR964" t="s">
        <v>8</v>
      </c>
      <c r="AS964" t="s">
        <v>8</v>
      </c>
      <c r="AT964">
        <v>11945.7</v>
      </c>
    </row>
    <row r="965" spans="34:46" x14ac:dyDescent="0.35">
      <c r="AH965" t="s">
        <v>204</v>
      </c>
      <c r="AI965" t="s">
        <v>180</v>
      </c>
      <c r="AJ965" s="3">
        <v>44560</v>
      </c>
      <c r="AK965" t="s">
        <v>42</v>
      </c>
      <c r="AL965" s="1">
        <v>9500</v>
      </c>
      <c r="AM965" t="s">
        <v>8</v>
      </c>
      <c r="AN965" t="s">
        <v>8</v>
      </c>
      <c r="AO965" t="s">
        <v>8</v>
      </c>
      <c r="AP965" s="1">
        <v>594.79999999999995</v>
      </c>
      <c r="AQ965" t="s">
        <v>8</v>
      </c>
      <c r="AR965" t="s">
        <v>8</v>
      </c>
      <c r="AS965" t="s">
        <v>8</v>
      </c>
      <c r="AT965">
        <v>11945.7</v>
      </c>
    </row>
    <row r="966" spans="34:46" x14ac:dyDescent="0.35">
      <c r="AH966" t="s">
        <v>204</v>
      </c>
      <c r="AI966" t="s">
        <v>180</v>
      </c>
      <c r="AJ966" s="3">
        <v>44196</v>
      </c>
      <c r="AK966" t="s">
        <v>41</v>
      </c>
      <c r="AL966" s="1">
        <v>12300</v>
      </c>
      <c r="AM966" t="s">
        <v>8</v>
      </c>
      <c r="AN966" t="s">
        <v>8</v>
      </c>
      <c r="AO966" t="s">
        <v>8</v>
      </c>
      <c r="AP966" t="s">
        <v>8</v>
      </c>
      <c r="AQ966" t="s">
        <v>8</v>
      </c>
      <c r="AR966" t="s">
        <v>8</v>
      </c>
      <c r="AS966" t="s">
        <v>8</v>
      </c>
      <c r="AT966">
        <v>11945.7</v>
      </c>
    </row>
    <row r="967" spans="34:46" x14ac:dyDescent="0.35">
      <c r="AH967" t="s">
        <v>204</v>
      </c>
      <c r="AI967" t="s">
        <v>180</v>
      </c>
      <c r="AJ967" s="3">
        <v>44560</v>
      </c>
      <c r="AK967" t="s">
        <v>42</v>
      </c>
      <c r="AL967" s="1">
        <v>9700</v>
      </c>
      <c r="AM967" t="s">
        <v>8</v>
      </c>
      <c r="AN967" t="s">
        <v>8</v>
      </c>
      <c r="AO967" t="s">
        <v>8</v>
      </c>
      <c r="AP967" s="1">
        <v>261</v>
      </c>
      <c r="AQ967" t="s">
        <v>8</v>
      </c>
      <c r="AR967" t="s">
        <v>8</v>
      </c>
      <c r="AS967" t="s">
        <v>8</v>
      </c>
      <c r="AT967">
        <v>11945.7</v>
      </c>
    </row>
    <row r="968" spans="34:46" x14ac:dyDescent="0.35">
      <c r="AH968" t="s">
        <v>204</v>
      </c>
      <c r="AI968" t="s">
        <v>180</v>
      </c>
      <c r="AJ968" s="3">
        <v>44007</v>
      </c>
      <c r="AK968" t="s">
        <v>42</v>
      </c>
      <c r="AL968" s="1">
        <v>7000</v>
      </c>
      <c r="AM968" t="s">
        <v>8</v>
      </c>
      <c r="AN968" t="s">
        <v>8</v>
      </c>
      <c r="AO968" t="s">
        <v>8</v>
      </c>
      <c r="AP968" s="1">
        <v>20</v>
      </c>
      <c r="AQ968" t="s">
        <v>8</v>
      </c>
      <c r="AR968" t="s">
        <v>8</v>
      </c>
      <c r="AS968" t="s">
        <v>8</v>
      </c>
      <c r="AT968">
        <v>11945.7</v>
      </c>
    </row>
    <row r="969" spans="34:46" x14ac:dyDescent="0.35">
      <c r="AH969" t="s">
        <v>204</v>
      </c>
      <c r="AI969" t="s">
        <v>180</v>
      </c>
      <c r="AJ969" s="3">
        <v>44196</v>
      </c>
      <c r="AK969" t="s">
        <v>41</v>
      </c>
      <c r="AL969" s="1">
        <v>12500</v>
      </c>
      <c r="AM969" t="s">
        <v>8</v>
      </c>
      <c r="AN969" t="s">
        <v>8</v>
      </c>
      <c r="AO969" t="s">
        <v>8</v>
      </c>
      <c r="AP969" s="1" t="s">
        <v>8</v>
      </c>
      <c r="AQ969" t="s">
        <v>8</v>
      </c>
      <c r="AR969" t="s">
        <v>8</v>
      </c>
      <c r="AS969" t="s">
        <v>8</v>
      </c>
      <c r="AT969">
        <v>11945.7</v>
      </c>
    </row>
    <row r="970" spans="34:46" x14ac:dyDescent="0.35">
      <c r="AH970" t="s">
        <v>204</v>
      </c>
      <c r="AI970" t="s">
        <v>180</v>
      </c>
      <c r="AJ970" s="3">
        <v>44560</v>
      </c>
      <c r="AK970" t="s">
        <v>42</v>
      </c>
      <c r="AL970" s="1">
        <v>9900</v>
      </c>
      <c r="AM970" t="s">
        <v>8</v>
      </c>
      <c r="AN970" t="s">
        <v>8</v>
      </c>
      <c r="AO970" t="s">
        <v>8</v>
      </c>
      <c r="AP970">
        <v>358.1</v>
      </c>
      <c r="AQ970" t="s">
        <v>8</v>
      </c>
      <c r="AR970" t="s">
        <v>8</v>
      </c>
      <c r="AS970" t="s">
        <v>8</v>
      </c>
      <c r="AT970">
        <v>11945.7</v>
      </c>
    </row>
    <row r="971" spans="34:46" x14ac:dyDescent="0.35">
      <c r="AH971" t="s">
        <v>204</v>
      </c>
      <c r="AI971" t="s">
        <v>180</v>
      </c>
      <c r="AJ971" s="3">
        <v>43671</v>
      </c>
      <c r="AK971" t="s">
        <v>41</v>
      </c>
      <c r="AL971" s="1">
        <v>13450</v>
      </c>
      <c r="AM971" t="s">
        <v>8</v>
      </c>
      <c r="AN971" t="s">
        <v>8</v>
      </c>
      <c r="AO971" t="s">
        <v>8</v>
      </c>
      <c r="AP971" s="1">
        <v>46.1</v>
      </c>
      <c r="AQ971" t="s">
        <v>8</v>
      </c>
      <c r="AR971" t="s">
        <v>8</v>
      </c>
      <c r="AS971" t="s">
        <v>8</v>
      </c>
      <c r="AT971">
        <v>11945.7</v>
      </c>
    </row>
    <row r="972" spans="34:46" x14ac:dyDescent="0.35">
      <c r="AH972" t="s">
        <v>204</v>
      </c>
      <c r="AI972" t="s">
        <v>180</v>
      </c>
      <c r="AJ972" s="3">
        <v>44007</v>
      </c>
      <c r="AK972" t="s">
        <v>42</v>
      </c>
      <c r="AL972" s="1">
        <v>7200</v>
      </c>
      <c r="AM972" t="s">
        <v>8</v>
      </c>
      <c r="AN972" t="s">
        <v>8</v>
      </c>
      <c r="AO972" t="s">
        <v>8</v>
      </c>
      <c r="AP972" s="1">
        <v>32</v>
      </c>
      <c r="AQ972" t="s">
        <v>8</v>
      </c>
      <c r="AR972" t="s">
        <v>8</v>
      </c>
      <c r="AS972" t="s">
        <v>8</v>
      </c>
      <c r="AT972">
        <v>11945.7</v>
      </c>
    </row>
    <row r="973" spans="34:46" x14ac:dyDescent="0.35">
      <c r="AH973" t="s">
        <v>204</v>
      </c>
      <c r="AI973" t="s">
        <v>180</v>
      </c>
      <c r="AJ973" s="3">
        <v>43734</v>
      </c>
      <c r="AK973" t="s">
        <v>42</v>
      </c>
      <c r="AL973" s="1">
        <v>8400</v>
      </c>
      <c r="AM973" t="s">
        <v>8</v>
      </c>
      <c r="AN973" t="s">
        <v>8</v>
      </c>
      <c r="AO973" t="s">
        <v>8</v>
      </c>
      <c r="AP973">
        <v>37.9</v>
      </c>
      <c r="AQ973" t="s">
        <v>8</v>
      </c>
      <c r="AR973" t="s">
        <v>8</v>
      </c>
      <c r="AS973" t="s">
        <v>8</v>
      </c>
      <c r="AT973">
        <v>11945.7</v>
      </c>
    </row>
    <row r="974" spans="34:46" x14ac:dyDescent="0.35">
      <c r="AH974" t="s">
        <v>204</v>
      </c>
      <c r="AI974" t="s">
        <v>180</v>
      </c>
      <c r="AJ974" s="3">
        <v>43650</v>
      </c>
      <c r="AK974" t="s">
        <v>42</v>
      </c>
      <c r="AL974" s="1">
        <v>13000</v>
      </c>
      <c r="AM974" t="s">
        <v>8</v>
      </c>
      <c r="AN974" t="s">
        <v>8</v>
      </c>
      <c r="AO974" t="s">
        <v>8</v>
      </c>
      <c r="AP974" s="1">
        <v>1129.55</v>
      </c>
      <c r="AQ974" t="s">
        <v>8</v>
      </c>
      <c r="AR974" t="s">
        <v>8</v>
      </c>
      <c r="AS974" t="s">
        <v>8</v>
      </c>
      <c r="AT974">
        <v>11945.7</v>
      </c>
    </row>
    <row r="975" spans="34:46" x14ac:dyDescent="0.35">
      <c r="AH975" t="s">
        <v>204</v>
      </c>
      <c r="AI975" t="s">
        <v>180</v>
      </c>
      <c r="AJ975" s="3">
        <v>43622</v>
      </c>
      <c r="AK975" t="s">
        <v>42</v>
      </c>
      <c r="AL975" s="1">
        <v>10050</v>
      </c>
      <c r="AM975" t="s">
        <v>8</v>
      </c>
      <c r="AN975" t="s">
        <v>8</v>
      </c>
      <c r="AO975" t="s">
        <v>8</v>
      </c>
      <c r="AP975" s="1">
        <v>0.05</v>
      </c>
      <c r="AQ975" t="s">
        <v>8</v>
      </c>
      <c r="AR975" t="s">
        <v>8</v>
      </c>
      <c r="AS975" t="s">
        <v>8</v>
      </c>
      <c r="AT975">
        <v>11945.7</v>
      </c>
    </row>
    <row r="976" spans="34:46" x14ac:dyDescent="0.35">
      <c r="AH976" t="s">
        <v>204</v>
      </c>
      <c r="AI976" t="s">
        <v>180</v>
      </c>
      <c r="AJ976" s="3">
        <v>44924</v>
      </c>
      <c r="AK976" t="s">
        <v>42</v>
      </c>
      <c r="AL976" s="1">
        <v>9100</v>
      </c>
      <c r="AM976" t="s">
        <v>8</v>
      </c>
      <c r="AN976" t="s">
        <v>8</v>
      </c>
      <c r="AO976" t="s">
        <v>8</v>
      </c>
      <c r="AP976" s="1">
        <v>23</v>
      </c>
      <c r="AQ976" t="s">
        <v>8</v>
      </c>
      <c r="AR976" t="s">
        <v>8</v>
      </c>
      <c r="AS976" t="s">
        <v>8</v>
      </c>
      <c r="AT976">
        <v>11945.7</v>
      </c>
    </row>
    <row r="977" spans="34:46" x14ac:dyDescent="0.35">
      <c r="AH977" t="s">
        <v>204</v>
      </c>
      <c r="AI977" t="s">
        <v>180</v>
      </c>
      <c r="AJ977" s="3">
        <v>44560</v>
      </c>
      <c r="AK977" t="s">
        <v>42</v>
      </c>
      <c r="AL977" s="1">
        <v>12200</v>
      </c>
      <c r="AM977" t="s">
        <v>8</v>
      </c>
      <c r="AN977" t="s">
        <v>8</v>
      </c>
      <c r="AO977" t="s">
        <v>8</v>
      </c>
      <c r="AP977" s="1">
        <v>474.6</v>
      </c>
      <c r="AQ977" t="s">
        <v>8</v>
      </c>
      <c r="AR977" t="s">
        <v>8</v>
      </c>
      <c r="AS977" t="s">
        <v>8</v>
      </c>
      <c r="AT977">
        <v>11945.7</v>
      </c>
    </row>
    <row r="978" spans="34:46" x14ac:dyDescent="0.35">
      <c r="AH978" t="s">
        <v>204</v>
      </c>
      <c r="AI978" t="s">
        <v>180</v>
      </c>
      <c r="AJ978" s="3">
        <v>43650</v>
      </c>
      <c r="AK978" t="s">
        <v>41</v>
      </c>
      <c r="AL978" s="1">
        <v>11850</v>
      </c>
      <c r="AM978" t="s">
        <v>8</v>
      </c>
      <c r="AN978" t="s">
        <v>8</v>
      </c>
      <c r="AO978" t="s">
        <v>8</v>
      </c>
      <c r="AP978" s="1">
        <v>264.89999999999998</v>
      </c>
      <c r="AQ978" t="s">
        <v>8</v>
      </c>
      <c r="AR978" t="s">
        <v>8</v>
      </c>
      <c r="AS978" t="s">
        <v>8</v>
      </c>
      <c r="AT978">
        <v>11945.7</v>
      </c>
    </row>
    <row r="979" spans="34:46" x14ac:dyDescent="0.35">
      <c r="AH979" t="s">
        <v>204</v>
      </c>
      <c r="AI979" t="s">
        <v>180</v>
      </c>
      <c r="AJ979" s="3">
        <v>43734</v>
      </c>
      <c r="AK979" t="s">
        <v>42</v>
      </c>
      <c r="AL979" s="1">
        <v>8600</v>
      </c>
      <c r="AM979" t="s">
        <v>8</v>
      </c>
      <c r="AN979" t="s">
        <v>8</v>
      </c>
      <c r="AO979" t="s">
        <v>8</v>
      </c>
      <c r="AP979" s="1">
        <v>9.9499999999999993</v>
      </c>
      <c r="AQ979" t="s">
        <v>8</v>
      </c>
      <c r="AR979" t="s">
        <v>8</v>
      </c>
      <c r="AS979" t="s">
        <v>8</v>
      </c>
      <c r="AT979">
        <v>11945.7</v>
      </c>
    </row>
    <row r="980" spans="34:46" x14ac:dyDescent="0.35">
      <c r="AH980" t="s">
        <v>204</v>
      </c>
      <c r="AI980" t="s">
        <v>180</v>
      </c>
      <c r="AJ980" s="3">
        <v>43650</v>
      </c>
      <c r="AK980" t="s">
        <v>42</v>
      </c>
      <c r="AL980" s="1">
        <v>13200</v>
      </c>
      <c r="AM980" t="s">
        <v>8</v>
      </c>
      <c r="AN980" t="s">
        <v>8</v>
      </c>
      <c r="AO980" t="s">
        <v>8</v>
      </c>
      <c r="AP980" s="1">
        <v>1320.45</v>
      </c>
      <c r="AQ980" t="s">
        <v>8</v>
      </c>
      <c r="AR980" t="s">
        <v>8</v>
      </c>
      <c r="AS980" t="s">
        <v>8</v>
      </c>
      <c r="AT980">
        <v>11945.7</v>
      </c>
    </row>
    <row r="981" spans="34:46" x14ac:dyDescent="0.35">
      <c r="AH981" t="s">
        <v>204</v>
      </c>
      <c r="AI981" t="s">
        <v>180</v>
      </c>
      <c r="AJ981" s="3">
        <v>43657</v>
      </c>
      <c r="AK981" t="s">
        <v>41</v>
      </c>
      <c r="AL981" s="1">
        <v>10100</v>
      </c>
      <c r="AM981" t="s">
        <v>8</v>
      </c>
      <c r="AN981" t="s">
        <v>8</v>
      </c>
      <c r="AO981" t="s">
        <v>8</v>
      </c>
      <c r="AP981" s="1">
        <v>1328.8</v>
      </c>
      <c r="AQ981" t="s">
        <v>8</v>
      </c>
      <c r="AR981" t="s">
        <v>8</v>
      </c>
      <c r="AS981" t="s">
        <v>8</v>
      </c>
      <c r="AT981">
        <v>11945.7</v>
      </c>
    </row>
    <row r="982" spans="34:46" x14ac:dyDescent="0.35">
      <c r="AH982" t="s">
        <v>204</v>
      </c>
      <c r="AI982" t="s">
        <v>180</v>
      </c>
      <c r="AJ982" s="3">
        <v>43643</v>
      </c>
      <c r="AK982" t="s">
        <v>42</v>
      </c>
      <c r="AL982" s="1">
        <v>10550</v>
      </c>
      <c r="AM982" t="s">
        <v>8</v>
      </c>
      <c r="AN982" t="s">
        <v>8</v>
      </c>
      <c r="AO982" t="s">
        <v>8</v>
      </c>
      <c r="AP982" s="1">
        <v>6.6</v>
      </c>
      <c r="AQ982" t="s">
        <v>8</v>
      </c>
      <c r="AR982" t="s">
        <v>8</v>
      </c>
      <c r="AS982" t="s">
        <v>8</v>
      </c>
      <c r="AT982">
        <v>11945.7</v>
      </c>
    </row>
    <row r="983" spans="34:46" x14ac:dyDescent="0.35">
      <c r="AH983" t="s">
        <v>204</v>
      </c>
      <c r="AI983" t="s">
        <v>180</v>
      </c>
      <c r="AJ983" s="3">
        <v>44560</v>
      </c>
      <c r="AK983" t="s">
        <v>42</v>
      </c>
      <c r="AL983" s="1">
        <v>12400</v>
      </c>
      <c r="AM983" t="s">
        <v>8</v>
      </c>
      <c r="AN983" t="s">
        <v>8</v>
      </c>
      <c r="AO983" t="s">
        <v>8</v>
      </c>
      <c r="AP983" s="1">
        <v>514.4</v>
      </c>
      <c r="AQ983" t="s">
        <v>8</v>
      </c>
      <c r="AR983" t="s">
        <v>8</v>
      </c>
      <c r="AS983" t="s">
        <v>8</v>
      </c>
      <c r="AT983">
        <v>11945.7</v>
      </c>
    </row>
    <row r="984" spans="34:46" x14ac:dyDescent="0.35">
      <c r="AH984" t="s">
        <v>204</v>
      </c>
      <c r="AI984" t="s">
        <v>180</v>
      </c>
      <c r="AJ984" s="3">
        <v>43657</v>
      </c>
      <c r="AK984" t="s">
        <v>41</v>
      </c>
      <c r="AL984" s="1">
        <v>10300</v>
      </c>
      <c r="AM984" t="s">
        <v>8</v>
      </c>
      <c r="AN984" t="s">
        <v>8</v>
      </c>
      <c r="AO984" t="s">
        <v>8</v>
      </c>
      <c r="AP984" s="1">
        <v>1136.4000000000001</v>
      </c>
      <c r="AQ984" t="s">
        <v>8</v>
      </c>
      <c r="AR984" t="s">
        <v>8</v>
      </c>
      <c r="AS984" t="s">
        <v>8</v>
      </c>
      <c r="AT984">
        <v>11945.7</v>
      </c>
    </row>
    <row r="985" spans="34:46" x14ac:dyDescent="0.35">
      <c r="AH985" t="s">
        <v>204</v>
      </c>
      <c r="AI985" t="s">
        <v>180</v>
      </c>
      <c r="AJ985" s="3">
        <v>44924</v>
      </c>
      <c r="AK985" t="s">
        <v>42</v>
      </c>
      <c r="AL985" s="1">
        <v>7800</v>
      </c>
      <c r="AM985" t="s">
        <v>8</v>
      </c>
      <c r="AN985" t="s">
        <v>8</v>
      </c>
      <c r="AO985" t="s">
        <v>8</v>
      </c>
      <c r="AP985" s="1">
        <v>24</v>
      </c>
      <c r="AQ985" t="s">
        <v>8</v>
      </c>
      <c r="AR985" t="s">
        <v>8</v>
      </c>
      <c r="AS985" t="s">
        <v>8</v>
      </c>
      <c r="AT985">
        <v>11945.7</v>
      </c>
    </row>
    <row r="986" spans="34:46" x14ac:dyDescent="0.35">
      <c r="AH986" t="s">
        <v>204</v>
      </c>
      <c r="AI986" t="s">
        <v>180</v>
      </c>
      <c r="AJ986" s="3">
        <v>43643</v>
      </c>
      <c r="AK986" t="s">
        <v>42</v>
      </c>
      <c r="AL986" s="1">
        <v>10750</v>
      </c>
      <c r="AM986" t="s">
        <v>8</v>
      </c>
      <c r="AN986" t="s">
        <v>8</v>
      </c>
      <c r="AO986" t="s">
        <v>8</v>
      </c>
      <c r="AP986" s="1">
        <v>10.199999999999999</v>
      </c>
      <c r="AQ986" t="s">
        <v>8</v>
      </c>
      <c r="AR986" t="s">
        <v>8</v>
      </c>
      <c r="AS986" t="s">
        <v>8</v>
      </c>
      <c r="AT986">
        <v>11945.7</v>
      </c>
    </row>
    <row r="987" spans="34:46" x14ac:dyDescent="0.35">
      <c r="AH987" t="s">
        <v>204</v>
      </c>
      <c r="AI987" t="s">
        <v>180</v>
      </c>
      <c r="AJ987" s="3">
        <v>44560</v>
      </c>
      <c r="AK987" t="s">
        <v>42</v>
      </c>
      <c r="AL987" s="1">
        <v>12600</v>
      </c>
      <c r="AM987" t="s">
        <v>8</v>
      </c>
      <c r="AN987" t="s">
        <v>8</v>
      </c>
      <c r="AO987" t="s">
        <v>8</v>
      </c>
      <c r="AP987" s="1">
        <v>654.15</v>
      </c>
      <c r="AQ987" t="s">
        <v>8</v>
      </c>
      <c r="AR987" t="s">
        <v>8</v>
      </c>
      <c r="AS987" t="s">
        <v>8</v>
      </c>
      <c r="AT987">
        <v>11945.7</v>
      </c>
    </row>
    <row r="988" spans="34:46" x14ac:dyDescent="0.35">
      <c r="AH988" t="s">
        <v>204</v>
      </c>
      <c r="AI988" t="s">
        <v>180</v>
      </c>
      <c r="AJ988" s="3">
        <v>43650</v>
      </c>
      <c r="AK988" t="s">
        <v>42</v>
      </c>
      <c r="AL988" s="1">
        <v>11900</v>
      </c>
      <c r="AM988" t="s">
        <v>8</v>
      </c>
      <c r="AN988" t="s">
        <v>8</v>
      </c>
      <c r="AO988" t="s">
        <v>8</v>
      </c>
      <c r="AP988" s="1">
        <v>270.55</v>
      </c>
      <c r="AQ988" t="s">
        <v>8</v>
      </c>
      <c r="AR988" t="s">
        <v>8</v>
      </c>
      <c r="AS988" t="s">
        <v>8</v>
      </c>
      <c r="AT988">
        <v>11945.7</v>
      </c>
    </row>
    <row r="989" spans="34:46" x14ac:dyDescent="0.35">
      <c r="AH989" t="s">
        <v>204</v>
      </c>
      <c r="AI989" t="s">
        <v>180</v>
      </c>
      <c r="AJ989" s="3">
        <v>43636</v>
      </c>
      <c r="AK989" t="s">
        <v>42</v>
      </c>
      <c r="AL989" s="1">
        <v>11050</v>
      </c>
      <c r="AM989" t="s">
        <v>8</v>
      </c>
      <c r="AN989" t="s">
        <v>8</v>
      </c>
      <c r="AO989" t="s">
        <v>8</v>
      </c>
      <c r="AP989" s="1">
        <v>13.95</v>
      </c>
      <c r="AQ989" t="s">
        <v>8</v>
      </c>
      <c r="AR989" t="s">
        <v>8</v>
      </c>
      <c r="AS989" t="s">
        <v>8</v>
      </c>
      <c r="AT989">
        <v>11945.7</v>
      </c>
    </row>
    <row r="990" spans="34:46" x14ac:dyDescent="0.35">
      <c r="AH990" t="s">
        <v>204</v>
      </c>
      <c r="AI990" t="s">
        <v>180</v>
      </c>
      <c r="AJ990" s="3">
        <v>43636</v>
      </c>
      <c r="AK990" t="s">
        <v>42</v>
      </c>
      <c r="AL990" s="1">
        <v>11250</v>
      </c>
      <c r="AM990" t="s">
        <v>8</v>
      </c>
      <c r="AN990" t="s">
        <v>8</v>
      </c>
      <c r="AO990" t="s">
        <v>8</v>
      </c>
      <c r="AP990">
        <v>32.15</v>
      </c>
      <c r="AQ990" t="s">
        <v>8</v>
      </c>
      <c r="AR990" t="s">
        <v>8</v>
      </c>
      <c r="AS990" t="s">
        <v>8</v>
      </c>
      <c r="AT990">
        <v>11945.7</v>
      </c>
    </row>
    <row r="991" spans="34:46" x14ac:dyDescent="0.35">
      <c r="AH991" t="s">
        <v>204</v>
      </c>
      <c r="AI991" t="s">
        <v>180</v>
      </c>
      <c r="AJ991" s="3">
        <v>44196</v>
      </c>
      <c r="AK991" t="s">
        <v>41</v>
      </c>
      <c r="AL991" s="1">
        <v>9600</v>
      </c>
      <c r="AM991" t="s">
        <v>8</v>
      </c>
      <c r="AN991" t="s">
        <v>8</v>
      </c>
      <c r="AO991" t="s">
        <v>8</v>
      </c>
      <c r="AP991" s="1" t="s">
        <v>8</v>
      </c>
      <c r="AQ991" t="s">
        <v>8</v>
      </c>
      <c r="AR991" t="s">
        <v>8</v>
      </c>
      <c r="AS991" t="s">
        <v>8</v>
      </c>
      <c r="AT991">
        <v>11945.7</v>
      </c>
    </row>
    <row r="992" spans="34:46" x14ac:dyDescent="0.35">
      <c r="AH992" t="s">
        <v>204</v>
      </c>
      <c r="AI992" t="s">
        <v>180</v>
      </c>
      <c r="AJ992" s="3">
        <v>44371</v>
      </c>
      <c r="AK992" t="s">
        <v>41</v>
      </c>
      <c r="AL992" s="1">
        <v>11100</v>
      </c>
      <c r="AM992" t="s">
        <v>8</v>
      </c>
      <c r="AN992" t="s">
        <v>8</v>
      </c>
      <c r="AO992" t="s">
        <v>8</v>
      </c>
      <c r="AP992" t="s">
        <v>8</v>
      </c>
      <c r="AQ992" t="s">
        <v>8</v>
      </c>
      <c r="AR992" t="s">
        <v>8</v>
      </c>
      <c r="AS992" t="s">
        <v>8</v>
      </c>
      <c r="AT992">
        <v>11945.7</v>
      </c>
    </row>
    <row r="993" spans="34:46" x14ac:dyDescent="0.35">
      <c r="AH993" t="s">
        <v>204</v>
      </c>
      <c r="AI993" t="s">
        <v>180</v>
      </c>
      <c r="AJ993" s="3">
        <v>45288</v>
      </c>
      <c r="AK993" t="s">
        <v>42</v>
      </c>
      <c r="AL993" s="1">
        <v>11000</v>
      </c>
      <c r="AM993" t="s">
        <v>8</v>
      </c>
      <c r="AN993" t="s">
        <v>8</v>
      </c>
      <c r="AO993" t="s">
        <v>8</v>
      </c>
      <c r="AP993" s="1">
        <v>378.25</v>
      </c>
      <c r="AQ993" t="s">
        <v>8</v>
      </c>
      <c r="AR993" t="s">
        <v>8</v>
      </c>
      <c r="AS993" t="s">
        <v>8</v>
      </c>
      <c r="AT993">
        <v>11945.7</v>
      </c>
    </row>
    <row r="994" spans="34:46" x14ac:dyDescent="0.35">
      <c r="AH994" t="s">
        <v>204</v>
      </c>
      <c r="AI994" t="s">
        <v>180</v>
      </c>
      <c r="AJ994" s="3">
        <v>43643</v>
      </c>
      <c r="AK994" t="s">
        <v>41</v>
      </c>
      <c r="AL994" s="1">
        <v>12450</v>
      </c>
      <c r="AM994" t="s">
        <v>8</v>
      </c>
      <c r="AN994" t="s">
        <v>8</v>
      </c>
      <c r="AO994" t="s">
        <v>8</v>
      </c>
      <c r="AP994" s="1">
        <v>98</v>
      </c>
      <c r="AQ994" t="s">
        <v>8</v>
      </c>
      <c r="AR994" t="s">
        <v>8</v>
      </c>
      <c r="AS994" t="s">
        <v>8</v>
      </c>
      <c r="AT994">
        <v>11945.7</v>
      </c>
    </row>
    <row r="995" spans="34:46" x14ac:dyDescent="0.35">
      <c r="AH995" t="s">
        <v>204</v>
      </c>
      <c r="AI995" t="s">
        <v>180</v>
      </c>
      <c r="AJ995" s="3">
        <v>44196</v>
      </c>
      <c r="AK995" t="s">
        <v>41</v>
      </c>
      <c r="AL995" s="1">
        <v>9800</v>
      </c>
      <c r="AM995" t="s">
        <v>8</v>
      </c>
      <c r="AN995" t="s">
        <v>8</v>
      </c>
      <c r="AO995" t="s">
        <v>8</v>
      </c>
      <c r="AP995" s="1" t="s">
        <v>8</v>
      </c>
      <c r="AQ995" t="s">
        <v>8</v>
      </c>
      <c r="AR995" t="s">
        <v>8</v>
      </c>
      <c r="AS995" t="s">
        <v>8</v>
      </c>
      <c r="AT995">
        <v>11945.7</v>
      </c>
    </row>
    <row r="996" spans="34:46" x14ac:dyDescent="0.35">
      <c r="AH996" t="s">
        <v>204</v>
      </c>
      <c r="AI996" t="s">
        <v>180</v>
      </c>
      <c r="AJ996" s="3">
        <v>43643</v>
      </c>
      <c r="AK996" t="s">
        <v>41</v>
      </c>
      <c r="AL996" s="1">
        <v>12650</v>
      </c>
      <c r="AM996" t="s">
        <v>8</v>
      </c>
      <c r="AN996" t="s">
        <v>8</v>
      </c>
      <c r="AO996" t="s">
        <v>8</v>
      </c>
      <c r="AP996" s="1">
        <v>64.3</v>
      </c>
      <c r="AQ996" t="s">
        <v>8</v>
      </c>
      <c r="AR996" t="s">
        <v>8</v>
      </c>
      <c r="AS996" t="s">
        <v>8</v>
      </c>
      <c r="AT996">
        <v>11945.7</v>
      </c>
    </row>
    <row r="997" spans="34:46" x14ac:dyDescent="0.35">
      <c r="AH997" t="s">
        <v>204</v>
      </c>
      <c r="AI997" t="s">
        <v>180</v>
      </c>
      <c r="AJ997" s="3">
        <v>43622</v>
      </c>
      <c r="AK997" t="s">
        <v>41</v>
      </c>
      <c r="AL997" s="1">
        <v>10850</v>
      </c>
      <c r="AM997" t="s">
        <v>8</v>
      </c>
      <c r="AN997" t="s">
        <v>8</v>
      </c>
      <c r="AO997" t="s">
        <v>8</v>
      </c>
      <c r="AP997" s="1">
        <v>896.5</v>
      </c>
      <c r="AQ997" t="s">
        <v>8</v>
      </c>
      <c r="AR997" t="s">
        <v>8</v>
      </c>
      <c r="AS997" t="s">
        <v>8</v>
      </c>
      <c r="AT997">
        <v>11945.7</v>
      </c>
    </row>
    <row r="998" spans="34:46" x14ac:dyDescent="0.35">
      <c r="AH998" t="s">
        <v>204</v>
      </c>
      <c r="AI998" t="s">
        <v>180</v>
      </c>
      <c r="AJ998" s="3">
        <v>43615</v>
      </c>
      <c r="AK998" t="s">
        <v>41</v>
      </c>
      <c r="AL998" s="1">
        <v>9350</v>
      </c>
      <c r="AM998" t="s">
        <v>8</v>
      </c>
      <c r="AN998" t="s">
        <v>8</v>
      </c>
      <c r="AO998" t="s">
        <v>8</v>
      </c>
      <c r="AP998" s="1">
        <v>1616.6</v>
      </c>
      <c r="AQ998" t="s">
        <v>8</v>
      </c>
      <c r="AR998" t="s">
        <v>8</v>
      </c>
      <c r="AS998" t="s">
        <v>8</v>
      </c>
      <c r="AT998">
        <v>11945.7</v>
      </c>
    </row>
    <row r="999" spans="34:46" x14ac:dyDescent="0.35">
      <c r="AH999" t="s">
        <v>204</v>
      </c>
      <c r="AI999" t="s">
        <v>180</v>
      </c>
      <c r="AJ999" s="3">
        <v>44196</v>
      </c>
      <c r="AK999" t="s">
        <v>42</v>
      </c>
      <c r="AL999" s="1">
        <v>8700</v>
      </c>
      <c r="AM999" t="s">
        <v>8</v>
      </c>
      <c r="AN999" t="s">
        <v>8</v>
      </c>
      <c r="AO999" t="s">
        <v>8</v>
      </c>
      <c r="AP999">
        <v>81</v>
      </c>
      <c r="AQ999" t="s">
        <v>8</v>
      </c>
      <c r="AR999" t="s">
        <v>8</v>
      </c>
      <c r="AS999" t="s">
        <v>8</v>
      </c>
      <c r="AT999">
        <v>11945.7</v>
      </c>
    </row>
    <row r="1000" spans="34:46" x14ac:dyDescent="0.35">
      <c r="AH1000" t="s">
        <v>204</v>
      </c>
      <c r="AI1000" t="s">
        <v>180</v>
      </c>
      <c r="AJ1000" s="3">
        <v>43636</v>
      </c>
      <c r="AK1000" t="s">
        <v>42</v>
      </c>
      <c r="AL1000" s="1">
        <v>13000</v>
      </c>
      <c r="AM1000" t="s">
        <v>8</v>
      </c>
      <c r="AN1000" t="s">
        <v>8</v>
      </c>
      <c r="AO1000" t="s">
        <v>8</v>
      </c>
      <c r="AP1000" s="1">
        <v>1018.45</v>
      </c>
      <c r="AQ1000" t="s">
        <v>8</v>
      </c>
      <c r="AR1000" t="s">
        <v>8</v>
      </c>
      <c r="AS1000" t="s">
        <v>8</v>
      </c>
      <c r="AT1000">
        <v>11945.7</v>
      </c>
    </row>
    <row r="1001" spans="34:46" x14ac:dyDescent="0.35">
      <c r="AH1001" t="s">
        <v>204</v>
      </c>
      <c r="AI1001" t="s">
        <v>180</v>
      </c>
      <c r="AJ1001" s="3">
        <v>44196</v>
      </c>
      <c r="AK1001" t="s">
        <v>42</v>
      </c>
      <c r="AL1001" s="1">
        <v>8900</v>
      </c>
      <c r="AM1001" t="s">
        <v>8</v>
      </c>
      <c r="AN1001" t="s">
        <v>8</v>
      </c>
      <c r="AO1001" t="s">
        <v>8</v>
      </c>
      <c r="AP1001" s="1">
        <v>273.55</v>
      </c>
      <c r="AQ1001" t="s">
        <v>8</v>
      </c>
      <c r="AR1001" t="s">
        <v>8</v>
      </c>
      <c r="AS1001" t="s">
        <v>8</v>
      </c>
      <c r="AT1001">
        <v>11945.7</v>
      </c>
    </row>
    <row r="1002" spans="34:46" x14ac:dyDescent="0.35">
      <c r="AH1002" t="s">
        <v>204</v>
      </c>
      <c r="AI1002" t="s">
        <v>180</v>
      </c>
      <c r="AJ1002" s="3">
        <v>43636</v>
      </c>
      <c r="AK1002" t="s">
        <v>41</v>
      </c>
      <c r="AL1002" s="1">
        <v>11850</v>
      </c>
      <c r="AM1002" t="s">
        <v>8</v>
      </c>
      <c r="AN1002" t="s">
        <v>8</v>
      </c>
      <c r="AO1002" t="s">
        <v>8</v>
      </c>
      <c r="AP1002" s="1">
        <v>240.2</v>
      </c>
      <c r="AQ1002" t="s">
        <v>8</v>
      </c>
      <c r="AR1002" t="s">
        <v>8</v>
      </c>
      <c r="AS1002" t="s">
        <v>8</v>
      </c>
      <c r="AT1002">
        <v>11945.7</v>
      </c>
    </row>
    <row r="1003" spans="34:46" x14ac:dyDescent="0.35">
      <c r="AH1003" t="s">
        <v>204</v>
      </c>
      <c r="AI1003" t="s">
        <v>180</v>
      </c>
      <c r="AJ1003" s="3">
        <v>43636</v>
      </c>
      <c r="AK1003" t="s">
        <v>42</v>
      </c>
      <c r="AL1003" s="1">
        <v>13200</v>
      </c>
      <c r="AM1003" t="s">
        <v>8</v>
      </c>
      <c r="AN1003" t="s">
        <v>8</v>
      </c>
      <c r="AO1003" t="s">
        <v>8</v>
      </c>
      <c r="AP1003" s="1">
        <v>1299.0999999999999</v>
      </c>
      <c r="AQ1003" t="s">
        <v>8</v>
      </c>
      <c r="AR1003" t="s">
        <v>8</v>
      </c>
      <c r="AS1003" t="s">
        <v>8</v>
      </c>
      <c r="AT1003">
        <v>11945.7</v>
      </c>
    </row>
    <row r="1004" spans="34:46" x14ac:dyDescent="0.35">
      <c r="AH1004" t="s">
        <v>204</v>
      </c>
      <c r="AI1004" t="s">
        <v>180</v>
      </c>
      <c r="AJ1004" s="3">
        <v>43636</v>
      </c>
      <c r="AK1004" t="s">
        <v>42</v>
      </c>
      <c r="AL1004" s="1">
        <v>13400</v>
      </c>
      <c r="AM1004" t="s">
        <v>8</v>
      </c>
      <c r="AN1004" t="s">
        <v>8</v>
      </c>
      <c r="AO1004" t="s">
        <v>8</v>
      </c>
      <c r="AP1004" s="1">
        <v>1421.95</v>
      </c>
      <c r="AQ1004" t="s">
        <v>8</v>
      </c>
      <c r="AR1004" t="s">
        <v>8</v>
      </c>
      <c r="AS1004" t="s">
        <v>8</v>
      </c>
      <c r="AT1004">
        <v>11945.7</v>
      </c>
    </row>
    <row r="1005" spans="34:46" x14ac:dyDescent="0.35">
      <c r="AH1005" t="s">
        <v>204</v>
      </c>
      <c r="AI1005" t="s">
        <v>180</v>
      </c>
      <c r="AJ1005" s="3">
        <v>43643</v>
      </c>
      <c r="AK1005" t="s">
        <v>41</v>
      </c>
      <c r="AL1005" s="1">
        <v>6700</v>
      </c>
      <c r="AM1005" t="s">
        <v>8</v>
      </c>
      <c r="AN1005" t="s">
        <v>8</v>
      </c>
      <c r="AO1005" t="s">
        <v>8</v>
      </c>
      <c r="AP1005" s="1">
        <v>3241.3</v>
      </c>
      <c r="AQ1005" t="s">
        <v>8</v>
      </c>
      <c r="AR1005" t="s">
        <v>8</v>
      </c>
      <c r="AS1005" t="s">
        <v>8</v>
      </c>
      <c r="AT1005">
        <v>11945.7</v>
      </c>
    </row>
    <row r="1006" spans="34:46" x14ac:dyDescent="0.35">
      <c r="AH1006" t="s">
        <v>204</v>
      </c>
      <c r="AI1006" t="s">
        <v>180</v>
      </c>
      <c r="AJ1006" s="3">
        <v>43643</v>
      </c>
      <c r="AK1006" t="s">
        <v>41</v>
      </c>
      <c r="AL1006" s="1">
        <v>6900</v>
      </c>
      <c r="AM1006" t="s">
        <v>8</v>
      </c>
      <c r="AN1006" t="s">
        <v>8</v>
      </c>
      <c r="AO1006" t="s">
        <v>8</v>
      </c>
      <c r="AP1006" s="1">
        <v>3125.65</v>
      </c>
      <c r="AQ1006" t="s">
        <v>8</v>
      </c>
      <c r="AR1006" t="s">
        <v>8</v>
      </c>
      <c r="AS1006" t="s">
        <v>8</v>
      </c>
      <c r="AT1006">
        <v>11945.7</v>
      </c>
    </row>
    <row r="1007" spans="34:46" x14ac:dyDescent="0.35">
      <c r="AH1007" t="s">
        <v>204</v>
      </c>
      <c r="AI1007" t="s">
        <v>180</v>
      </c>
      <c r="AJ1007" s="3">
        <v>43825</v>
      </c>
      <c r="AK1007" t="s">
        <v>42</v>
      </c>
      <c r="AL1007" s="1">
        <v>7000</v>
      </c>
      <c r="AM1007" t="s">
        <v>8</v>
      </c>
      <c r="AN1007" t="s">
        <v>8</v>
      </c>
      <c r="AO1007" t="s">
        <v>8</v>
      </c>
      <c r="AP1007" s="1">
        <v>10.050000000000001</v>
      </c>
      <c r="AQ1007" t="s">
        <v>8</v>
      </c>
      <c r="AR1007" t="s">
        <v>8</v>
      </c>
      <c r="AS1007" t="s">
        <v>8</v>
      </c>
      <c r="AT1007">
        <v>11945.7</v>
      </c>
    </row>
    <row r="1008" spans="34:46" x14ac:dyDescent="0.35">
      <c r="AH1008" t="s">
        <v>204</v>
      </c>
      <c r="AI1008" t="s">
        <v>180</v>
      </c>
      <c r="AJ1008" s="3">
        <v>43643</v>
      </c>
      <c r="AK1008" t="s">
        <v>42</v>
      </c>
      <c r="AL1008" s="1">
        <v>7100</v>
      </c>
      <c r="AM1008" t="s">
        <v>8</v>
      </c>
      <c r="AN1008" t="s">
        <v>8</v>
      </c>
      <c r="AO1008" t="s">
        <v>8</v>
      </c>
      <c r="AP1008">
        <v>89.1</v>
      </c>
      <c r="AQ1008" t="s">
        <v>8</v>
      </c>
      <c r="AR1008" t="s">
        <v>8</v>
      </c>
      <c r="AS1008" t="s">
        <v>8</v>
      </c>
      <c r="AT1008">
        <v>11945.7</v>
      </c>
    </row>
    <row r="1009" spans="34:46" x14ac:dyDescent="0.35">
      <c r="AH1009" t="s">
        <v>204</v>
      </c>
      <c r="AI1009" t="s">
        <v>180</v>
      </c>
      <c r="AJ1009" s="3">
        <v>44007</v>
      </c>
      <c r="AK1009" t="s">
        <v>42</v>
      </c>
      <c r="AL1009" s="1">
        <v>11500</v>
      </c>
      <c r="AM1009" t="s">
        <v>8</v>
      </c>
      <c r="AN1009" t="s">
        <v>8</v>
      </c>
      <c r="AO1009" t="s">
        <v>8</v>
      </c>
      <c r="AP1009">
        <v>414.75</v>
      </c>
      <c r="AQ1009" t="s">
        <v>8</v>
      </c>
      <c r="AR1009" t="s">
        <v>8</v>
      </c>
      <c r="AS1009" t="s">
        <v>8</v>
      </c>
      <c r="AT1009">
        <v>11945.7</v>
      </c>
    </row>
    <row r="1010" spans="34:46" x14ac:dyDescent="0.35">
      <c r="AH1010" t="s">
        <v>204</v>
      </c>
      <c r="AI1010" t="s">
        <v>180</v>
      </c>
      <c r="AJ1010" s="3">
        <v>43664</v>
      </c>
      <c r="AK1010" t="s">
        <v>42</v>
      </c>
      <c r="AL1010" s="1">
        <v>13300</v>
      </c>
      <c r="AM1010" t="s">
        <v>8</v>
      </c>
      <c r="AN1010" t="s">
        <v>8</v>
      </c>
      <c r="AO1010" t="s">
        <v>8</v>
      </c>
      <c r="AP1010" s="1">
        <v>1386.1</v>
      </c>
      <c r="AQ1010" t="s">
        <v>8</v>
      </c>
      <c r="AR1010" t="s">
        <v>8</v>
      </c>
      <c r="AS1010" t="s">
        <v>8</v>
      </c>
      <c r="AT1010">
        <v>11945.7</v>
      </c>
    </row>
    <row r="1011" spans="34:46" x14ac:dyDescent="0.35">
      <c r="AH1011" t="s">
        <v>204</v>
      </c>
      <c r="AI1011" t="s">
        <v>180</v>
      </c>
      <c r="AJ1011" s="3">
        <v>45106</v>
      </c>
      <c r="AK1011" t="s">
        <v>42</v>
      </c>
      <c r="AL1011" s="1">
        <v>12500</v>
      </c>
      <c r="AM1011" t="s">
        <v>8</v>
      </c>
      <c r="AN1011" t="s">
        <v>8</v>
      </c>
      <c r="AO1011" t="s">
        <v>8</v>
      </c>
      <c r="AP1011" s="1">
        <v>292.64999999999998</v>
      </c>
      <c r="AQ1011" t="s">
        <v>8</v>
      </c>
      <c r="AR1011" t="s">
        <v>8</v>
      </c>
      <c r="AS1011" t="s">
        <v>8</v>
      </c>
      <c r="AT1011">
        <v>11945.7</v>
      </c>
    </row>
    <row r="1012" spans="34:46" x14ac:dyDescent="0.35">
      <c r="AH1012" t="s">
        <v>204</v>
      </c>
      <c r="AI1012" t="s">
        <v>180</v>
      </c>
      <c r="AJ1012" s="3">
        <v>43650</v>
      </c>
      <c r="AK1012" t="s">
        <v>41</v>
      </c>
      <c r="AL1012" s="1">
        <v>10100</v>
      </c>
      <c r="AM1012" t="s">
        <v>8</v>
      </c>
      <c r="AN1012" t="s">
        <v>8</v>
      </c>
      <c r="AO1012" t="s">
        <v>8</v>
      </c>
      <c r="AP1012" s="1">
        <v>1614.4</v>
      </c>
      <c r="AQ1012" t="s">
        <v>8</v>
      </c>
      <c r="AR1012" t="s">
        <v>8</v>
      </c>
      <c r="AS1012" t="s">
        <v>8</v>
      </c>
      <c r="AT1012">
        <v>11945.7</v>
      </c>
    </row>
    <row r="1013" spans="34:46" x14ac:dyDescent="0.35">
      <c r="AH1013" t="s">
        <v>204</v>
      </c>
      <c r="AI1013" t="s">
        <v>180</v>
      </c>
      <c r="AJ1013" s="3">
        <v>43643</v>
      </c>
      <c r="AK1013" t="s">
        <v>42</v>
      </c>
      <c r="AL1013" s="1">
        <v>7300</v>
      </c>
      <c r="AM1013" t="s">
        <v>8</v>
      </c>
      <c r="AN1013" t="s">
        <v>8</v>
      </c>
      <c r="AO1013" t="s">
        <v>8</v>
      </c>
      <c r="AP1013">
        <v>106.05</v>
      </c>
      <c r="AQ1013" t="s">
        <v>8</v>
      </c>
      <c r="AR1013" t="s">
        <v>8</v>
      </c>
      <c r="AS1013" t="s">
        <v>8</v>
      </c>
      <c r="AT1013">
        <v>11945.7</v>
      </c>
    </row>
    <row r="1014" spans="34:46" x14ac:dyDescent="0.35">
      <c r="AH1014" t="s">
        <v>204</v>
      </c>
      <c r="AI1014" t="s">
        <v>180</v>
      </c>
      <c r="AJ1014" s="3">
        <v>44007</v>
      </c>
      <c r="AK1014" t="s">
        <v>42</v>
      </c>
      <c r="AL1014" s="1">
        <v>11700</v>
      </c>
      <c r="AM1014" t="s">
        <v>8</v>
      </c>
      <c r="AN1014" t="s">
        <v>8</v>
      </c>
      <c r="AO1014" t="s">
        <v>8</v>
      </c>
      <c r="AP1014" s="1" t="s">
        <v>8</v>
      </c>
      <c r="AQ1014" t="s">
        <v>8</v>
      </c>
      <c r="AR1014" t="s">
        <v>8</v>
      </c>
      <c r="AS1014" t="s">
        <v>8</v>
      </c>
      <c r="AT1014">
        <v>11945.7</v>
      </c>
    </row>
    <row r="1015" spans="34:46" x14ac:dyDescent="0.35">
      <c r="AH1015" t="s">
        <v>204</v>
      </c>
      <c r="AI1015" t="s">
        <v>180</v>
      </c>
      <c r="AJ1015" s="3">
        <v>43825</v>
      </c>
      <c r="AK1015" t="s">
        <v>42</v>
      </c>
      <c r="AL1015" s="1">
        <v>5700</v>
      </c>
      <c r="AM1015" t="s">
        <v>8</v>
      </c>
      <c r="AN1015" t="s">
        <v>8</v>
      </c>
      <c r="AO1015" t="s">
        <v>8</v>
      </c>
      <c r="AP1015" s="1">
        <v>44.15</v>
      </c>
      <c r="AQ1015" t="s">
        <v>8</v>
      </c>
      <c r="AR1015" t="s">
        <v>8</v>
      </c>
      <c r="AS1015" t="s">
        <v>8</v>
      </c>
      <c r="AT1015">
        <v>11945.7</v>
      </c>
    </row>
    <row r="1016" spans="34:46" x14ac:dyDescent="0.35">
      <c r="AH1016" t="s">
        <v>204</v>
      </c>
      <c r="AI1016" t="s">
        <v>180</v>
      </c>
      <c r="AJ1016" s="3">
        <v>45106</v>
      </c>
      <c r="AK1016" t="s">
        <v>42</v>
      </c>
      <c r="AL1016" s="1">
        <v>12700</v>
      </c>
      <c r="AM1016" t="s">
        <v>8</v>
      </c>
      <c r="AN1016" t="s">
        <v>8</v>
      </c>
      <c r="AO1016" t="s">
        <v>8</v>
      </c>
      <c r="AP1016" s="1">
        <v>328.9</v>
      </c>
      <c r="AQ1016" t="s">
        <v>8</v>
      </c>
      <c r="AR1016" t="s">
        <v>8</v>
      </c>
      <c r="AS1016" t="s">
        <v>8</v>
      </c>
      <c r="AT1016">
        <v>11945.7</v>
      </c>
    </row>
    <row r="1017" spans="34:46" x14ac:dyDescent="0.35">
      <c r="AH1017" t="s">
        <v>204</v>
      </c>
      <c r="AI1017" t="s">
        <v>180</v>
      </c>
      <c r="AJ1017" s="3">
        <v>43671</v>
      </c>
      <c r="AK1017" t="s">
        <v>41</v>
      </c>
      <c r="AL1017" s="1">
        <v>10400</v>
      </c>
      <c r="AM1017" t="s">
        <v>8</v>
      </c>
      <c r="AN1017" t="s">
        <v>8</v>
      </c>
      <c r="AO1017" t="s">
        <v>8</v>
      </c>
      <c r="AP1017" s="1">
        <v>1431.8</v>
      </c>
      <c r="AQ1017" t="s">
        <v>8</v>
      </c>
      <c r="AR1017" t="s">
        <v>8</v>
      </c>
      <c r="AS1017" t="s">
        <v>8</v>
      </c>
      <c r="AT1017">
        <v>11945.7</v>
      </c>
    </row>
    <row r="1018" spans="34:46" x14ac:dyDescent="0.35">
      <c r="AH1018" t="s">
        <v>204</v>
      </c>
      <c r="AI1018" t="s">
        <v>180</v>
      </c>
      <c r="AJ1018" s="3">
        <v>44007</v>
      </c>
      <c r="AK1018" t="s">
        <v>42</v>
      </c>
      <c r="AL1018" s="1">
        <v>11900</v>
      </c>
      <c r="AM1018" t="s">
        <v>8</v>
      </c>
      <c r="AN1018" t="s">
        <v>8</v>
      </c>
      <c r="AO1018" t="s">
        <v>8</v>
      </c>
      <c r="AP1018" s="1" t="s">
        <v>8</v>
      </c>
      <c r="AQ1018" t="s">
        <v>8</v>
      </c>
      <c r="AR1018" t="s">
        <v>8</v>
      </c>
      <c r="AS1018" t="s">
        <v>8</v>
      </c>
      <c r="AT1018">
        <v>11945.7</v>
      </c>
    </row>
    <row r="1019" spans="34:46" x14ac:dyDescent="0.35">
      <c r="AH1019" t="s">
        <v>204</v>
      </c>
      <c r="AI1019" t="s">
        <v>180</v>
      </c>
      <c r="AJ1019" s="3">
        <v>43825</v>
      </c>
      <c r="AK1019" t="s">
        <v>42</v>
      </c>
      <c r="AL1019" s="1">
        <v>5900</v>
      </c>
      <c r="AM1019" t="s">
        <v>8</v>
      </c>
      <c r="AN1019" t="s">
        <v>8</v>
      </c>
      <c r="AO1019" t="s">
        <v>8</v>
      </c>
      <c r="AP1019" s="1">
        <v>17.2</v>
      </c>
      <c r="AQ1019" t="s">
        <v>8</v>
      </c>
      <c r="AR1019" t="s">
        <v>8</v>
      </c>
      <c r="AS1019" t="s">
        <v>8</v>
      </c>
      <c r="AT1019">
        <v>11945.7</v>
      </c>
    </row>
    <row r="1020" spans="34:46" x14ac:dyDescent="0.35">
      <c r="AH1020" t="s">
        <v>204</v>
      </c>
      <c r="AI1020" t="s">
        <v>180</v>
      </c>
      <c r="AJ1020" s="3">
        <v>43671</v>
      </c>
      <c r="AK1020" t="s">
        <v>41</v>
      </c>
      <c r="AL1020" s="1">
        <v>10600</v>
      </c>
      <c r="AM1020" t="s">
        <v>8</v>
      </c>
      <c r="AN1020" t="s">
        <v>8</v>
      </c>
      <c r="AO1020" t="s">
        <v>8</v>
      </c>
      <c r="AP1020" s="1">
        <v>1350</v>
      </c>
      <c r="AQ1020" t="s">
        <v>8</v>
      </c>
      <c r="AR1020" t="s">
        <v>8</v>
      </c>
      <c r="AS1020" t="s">
        <v>8</v>
      </c>
      <c r="AT1020">
        <v>11945.7</v>
      </c>
    </row>
    <row r="1021" spans="34:46" x14ac:dyDescent="0.35">
      <c r="AH1021" t="s">
        <v>204</v>
      </c>
      <c r="AI1021" t="s">
        <v>180</v>
      </c>
      <c r="AJ1021" s="3">
        <v>43671</v>
      </c>
      <c r="AK1021" t="s">
        <v>41</v>
      </c>
      <c r="AL1021" s="1">
        <v>10800</v>
      </c>
      <c r="AM1021" t="s">
        <v>8</v>
      </c>
      <c r="AN1021" t="s">
        <v>8</v>
      </c>
      <c r="AO1021" t="s">
        <v>8</v>
      </c>
      <c r="AP1021" s="1">
        <v>1061</v>
      </c>
      <c r="AQ1021" t="s">
        <v>8</v>
      </c>
      <c r="AR1021" t="s">
        <v>8</v>
      </c>
      <c r="AS1021" t="s">
        <v>8</v>
      </c>
      <c r="AT1021">
        <v>11945.7</v>
      </c>
    </row>
    <row r="1022" spans="34:46" x14ac:dyDescent="0.35">
      <c r="AH1022" t="s">
        <v>204</v>
      </c>
      <c r="AI1022" t="s">
        <v>180</v>
      </c>
      <c r="AJ1022" s="3">
        <v>43629</v>
      </c>
      <c r="AK1022" t="s">
        <v>42</v>
      </c>
      <c r="AL1022" s="1">
        <v>11050</v>
      </c>
      <c r="AM1022" t="s">
        <v>8</v>
      </c>
      <c r="AN1022" t="s">
        <v>8</v>
      </c>
      <c r="AO1022" t="s">
        <v>8</v>
      </c>
      <c r="AP1022">
        <v>31.35</v>
      </c>
      <c r="AQ1022" t="s">
        <v>8</v>
      </c>
      <c r="AR1022" t="s">
        <v>8</v>
      </c>
      <c r="AS1022" t="s">
        <v>8</v>
      </c>
      <c r="AT1022">
        <v>11945.7</v>
      </c>
    </row>
    <row r="1023" spans="34:46" x14ac:dyDescent="0.35">
      <c r="AH1023" t="s">
        <v>204</v>
      </c>
      <c r="AI1023" t="s">
        <v>180</v>
      </c>
      <c r="AJ1023" s="3">
        <v>44196</v>
      </c>
      <c r="AK1023" t="s">
        <v>42</v>
      </c>
      <c r="AL1023" s="1">
        <v>5000</v>
      </c>
      <c r="AM1023" t="s">
        <v>8</v>
      </c>
      <c r="AN1023" t="s">
        <v>8</v>
      </c>
      <c r="AO1023" t="s">
        <v>8</v>
      </c>
      <c r="AP1023" s="1">
        <v>18.95</v>
      </c>
      <c r="AQ1023" t="s">
        <v>8</v>
      </c>
      <c r="AR1023" t="s">
        <v>8</v>
      </c>
      <c r="AS1023" t="s">
        <v>8</v>
      </c>
      <c r="AT1023">
        <v>11945.7</v>
      </c>
    </row>
    <row r="1024" spans="34:46" x14ac:dyDescent="0.35">
      <c r="AH1024" t="s">
        <v>204</v>
      </c>
      <c r="AI1024" t="s">
        <v>180</v>
      </c>
      <c r="AJ1024" s="3">
        <v>44371</v>
      </c>
      <c r="AK1024" t="s">
        <v>42</v>
      </c>
      <c r="AL1024" s="1">
        <v>7500</v>
      </c>
      <c r="AM1024" t="s">
        <v>8</v>
      </c>
      <c r="AN1024" t="s">
        <v>8</v>
      </c>
      <c r="AO1024" t="s">
        <v>8</v>
      </c>
      <c r="AP1024">
        <v>134.15</v>
      </c>
      <c r="AQ1024" t="s">
        <v>8</v>
      </c>
      <c r="AR1024" t="s">
        <v>8</v>
      </c>
      <c r="AS1024" t="s">
        <v>8</v>
      </c>
      <c r="AT1024">
        <v>11945.7</v>
      </c>
    </row>
    <row r="1025" spans="34:46" x14ac:dyDescent="0.35">
      <c r="AH1025" t="s">
        <v>204</v>
      </c>
      <c r="AI1025" t="s">
        <v>180</v>
      </c>
      <c r="AJ1025" s="3">
        <v>45288</v>
      </c>
      <c r="AK1025" t="s">
        <v>42</v>
      </c>
      <c r="AL1025" s="1">
        <v>9400</v>
      </c>
      <c r="AM1025" t="s">
        <v>8</v>
      </c>
      <c r="AN1025" t="s">
        <v>8</v>
      </c>
      <c r="AO1025" t="s">
        <v>8</v>
      </c>
      <c r="AP1025" s="1">
        <v>163.05000000000001</v>
      </c>
      <c r="AQ1025" t="s">
        <v>8</v>
      </c>
      <c r="AR1025" t="s">
        <v>8</v>
      </c>
      <c r="AS1025" t="s">
        <v>8</v>
      </c>
      <c r="AT1025">
        <v>11945.7</v>
      </c>
    </row>
    <row r="1026" spans="34:46" x14ac:dyDescent="0.35">
      <c r="AH1026" t="s">
        <v>204</v>
      </c>
      <c r="AI1026" t="s">
        <v>180</v>
      </c>
      <c r="AJ1026" s="3">
        <v>44371</v>
      </c>
      <c r="AK1026" t="s">
        <v>42</v>
      </c>
      <c r="AL1026" s="1">
        <v>7700</v>
      </c>
      <c r="AM1026" t="s">
        <v>8</v>
      </c>
      <c r="AN1026" t="s">
        <v>8</v>
      </c>
      <c r="AO1026" t="s">
        <v>8</v>
      </c>
      <c r="AP1026">
        <v>156.75</v>
      </c>
      <c r="AQ1026" t="s">
        <v>8</v>
      </c>
      <c r="AR1026" t="s">
        <v>8</v>
      </c>
      <c r="AS1026" t="s">
        <v>8</v>
      </c>
      <c r="AT1026">
        <v>11945.7</v>
      </c>
    </row>
    <row r="1027" spans="34:46" x14ac:dyDescent="0.35">
      <c r="AH1027" t="s">
        <v>204</v>
      </c>
      <c r="AI1027" t="s">
        <v>180</v>
      </c>
      <c r="AJ1027" s="3">
        <v>43657</v>
      </c>
      <c r="AK1027" t="s">
        <v>42</v>
      </c>
      <c r="AL1027" s="1">
        <v>12900</v>
      </c>
      <c r="AM1027" t="s">
        <v>8</v>
      </c>
      <c r="AN1027" t="s">
        <v>8</v>
      </c>
      <c r="AO1027" t="s">
        <v>8</v>
      </c>
      <c r="AP1027" s="1">
        <v>1366.6</v>
      </c>
      <c r="AQ1027" t="s">
        <v>8</v>
      </c>
      <c r="AR1027" t="s">
        <v>8</v>
      </c>
      <c r="AS1027" t="s">
        <v>8</v>
      </c>
      <c r="AT1027">
        <v>11945.7</v>
      </c>
    </row>
    <row r="1028" spans="34:46" x14ac:dyDescent="0.35">
      <c r="AH1028" t="s">
        <v>204</v>
      </c>
      <c r="AI1028" t="s">
        <v>180</v>
      </c>
      <c r="AJ1028" s="3">
        <v>45106</v>
      </c>
      <c r="AK1028" t="s">
        <v>42</v>
      </c>
      <c r="AL1028" s="1">
        <v>9500</v>
      </c>
      <c r="AM1028" t="s">
        <v>8</v>
      </c>
      <c r="AN1028" t="s">
        <v>8</v>
      </c>
      <c r="AO1028" t="s">
        <v>8</v>
      </c>
      <c r="AP1028" s="1">
        <v>361.45</v>
      </c>
      <c r="AQ1028" t="s">
        <v>8</v>
      </c>
      <c r="AR1028" t="s">
        <v>8</v>
      </c>
      <c r="AS1028" t="s">
        <v>8</v>
      </c>
      <c r="AT1028">
        <v>11945.7</v>
      </c>
    </row>
    <row r="1029" spans="34:46" x14ac:dyDescent="0.35">
      <c r="AH1029" t="s">
        <v>204</v>
      </c>
      <c r="AI1029" t="s">
        <v>180</v>
      </c>
      <c r="AJ1029" s="3">
        <v>45288</v>
      </c>
      <c r="AK1029" t="s">
        <v>42</v>
      </c>
      <c r="AL1029" s="1">
        <v>9600</v>
      </c>
      <c r="AM1029" t="s">
        <v>8</v>
      </c>
      <c r="AN1029" t="s">
        <v>8</v>
      </c>
      <c r="AO1029" t="s">
        <v>8</v>
      </c>
      <c r="AP1029">
        <v>183.7</v>
      </c>
      <c r="AQ1029" t="s">
        <v>8</v>
      </c>
      <c r="AR1029" t="s">
        <v>8</v>
      </c>
      <c r="AS1029" t="s">
        <v>8</v>
      </c>
      <c r="AT1029">
        <v>11945.7</v>
      </c>
    </row>
    <row r="1030" spans="34:46" x14ac:dyDescent="0.35">
      <c r="AH1030" t="s">
        <v>204</v>
      </c>
      <c r="AI1030" t="s">
        <v>180</v>
      </c>
      <c r="AJ1030" s="3">
        <v>45106</v>
      </c>
      <c r="AK1030" t="s">
        <v>42</v>
      </c>
      <c r="AL1030" s="1">
        <v>9700</v>
      </c>
      <c r="AM1030" t="s">
        <v>8</v>
      </c>
      <c r="AN1030" t="s">
        <v>8</v>
      </c>
      <c r="AO1030" t="s">
        <v>8</v>
      </c>
      <c r="AP1030" s="1">
        <v>31.4</v>
      </c>
      <c r="AQ1030" t="s">
        <v>8</v>
      </c>
      <c r="AR1030" t="s">
        <v>8</v>
      </c>
      <c r="AS1030" t="s">
        <v>8</v>
      </c>
      <c r="AT1030">
        <v>11945.7</v>
      </c>
    </row>
    <row r="1031" spans="34:46" x14ac:dyDescent="0.35">
      <c r="AH1031" t="s">
        <v>204</v>
      </c>
      <c r="AI1031" t="s">
        <v>180</v>
      </c>
      <c r="AJ1031" s="3">
        <v>45106</v>
      </c>
      <c r="AK1031" t="s">
        <v>42</v>
      </c>
      <c r="AL1031" s="1">
        <v>9900</v>
      </c>
      <c r="AM1031" t="s">
        <v>8</v>
      </c>
      <c r="AN1031" t="s">
        <v>8</v>
      </c>
      <c r="AO1031" t="s">
        <v>8</v>
      </c>
      <c r="AP1031">
        <v>38.6</v>
      </c>
      <c r="AQ1031" t="s">
        <v>8</v>
      </c>
      <c r="AR1031" t="s">
        <v>8</v>
      </c>
      <c r="AS1031" t="s">
        <v>8</v>
      </c>
      <c r="AT1031">
        <v>11945.7</v>
      </c>
    </row>
    <row r="1032" spans="34:46" x14ac:dyDescent="0.35">
      <c r="AH1032" t="s">
        <v>204</v>
      </c>
      <c r="AI1032" t="s">
        <v>180</v>
      </c>
      <c r="AJ1032" s="3">
        <v>44196</v>
      </c>
      <c r="AK1032" t="s">
        <v>42</v>
      </c>
      <c r="AL1032" s="1">
        <v>11000</v>
      </c>
      <c r="AM1032" t="s">
        <v>8</v>
      </c>
      <c r="AN1032" t="s">
        <v>8</v>
      </c>
      <c r="AO1032" t="s">
        <v>8</v>
      </c>
      <c r="AP1032" s="1">
        <v>359</v>
      </c>
      <c r="AQ1032" t="s">
        <v>8</v>
      </c>
      <c r="AR1032" t="s">
        <v>8</v>
      </c>
      <c r="AS1032" t="s">
        <v>8</v>
      </c>
      <c r="AT1032">
        <v>11945.7</v>
      </c>
    </row>
    <row r="1033" spans="34:46" x14ac:dyDescent="0.35">
      <c r="AH1033" t="s">
        <v>204</v>
      </c>
      <c r="AI1033" t="s">
        <v>180</v>
      </c>
      <c r="AJ1033" s="3">
        <v>44196</v>
      </c>
      <c r="AK1033" t="s">
        <v>42</v>
      </c>
      <c r="AL1033" s="1">
        <v>11200</v>
      </c>
      <c r="AM1033" t="s">
        <v>8</v>
      </c>
      <c r="AN1033" t="s">
        <v>8</v>
      </c>
      <c r="AO1033" t="s">
        <v>8</v>
      </c>
      <c r="AP1033">
        <v>698</v>
      </c>
      <c r="AQ1033" t="s">
        <v>8</v>
      </c>
      <c r="AR1033" t="s">
        <v>8</v>
      </c>
      <c r="AS1033" t="s">
        <v>8</v>
      </c>
      <c r="AT1033">
        <v>11945.7</v>
      </c>
    </row>
    <row r="1034" spans="34:46" x14ac:dyDescent="0.35">
      <c r="AH1034" t="s">
        <v>204</v>
      </c>
      <c r="AI1034" t="s">
        <v>180</v>
      </c>
      <c r="AJ1034" s="3">
        <v>43629</v>
      </c>
      <c r="AK1034" t="s">
        <v>41</v>
      </c>
      <c r="AL1034" s="1">
        <v>11650</v>
      </c>
      <c r="AM1034" t="s">
        <v>8</v>
      </c>
      <c r="AN1034" t="s">
        <v>8</v>
      </c>
      <c r="AO1034" t="s">
        <v>8</v>
      </c>
      <c r="AP1034" s="1">
        <v>275.25</v>
      </c>
      <c r="AQ1034" t="s">
        <v>8</v>
      </c>
      <c r="AR1034" t="s">
        <v>8</v>
      </c>
      <c r="AS1034" t="s">
        <v>8</v>
      </c>
      <c r="AT1034">
        <v>11945.7</v>
      </c>
    </row>
    <row r="1035" spans="34:46" x14ac:dyDescent="0.35">
      <c r="AH1035" t="s">
        <v>204</v>
      </c>
      <c r="AI1035" t="s">
        <v>180</v>
      </c>
      <c r="AJ1035" s="3">
        <v>43629</v>
      </c>
      <c r="AK1035" t="s">
        <v>42</v>
      </c>
      <c r="AL1035" s="1">
        <v>13000</v>
      </c>
      <c r="AM1035" t="s">
        <v>8</v>
      </c>
      <c r="AN1035" t="s">
        <v>8</v>
      </c>
      <c r="AO1035" t="s">
        <v>8</v>
      </c>
      <c r="AP1035" s="1">
        <v>1253.75</v>
      </c>
      <c r="AQ1035" t="s">
        <v>8</v>
      </c>
      <c r="AR1035" t="s">
        <v>8</v>
      </c>
      <c r="AS1035" t="s">
        <v>8</v>
      </c>
      <c r="AT1035">
        <v>11945.7</v>
      </c>
    </row>
    <row r="1036" spans="34:46" x14ac:dyDescent="0.35">
      <c r="AH1036" t="s">
        <v>204</v>
      </c>
      <c r="AI1036" t="s">
        <v>180</v>
      </c>
      <c r="AJ1036" s="3">
        <v>43671</v>
      </c>
      <c r="AK1036" t="s">
        <v>42</v>
      </c>
      <c r="AL1036" s="1">
        <v>12150</v>
      </c>
      <c r="AM1036" t="s">
        <v>8</v>
      </c>
      <c r="AN1036" t="s">
        <v>8</v>
      </c>
      <c r="AO1036" t="s">
        <v>8</v>
      </c>
      <c r="AP1036" s="1">
        <v>488.45</v>
      </c>
      <c r="AQ1036" t="s">
        <v>8</v>
      </c>
      <c r="AR1036" t="s">
        <v>8</v>
      </c>
      <c r="AS1036" t="s">
        <v>8</v>
      </c>
      <c r="AT1036">
        <v>11945.7</v>
      </c>
    </row>
    <row r="1037" spans="34:46" x14ac:dyDescent="0.35">
      <c r="AH1037" t="s">
        <v>204</v>
      </c>
      <c r="AI1037" t="s">
        <v>180</v>
      </c>
      <c r="AJ1037" s="3">
        <v>43671</v>
      </c>
      <c r="AK1037" t="s">
        <v>42</v>
      </c>
      <c r="AL1037" s="1">
        <v>12350</v>
      </c>
      <c r="AM1037" t="s">
        <v>8</v>
      </c>
      <c r="AN1037" t="s">
        <v>8</v>
      </c>
      <c r="AO1037" t="s">
        <v>8</v>
      </c>
      <c r="AP1037" s="1">
        <v>625.85</v>
      </c>
      <c r="AQ1037" t="s">
        <v>8</v>
      </c>
      <c r="AR1037" t="s">
        <v>8</v>
      </c>
      <c r="AS1037" t="s">
        <v>8</v>
      </c>
      <c r="AT1037">
        <v>11945.7</v>
      </c>
    </row>
    <row r="1038" spans="34:46" x14ac:dyDescent="0.35">
      <c r="AH1038" t="s">
        <v>204</v>
      </c>
      <c r="AI1038" t="s">
        <v>180</v>
      </c>
      <c r="AJ1038" s="3">
        <v>43636</v>
      </c>
      <c r="AK1038" t="s">
        <v>41</v>
      </c>
      <c r="AL1038" s="1">
        <v>10100</v>
      </c>
      <c r="AM1038" t="s">
        <v>8</v>
      </c>
      <c r="AN1038" t="s">
        <v>8</v>
      </c>
      <c r="AO1038" t="s">
        <v>8</v>
      </c>
      <c r="AP1038" s="1">
        <v>1608.75</v>
      </c>
      <c r="AQ1038" t="s">
        <v>8</v>
      </c>
      <c r="AR1038" t="s">
        <v>8</v>
      </c>
      <c r="AS1038" t="s">
        <v>8</v>
      </c>
      <c r="AT1038">
        <v>11945.7</v>
      </c>
    </row>
    <row r="1039" spans="34:46" x14ac:dyDescent="0.35">
      <c r="AH1039" t="s">
        <v>204</v>
      </c>
      <c r="AI1039" t="s">
        <v>180</v>
      </c>
      <c r="AJ1039" s="3">
        <v>44742</v>
      </c>
      <c r="AK1039" t="s">
        <v>42</v>
      </c>
      <c r="AL1039" s="1">
        <v>12000</v>
      </c>
      <c r="AM1039" t="s">
        <v>8</v>
      </c>
      <c r="AN1039" t="s">
        <v>8</v>
      </c>
      <c r="AO1039" t="s">
        <v>8</v>
      </c>
      <c r="AP1039" s="1">
        <v>362.25</v>
      </c>
      <c r="AQ1039" t="s">
        <v>8</v>
      </c>
      <c r="AR1039" t="s">
        <v>8</v>
      </c>
      <c r="AS1039" t="s">
        <v>8</v>
      </c>
      <c r="AT1039">
        <v>11945.7</v>
      </c>
    </row>
    <row r="1040" spans="34:46" x14ac:dyDescent="0.35">
      <c r="AH1040" t="s">
        <v>204</v>
      </c>
      <c r="AI1040" t="s">
        <v>180</v>
      </c>
      <c r="AJ1040" s="3">
        <v>44742</v>
      </c>
      <c r="AK1040" t="s">
        <v>42</v>
      </c>
      <c r="AL1040" s="1">
        <v>10700</v>
      </c>
      <c r="AM1040" t="s">
        <v>8</v>
      </c>
      <c r="AN1040" t="s">
        <v>8</v>
      </c>
      <c r="AO1040" t="s">
        <v>8</v>
      </c>
      <c r="AP1040" s="1">
        <v>109.05</v>
      </c>
      <c r="AQ1040" t="s">
        <v>8</v>
      </c>
      <c r="AR1040" t="s">
        <v>8</v>
      </c>
      <c r="AS1040" t="s">
        <v>8</v>
      </c>
      <c r="AT1040">
        <v>11945.7</v>
      </c>
    </row>
    <row r="1041" spans="34:46" x14ac:dyDescent="0.35">
      <c r="AH1041" t="s">
        <v>204</v>
      </c>
      <c r="AI1041" t="s">
        <v>180</v>
      </c>
      <c r="AJ1041" s="3">
        <v>44742</v>
      </c>
      <c r="AK1041" t="s">
        <v>42</v>
      </c>
      <c r="AL1041" s="1">
        <v>10900</v>
      </c>
      <c r="AM1041" t="s">
        <v>8</v>
      </c>
      <c r="AN1041" t="s">
        <v>8</v>
      </c>
      <c r="AO1041" t="s">
        <v>8</v>
      </c>
      <c r="AP1041" s="1">
        <v>133.19999999999999</v>
      </c>
      <c r="AQ1041" t="s">
        <v>8</v>
      </c>
      <c r="AR1041" t="s">
        <v>8</v>
      </c>
      <c r="AS1041" t="s">
        <v>8</v>
      </c>
      <c r="AT1041">
        <v>11945.7</v>
      </c>
    </row>
    <row r="1042" spans="34:46" x14ac:dyDescent="0.35">
      <c r="AH1042" t="s">
        <v>204</v>
      </c>
      <c r="AI1042" t="s">
        <v>180</v>
      </c>
      <c r="AJ1042" s="3">
        <v>43664</v>
      </c>
      <c r="AK1042" t="s">
        <v>41</v>
      </c>
      <c r="AL1042" s="1">
        <v>10200</v>
      </c>
      <c r="AM1042" t="s">
        <v>8</v>
      </c>
      <c r="AN1042" t="s">
        <v>8</v>
      </c>
      <c r="AO1042" t="s">
        <v>8</v>
      </c>
      <c r="AP1042" s="1">
        <v>1189.3499999999999</v>
      </c>
      <c r="AQ1042" t="s">
        <v>8</v>
      </c>
      <c r="AR1042" t="s">
        <v>8</v>
      </c>
      <c r="AS1042" t="s">
        <v>8</v>
      </c>
      <c r="AT1042">
        <v>11945.7</v>
      </c>
    </row>
    <row r="1043" spans="34:46" x14ac:dyDescent="0.35">
      <c r="AH1043" t="s">
        <v>204</v>
      </c>
      <c r="AI1043" t="s">
        <v>180</v>
      </c>
      <c r="AJ1043" s="3">
        <v>43664</v>
      </c>
      <c r="AK1043" t="s">
        <v>41</v>
      </c>
      <c r="AL1043" s="1">
        <v>10400</v>
      </c>
      <c r="AM1043" t="s">
        <v>8</v>
      </c>
      <c r="AN1043" t="s">
        <v>8</v>
      </c>
      <c r="AO1043" t="s">
        <v>8</v>
      </c>
      <c r="AP1043" s="1">
        <v>1001</v>
      </c>
      <c r="AQ1043" t="s">
        <v>8</v>
      </c>
      <c r="AR1043" t="s">
        <v>8</v>
      </c>
      <c r="AS1043" t="s">
        <v>8</v>
      </c>
      <c r="AT1043">
        <v>11945.7</v>
      </c>
    </row>
    <row r="1044" spans="34:46" x14ac:dyDescent="0.35">
      <c r="AH1044" t="s">
        <v>204</v>
      </c>
      <c r="AI1044" t="s">
        <v>180</v>
      </c>
      <c r="AJ1044" s="3">
        <v>43734</v>
      </c>
      <c r="AK1044" t="s">
        <v>42</v>
      </c>
      <c r="AL1044" s="1">
        <v>9000</v>
      </c>
      <c r="AM1044" t="s">
        <v>8</v>
      </c>
      <c r="AN1044" t="s">
        <v>8</v>
      </c>
      <c r="AO1044" t="s">
        <v>8</v>
      </c>
      <c r="AP1044" s="1">
        <v>22.05</v>
      </c>
      <c r="AQ1044" t="s">
        <v>8</v>
      </c>
      <c r="AR1044" t="s">
        <v>8</v>
      </c>
      <c r="AS1044" t="s">
        <v>8</v>
      </c>
      <c r="AT1044">
        <v>11945.7</v>
      </c>
    </row>
    <row r="1045" spans="34:46" x14ac:dyDescent="0.35">
      <c r="AH1045" t="s">
        <v>204</v>
      </c>
      <c r="AI1045" t="s">
        <v>180</v>
      </c>
      <c r="AJ1045" s="3">
        <v>44007</v>
      </c>
      <c r="AK1045" t="s">
        <v>42</v>
      </c>
      <c r="AL1045" s="1">
        <v>8000</v>
      </c>
      <c r="AM1045" t="s">
        <v>8</v>
      </c>
      <c r="AN1045" t="s">
        <v>8</v>
      </c>
      <c r="AO1045" t="s">
        <v>8</v>
      </c>
      <c r="AP1045" s="1">
        <v>136</v>
      </c>
      <c r="AQ1045" t="s">
        <v>8</v>
      </c>
      <c r="AR1045" t="s">
        <v>8</v>
      </c>
      <c r="AS1045" t="s">
        <v>8</v>
      </c>
      <c r="AT1045">
        <v>11945.7</v>
      </c>
    </row>
    <row r="1046" spans="34:46" x14ac:dyDescent="0.35">
      <c r="AH1046" t="s">
        <v>204</v>
      </c>
      <c r="AI1046" t="s">
        <v>180</v>
      </c>
      <c r="AJ1046" s="3">
        <v>44196</v>
      </c>
      <c r="AK1046" t="s">
        <v>41</v>
      </c>
      <c r="AL1046" s="1">
        <v>11800</v>
      </c>
      <c r="AM1046" t="s">
        <v>8</v>
      </c>
      <c r="AN1046" t="s">
        <v>8</v>
      </c>
      <c r="AO1046" t="s">
        <v>8</v>
      </c>
      <c r="AP1046" s="1">
        <v>1859</v>
      </c>
      <c r="AQ1046" t="s">
        <v>8</v>
      </c>
      <c r="AR1046" t="s">
        <v>8</v>
      </c>
      <c r="AS1046" t="s">
        <v>8</v>
      </c>
      <c r="AT1046">
        <v>11945.7</v>
      </c>
    </row>
    <row r="1047" spans="34:46" x14ac:dyDescent="0.35">
      <c r="AH1047" t="s">
        <v>204</v>
      </c>
      <c r="AI1047" t="s">
        <v>180</v>
      </c>
      <c r="AJ1047" s="3">
        <v>43643</v>
      </c>
      <c r="AK1047" t="s">
        <v>42</v>
      </c>
      <c r="AL1047" s="1">
        <v>9650</v>
      </c>
      <c r="AM1047" t="s">
        <v>8</v>
      </c>
      <c r="AN1047" t="s">
        <v>8</v>
      </c>
      <c r="AO1047" t="s">
        <v>8</v>
      </c>
      <c r="AP1047" s="1">
        <v>0.2</v>
      </c>
      <c r="AQ1047" t="s">
        <v>8</v>
      </c>
      <c r="AR1047" t="s">
        <v>8</v>
      </c>
      <c r="AS1047" t="s">
        <v>8</v>
      </c>
      <c r="AT1047">
        <v>11945.7</v>
      </c>
    </row>
    <row r="1048" spans="34:46" x14ac:dyDescent="0.35">
      <c r="AH1048" t="s">
        <v>204</v>
      </c>
      <c r="AI1048" t="s">
        <v>180</v>
      </c>
      <c r="AJ1048" s="3">
        <v>43664</v>
      </c>
      <c r="AK1048" t="s">
        <v>41</v>
      </c>
      <c r="AL1048" s="1">
        <v>10600</v>
      </c>
      <c r="AM1048" t="s">
        <v>8</v>
      </c>
      <c r="AN1048" t="s">
        <v>8</v>
      </c>
      <c r="AO1048" t="s">
        <v>8</v>
      </c>
      <c r="AP1048">
        <v>820.8</v>
      </c>
      <c r="AQ1048" t="s">
        <v>8</v>
      </c>
      <c r="AR1048" t="s">
        <v>8</v>
      </c>
      <c r="AS1048" t="s">
        <v>8</v>
      </c>
      <c r="AT1048">
        <v>11945.7</v>
      </c>
    </row>
    <row r="1049" spans="34:46" x14ac:dyDescent="0.35">
      <c r="AH1049" t="s">
        <v>204</v>
      </c>
      <c r="AI1049" t="s">
        <v>180</v>
      </c>
      <c r="AJ1049" s="3">
        <v>43734</v>
      </c>
      <c r="AK1049" t="s">
        <v>42</v>
      </c>
      <c r="AL1049" s="1">
        <v>9200</v>
      </c>
      <c r="AM1049" t="s">
        <v>8</v>
      </c>
      <c r="AN1049" t="s">
        <v>8</v>
      </c>
      <c r="AO1049" t="s">
        <v>8</v>
      </c>
      <c r="AP1049" s="1">
        <v>31.6</v>
      </c>
      <c r="AQ1049" t="s">
        <v>8</v>
      </c>
      <c r="AR1049" t="s">
        <v>8</v>
      </c>
      <c r="AS1049" t="s">
        <v>8</v>
      </c>
      <c r="AT1049">
        <v>11945.7</v>
      </c>
    </row>
    <row r="1050" spans="34:46" x14ac:dyDescent="0.35">
      <c r="AH1050" t="s">
        <v>204</v>
      </c>
      <c r="AI1050" t="s">
        <v>180</v>
      </c>
      <c r="AJ1050" s="3">
        <v>43643</v>
      </c>
      <c r="AK1050" t="s">
        <v>42</v>
      </c>
      <c r="AL1050" s="1">
        <v>11150</v>
      </c>
      <c r="AM1050" t="s">
        <v>8</v>
      </c>
      <c r="AN1050" t="s">
        <v>8</v>
      </c>
      <c r="AO1050" t="s">
        <v>8</v>
      </c>
      <c r="AP1050" s="1">
        <v>50</v>
      </c>
      <c r="AQ1050" t="s">
        <v>8</v>
      </c>
      <c r="AR1050" t="s">
        <v>8</v>
      </c>
      <c r="AS1050" t="s">
        <v>8</v>
      </c>
      <c r="AT1050">
        <v>11945.7</v>
      </c>
    </row>
    <row r="1051" spans="34:46" x14ac:dyDescent="0.35">
      <c r="AH1051" t="s">
        <v>204</v>
      </c>
      <c r="AI1051" t="s">
        <v>180</v>
      </c>
      <c r="AJ1051" s="3">
        <v>43643</v>
      </c>
      <c r="AK1051" t="s">
        <v>42</v>
      </c>
      <c r="AL1051" s="1">
        <v>9850</v>
      </c>
      <c r="AM1051" t="s">
        <v>8</v>
      </c>
      <c r="AN1051" t="s">
        <v>8</v>
      </c>
      <c r="AO1051" t="s">
        <v>8</v>
      </c>
      <c r="AP1051" s="1">
        <v>0.3</v>
      </c>
      <c r="AQ1051" t="s">
        <v>8</v>
      </c>
      <c r="AR1051" t="s">
        <v>8</v>
      </c>
      <c r="AS1051" t="s">
        <v>8</v>
      </c>
      <c r="AT1051">
        <v>11945.7</v>
      </c>
    </row>
    <row r="1052" spans="34:46" x14ac:dyDescent="0.35">
      <c r="AH1052" t="s">
        <v>204</v>
      </c>
      <c r="AI1052" t="s">
        <v>180</v>
      </c>
      <c r="AJ1052" s="3">
        <v>43636</v>
      </c>
      <c r="AK1052" t="s">
        <v>41</v>
      </c>
      <c r="AL1052" s="1">
        <v>9650</v>
      </c>
      <c r="AM1052" t="s">
        <v>8</v>
      </c>
      <c r="AN1052" t="s">
        <v>8</v>
      </c>
      <c r="AO1052" t="s">
        <v>8</v>
      </c>
      <c r="AP1052" s="1">
        <v>1569.95</v>
      </c>
      <c r="AQ1052" t="s">
        <v>8</v>
      </c>
      <c r="AR1052" t="s">
        <v>8</v>
      </c>
      <c r="AS1052" t="s">
        <v>8</v>
      </c>
      <c r="AT1052">
        <v>11945.7</v>
      </c>
    </row>
    <row r="1053" spans="34:46" x14ac:dyDescent="0.35">
      <c r="AH1053" t="s">
        <v>204</v>
      </c>
      <c r="AI1053" t="s">
        <v>180</v>
      </c>
      <c r="AJ1053" s="3">
        <v>44007</v>
      </c>
      <c r="AK1053" t="s">
        <v>42</v>
      </c>
      <c r="AL1053" s="1">
        <v>6700</v>
      </c>
      <c r="AM1053" t="s">
        <v>8</v>
      </c>
      <c r="AN1053" t="s">
        <v>8</v>
      </c>
      <c r="AO1053" t="s">
        <v>8</v>
      </c>
      <c r="AP1053" s="1">
        <v>44</v>
      </c>
      <c r="AQ1053" t="s">
        <v>8</v>
      </c>
      <c r="AR1053" t="s">
        <v>8</v>
      </c>
      <c r="AS1053" t="s">
        <v>8</v>
      </c>
      <c r="AT1053">
        <v>11945.7</v>
      </c>
    </row>
    <row r="1054" spans="34:46" x14ac:dyDescent="0.35">
      <c r="AH1054" t="s">
        <v>204</v>
      </c>
      <c r="AI1054" t="s">
        <v>180</v>
      </c>
      <c r="AJ1054" s="3">
        <v>43643</v>
      </c>
      <c r="AK1054" t="s">
        <v>42</v>
      </c>
      <c r="AL1054" s="1">
        <v>11350</v>
      </c>
      <c r="AM1054" t="s">
        <v>8</v>
      </c>
      <c r="AN1054" t="s">
        <v>8</v>
      </c>
      <c r="AO1054" t="s">
        <v>8</v>
      </c>
      <c r="AP1054" s="1">
        <v>45</v>
      </c>
      <c r="AQ1054" t="s">
        <v>8</v>
      </c>
      <c r="AR1054" t="s">
        <v>8</v>
      </c>
      <c r="AS1054" t="s">
        <v>8</v>
      </c>
      <c r="AT1054">
        <v>11945.7</v>
      </c>
    </row>
    <row r="1055" spans="34:46" x14ac:dyDescent="0.35">
      <c r="AH1055" t="s">
        <v>204</v>
      </c>
      <c r="AI1055" t="s">
        <v>180</v>
      </c>
      <c r="AJ1055" s="3">
        <v>43825</v>
      </c>
      <c r="AK1055" t="s">
        <v>42</v>
      </c>
      <c r="AL1055" s="1">
        <v>10700</v>
      </c>
      <c r="AM1055" t="s">
        <v>8</v>
      </c>
      <c r="AN1055" t="s">
        <v>8</v>
      </c>
      <c r="AO1055" t="s">
        <v>8</v>
      </c>
      <c r="AP1055" s="1">
        <v>775</v>
      </c>
      <c r="AQ1055" t="s">
        <v>8</v>
      </c>
      <c r="AR1055" t="s">
        <v>8</v>
      </c>
      <c r="AS1055" t="s">
        <v>8</v>
      </c>
      <c r="AT1055">
        <v>11945.7</v>
      </c>
    </row>
    <row r="1056" spans="34:46" x14ac:dyDescent="0.35">
      <c r="AH1056" t="s">
        <v>204</v>
      </c>
      <c r="AI1056" t="s">
        <v>180</v>
      </c>
      <c r="AJ1056" s="3">
        <v>43734</v>
      </c>
      <c r="AK1056" t="s">
        <v>42</v>
      </c>
      <c r="AL1056" s="1">
        <v>7900</v>
      </c>
      <c r="AM1056" t="s">
        <v>8</v>
      </c>
      <c r="AN1056" t="s">
        <v>8</v>
      </c>
      <c r="AO1056" t="s">
        <v>8</v>
      </c>
      <c r="AP1056" s="1">
        <v>51.45</v>
      </c>
      <c r="AQ1056" t="s">
        <v>8</v>
      </c>
      <c r="AR1056" t="s">
        <v>8</v>
      </c>
      <c r="AS1056" t="s">
        <v>8</v>
      </c>
      <c r="AT1056">
        <v>11945.7</v>
      </c>
    </row>
    <row r="1057" spans="34:46" x14ac:dyDescent="0.35">
      <c r="AH1057" t="s">
        <v>204</v>
      </c>
      <c r="AI1057" t="s">
        <v>180</v>
      </c>
      <c r="AJ1057" s="3">
        <v>43636</v>
      </c>
      <c r="AK1057" t="s">
        <v>41</v>
      </c>
      <c r="AL1057" s="1">
        <v>9850</v>
      </c>
      <c r="AM1057" t="s">
        <v>8</v>
      </c>
      <c r="AN1057" t="s">
        <v>8</v>
      </c>
      <c r="AO1057" t="s">
        <v>8</v>
      </c>
      <c r="AP1057" s="1">
        <v>1591.9</v>
      </c>
      <c r="AQ1057" t="s">
        <v>8</v>
      </c>
      <c r="AR1057" t="s">
        <v>8</v>
      </c>
      <c r="AS1057" t="s">
        <v>8</v>
      </c>
      <c r="AT1057">
        <v>11945.7</v>
      </c>
    </row>
    <row r="1058" spans="34:46" x14ac:dyDescent="0.35">
      <c r="AH1058" t="s">
        <v>204</v>
      </c>
      <c r="AI1058" t="s">
        <v>180</v>
      </c>
      <c r="AJ1058" s="3">
        <v>44924</v>
      </c>
      <c r="AK1058" t="s">
        <v>42</v>
      </c>
      <c r="AL1058" s="1">
        <v>8600</v>
      </c>
      <c r="AM1058" t="s">
        <v>8</v>
      </c>
      <c r="AN1058" t="s">
        <v>8</v>
      </c>
      <c r="AO1058" t="s">
        <v>8</v>
      </c>
      <c r="AP1058">
        <v>12.05</v>
      </c>
      <c r="AQ1058" t="s">
        <v>8</v>
      </c>
      <c r="AR1058" t="s">
        <v>8</v>
      </c>
      <c r="AS1058" t="s">
        <v>8</v>
      </c>
      <c r="AT1058">
        <v>11945.7</v>
      </c>
    </row>
    <row r="1059" spans="34:46" x14ac:dyDescent="0.35">
      <c r="AH1059" t="s">
        <v>204</v>
      </c>
      <c r="AI1059" t="s">
        <v>180</v>
      </c>
      <c r="AJ1059" s="3">
        <v>44007</v>
      </c>
      <c r="AK1059" t="s">
        <v>42</v>
      </c>
      <c r="AL1059" s="1">
        <v>6900</v>
      </c>
      <c r="AM1059" t="s">
        <v>8</v>
      </c>
      <c r="AN1059" t="s">
        <v>8</v>
      </c>
      <c r="AO1059" t="s">
        <v>8</v>
      </c>
      <c r="AP1059" s="1">
        <v>3.25</v>
      </c>
      <c r="AQ1059" t="s">
        <v>8</v>
      </c>
      <c r="AR1059" t="s">
        <v>8</v>
      </c>
      <c r="AS1059" t="s">
        <v>8</v>
      </c>
      <c r="AT1059">
        <v>11945.7</v>
      </c>
    </row>
    <row r="1060" spans="34:46" x14ac:dyDescent="0.35">
      <c r="AH1060" t="s">
        <v>204</v>
      </c>
      <c r="AI1060" t="s">
        <v>180</v>
      </c>
      <c r="AJ1060" s="3">
        <v>43657</v>
      </c>
      <c r="AK1060" t="s">
        <v>41</v>
      </c>
      <c r="AL1060" s="1">
        <v>9900</v>
      </c>
      <c r="AM1060" t="s">
        <v>8</v>
      </c>
      <c r="AN1060" t="s">
        <v>8</v>
      </c>
      <c r="AO1060" t="s">
        <v>8</v>
      </c>
      <c r="AP1060" s="1">
        <v>1524.15</v>
      </c>
      <c r="AQ1060" t="s">
        <v>8</v>
      </c>
      <c r="AR1060" t="s">
        <v>8</v>
      </c>
      <c r="AS1060" t="s">
        <v>8</v>
      </c>
      <c r="AT1060">
        <v>11945.7</v>
      </c>
    </row>
    <row r="1061" spans="34:46" x14ac:dyDescent="0.35">
      <c r="AH1061" t="s">
        <v>204</v>
      </c>
      <c r="AI1061" t="s">
        <v>180</v>
      </c>
      <c r="AJ1061" s="3">
        <v>43825</v>
      </c>
      <c r="AK1061" t="s">
        <v>42</v>
      </c>
      <c r="AL1061" s="1">
        <v>10900</v>
      </c>
      <c r="AM1061" t="s">
        <v>8</v>
      </c>
      <c r="AN1061" t="s">
        <v>8</v>
      </c>
      <c r="AO1061" t="s">
        <v>8</v>
      </c>
      <c r="AP1061" s="1">
        <v>254.8</v>
      </c>
      <c r="AQ1061" t="s">
        <v>8</v>
      </c>
      <c r="AR1061" t="s">
        <v>8</v>
      </c>
      <c r="AS1061" t="s">
        <v>8</v>
      </c>
      <c r="AT1061">
        <v>11945.7</v>
      </c>
    </row>
    <row r="1062" spans="34:46" x14ac:dyDescent="0.35">
      <c r="AH1062" t="s">
        <v>204</v>
      </c>
      <c r="AI1062" t="s">
        <v>180</v>
      </c>
      <c r="AJ1062" s="3">
        <v>43650</v>
      </c>
      <c r="AK1062" t="s">
        <v>42</v>
      </c>
      <c r="AL1062" s="1">
        <v>12700</v>
      </c>
      <c r="AM1062" t="s">
        <v>8</v>
      </c>
      <c r="AN1062" t="s">
        <v>8</v>
      </c>
      <c r="AO1062" t="s">
        <v>8</v>
      </c>
      <c r="AP1062" s="1">
        <v>854.25</v>
      </c>
      <c r="AQ1062" t="s">
        <v>8</v>
      </c>
      <c r="AR1062" t="s">
        <v>8</v>
      </c>
      <c r="AS1062" t="s">
        <v>8</v>
      </c>
      <c r="AT1062">
        <v>11945.7</v>
      </c>
    </row>
    <row r="1063" spans="34:46" x14ac:dyDescent="0.35">
      <c r="AH1063" t="s">
        <v>204</v>
      </c>
      <c r="AI1063" t="s">
        <v>180</v>
      </c>
      <c r="AJ1063" s="3">
        <v>44924</v>
      </c>
      <c r="AK1063" t="s">
        <v>42</v>
      </c>
      <c r="AL1063" s="1">
        <v>8800</v>
      </c>
      <c r="AM1063" t="s">
        <v>8</v>
      </c>
      <c r="AN1063" t="s">
        <v>8</v>
      </c>
      <c r="AO1063" t="s">
        <v>8</v>
      </c>
      <c r="AP1063">
        <v>15.75</v>
      </c>
      <c r="AQ1063" t="s">
        <v>8</v>
      </c>
      <c r="AR1063" t="s">
        <v>8</v>
      </c>
      <c r="AS1063" t="s">
        <v>8</v>
      </c>
      <c r="AT1063">
        <v>11945.7</v>
      </c>
    </row>
    <row r="1064" spans="34:46" x14ac:dyDescent="0.35">
      <c r="AH1064" t="s">
        <v>204</v>
      </c>
      <c r="AI1064" t="s">
        <v>180</v>
      </c>
      <c r="AJ1064" s="3">
        <v>44560</v>
      </c>
      <c r="AK1064" t="s">
        <v>42</v>
      </c>
      <c r="AL1064" s="1">
        <v>11900</v>
      </c>
      <c r="AM1064" t="s">
        <v>8</v>
      </c>
      <c r="AN1064" t="s">
        <v>8</v>
      </c>
      <c r="AO1064" t="s">
        <v>8</v>
      </c>
      <c r="AP1064">
        <v>476</v>
      </c>
      <c r="AQ1064" t="s">
        <v>8</v>
      </c>
      <c r="AR1064" t="s">
        <v>8</v>
      </c>
      <c r="AS1064" t="s">
        <v>8</v>
      </c>
      <c r="AT1064">
        <v>11945.7</v>
      </c>
    </row>
    <row r="1065" spans="34:46" x14ac:dyDescent="0.35">
      <c r="AH1065" t="s">
        <v>204</v>
      </c>
      <c r="AI1065" t="s">
        <v>180</v>
      </c>
      <c r="AJ1065" s="3">
        <v>43622</v>
      </c>
      <c r="AK1065" t="s">
        <v>41</v>
      </c>
      <c r="AL1065" s="1">
        <v>9650</v>
      </c>
      <c r="AM1065" t="s">
        <v>8</v>
      </c>
      <c r="AN1065" t="s">
        <v>8</v>
      </c>
      <c r="AO1065" t="s">
        <v>8</v>
      </c>
      <c r="AP1065" s="1">
        <v>1540.95</v>
      </c>
      <c r="AQ1065" t="s">
        <v>8</v>
      </c>
      <c r="AR1065" t="s">
        <v>8</v>
      </c>
      <c r="AS1065" t="s">
        <v>8</v>
      </c>
      <c r="AT1065">
        <v>11945.7</v>
      </c>
    </row>
    <row r="1066" spans="34:46" x14ac:dyDescent="0.35">
      <c r="AH1066" t="s">
        <v>204</v>
      </c>
      <c r="AI1066" t="s">
        <v>180</v>
      </c>
      <c r="AJ1066" s="3">
        <v>43650</v>
      </c>
      <c r="AK1066" t="s">
        <v>42</v>
      </c>
      <c r="AL1066" s="1">
        <v>12900</v>
      </c>
      <c r="AM1066" t="s">
        <v>8</v>
      </c>
      <c r="AN1066" t="s">
        <v>8</v>
      </c>
      <c r="AO1066" t="s">
        <v>8</v>
      </c>
      <c r="AP1066" s="1">
        <v>1036</v>
      </c>
      <c r="AQ1066" t="s">
        <v>8</v>
      </c>
      <c r="AR1066" t="s">
        <v>8</v>
      </c>
      <c r="AS1066" t="s">
        <v>8</v>
      </c>
      <c r="AT1066">
        <v>11945.7</v>
      </c>
    </row>
    <row r="1067" spans="34:46" x14ac:dyDescent="0.35">
      <c r="AH1067" t="s">
        <v>204</v>
      </c>
      <c r="AI1067" t="s">
        <v>180</v>
      </c>
      <c r="AJ1067" s="3">
        <v>43615</v>
      </c>
      <c r="AK1067" t="s">
        <v>42</v>
      </c>
      <c r="AL1067" s="1">
        <v>10250</v>
      </c>
      <c r="AM1067" t="s">
        <v>8</v>
      </c>
      <c r="AN1067" t="s">
        <v>8</v>
      </c>
      <c r="AO1067" t="s">
        <v>8</v>
      </c>
      <c r="AP1067">
        <v>41.75</v>
      </c>
      <c r="AQ1067" t="s">
        <v>8</v>
      </c>
      <c r="AR1067" t="s">
        <v>8</v>
      </c>
      <c r="AS1067" t="s">
        <v>8</v>
      </c>
      <c r="AT1067">
        <v>11945.7</v>
      </c>
    </row>
    <row r="1068" spans="34:46" x14ac:dyDescent="0.35">
      <c r="AH1068" t="s">
        <v>204</v>
      </c>
      <c r="AI1068" t="s">
        <v>180</v>
      </c>
      <c r="AJ1068" s="3">
        <v>43622</v>
      </c>
      <c r="AK1068" t="s">
        <v>41</v>
      </c>
      <c r="AL1068" s="1">
        <v>9850</v>
      </c>
      <c r="AM1068" t="s">
        <v>8</v>
      </c>
      <c r="AN1068" t="s">
        <v>8</v>
      </c>
      <c r="AO1068" t="s">
        <v>8</v>
      </c>
      <c r="AP1068" s="1">
        <v>1562.25</v>
      </c>
      <c r="AQ1068" t="s">
        <v>8</v>
      </c>
      <c r="AR1068" t="s">
        <v>8</v>
      </c>
      <c r="AS1068" t="s">
        <v>8</v>
      </c>
      <c r="AT1068">
        <v>11945.7</v>
      </c>
    </row>
    <row r="1069" spans="34:46" x14ac:dyDescent="0.35">
      <c r="AH1069" t="s">
        <v>204</v>
      </c>
      <c r="AI1069" t="s">
        <v>180</v>
      </c>
      <c r="AJ1069" s="3">
        <v>43615</v>
      </c>
      <c r="AK1069" t="s">
        <v>42</v>
      </c>
      <c r="AL1069" s="1">
        <v>10450</v>
      </c>
      <c r="AM1069" t="s">
        <v>8</v>
      </c>
      <c r="AN1069" t="s">
        <v>8</v>
      </c>
      <c r="AO1069" t="s">
        <v>8</v>
      </c>
      <c r="AP1069" s="1">
        <v>0.25</v>
      </c>
      <c r="AQ1069" t="s">
        <v>8</v>
      </c>
      <c r="AR1069" t="s">
        <v>8</v>
      </c>
      <c r="AS1069" t="s">
        <v>8</v>
      </c>
      <c r="AT1069">
        <v>11945.7</v>
      </c>
    </row>
    <row r="1070" spans="34:46" x14ac:dyDescent="0.35">
      <c r="AH1070" t="s">
        <v>204</v>
      </c>
      <c r="AI1070" t="s">
        <v>180</v>
      </c>
      <c r="AJ1070" s="3">
        <v>43643</v>
      </c>
      <c r="AK1070" t="s">
        <v>41</v>
      </c>
      <c r="AL1070" s="1">
        <v>13050</v>
      </c>
      <c r="AM1070" t="s">
        <v>8</v>
      </c>
      <c r="AN1070" t="s">
        <v>8</v>
      </c>
      <c r="AO1070" t="s">
        <v>8</v>
      </c>
      <c r="AP1070" s="1">
        <v>25.15</v>
      </c>
      <c r="AQ1070" t="s">
        <v>8</v>
      </c>
      <c r="AR1070" t="s">
        <v>8</v>
      </c>
      <c r="AS1070" t="s">
        <v>8</v>
      </c>
      <c r="AT1070">
        <v>11945.7</v>
      </c>
    </row>
    <row r="1071" spans="34:46" x14ac:dyDescent="0.35">
      <c r="AH1071" t="s">
        <v>204</v>
      </c>
      <c r="AI1071" t="s">
        <v>180</v>
      </c>
      <c r="AJ1071" s="3">
        <v>43636</v>
      </c>
      <c r="AK1071" t="s">
        <v>42</v>
      </c>
      <c r="AL1071" s="1">
        <v>10550</v>
      </c>
      <c r="AM1071" t="s">
        <v>8</v>
      </c>
      <c r="AN1071" t="s">
        <v>8</v>
      </c>
      <c r="AO1071" t="s">
        <v>8</v>
      </c>
      <c r="AP1071" s="1">
        <v>0.95</v>
      </c>
      <c r="AQ1071" t="s">
        <v>8</v>
      </c>
      <c r="AR1071" t="s">
        <v>8</v>
      </c>
      <c r="AS1071" t="s">
        <v>8</v>
      </c>
      <c r="AT1071">
        <v>11945.7</v>
      </c>
    </row>
    <row r="1072" spans="34:46" x14ac:dyDescent="0.35">
      <c r="AH1072" t="s">
        <v>204</v>
      </c>
      <c r="AI1072" t="s">
        <v>180</v>
      </c>
      <c r="AJ1072" s="3">
        <v>43643</v>
      </c>
      <c r="AK1072" t="s">
        <v>41</v>
      </c>
      <c r="AL1072" s="1">
        <v>13250</v>
      </c>
      <c r="AM1072" t="s">
        <v>8</v>
      </c>
      <c r="AN1072" t="s">
        <v>8</v>
      </c>
      <c r="AO1072" t="s">
        <v>8</v>
      </c>
      <c r="AP1072" s="1">
        <v>6.05</v>
      </c>
      <c r="AQ1072" t="s">
        <v>8</v>
      </c>
      <c r="AR1072" t="s">
        <v>8</v>
      </c>
      <c r="AS1072" t="s">
        <v>8</v>
      </c>
      <c r="AT1072">
        <v>11945.7</v>
      </c>
    </row>
    <row r="1073" spans="34:46" x14ac:dyDescent="0.35">
      <c r="AH1073" t="s">
        <v>204</v>
      </c>
      <c r="AI1073" t="s">
        <v>180</v>
      </c>
      <c r="AJ1073" s="3">
        <v>43636</v>
      </c>
      <c r="AK1073" t="s">
        <v>42</v>
      </c>
      <c r="AL1073" s="1">
        <v>10750</v>
      </c>
      <c r="AM1073" t="s">
        <v>8</v>
      </c>
      <c r="AN1073" t="s">
        <v>8</v>
      </c>
      <c r="AO1073" t="s">
        <v>8</v>
      </c>
      <c r="AP1073">
        <v>3.1</v>
      </c>
      <c r="AQ1073" t="s">
        <v>8</v>
      </c>
      <c r="AR1073" t="s">
        <v>8</v>
      </c>
      <c r="AS1073" t="s">
        <v>8</v>
      </c>
      <c r="AT1073">
        <v>11945.7</v>
      </c>
    </row>
    <row r="1074" spans="34:46" x14ac:dyDescent="0.35">
      <c r="AH1074" t="s">
        <v>204</v>
      </c>
      <c r="AI1074" t="s">
        <v>180</v>
      </c>
      <c r="AJ1074" s="3">
        <v>43825</v>
      </c>
      <c r="AK1074" t="s">
        <v>41</v>
      </c>
      <c r="AL1074" s="1">
        <v>12600</v>
      </c>
      <c r="AM1074" t="s">
        <v>8</v>
      </c>
      <c r="AN1074" t="s">
        <v>8</v>
      </c>
      <c r="AO1074" t="s">
        <v>8</v>
      </c>
      <c r="AP1074" s="1">
        <v>378.45</v>
      </c>
      <c r="AQ1074" t="s">
        <v>8</v>
      </c>
      <c r="AR1074" t="s">
        <v>8</v>
      </c>
      <c r="AS1074" t="s">
        <v>8</v>
      </c>
      <c r="AT1074">
        <v>11945.7</v>
      </c>
    </row>
    <row r="1075" spans="34:46" x14ac:dyDescent="0.35">
      <c r="AH1075" t="s">
        <v>204</v>
      </c>
      <c r="AI1075" t="s">
        <v>180</v>
      </c>
      <c r="AJ1075" s="3">
        <v>45288</v>
      </c>
      <c r="AK1075" t="s">
        <v>42</v>
      </c>
      <c r="AL1075" s="1">
        <v>12000</v>
      </c>
      <c r="AM1075" t="s">
        <v>8</v>
      </c>
      <c r="AN1075" t="s">
        <v>8</v>
      </c>
      <c r="AO1075" t="s">
        <v>8</v>
      </c>
      <c r="AP1075" s="1">
        <v>575.45000000000005</v>
      </c>
      <c r="AQ1075" t="s">
        <v>8</v>
      </c>
      <c r="AR1075" t="s">
        <v>8</v>
      </c>
      <c r="AS1075" t="s">
        <v>8</v>
      </c>
      <c r="AT1075">
        <v>11945.7</v>
      </c>
    </row>
    <row r="1076" spans="34:46" x14ac:dyDescent="0.35">
      <c r="AH1076" t="s">
        <v>204</v>
      </c>
      <c r="AI1076" t="s">
        <v>180</v>
      </c>
      <c r="AJ1076" s="3">
        <v>44371</v>
      </c>
      <c r="AK1076" t="s">
        <v>41</v>
      </c>
      <c r="AL1076" s="1">
        <v>10400</v>
      </c>
      <c r="AM1076" t="s">
        <v>8</v>
      </c>
      <c r="AN1076" t="s">
        <v>8</v>
      </c>
      <c r="AO1076" t="s">
        <v>8</v>
      </c>
      <c r="AP1076" s="1" t="s">
        <v>8</v>
      </c>
      <c r="AQ1076" t="s">
        <v>8</v>
      </c>
      <c r="AR1076" t="s">
        <v>8</v>
      </c>
      <c r="AS1076" t="s">
        <v>8</v>
      </c>
      <c r="AT1076">
        <v>11945.7</v>
      </c>
    </row>
    <row r="1077" spans="34:46" x14ac:dyDescent="0.35">
      <c r="AH1077" t="s">
        <v>204</v>
      </c>
      <c r="AI1077" t="s">
        <v>180</v>
      </c>
      <c r="AJ1077" s="3">
        <v>43636</v>
      </c>
      <c r="AK1077" t="s">
        <v>42</v>
      </c>
      <c r="AL1077" s="1">
        <v>10950</v>
      </c>
      <c r="AM1077" t="s">
        <v>8</v>
      </c>
      <c r="AN1077" t="s">
        <v>8</v>
      </c>
      <c r="AO1077" t="s">
        <v>8</v>
      </c>
      <c r="AP1077" s="1">
        <v>8.75</v>
      </c>
      <c r="AQ1077" t="s">
        <v>8</v>
      </c>
      <c r="AR1077" t="s">
        <v>8</v>
      </c>
      <c r="AS1077" t="s">
        <v>8</v>
      </c>
      <c r="AT1077">
        <v>11945.7</v>
      </c>
    </row>
    <row r="1078" spans="34:46" x14ac:dyDescent="0.35">
      <c r="AH1078" t="s">
        <v>204</v>
      </c>
      <c r="AI1078" t="s">
        <v>180</v>
      </c>
      <c r="AJ1078" s="3">
        <v>44371</v>
      </c>
      <c r="AK1078" t="s">
        <v>41</v>
      </c>
      <c r="AL1078" s="1">
        <v>10600</v>
      </c>
      <c r="AM1078" t="s">
        <v>8</v>
      </c>
      <c r="AN1078" t="s">
        <v>8</v>
      </c>
      <c r="AO1078" t="s">
        <v>8</v>
      </c>
      <c r="AP1078" s="1">
        <v>2649.5</v>
      </c>
      <c r="AQ1078" t="s">
        <v>8</v>
      </c>
      <c r="AR1078" t="s">
        <v>8</v>
      </c>
      <c r="AS1078" t="s">
        <v>8</v>
      </c>
      <c r="AT1078">
        <v>11945.7</v>
      </c>
    </row>
    <row r="1079" spans="34:46" x14ac:dyDescent="0.35">
      <c r="AH1079" t="s">
        <v>204</v>
      </c>
      <c r="AI1079" t="s">
        <v>180</v>
      </c>
      <c r="AJ1079" s="3">
        <v>44371</v>
      </c>
      <c r="AK1079" t="s">
        <v>41</v>
      </c>
      <c r="AL1079" s="1">
        <v>10800</v>
      </c>
      <c r="AM1079" t="s">
        <v>8</v>
      </c>
      <c r="AN1079" t="s">
        <v>8</v>
      </c>
      <c r="AO1079" t="s">
        <v>8</v>
      </c>
      <c r="AP1079" s="1">
        <v>2340</v>
      </c>
      <c r="AQ1079" t="s">
        <v>8</v>
      </c>
      <c r="AR1079" t="s">
        <v>8</v>
      </c>
      <c r="AS1079" t="s">
        <v>8</v>
      </c>
      <c r="AT1079">
        <v>11945.7</v>
      </c>
    </row>
    <row r="1080" spans="34:46" x14ac:dyDescent="0.35">
      <c r="AH1080" t="s">
        <v>204</v>
      </c>
      <c r="AI1080" t="s">
        <v>180</v>
      </c>
      <c r="AJ1080" s="3">
        <v>44196</v>
      </c>
      <c r="AK1080" t="s">
        <v>42</v>
      </c>
      <c r="AL1080" s="1">
        <v>9300</v>
      </c>
      <c r="AM1080" t="s">
        <v>8</v>
      </c>
      <c r="AN1080" t="s">
        <v>8</v>
      </c>
      <c r="AO1080" t="s">
        <v>8</v>
      </c>
      <c r="AP1080" s="1">
        <v>352.45</v>
      </c>
      <c r="AQ1080" t="s">
        <v>8</v>
      </c>
      <c r="AR1080" t="s">
        <v>8</v>
      </c>
      <c r="AS1080" t="s">
        <v>8</v>
      </c>
      <c r="AT1080">
        <v>11945.7</v>
      </c>
    </row>
    <row r="1081" spans="34:46" x14ac:dyDescent="0.35">
      <c r="AH1081" t="s">
        <v>204</v>
      </c>
      <c r="AI1081" t="s">
        <v>180</v>
      </c>
      <c r="AJ1081" s="3">
        <v>45288</v>
      </c>
      <c r="AK1081" t="s">
        <v>42</v>
      </c>
      <c r="AL1081" s="1">
        <v>10900</v>
      </c>
      <c r="AM1081" t="s">
        <v>8</v>
      </c>
      <c r="AN1081" t="s">
        <v>8</v>
      </c>
      <c r="AO1081" t="s">
        <v>8</v>
      </c>
      <c r="AP1081" s="1">
        <v>361.3</v>
      </c>
      <c r="AQ1081" t="s">
        <v>8</v>
      </c>
      <c r="AR1081" t="s">
        <v>8</v>
      </c>
      <c r="AS1081" t="s">
        <v>8</v>
      </c>
      <c r="AT1081">
        <v>11945.7</v>
      </c>
    </row>
    <row r="1082" spans="34:46" x14ac:dyDescent="0.35">
      <c r="AH1082" t="s">
        <v>204</v>
      </c>
      <c r="AI1082" t="s">
        <v>180</v>
      </c>
      <c r="AJ1082" s="3">
        <v>44196</v>
      </c>
      <c r="AK1082" t="s">
        <v>42</v>
      </c>
      <c r="AL1082" s="1">
        <v>9500</v>
      </c>
      <c r="AM1082" t="s">
        <v>8</v>
      </c>
      <c r="AN1082" t="s">
        <v>8</v>
      </c>
      <c r="AO1082" t="s">
        <v>8</v>
      </c>
      <c r="AP1082">
        <v>140</v>
      </c>
      <c r="AQ1082" t="s">
        <v>8</v>
      </c>
      <c r="AR1082" t="s">
        <v>8</v>
      </c>
      <c r="AS1082" t="s">
        <v>8</v>
      </c>
      <c r="AT1082">
        <v>11945.7</v>
      </c>
    </row>
    <row r="1083" spans="34:46" x14ac:dyDescent="0.35">
      <c r="AH1083" t="s">
        <v>204</v>
      </c>
      <c r="AI1083" t="s">
        <v>180</v>
      </c>
      <c r="AJ1083" s="3">
        <v>43636</v>
      </c>
      <c r="AK1083" t="s">
        <v>41</v>
      </c>
      <c r="AL1083" s="1">
        <v>12450</v>
      </c>
      <c r="AM1083" t="s">
        <v>8</v>
      </c>
      <c r="AN1083" t="s">
        <v>8</v>
      </c>
      <c r="AO1083" t="s">
        <v>8</v>
      </c>
      <c r="AP1083" s="1">
        <v>49.2</v>
      </c>
      <c r="AQ1083" t="s">
        <v>8</v>
      </c>
      <c r="AR1083" t="s">
        <v>8</v>
      </c>
      <c r="AS1083" t="s">
        <v>8</v>
      </c>
      <c r="AT1083">
        <v>11945.7</v>
      </c>
    </row>
    <row r="1084" spans="34:46" x14ac:dyDescent="0.35">
      <c r="AH1084" t="s">
        <v>204</v>
      </c>
      <c r="AI1084" t="s">
        <v>180</v>
      </c>
      <c r="AJ1084" s="3">
        <v>44196</v>
      </c>
      <c r="AK1084" t="s">
        <v>42</v>
      </c>
      <c r="AL1084" s="1">
        <v>9700</v>
      </c>
      <c r="AM1084" t="s">
        <v>8</v>
      </c>
      <c r="AN1084" t="s">
        <v>8</v>
      </c>
      <c r="AO1084" t="s">
        <v>8</v>
      </c>
      <c r="AP1084">
        <v>230</v>
      </c>
      <c r="AQ1084" t="s">
        <v>8</v>
      </c>
      <c r="AR1084" t="s">
        <v>8</v>
      </c>
      <c r="AS1084" t="s">
        <v>8</v>
      </c>
      <c r="AT1084">
        <v>11945.7</v>
      </c>
    </row>
    <row r="1085" spans="34:46" x14ac:dyDescent="0.35">
      <c r="AH1085" t="s">
        <v>204</v>
      </c>
      <c r="AI1085" t="s">
        <v>180</v>
      </c>
      <c r="AJ1085" s="3">
        <v>43636</v>
      </c>
      <c r="AK1085" t="s">
        <v>41</v>
      </c>
      <c r="AL1085" s="1">
        <v>12650</v>
      </c>
      <c r="AM1085" t="s">
        <v>8</v>
      </c>
      <c r="AN1085" t="s">
        <v>8</v>
      </c>
      <c r="AO1085" t="s">
        <v>8</v>
      </c>
      <c r="AP1085" s="1">
        <v>25.15</v>
      </c>
      <c r="AQ1085" t="s">
        <v>8</v>
      </c>
      <c r="AR1085" t="s">
        <v>8</v>
      </c>
      <c r="AS1085" t="s">
        <v>8</v>
      </c>
      <c r="AT1085">
        <v>11945.7</v>
      </c>
    </row>
    <row r="1086" spans="34:46" x14ac:dyDescent="0.35">
      <c r="AH1086" t="s">
        <v>204</v>
      </c>
      <c r="AI1086" t="s">
        <v>180</v>
      </c>
      <c r="AJ1086" s="3">
        <v>43643</v>
      </c>
      <c r="AK1086" t="s">
        <v>41</v>
      </c>
      <c r="AL1086" s="1">
        <v>7300</v>
      </c>
      <c r="AM1086" t="s">
        <v>8</v>
      </c>
      <c r="AN1086" t="s">
        <v>8</v>
      </c>
      <c r="AO1086" t="s">
        <v>8</v>
      </c>
      <c r="AP1086" s="1">
        <v>2900.05</v>
      </c>
      <c r="AQ1086" t="s">
        <v>8</v>
      </c>
      <c r="AR1086" t="s">
        <v>8</v>
      </c>
      <c r="AS1086" t="s">
        <v>8</v>
      </c>
      <c r="AT1086">
        <v>11945.7</v>
      </c>
    </row>
    <row r="1087" spans="34:46" x14ac:dyDescent="0.35">
      <c r="AH1087" t="s">
        <v>204</v>
      </c>
      <c r="AI1087" t="s">
        <v>180</v>
      </c>
      <c r="AJ1087" s="3">
        <v>43636</v>
      </c>
      <c r="AK1087" t="s">
        <v>41</v>
      </c>
      <c r="AL1087" s="1">
        <v>12850</v>
      </c>
      <c r="AM1087" t="s">
        <v>8</v>
      </c>
      <c r="AN1087" t="s">
        <v>8</v>
      </c>
      <c r="AO1087" t="s">
        <v>8</v>
      </c>
      <c r="AP1087">
        <v>11.95</v>
      </c>
      <c r="AQ1087" t="s">
        <v>8</v>
      </c>
      <c r="AR1087" t="s">
        <v>8</v>
      </c>
      <c r="AS1087" t="s">
        <v>8</v>
      </c>
      <c r="AT1087">
        <v>11945.7</v>
      </c>
    </row>
    <row r="1088" spans="34:46" x14ac:dyDescent="0.35">
      <c r="AH1088" t="s">
        <v>204</v>
      </c>
      <c r="AI1088" t="s">
        <v>180</v>
      </c>
      <c r="AJ1088" s="3">
        <v>43643</v>
      </c>
      <c r="AK1088" t="s">
        <v>41</v>
      </c>
      <c r="AL1088" s="1">
        <v>7500</v>
      </c>
      <c r="AM1088" t="s">
        <v>8</v>
      </c>
      <c r="AN1088" t="s">
        <v>8</v>
      </c>
      <c r="AO1088" t="s">
        <v>8</v>
      </c>
      <c r="AP1088" s="1">
        <v>2790.4</v>
      </c>
      <c r="AQ1088" t="s">
        <v>8</v>
      </c>
      <c r="AR1088" t="s">
        <v>8</v>
      </c>
      <c r="AS1088" t="s">
        <v>8</v>
      </c>
      <c r="AT1088">
        <v>11945.7</v>
      </c>
    </row>
    <row r="1089" spans="34:46" x14ac:dyDescent="0.35">
      <c r="AH1089" t="s">
        <v>204</v>
      </c>
      <c r="AI1089" t="s">
        <v>180</v>
      </c>
      <c r="AJ1089" s="3">
        <v>43643</v>
      </c>
      <c r="AK1089" t="s">
        <v>41</v>
      </c>
      <c r="AL1089" s="1">
        <v>7700</v>
      </c>
      <c r="AM1089" t="s">
        <v>8</v>
      </c>
      <c r="AN1089" t="s">
        <v>8</v>
      </c>
      <c r="AO1089" t="s">
        <v>8</v>
      </c>
      <c r="AP1089" s="1">
        <v>2683</v>
      </c>
      <c r="AQ1089" t="s">
        <v>8</v>
      </c>
      <c r="AR1089" t="s">
        <v>8</v>
      </c>
      <c r="AS1089" t="s">
        <v>8</v>
      </c>
      <c r="AT1089">
        <v>11945.7</v>
      </c>
    </row>
    <row r="1090" spans="34:46" x14ac:dyDescent="0.35">
      <c r="AH1090" t="s">
        <v>204</v>
      </c>
      <c r="AI1090" t="s">
        <v>180</v>
      </c>
      <c r="AJ1090" s="3">
        <v>43636</v>
      </c>
      <c r="AK1090" t="s">
        <v>42</v>
      </c>
      <c r="AL1090" s="1">
        <v>12700</v>
      </c>
      <c r="AM1090" t="s">
        <v>8</v>
      </c>
      <c r="AN1090" t="s">
        <v>8</v>
      </c>
      <c r="AO1090" t="s">
        <v>8</v>
      </c>
      <c r="AP1090">
        <v>823.15</v>
      </c>
      <c r="AQ1090" t="s">
        <v>8</v>
      </c>
      <c r="AR1090" t="s">
        <v>8</v>
      </c>
      <c r="AS1090" t="s">
        <v>8</v>
      </c>
      <c r="AT1090">
        <v>11945.7</v>
      </c>
    </row>
    <row r="1091" spans="34:46" x14ac:dyDescent="0.35">
      <c r="AH1091" t="s">
        <v>204</v>
      </c>
      <c r="AI1091" t="s">
        <v>180</v>
      </c>
      <c r="AJ1091" s="3">
        <v>43636</v>
      </c>
      <c r="AK1091" t="s">
        <v>42</v>
      </c>
      <c r="AL1091" s="1">
        <v>12900</v>
      </c>
      <c r="AM1091" t="s">
        <v>8</v>
      </c>
      <c r="AN1091" t="s">
        <v>8</v>
      </c>
      <c r="AO1091" t="s">
        <v>8</v>
      </c>
      <c r="AP1091" s="1">
        <v>1009.6</v>
      </c>
      <c r="AQ1091" t="s">
        <v>8</v>
      </c>
      <c r="AR1091" t="s">
        <v>8</v>
      </c>
      <c r="AS1091" t="s">
        <v>8</v>
      </c>
      <c r="AT1091">
        <v>11945.7</v>
      </c>
    </row>
    <row r="1092" spans="34:46" x14ac:dyDescent="0.35">
      <c r="AH1092" t="s">
        <v>204</v>
      </c>
      <c r="AI1092" t="s">
        <v>180</v>
      </c>
      <c r="AJ1092" s="3">
        <v>44007</v>
      </c>
      <c r="AK1092" t="s">
        <v>42</v>
      </c>
      <c r="AL1092" s="1">
        <v>12300</v>
      </c>
      <c r="AM1092" t="s">
        <v>8</v>
      </c>
      <c r="AN1092" t="s">
        <v>8</v>
      </c>
      <c r="AO1092" t="s">
        <v>8</v>
      </c>
      <c r="AP1092" t="s">
        <v>8</v>
      </c>
      <c r="AQ1092" t="s">
        <v>8</v>
      </c>
      <c r="AR1092" t="s">
        <v>8</v>
      </c>
      <c r="AS1092" t="s">
        <v>8</v>
      </c>
      <c r="AT1092">
        <v>11945.7</v>
      </c>
    </row>
    <row r="1093" spans="34:46" x14ac:dyDescent="0.35">
      <c r="AH1093" t="s">
        <v>204</v>
      </c>
      <c r="AI1093" t="s">
        <v>180</v>
      </c>
      <c r="AJ1093" s="3">
        <v>43825</v>
      </c>
      <c r="AK1093" t="s">
        <v>42</v>
      </c>
      <c r="AL1093" s="1">
        <v>6300</v>
      </c>
      <c r="AM1093" t="s">
        <v>8</v>
      </c>
      <c r="AN1093" t="s">
        <v>8</v>
      </c>
      <c r="AO1093" t="s">
        <v>8</v>
      </c>
      <c r="AP1093">
        <v>48</v>
      </c>
      <c r="AQ1093" t="s">
        <v>8</v>
      </c>
      <c r="AR1093" t="s">
        <v>8</v>
      </c>
      <c r="AS1093" t="s">
        <v>8</v>
      </c>
      <c r="AT1093">
        <v>11945.7</v>
      </c>
    </row>
    <row r="1094" spans="34:46" x14ac:dyDescent="0.35">
      <c r="AH1094" t="s">
        <v>204</v>
      </c>
      <c r="AI1094" t="s">
        <v>180</v>
      </c>
      <c r="AJ1094" s="3">
        <v>44007</v>
      </c>
      <c r="AK1094" t="s">
        <v>42</v>
      </c>
      <c r="AL1094" s="1">
        <v>12500</v>
      </c>
      <c r="AM1094" t="s">
        <v>8</v>
      </c>
      <c r="AN1094" t="s">
        <v>8</v>
      </c>
      <c r="AO1094" t="s">
        <v>8</v>
      </c>
      <c r="AP1094" s="1">
        <v>799.3</v>
      </c>
      <c r="AQ1094" t="s">
        <v>8</v>
      </c>
      <c r="AR1094" t="s">
        <v>8</v>
      </c>
      <c r="AS1094" t="s">
        <v>8</v>
      </c>
      <c r="AT1094">
        <v>11945.7</v>
      </c>
    </row>
    <row r="1095" spans="34:46" x14ac:dyDescent="0.35">
      <c r="AH1095" t="s">
        <v>204</v>
      </c>
      <c r="AI1095" t="s">
        <v>180</v>
      </c>
      <c r="AJ1095" s="3">
        <v>43825</v>
      </c>
      <c r="AK1095" t="s">
        <v>42</v>
      </c>
      <c r="AL1095" s="1">
        <v>6500</v>
      </c>
      <c r="AM1095" t="s">
        <v>8</v>
      </c>
      <c r="AN1095" t="s">
        <v>8</v>
      </c>
      <c r="AO1095" t="s">
        <v>8</v>
      </c>
      <c r="AP1095" s="1">
        <v>66</v>
      </c>
      <c r="AQ1095" t="s">
        <v>8</v>
      </c>
      <c r="AR1095" t="s">
        <v>8</v>
      </c>
      <c r="AS1095" t="s">
        <v>8</v>
      </c>
      <c r="AT1095">
        <v>11945.7</v>
      </c>
    </row>
    <row r="1096" spans="34:46" x14ac:dyDescent="0.35">
      <c r="AH1096" t="s">
        <v>204</v>
      </c>
      <c r="AI1096" t="s">
        <v>180</v>
      </c>
      <c r="AJ1096" s="3">
        <v>45106</v>
      </c>
      <c r="AK1096" t="s">
        <v>42</v>
      </c>
      <c r="AL1096" s="1">
        <v>13500</v>
      </c>
      <c r="AM1096" t="s">
        <v>8</v>
      </c>
      <c r="AN1096" t="s">
        <v>8</v>
      </c>
      <c r="AO1096" t="s">
        <v>8</v>
      </c>
      <c r="AP1096" s="1">
        <v>386.65</v>
      </c>
      <c r="AQ1096" t="s">
        <v>8</v>
      </c>
      <c r="AR1096" t="s">
        <v>8</v>
      </c>
      <c r="AS1096" t="s">
        <v>8</v>
      </c>
      <c r="AT1096">
        <v>11945.7</v>
      </c>
    </row>
    <row r="1097" spans="34:46" x14ac:dyDescent="0.35">
      <c r="AH1097" t="s">
        <v>204</v>
      </c>
      <c r="AI1097" t="s">
        <v>180</v>
      </c>
      <c r="AJ1097" s="3">
        <v>43671</v>
      </c>
      <c r="AK1097" t="s">
        <v>41</v>
      </c>
      <c r="AL1097" s="1">
        <v>11200</v>
      </c>
      <c r="AM1097" t="s">
        <v>8</v>
      </c>
      <c r="AN1097" t="s">
        <v>8</v>
      </c>
      <c r="AO1097" t="s">
        <v>8</v>
      </c>
      <c r="AP1097" s="1">
        <v>725.8</v>
      </c>
      <c r="AQ1097" t="s">
        <v>8</v>
      </c>
      <c r="AR1097" t="s">
        <v>8</v>
      </c>
      <c r="AS1097" t="s">
        <v>8</v>
      </c>
      <c r="AT1097">
        <v>11945.7</v>
      </c>
    </row>
    <row r="1098" spans="34:46" x14ac:dyDescent="0.35">
      <c r="AH1098" t="s">
        <v>204</v>
      </c>
      <c r="AI1098" t="s">
        <v>180</v>
      </c>
      <c r="AJ1098" s="3">
        <v>43825</v>
      </c>
      <c r="AK1098" t="s">
        <v>42</v>
      </c>
      <c r="AL1098" s="1">
        <v>6700</v>
      </c>
      <c r="AM1098" t="s">
        <v>8</v>
      </c>
      <c r="AN1098" t="s">
        <v>8</v>
      </c>
      <c r="AO1098" t="s">
        <v>8</v>
      </c>
      <c r="AP1098" s="1">
        <v>17.55</v>
      </c>
      <c r="AQ1098" t="s">
        <v>8</v>
      </c>
      <c r="AR1098" t="s">
        <v>8</v>
      </c>
      <c r="AS1098" t="s">
        <v>8</v>
      </c>
      <c r="AT1098">
        <v>11945.7</v>
      </c>
    </row>
    <row r="1099" spans="34:46" x14ac:dyDescent="0.35">
      <c r="AH1099" t="s">
        <v>204</v>
      </c>
      <c r="AI1099" t="s">
        <v>180</v>
      </c>
      <c r="AJ1099" s="3">
        <v>43671</v>
      </c>
      <c r="AK1099" t="s">
        <v>41</v>
      </c>
      <c r="AL1099" s="1">
        <v>11400</v>
      </c>
      <c r="AM1099" t="s">
        <v>8</v>
      </c>
      <c r="AN1099" t="s">
        <v>8</v>
      </c>
      <c r="AO1099" t="s">
        <v>8</v>
      </c>
      <c r="AP1099" s="1">
        <v>578.95000000000005</v>
      </c>
      <c r="AQ1099" t="s">
        <v>8</v>
      </c>
      <c r="AR1099" t="s">
        <v>8</v>
      </c>
      <c r="AS1099" t="s">
        <v>8</v>
      </c>
      <c r="AT1099">
        <v>11945.7</v>
      </c>
    </row>
    <row r="1100" spans="34:46" x14ac:dyDescent="0.35">
      <c r="AH1100" t="s">
        <v>204</v>
      </c>
      <c r="AI1100" t="s">
        <v>180</v>
      </c>
      <c r="AJ1100" s="3">
        <v>44371</v>
      </c>
      <c r="AK1100" t="s">
        <v>42</v>
      </c>
      <c r="AL1100" s="1">
        <v>8100</v>
      </c>
      <c r="AM1100" t="s">
        <v>8</v>
      </c>
      <c r="AN1100" t="s">
        <v>8</v>
      </c>
      <c r="AO1100" t="s">
        <v>8</v>
      </c>
      <c r="AP1100" s="1">
        <v>230</v>
      </c>
      <c r="AQ1100" t="s">
        <v>8</v>
      </c>
      <c r="AR1100" t="s">
        <v>8</v>
      </c>
      <c r="AS1100" t="s">
        <v>8</v>
      </c>
      <c r="AT1100">
        <v>11945.7</v>
      </c>
    </row>
    <row r="1101" spans="34:46" x14ac:dyDescent="0.35">
      <c r="AH1101" t="s">
        <v>204</v>
      </c>
      <c r="AI1101" t="s">
        <v>180</v>
      </c>
      <c r="AJ1101" s="3">
        <v>44371</v>
      </c>
      <c r="AK1101" t="s">
        <v>42</v>
      </c>
      <c r="AL1101" s="1">
        <v>8300</v>
      </c>
      <c r="AM1101" t="s">
        <v>8</v>
      </c>
      <c r="AN1101" t="s">
        <v>8</v>
      </c>
      <c r="AO1101" t="s">
        <v>8</v>
      </c>
      <c r="AP1101" s="1">
        <v>161</v>
      </c>
      <c r="AQ1101" t="s">
        <v>8</v>
      </c>
      <c r="AR1101" t="s">
        <v>8</v>
      </c>
      <c r="AS1101" t="s">
        <v>8</v>
      </c>
      <c r="AT1101">
        <v>11945.7</v>
      </c>
    </row>
    <row r="1102" spans="34:46" x14ac:dyDescent="0.35">
      <c r="AH1102" t="s">
        <v>204</v>
      </c>
      <c r="AI1102" t="s">
        <v>180</v>
      </c>
      <c r="AJ1102" s="3">
        <v>43629</v>
      </c>
      <c r="AK1102" t="s">
        <v>42</v>
      </c>
      <c r="AL1102" s="1">
        <v>10550</v>
      </c>
      <c r="AM1102" t="s">
        <v>8</v>
      </c>
      <c r="AN1102" t="s">
        <v>8</v>
      </c>
      <c r="AO1102" t="s">
        <v>8</v>
      </c>
      <c r="AP1102">
        <v>3.3</v>
      </c>
      <c r="AQ1102" t="s">
        <v>8</v>
      </c>
      <c r="AR1102" t="s">
        <v>8</v>
      </c>
      <c r="AS1102" t="s">
        <v>8</v>
      </c>
      <c r="AT1102">
        <v>11945.7</v>
      </c>
    </row>
    <row r="1103" spans="34:46" x14ac:dyDescent="0.35">
      <c r="AH1103" t="s">
        <v>204</v>
      </c>
      <c r="AI1103" t="s">
        <v>180</v>
      </c>
      <c r="AJ1103" s="3">
        <v>45288</v>
      </c>
      <c r="AK1103" t="s">
        <v>42</v>
      </c>
      <c r="AL1103" s="1">
        <v>8900</v>
      </c>
      <c r="AM1103" t="s">
        <v>8</v>
      </c>
      <c r="AN1103" t="s">
        <v>8</v>
      </c>
      <c r="AO1103" t="s">
        <v>8</v>
      </c>
      <c r="AP1103" s="1">
        <v>118.55</v>
      </c>
      <c r="AQ1103" t="s">
        <v>8</v>
      </c>
      <c r="AR1103" t="s">
        <v>8</v>
      </c>
      <c r="AS1103" t="s">
        <v>8</v>
      </c>
      <c r="AT1103">
        <v>11945.7</v>
      </c>
    </row>
    <row r="1104" spans="34:46" x14ac:dyDescent="0.35">
      <c r="AH1104" t="s">
        <v>204</v>
      </c>
      <c r="AI1104" t="s">
        <v>180</v>
      </c>
      <c r="AJ1104" s="3">
        <v>43734</v>
      </c>
      <c r="AK1104" t="s">
        <v>42</v>
      </c>
      <c r="AL1104" s="1">
        <v>10100</v>
      </c>
      <c r="AM1104" t="s">
        <v>8</v>
      </c>
      <c r="AN1104" t="s">
        <v>8</v>
      </c>
      <c r="AO1104" t="s">
        <v>8</v>
      </c>
      <c r="AP1104" s="1">
        <v>122.1</v>
      </c>
      <c r="AQ1104" t="s">
        <v>8</v>
      </c>
      <c r="AR1104" t="s">
        <v>8</v>
      </c>
      <c r="AS1104" t="s">
        <v>8</v>
      </c>
      <c r="AT1104">
        <v>11945.7</v>
      </c>
    </row>
    <row r="1105" spans="34:46" x14ac:dyDescent="0.35">
      <c r="AH1105" t="s">
        <v>204</v>
      </c>
      <c r="AI1105" t="s">
        <v>180</v>
      </c>
      <c r="AJ1105" s="3">
        <v>43629</v>
      </c>
      <c r="AK1105" t="s">
        <v>41</v>
      </c>
      <c r="AL1105" s="1">
        <v>12250</v>
      </c>
      <c r="AM1105" t="s">
        <v>8</v>
      </c>
      <c r="AN1105" t="s">
        <v>8</v>
      </c>
      <c r="AO1105" t="s">
        <v>8</v>
      </c>
      <c r="AP1105" s="1">
        <v>64.3</v>
      </c>
      <c r="AQ1105" t="s">
        <v>8</v>
      </c>
      <c r="AR1105" t="s">
        <v>8</v>
      </c>
      <c r="AS1105" t="s">
        <v>8</v>
      </c>
      <c r="AT1105">
        <v>11945.7</v>
      </c>
    </row>
    <row r="1106" spans="34:46" x14ac:dyDescent="0.35">
      <c r="AH1106" t="s">
        <v>204</v>
      </c>
      <c r="AI1106" t="s">
        <v>180</v>
      </c>
      <c r="AJ1106" s="3">
        <v>43629</v>
      </c>
      <c r="AK1106" t="s">
        <v>41</v>
      </c>
      <c r="AL1106" s="1">
        <v>12450</v>
      </c>
      <c r="AM1106" t="s">
        <v>8</v>
      </c>
      <c r="AN1106" t="s">
        <v>8</v>
      </c>
      <c r="AO1106" t="s">
        <v>8</v>
      </c>
      <c r="AP1106">
        <v>34.85</v>
      </c>
      <c r="AQ1106" t="s">
        <v>8</v>
      </c>
      <c r="AR1106" t="s">
        <v>8</v>
      </c>
      <c r="AS1106" t="s">
        <v>8</v>
      </c>
      <c r="AT1106">
        <v>11945.7</v>
      </c>
    </row>
    <row r="1107" spans="34:46" x14ac:dyDescent="0.35">
      <c r="AH1107" t="s">
        <v>204</v>
      </c>
      <c r="AI1107" t="s">
        <v>180</v>
      </c>
      <c r="AJ1107" s="3">
        <v>43671</v>
      </c>
      <c r="AK1107" t="s">
        <v>42</v>
      </c>
      <c r="AL1107" s="1">
        <v>13150</v>
      </c>
      <c r="AM1107" t="s">
        <v>8</v>
      </c>
      <c r="AN1107" t="s">
        <v>8</v>
      </c>
      <c r="AO1107" t="s">
        <v>8</v>
      </c>
      <c r="AP1107" s="1">
        <v>1300.5</v>
      </c>
      <c r="AQ1107" t="s">
        <v>8</v>
      </c>
      <c r="AR1107" t="s">
        <v>8</v>
      </c>
      <c r="AS1107" t="s">
        <v>8</v>
      </c>
      <c r="AT1107">
        <v>11945.7</v>
      </c>
    </row>
    <row r="1108" spans="34:46" x14ac:dyDescent="0.35">
      <c r="AH1108" t="s">
        <v>204</v>
      </c>
      <c r="AI1108" t="s">
        <v>180</v>
      </c>
      <c r="AJ1108" s="3">
        <v>44196</v>
      </c>
      <c r="AK1108" t="s">
        <v>42</v>
      </c>
      <c r="AL1108" s="1">
        <v>10700</v>
      </c>
      <c r="AM1108" t="s">
        <v>8</v>
      </c>
      <c r="AN1108" t="s">
        <v>8</v>
      </c>
      <c r="AO1108" t="s">
        <v>8</v>
      </c>
      <c r="AP1108">
        <v>570</v>
      </c>
      <c r="AQ1108" t="s">
        <v>8</v>
      </c>
      <c r="AR1108" t="s">
        <v>8</v>
      </c>
      <c r="AS1108" t="s">
        <v>8</v>
      </c>
      <c r="AT1108">
        <v>11945.7</v>
      </c>
    </row>
    <row r="1109" spans="34:46" x14ac:dyDescent="0.35">
      <c r="AH1109" t="s">
        <v>204</v>
      </c>
      <c r="AI1109" t="s">
        <v>180</v>
      </c>
      <c r="AJ1109" s="3">
        <v>43629</v>
      </c>
      <c r="AK1109" t="s">
        <v>42</v>
      </c>
      <c r="AL1109" s="1">
        <v>12500</v>
      </c>
      <c r="AM1109" t="s">
        <v>8</v>
      </c>
      <c r="AN1109" t="s">
        <v>8</v>
      </c>
      <c r="AO1109" t="s">
        <v>8</v>
      </c>
      <c r="AP1109">
        <v>784.7</v>
      </c>
      <c r="AQ1109" t="s">
        <v>8</v>
      </c>
      <c r="AR1109" t="s">
        <v>8</v>
      </c>
      <c r="AS1109" t="s">
        <v>8</v>
      </c>
      <c r="AT1109">
        <v>11945.7</v>
      </c>
    </row>
    <row r="1110" spans="34:46" x14ac:dyDescent="0.35">
      <c r="AH1110" t="s">
        <v>204</v>
      </c>
      <c r="AI1110" t="s">
        <v>180</v>
      </c>
      <c r="AJ1110" s="3">
        <v>44007</v>
      </c>
      <c r="AK1110" t="s">
        <v>41</v>
      </c>
      <c r="AL1110" s="1">
        <v>8200</v>
      </c>
      <c r="AM1110" t="s">
        <v>8</v>
      </c>
      <c r="AN1110" t="s">
        <v>8</v>
      </c>
      <c r="AO1110" t="s">
        <v>8</v>
      </c>
      <c r="AP1110" s="1" t="s">
        <v>8</v>
      </c>
      <c r="AQ1110" t="s">
        <v>8</v>
      </c>
      <c r="AR1110" t="s">
        <v>8</v>
      </c>
      <c r="AS1110" t="s">
        <v>8</v>
      </c>
      <c r="AT1110">
        <v>11945.7</v>
      </c>
    </row>
    <row r="1111" spans="34:46" x14ac:dyDescent="0.35">
      <c r="AH1111" t="s">
        <v>204</v>
      </c>
      <c r="AI1111" t="s">
        <v>180</v>
      </c>
      <c r="AJ1111" s="3">
        <v>44742</v>
      </c>
      <c r="AK1111" t="s">
        <v>42</v>
      </c>
      <c r="AL1111" s="1">
        <v>11300</v>
      </c>
      <c r="AM1111" t="s">
        <v>8</v>
      </c>
      <c r="AN1111" t="s">
        <v>8</v>
      </c>
      <c r="AO1111" t="s">
        <v>8</v>
      </c>
      <c r="AP1111">
        <v>760</v>
      </c>
      <c r="AQ1111" t="s">
        <v>8</v>
      </c>
      <c r="AR1111" t="s">
        <v>8</v>
      </c>
      <c r="AS1111" t="s">
        <v>8</v>
      </c>
      <c r="AT1111">
        <v>11945.7</v>
      </c>
    </row>
    <row r="1112" spans="34:46" x14ac:dyDescent="0.35">
      <c r="AH1112" t="s">
        <v>204</v>
      </c>
      <c r="AI1112" t="s">
        <v>180</v>
      </c>
      <c r="AJ1112" s="3">
        <v>43629</v>
      </c>
      <c r="AK1112" t="s">
        <v>42</v>
      </c>
      <c r="AL1112" s="1">
        <v>12700</v>
      </c>
      <c r="AM1112" t="s">
        <v>8</v>
      </c>
      <c r="AN1112" t="s">
        <v>8</v>
      </c>
      <c r="AO1112" t="s">
        <v>8</v>
      </c>
      <c r="AP1112">
        <v>967.5</v>
      </c>
      <c r="AQ1112" t="s">
        <v>8</v>
      </c>
      <c r="AR1112" t="s">
        <v>8</v>
      </c>
      <c r="AS1112" t="s">
        <v>8</v>
      </c>
      <c r="AT1112">
        <v>11945.7</v>
      </c>
    </row>
    <row r="1113" spans="34:46" x14ac:dyDescent="0.35">
      <c r="AH1113" t="s">
        <v>204</v>
      </c>
      <c r="AI1113" t="s">
        <v>180</v>
      </c>
      <c r="AJ1113" s="3">
        <v>43671</v>
      </c>
      <c r="AK1113" t="s">
        <v>42</v>
      </c>
      <c r="AL1113" s="1">
        <v>11850</v>
      </c>
      <c r="AM1113" t="s">
        <v>8</v>
      </c>
      <c r="AN1113" t="s">
        <v>8</v>
      </c>
      <c r="AO1113" t="s">
        <v>8</v>
      </c>
      <c r="AP1113" s="1">
        <v>315.60000000000002</v>
      </c>
      <c r="AQ1113" t="s">
        <v>8</v>
      </c>
      <c r="AR1113" t="s">
        <v>8</v>
      </c>
      <c r="AS1113" t="s">
        <v>8</v>
      </c>
      <c r="AT1113">
        <v>11945.7</v>
      </c>
    </row>
    <row r="1114" spans="34:46" x14ac:dyDescent="0.35">
      <c r="AH1114" t="s">
        <v>204</v>
      </c>
      <c r="AI1114" t="s">
        <v>180</v>
      </c>
      <c r="AJ1114" s="3">
        <v>44742</v>
      </c>
      <c r="AK1114" t="s">
        <v>42</v>
      </c>
      <c r="AL1114" s="1">
        <v>11500</v>
      </c>
      <c r="AM1114" t="s">
        <v>8</v>
      </c>
      <c r="AN1114" t="s">
        <v>8</v>
      </c>
      <c r="AO1114" t="s">
        <v>8</v>
      </c>
      <c r="AP1114">
        <v>597</v>
      </c>
      <c r="AQ1114" t="s">
        <v>8</v>
      </c>
      <c r="AR1114" t="s">
        <v>8</v>
      </c>
      <c r="AS1114" t="s">
        <v>8</v>
      </c>
      <c r="AT1114">
        <v>11945.7</v>
      </c>
    </row>
    <row r="1115" spans="34:46" x14ac:dyDescent="0.35">
      <c r="AH1115" t="s">
        <v>204</v>
      </c>
      <c r="AI1115" t="s">
        <v>180</v>
      </c>
      <c r="AJ1115" s="3">
        <v>44742</v>
      </c>
      <c r="AK1115" t="s">
        <v>42</v>
      </c>
      <c r="AL1115" s="1">
        <v>11700</v>
      </c>
      <c r="AM1115" t="s">
        <v>8</v>
      </c>
      <c r="AN1115" t="s">
        <v>8</v>
      </c>
      <c r="AO1115" t="s">
        <v>8</v>
      </c>
      <c r="AP1115" s="1" t="s">
        <v>8</v>
      </c>
      <c r="AQ1115" t="s">
        <v>8</v>
      </c>
      <c r="AR1115" t="s">
        <v>8</v>
      </c>
      <c r="AS1115" t="s">
        <v>8</v>
      </c>
      <c r="AT1115">
        <v>11945.7</v>
      </c>
    </row>
    <row r="1116" spans="34:46" x14ac:dyDescent="0.35">
      <c r="AH1116" t="s">
        <v>204</v>
      </c>
      <c r="AI1116" t="s">
        <v>180</v>
      </c>
      <c r="AJ1116" s="3">
        <v>43664</v>
      </c>
      <c r="AK1116" t="s">
        <v>41</v>
      </c>
      <c r="AL1116" s="1">
        <v>11000</v>
      </c>
      <c r="AM1116" t="s">
        <v>8</v>
      </c>
      <c r="AN1116" t="s">
        <v>8</v>
      </c>
      <c r="AO1116" t="s">
        <v>8</v>
      </c>
      <c r="AP1116" s="1">
        <v>501.5</v>
      </c>
      <c r="AQ1116" t="s">
        <v>8</v>
      </c>
      <c r="AR1116" t="s">
        <v>8</v>
      </c>
      <c r="AS1116" t="s">
        <v>8</v>
      </c>
      <c r="AT1116">
        <v>11945.7</v>
      </c>
    </row>
    <row r="1117" spans="34:46" x14ac:dyDescent="0.35">
      <c r="AH1117" t="s">
        <v>204</v>
      </c>
      <c r="AI1117" t="s">
        <v>180</v>
      </c>
      <c r="AJ1117" s="3">
        <v>44196</v>
      </c>
      <c r="AK1117" t="s">
        <v>41</v>
      </c>
      <c r="AL1117" s="1">
        <v>12400</v>
      </c>
      <c r="AM1117" t="s">
        <v>8</v>
      </c>
      <c r="AN1117" t="s">
        <v>8</v>
      </c>
      <c r="AO1117" t="s">
        <v>8</v>
      </c>
      <c r="AP1117" s="1">
        <v>1425</v>
      </c>
      <c r="AQ1117" t="s">
        <v>8</v>
      </c>
      <c r="AR1117" t="s">
        <v>8</v>
      </c>
      <c r="AS1117" t="s">
        <v>8</v>
      </c>
      <c r="AT1117">
        <v>11945.7</v>
      </c>
    </row>
    <row r="1118" spans="34:46" x14ac:dyDescent="0.35">
      <c r="AH1118" t="s">
        <v>204</v>
      </c>
      <c r="AI1118" t="s">
        <v>180</v>
      </c>
      <c r="AJ1118" s="3">
        <v>44560</v>
      </c>
      <c r="AK1118" t="s">
        <v>42</v>
      </c>
      <c r="AL1118" s="1">
        <v>9800</v>
      </c>
      <c r="AM1118" t="s">
        <v>8</v>
      </c>
      <c r="AN1118" t="s">
        <v>8</v>
      </c>
      <c r="AO1118" t="s">
        <v>8</v>
      </c>
      <c r="AP1118" s="1">
        <v>685.05</v>
      </c>
      <c r="AQ1118" t="s">
        <v>8</v>
      </c>
      <c r="AR1118" t="s">
        <v>8</v>
      </c>
      <c r="AS1118" t="s">
        <v>8</v>
      </c>
      <c r="AT1118">
        <v>11945.7</v>
      </c>
    </row>
    <row r="1119" spans="34:46" x14ac:dyDescent="0.35">
      <c r="AH1119" t="s">
        <v>204</v>
      </c>
      <c r="AI1119" t="s">
        <v>180</v>
      </c>
      <c r="AJ1119" s="3">
        <v>43664</v>
      </c>
      <c r="AK1119" t="s">
        <v>41</v>
      </c>
      <c r="AL1119" s="1">
        <v>11200</v>
      </c>
      <c r="AM1119" t="s">
        <v>8</v>
      </c>
      <c r="AN1119" t="s">
        <v>8</v>
      </c>
      <c r="AO1119" t="s">
        <v>8</v>
      </c>
      <c r="AP1119" s="1">
        <v>370.8</v>
      </c>
      <c r="AQ1119" t="s">
        <v>8</v>
      </c>
      <c r="AR1119" t="s">
        <v>8</v>
      </c>
      <c r="AS1119" t="s">
        <v>8</v>
      </c>
      <c r="AT1119">
        <v>11945.7</v>
      </c>
    </row>
    <row r="1120" spans="34:46" x14ac:dyDescent="0.35">
      <c r="AH1120" t="s">
        <v>204</v>
      </c>
      <c r="AI1120" t="s">
        <v>180</v>
      </c>
      <c r="AJ1120" s="3">
        <v>43629</v>
      </c>
      <c r="AK1120" t="s">
        <v>41</v>
      </c>
      <c r="AL1120" s="1">
        <v>9700</v>
      </c>
      <c r="AM1120" t="s">
        <v>8</v>
      </c>
      <c r="AN1120" t="s">
        <v>8</v>
      </c>
      <c r="AO1120" t="s">
        <v>8</v>
      </c>
      <c r="AP1120" s="1">
        <v>1507.05</v>
      </c>
      <c r="AQ1120" t="s">
        <v>8</v>
      </c>
      <c r="AR1120" t="s">
        <v>8</v>
      </c>
      <c r="AS1120" t="s">
        <v>8</v>
      </c>
      <c r="AT1120">
        <v>11945.7</v>
      </c>
    </row>
    <row r="1121" spans="34:46" x14ac:dyDescent="0.35">
      <c r="AH1121" t="s">
        <v>204</v>
      </c>
      <c r="AI1121" t="s">
        <v>180</v>
      </c>
      <c r="AJ1121" s="3">
        <v>44196</v>
      </c>
      <c r="AK1121" t="s">
        <v>41</v>
      </c>
      <c r="AL1121" s="1">
        <v>12600</v>
      </c>
      <c r="AM1121" t="s">
        <v>8</v>
      </c>
      <c r="AN1121" t="s">
        <v>8</v>
      </c>
      <c r="AO1121" t="s">
        <v>8</v>
      </c>
      <c r="AP1121" s="1">
        <v>1340</v>
      </c>
      <c r="AQ1121" t="s">
        <v>8</v>
      </c>
      <c r="AR1121" t="s">
        <v>8</v>
      </c>
      <c r="AS1121" t="s">
        <v>8</v>
      </c>
      <c r="AT1121">
        <v>11945.7</v>
      </c>
    </row>
    <row r="1122" spans="34:46" x14ac:dyDescent="0.35">
      <c r="AH1122" t="s">
        <v>204</v>
      </c>
      <c r="AI1122" t="s">
        <v>180</v>
      </c>
      <c r="AJ1122" s="3">
        <v>44007</v>
      </c>
      <c r="AK1122" t="s">
        <v>42</v>
      </c>
      <c r="AL1122" s="1">
        <v>7300</v>
      </c>
      <c r="AM1122" t="s">
        <v>8</v>
      </c>
      <c r="AN1122" t="s">
        <v>8</v>
      </c>
      <c r="AO1122" t="s">
        <v>8</v>
      </c>
      <c r="AP1122" s="1">
        <v>26.05</v>
      </c>
      <c r="AQ1122" t="s">
        <v>8</v>
      </c>
      <c r="AR1122" t="s">
        <v>8</v>
      </c>
      <c r="AS1122" t="s">
        <v>8</v>
      </c>
      <c r="AT1122">
        <v>11945.7</v>
      </c>
    </row>
    <row r="1123" spans="34:46" x14ac:dyDescent="0.35">
      <c r="AH1123" t="s">
        <v>204</v>
      </c>
      <c r="AI1123" t="s">
        <v>180</v>
      </c>
      <c r="AJ1123" s="3">
        <v>43650</v>
      </c>
      <c r="AK1123" t="s">
        <v>41</v>
      </c>
      <c r="AL1123" s="1">
        <v>13450</v>
      </c>
      <c r="AM1123" t="s">
        <v>8</v>
      </c>
      <c r="AN1123" t="s">
        <v>8</v>
      </c>
      <c r="AO1123" t="s">
        <v>8</v>
      </c>
      <c r="AP1123" s="1">
        <v>15.05</v>
      </c>
      <c r="AQ1123" t="s">
        <v>8</v>
      </c>
      <c r="AR1123" t="s">
        <v>8</v>
      </c>
      <c r="AS1123" t="s">
        <v>8</v>
      </c>
      <c r="AT1123">
        <v>11945.7</v>
      </c>
    </row>
    <row r="1124" spans="34:46" x14ac:dyDescent="0.35">
      <c r="AH1124" t="s">
        <v>204</v>
      </c>
      <c r="AI1124" t="s">
        <v>180</v>
      </c>
      <c r="AJ1124" s="3">
        <v>43825</v>
      </c>
      <c r="AK1124" t="s">
        <v>42</v>
      </c>
      <c r="AL1124" s="1">
        <v>11300</v>
      </c>
      <c r="AM1124" t="s">
        <v>8</v>
      </c>
      <c r="AN1124" t="s">
        <v>8</v>
      </c>
      <c r="AO1124" t="s">
        <v>8</v>
      </c>
      <c r="AP1124" s="1">
        <v>654</v>
      </c>
      <c r="AQ1124" t="s">
        <v>8</v>
      </c>
      <c r="AR1124" t="s">
        <v>8</v>
      </c>
      <c r="AS1124" t="s">
        <v>8</v>
      </c>
      <c r="AT1124">
        <v>11945.7</v>
      </c>
    </row>
    <row r="1125" spans="34:46" x14ac:dyDescent="0.35">
      <c r="AH1125" t="s">
        <v>204</v>
      </c>
      <c r="AI1125" t="s">
        <v>180</v>
      </c>
      <c r="AJ1125" s="3">
        <v>43734</v>
      </c>
      <c r="AK1125" t="s">
        <v>42</v>
      </c>
      <c r="AL1125" s="1">
        <v>8500</v>
      </c>
      <c r="AM1125" t="s">
        <v>8</v>
      </c>
      <c r="AN1125" t="s">
        <v>8</v>
      </c>
      <c r="AO1125" t="s">
        <v>8</v>
      </c>
      <c r="AP1125" s="1">
        <v>7.3</v>
      </c>
      <c r="AQ1125" t="s">
        <v>8</v>
      </c>
      <c r="AR1125" t="s">
        <v>8</v>
      </c>
      <c r="AS1125" t="s">
        <v>8</v>
      </c>
      <c r="AT1125">
        <v>11945.7</v>
      </c>
    </row>
    <row r="1126" spans="34:46" x14ac:dyDescent="0.35">
      <c r="AH1126" t="s">
        <v>204</v>
      </c>
      <c r="AI1126" t="s">
        <v>180</v>
      </c>
      <c r="AJ1126" s="3">
        <v>43622</v>
      </c>
      <c r="AK1126" t="s">
        <v>42</v>
      </c>
      <c r="AL1126" s="1">
        <v>10150</v>
      </c>
      <c r="AM1126" t="s">
        <v>8</v>
      </c>
      <c r="AN1126" t="s">
        <v>8</v>
      </c>
      <c r="AO1126" t="s">
        <v>8</v>
      </c>
      <c r="AP1126" s="1">
        <v>0.45</v>
      </c>
      <c r="AQ1126" t="s">
        <v>8</v>
      </c>
      <c r="AR1126" t="s">
        <v>8</v>
      </c>
      <c r="AS1126" t="s">
        <v>8</v>
      </c>
      <c r="AT1126">
        <v>11945.7</v>
      </c>
    </row>
    <row r="1127" spans="34:46" x14ac:dyDescent="0.35">
      <c r="AH1127" t="s">
        <v>204</v>
      </c>
      <c r="AI1127" t="s">
        <v>180</v>
      </c>
      <c r="AJ1127" s="3">
        <v>44924</v>
      </c>
      <c r="AK1127" t="s">
        <v>42</v>
      </c>
      <c r="AL1127" s="1">
        <v>9200</v>
      </c>
      <c r="AM1127" t="s">
        <v>8</v>
      </c>
      <c r="AN1127" t="s">
        <v>8</v>
      </c>
      <c r="AO1127" t="s">
        <v>8</v>
      </c>
      <c r="AP1127" s="1">
        <v>25.95</v>
      </c>
      <c r="AQ1127" t="s">
        <v>8</v>
      </c>
      <c r="AR1127" t="s">
        <v>8</v>
      </c>
      <c r="AS1127" t="s">
        <v>8</v>
      </c>
      <c r="AT1127">
        <v>11945.7</v>
      </c>
    </row>
    <row r="1128" spans="34:46" x14ac:dyDescent="0.35">
      <c r="AH1128" t="s">
        <v>204</v>
      </c>
      <c r="AI1128" t="s">
        <v>180</v>
      </c>
      <c r="AJ1128" s="3">
        <v>44007</v>
      </c>
      <c r="AK1128" t="s">
        <v>42</v>
      </c>
      <c r="AL1128" s="1">
        <v>7500</v>
      </c>
      <c r="AM1128" t="s">
        <v>8</v>
      </c>
      <c r="AN1128" t="s">
        <v>8</v>
      </c>
      <c r="AO1128" t="s">
        <v>8</v>
      </c>
      <c r="AP1128">
        <v>101</v>
      </c>
      <c r="AQ1128" t="s">
        <v>8</v>
      </c>
      <c r="AR1128" t="s">
        <v>8</v>
      </c>
      <c r="AS1128" t="s">
        <v>8</v>
      </c>
      <c r="AT1128">
        <v>11945.7</v>
      </c>
    </row>
    <row r="1129" spans="34:46" x14ac:dyDescent="0.35">
      <c r="AH1129" t="s">
        <v>204</v>
      </c>
      <c r="AI1129" t="s">
        <v>180</v>
      </c>
      <c r="AJ1129" s="3">
        <v>43734</v>
      </c>
      <c r="AK1129" t="s">
        <v>42</v>
      </c>
      <c r="AL1129" s="1">
        <v>8700</v>
      </c>
      <c r="AM1129" t="s">
        <v>8</v>
      </c>
      <c r="AN1129" t="s">
        <v>8</v>
      </c>
      <c r="AO1129" t="s">
        <v>8</v>
      </c>
      <c r="AP1129" s="1">
        <v>12.25</v>
      </c>
      <c r="AQ1129" t="s">
        <v>8</v>
      </c>
      <c r="AR1129" t="s">
        <v>8</v>
      </c>
      <c r="AS1129" t="s">
        <v>8</v>
      </c>
      <c r="AT1129">
        <v>11945.7</v>
      </c>
    </row>
    <row r="1130" spans="34:46" x14ac:dyDescent="0.35">
      <c r="AH1130" t="s">
        <v>204</v>
      </c>
      <c r="AI1130" t="s">
        <v>180</v>
      </c>
      <c r="AJ1130" s="3">
        <v>43650</v>
      </c>
      <c r="AK1130" t="s">
        <v>42</v>
      </c>
      <c r="AL1130" s="1">
        <v>13300</v>
      </c>
      <c r="AM1130" t="s">
        <v>8</v>
      </c>
      <c r="AN1130" t="s">
        <v>8</v>
      </c>
      <c r="AO1130" t="s">
        <v>8</v>
      </c>
      <c r="AP1130" s="1">
        <v>1393.35</v>
      </c>
      <c r="AQ1130" t="s">
        <v>8</v>
      </c>
      <c r="AR1130" t="s">
        <v>8</v>
      </c>
      <c r="AS1130" t="s">
        <v>8</v>
      </c>
      <c r="AT1130">
        <v>11945.7</v>
      </c>
    </row>
    <row r="1131" spans="34:46" x14ac:dyDescent="0.35">
      <c r="AH1131" t="s">
        <v>204</v>
      </c>
      <c r="AI1131" t="s">
        <v>180</v>
      </c>
      <c r="AJ1131" s="3">
        <v>43622</v>
      </c>
      <c r="AK1131" t="s">
        <v>42</v>
      </c>
      <c r="AL1131" s="1">
        <v>10350</v>
      </c>
      <c r="AM1131" t="s">
        <v>8</v>
      </c>
      <c r="AN1131" t="s">
        <v>8</v>
      </c>
      <c r="AO1131" t="s">
        <v>8</v>
      </c>
      <c r="AP1131" s="1">
        <v>1.5</v>
      </c>
      <c r="AQ1131" t="s">
        <v>8</v>
      </c>
      <c r="AR1131" t="s">
        <v>8</v>
      </c>
      <c r="AS1131" t="s">
        <v>8</v>
      </c>
      <c r="AT1131">
        <v>11945.7</v>
      </c>
    </row>
    <row r="1132" spans="34:46" x14ac:dyDescent="0.35">
      <c r="AH1132" t="s">
        <v>204</v>
      </c>
      <c r="AI1132" t="s">
        <v>180</v>
      </c>
      <c r="AJ1132" s="3">
        <v>44924</v>
      </c>
      <c r="AK1132" t="s">
        <v>42</v>
      </c>
      <c r="AL1132" s="1">
        <v>9400</v>
      </c>
      <c r="AM1132" t="s">
        <v>8</v>
      </c>
      <c r="AN1132" t="s">
        <v>8</v>
      </c>
      <c r="AO1132" t="s">
        <v>8</v>
      </c>
      <c r="AP1132" s="1">
        <v>32.65</v>
      </c>
      <c r="AQ1132" t="s">
        <v>8</v>
      </c>
      <c r="AR1132" t="s">
        <v>8</v>
      </c>
      <c r="AS1132" t="s">
        <v>8</v>
      </c>
      <c r="AT1132">
        <v>11945.7</v>
      </c>
    </row>
    <row r="1133" spans="34:46" x14ac:dyDescent="0.35">
      <c r="AH1133" t="s">
        <v>204</v>
      </c>
      <c r="AI1133" t="s">
        <v>180</v>
      </c>
      <c r="AJ1133" s="3">
        <v>43643</v>
      </c>
      <c r="AK1133" t="s">
        <v>42</v>
      </c>
      <c r="AL1133" s="1">
        <v>10650</v>
      </c>
      <c r="AM1133" t="s">
        <v>8</v>
      </c>
      <c r="AN1133" t="s">
        <v>8</v>
      </c>
      <c r="AO1133" t="s">
        <v>8</v>
      </c>
      <c r="AP1133">
        <v>7.55</v>
      </c>
      <c r="AQ1133" t="s">
        <v>8</v>
      </c>
      <c r="AR1133" t="s">
        <v>8</v>
      </c>
      <c r="AS1133" t="s">
        <v>8</v>
      </c>
      <c r="AT1133">
        <v>11945.7</v>
      </c>
    </row>
    <row r="1134" spans="34:46" x14ac:dyDescent="0.35">
      <c r="AH1134" t="s">
        <v>204</v>
      </c>
      <c r="AI1134" t="s">
        <v>180</v>
      </c>
      <c r="AJ1134" s="3">
        <v>44560</v>
      </c>
      <c r="AK1134" t="s">
        <v>42</v>
      </c>
      <c r="AL1134" s="1">
        <v>12500</v>
      </c>
      <c r="AM1134" t="s">
        <v>8</v>
      </c>
      <c r="AN1134" t="s">
        <v>8</v>
      </c>
      <c r="AO1134" t="s">
        <v>8</v>
      </c>
      <c r="AP1134" s="1">
        <v>820</v>
      </c>
      <c r="AQ1134" t="s">
        <v>8</v>
      </c>
      <c r="AR1134" t="s">
        <v>8</v>
      </c>
      <c r="AS1134" t="s">
        <v>8</v>
      </c>
      <c r="AT1134">
        <v>11945.7</v>
      </c>
    </row>
    <row r="1135" spans="34:46" x14ac:dyDescent="0.35">
      <c r="AH1135" t="s">
        <v>204</v>
      </c>
      <c r="AI1135" t="s">
        <v>180</v>
      </c>
      <c r="AJ1135" s="3">
        <v>43825</v>
      </c>
      <c r="AK1135" t="s">
        <v>42</v>
      </c>
      <c r="AL1135" s="1">
        <v>11700</v>
      </c>
      <c r="AM1135" t="s">
        <v>8</v>
      </c>
      <c r="AN1135" t="s">
        <v>8</v>
      </c>
      <c r="AO1135" t="s">
        <v>8</v>
      </c>
      <c r="AP1135">
        <v>728.25</v>
      </c>
      <c r="AQ1135" t="s">
        <v>8</v>
      </c>
      <c r="AR1135" t="s">
        <v>8</v>
      </c>
      <c r="AS1135" t="s">
        <v>8</v>
      </c>
      <c r="AT1135">
        <v>11945.7</v>
      </c>
    </row>
    <row r="1136" spans="34:46" x14ac:dyDescent="0.35">
      <c r="AH1136" t="s">
        <v>204</v>
      </c>
      <c r="AI1136" t="s">
        <v>180</v>
      </c>
      <c r="AJ1136" s="3">
        <v>43734</v>
      </c>
      <c r="AK1136" t="s">
        <v>42</v>
      </c>
      <c r="AL1136" s="1">
        <v>8900</v>
      </c>
      <c r="AM1136" t="s">
        <v>8</v>
      </c>
      <c r="AN1136" t="s">
        <v>8</v>
      </c>
      <c r="AO1136" t="s">
        <v>8</v>
      </c>
      <c r="AP1136">
        <v>18.25</v>
      </c>
      <c r="AQ1136" t="s">
        <v>8</v>
      </c>
      <c r="AR1136" t="s">
        <v>8</v>
      </c>
      <c r="AS1136" t="s">
        <v>8</v>
      </c>
      <c r="AT1136">
        <v>11945.7</v>
      </c>
    </row>
    <row r="1137" spans="34:46" x14ac:dyDescent="0.35">
      <c r="AH1137" t="s">
        <v>204</v>
      </c>
      <c r="AI1137" t="s">
        <v>180</v>
      </c>
      <c r="AJ1137" s="3">
        <v>43657</v>
      </c>
      <c r="AK1137" t="s">
        <v>41</v>
      </c>
      <c r="AL1137" s="1">
        <v>10400</v>
      </c>
      <c r="AM1137" t="s">
        <v>8</v>
      </c>
      <c r="AN1137" t="s">
        <v>8</v>
      </c>
      <c r="AO1137" t="s">
        <v>8</v>
      </c>
      <c r="AP1137" s="1">
        <v>1042.05</v>
      </c>
      <c r="AQ1137" t="s">
        <v>8</v>
      </c>
      <c r="AR1137" t="s">
        <v>8</v>
      </c>
      <c r="AS1137" t="s">
        <v>8</v>
      </c>
      <c r="AT1137">
        <v>11945.7</v>
      </c>
    </row>
    <row r="1138" spans="34:46" x14ac:dyDescent="0.35">
      <c r="AH1138" t="s">
        <v>204</v>
      </c>
      <c r="AI1138" t="s">
        <v>180</v>
      </c>
      <c r="AJ1138" s="3">
        <v>43643</v>
      </c>
      <c r="AK1138" t="s">
        <v>42</v>
      </c>
      <c r="AL1138" s="1">
        <v>10850</v>
      </c>
      <c r="AM1138" t="s">
        <v>8</v>
      </c>
      <c r="AN1138" t="s">
        <v>8</v>
      </c>
      <c r="AO1138" t="s">
        <v>8</v>
      </c>
      <c r="AP1138" s="1">
        <v>41.4</v>
      </c>
      <c r="AQ1138" t="s">
        <v>8</v>
      </c>
      <c r="AR1138" t="s">
        <v>8</v>
      </c>
      <c r="AS1138" t="s">
        <v>8</v>
      </c>
      <c r="AT1138">
        <v>11945.7</v>
      </c>
    </row>
    <row r="1139" spans="34:46" x14ac:dyDescent="0.35">
      <c r="AH1139" t="s">
        <v>204</v>
      </c>
      <c r="AI1139" t="s">
        <v>180</v>
      </c>
      <c r="AJ1139" s="3">
        <v>43657</v>
      </c>
      <c r="AK1139" t="s">
        <v>41</v>
      </c>
      <c r="AL1139" s="1">
        <v>10600</v>
      </c>
      <c r="AM1139" t="s">
        <v>8</v>
      </c>
      <c r="AN1139" t="s">
        <v>8</v>
      </c>
      <c r="AO1139" t="s">
        <v>8</v>
      </c>
      <c r="AP1139" s="1">
        <v>859.15</v>
      </c>
      <c r="AQ1139" t="s">
        <v>8</v>
      </c>
      <c r="AR1139" t="s">
        <v>8</v>
      </c>
      <c r="AS1139" t="s">
        <v>8</v>
      </c>
      <c r="AT1139">
        <v>11945.7</v>
      </c>
    </row>
    <row r="1140" spans="34:46" x14ac:dyDescent="0.35">
      <c r="AH1140" t="s">
        <v>204</v>
      </c>
      <c r="AI1140" t="s">
        <v>180</v>
      </c>
      <c r="AJ1140" s="3">
        <v>43615</v>
      </c>
      <c r="AK1140" t="s">
        <v>42</v>
      </c>
      <c r="AL1140" s="1">
        <v>11050</v>
      </c>
      <c r="AM1140" t="s">
        <v>8</v>
      </c>
      <c r="AN1140" t="s">
        <v>8</v>
      </c>
      <c r="AO1140" t="s">
        <v>8</v>
      </c>
      <c r="AP1140">
        <v>0.35</v>
      </c>
      <c r="AQ1140" t="s">
        <v>8</v>
      </c>
      <c r="AR1140" t="s">
        <v>8</v>
      </c>
      <c r="AS1140" t="s">
        <v>8</v>
      </c>
      <c r="AT1140">
        <v>11945.7</v>
      </c>
    </row>
    <row r="1141" spans="34:46" x14ac:dyDescent="0.35">
      <c r="AH1141" t="s">
        <v>204</v>
      </c>
      <c r="AI1141" t="s">
        <v>180</v>
      </c>
      <c r="AJ1141" s="3">
        <v>43636</v>
      </c>
      <c r="AK1141" t="s">
        <v>42</v>
      </c>
      <c r="AL1141" s="1">
        <v>11150</v>
      </c>
      <c r="AM1141" t="s">
        <v>8</v>
      </c>
      <c r="AN1141" t="s">
        <v>8</v>
      </c>
      <c r="AO1141" t="s">
        <v>8</v>
      </c>
      <c r="AP1141" s="1">
        <v>21.5</v>
      </c>
      <c r="AQ1141" t="s">
        <v>8</v>
      </c>
      <c r="AR1141" t="s">
        <v>8</v>
      </c>
      <c r="AS1141" t="s">
        <v>8</v>
      </c>
      <c r="AT1141">
        <v>11945.7</v>
      </c>
    </row>
    <row r="1142" spans="34:46" x14ac:dyDescent="0.35">
      <c r="AH1142" t="s">
        <v>204</v>
      </c>
      <c r="AI1142" t="s">
        <v>180</v>
      </c>
      <c r="AJ1142" s="3">
        <v>43636</v>
      </c>
      <c r="AK1142" t="s">
        <v>42</v>
      </c>
      <c r="AL1142" s="1">
        <v>11350</v>
      </c>
      <c r="AM1142" t="s">
        <v>8</v>
      </c>
      <c r="AN1142" t="s">
        <v>8</v>
      </c>
      <c r="AO1142" t="s">
        <v>8</v>
      </c>
      <c r="AP1142" s="1">
        <v>46.6</v>
      </c>
      <c r="AQ1142" t="s">
        <v>8</v>
      </c>
      <c r="AR1142" t="s">
        <v>8</v>
      </c>
      <c r="AS1142" t="s">
        <v>8</v>
      </c>
      <c r="AT1142">
        <v>11945.7</v>
      </c>
    </row>
    <row r="1143" spans="34:46" x14ac:dyDescent="0.35">
      <c r="AH1143" t="s">
        <v>204</v>
      </c>
      <c r="AI1143" t="s">
        <v>180</v>
      </c>
      <c r="AJ1143" s="3">
        <v>44371</v>
      </c>
      <c r="AK1143" t="s">
        <v>41</v>
      </c>
      <c r="AL1143" s="1">
        <v>11000</v>
      </c>
      <c r="AM1143" t="s">
        <v>8</v>
      </c>
      <c r="AN1143" t="s">
        <v>8</v>
      </c>
      <c r="AO1143" t="s">
        <v>8</v>
      </c>
      <c r="AP1143" s="1" t="s">
        <v>8</v>
      </c>
      <c r="AQ1143" t="s">
        <v>8</v>
      </c>
      <c r="AR1143" t="s">
        <v>8</v>
      </c>
      <c r="AS1143" t="s">
        <v>8</v>
      </c>
      <c r="AT1143">
        <v>11945.7</v>
      </c>
    </row>
    <row r="1144" spans="34:46" x14ac:dyDescent="0.35">
      <c r="AH1144" t="s">
        <v>204</v>
      </c>
      <c r="AI1144" t="s">
        <v>180</v>
      </c>
      <c r="AJ1144" s="3">
        <v>43636</v>
      </c>
      <c r="AK1144" t="s">
        <v>42</v>
      </c>
      <c r="AL1144" s="1">
        <v>11550</v>
      </c>
      <c r="AM1144" t="s">
        <v>8</v>
      </c>
      <c r="AN1144" t="s">
        <v>8</v>
      </c>
      <c r="AO1144" t="s">
        <v>8</v>
      </c>
      <c r="AP1144" s="1">
        <v>90.1</v>
      </c>
      <c r="AQ1144" t="s">
        <v>8</v>
      </c>
      <c r="AR1144" t="s">
        <v>8</v>
      </c>
      <c r="AS1144" t="s">
        <v>8</v>
      </c>
      <c r="AT1144">
        <v>11945.7</v>
      </c>
    </row>
    <row r="1145" spans="34:46" x14ac:dyDescent="0.35">
      <c r="AH1145" t="s">
        <v>204</v>
      </c>
      <c r="AI1145" t="s">
        <v>180</v>
      </c>
      <c r="AJ1145" s="3">
        <v>44371</v>
      </c>
      <c r="AK1145" t="s">
        <v>41</v>
      </c>
      <c r="AL1145" s="1">
        <v>11200</v>
      </c>
      <c r="AM1145" t="s">
        <v>8</v>
      </c>
      <c r="AN1145" t="s">
        <v>8</v>
      </c>
      <c r="AO1145" t="s">
        <v>8</v>
      </c>
      <c r="AP1145" s="1" t="s">
        <v>8</v>
      </c>
      <c r="AQ1145" t="s">
        <v>8</v>
      </c>
      <c r="AR1145" t="s">
        <v>8</v>
      </c>
      <c r="AS1145" t="s">
        <v>8</v>
      </c>
      <c r="AT1145">
        <v>11945.7</v>
      </c>
    </row>
    <row r="1146" spans="34:46" x14ac:dyDescent="0.35">
      <c r="AH1146" t="s">
        <v>204</v>
      </c>
      <c r="AI1146" t="s">
        <v>180</v>
      </c>
      <c r="AJ1146" s="3">
        <v>44196</v>
      </c>
      <c r="AK1146" t="s">
        <v>41</v>
      </c>
      <c r="AL1146" s="1">
        <v>9900</v>
      </c>
      <c r="AM1146" t="s">
        <v>8</v>
      </c>
      <c r="AN1146" t="s">
        <v>8</v>
      </c>
      <c r="AO1146" t="s">
        <v>8</v>
      </c>
      <c r="AP1146" s="1" t="s">
        <v>8</v>
      </c>
      <c r="AQ1146" t="s">
        <v>8</v>
      </c>
      <c r="AR1146" t="s">
        <v>8</v>
      </c>
      <c r="AS1146" t="s">
        <v>8</v>
      </c>
      <c r="AT1146">
        <v>11945.7</v>
      </c>
    </row>
    <row r="1147" spans="34:46" x14ac:dyDescent="0.35">
      <c r="AH1147" t="s">
        <v>204</v>
      </c>
      <c r="AI1147" t="s">
        <v>180</v>
      </c>
      <c r="AJ1147" s="3">
        <v>44371</v>
      </c>
      <c r="AK1147" t="s">
        <v>41</v>
      </c>
      <c r="AL1147" s="1">
        <v>11400</v>
      </c>
      <c r="AM1147" t="s">
        <v>8</v>
      </c>
      <c r="AN1147" t="s">
        <v>8</v>
      </c>
      <c r="AO1147" t="s">
        <v>8</v>
      </c>
      <c r="AP1147" s="1" t="s">
        <v>8</v>
      </c>
      <c r="AQ1147" t="s">
        <v>8</v>
      </c>
      <c r="AR1147" t="s">
        <v>8</v>
      </c>
      <c r="AS1147" t="s">
        <v>8</v>
      </c>
      <c r="AT1147">
        <v>11945.7</v>
      </c>
    </row>
    <row r="1148" spans="34:46" x14ac:dyDescent="0.35">
      <c r="AH1148" t="s">
        <v>204</v>
      </c>
      <c r="AI1148" t="s">
        <v>180</v>
      </c>
      <c r="AJ1148" s="3">
        <v>43643</v>
      </c>
      <c r="AK1148" t="s">
        <v>41</v>
      </c>
      <c r="AL1148" s="1">
        <v>12750</v>
      </c>
      <c r="AM1148" t="s">
        <v>8</v>
      </c>
      <c r="AN1148" t="s">
        <v>8</v>
      </c>
      <c r="AO1148" t="s">
        <v>8</v>
      </c>
      <c r="AP1148" s="1">
        <v>28</v>
      </c>
      <c r="AQ1148" t="s">
        <v>8</v>
      </c>
      <c r="AR1148" t="s">
        <v>8</v>
      </c>
      <c r="AS1148" t="s">
        <v>8</v>
      </c>
      <c r="AT1148">
        <v>11945.7</v>
      </c>
    </row>
    <row r="1149" spans="34:46" x14ac:dyDescent="0.35">
      <c r="AH1149" t="s">
        <v>204</v>
      </c>
      <c r="AI1149" t="s">
        <v>180</v>
      </c>
      <c r="AJ1149" s="3">
        <v>45288</v>
      </c>
      <c r="AK1149" t="s">
        <v>42</v>
      </c>
      <c r="AL1149" s="1">
        <v>11500</v>
      </c>
      <c r="AM1149" t="s">
        <v>8</v>
      </c>
      <c r="AN1149" t="s">
        <v>8</v>
      </c>
      <c r="AO1149" t="s">
        <v>8</v>
      </c>
      <c r="AP1149" s="1">
        <v>470.7</v>
      </c>
      <c r="AQ1149" t="s">
        <v>8</v>
      </c>
      <c r="AR1149" t="s">
        <v>8</v>
      </c>
      <c r="AS1149" t="s">
        <v>8</v>
      </c>
      <c r="AT1149">
        <v>11945.7</v>
      </c>
    </row>
    <row r="1150" spans="34:46" x14ac:dyDescent="0.35">
      <c r="AH1150" t="s">
        <v>204</v>
      </c>
      <c r="AI1150" t="s">
        <v>180</v>
      </c>
      <c r="AJ1150" s="3">
        <v>43622</v>
      </c>
      <c r="AK1150" t="s">
        <v>41</v>
      </c>
      <c r="AL1150" s="1">
        <v>10950</v>
      </c>
      <c r="AM1150" t="s">
        <v>8</v>
      </c>
      <c r="AN1150" t="s">
        <v>8</v>
      </c>
      <c r="AO1150" t="s">
        <v>8</v>
      </c>
      <c r="AP1150" s="1">
        <v>805.75</v>
      </c>
      <c r="AQ1150" t="s">
        <v>8</v>
      </c>
      <c r="AR1150" t="s">
        <v>8</v>
      </c>
      <c r="AS1150" t="s">
        <v>8</v>
      </c>
      <c r="AT1150">
        <v>11945.7</v>
      </c>
    </row>
    <row r="1151" spans="34:46" x14ac:dyDescent="0.35">
      <c r="AH1151" t="s">
        <v>204</v>
      </c>
      <c r="AI1151" t="s">
        <v>180</v>
      </c>
      <c r="AJ1151" s="3">
        <v>43643</v>
      </c>
      <c r="AK1151" t="s">
        <v>41</v>
      </c>
      <c r="AL1151" s="1">
        <v>12950</v>
      </c>
      <c r="AM1151" t="s">
        <v>8</v>
      </c>
      <c r="AN1151" t="s">
        <v>8</v>
      </c>
      <c r="AO1151" t="s">
        <v>8</v>
      </c>
      <c r="AP1151" s="1">
        <v>15</v>
      </c>
      <c r="AQ1151" t="s">
        <v>8</v>
      </c>
      <c r="AR1151" t="s">
        <v>8</v>
      </c>
      <c r="AS1151" t="s">
        <v>8</v>
      </c>
      <c r="AT1151">
        <v>11945.7</v>
      </c>
    </row>
    <row r="1152" spans="34:46" x14ac:dyDescent="0.35">
      <c r="AH1152" t="s">
        <v>204</v>
      </c>
      <c r="AI1152" t="s">
        <v>180</v>
      </c>
      <c r="AJ1152" s="3">
        <v>43622</v>
      </c>
      <c r="AK1152" t="s">
        <v>42</v>
      </c>
      <c r="AL1152" s="1">
        <v>12300</v>
      </c>
      <c r="AM1152" t="s">
        <v>8</v>
      </c>
      <c r="AN1152" t="s">
        <v>8</v>
      </c>
      <c r="AO1152" t="s">
        <v>8</v>
      </c>
      <c r="AP1152" s="1">
        <v>615.4</v>
      </c>
      <c r="AQ1152" t="s">
        <v>8</v>
      </c>
      <c r="AR1152" t="s">
        <v>8</v>
      </c>
      <c r="AS1152" t="s">
        <v>8</v>
      </c>
      <c r="AT1152">
        <v>11945.7</v>
      </c>
    </row>
    <row r="1153" spans="34:46" x14ac:dyDescent="0.35">
      <c r="AH1153" t="s">
        <v>204</v>
      </c>
      <c r="AI1153" t="s">
        <v>180</v>
      </c>
      <c r="AJ1153" s="3">
        <v>43636</v>
      </c>
      <c r="AK1153" t="s">
        <v>41</v>
      </c>
      <c r="AL1153" s="1">
        <v>13050</v>
      </c>
      <c r="AM1153" t="s">
        <v>8</v>
      </c>
      <c r="AN1153" t="s">
        <v>8</v>
      </c>
      <c r="AO1153" t="s">
        <v>8</v>
      </c>
      <c r="AP1153">
        <v>5.25</v>
      </c>
      <c r="AQ1153" t="s">
        <v>8</v>
      </c>
      <c r="AR1153" t="s">
        <v>8</v>
      </c>
      <c r="AS1153" t="s">
        <v>8</v>
      </c>
      <c r="AT1153">
        <v>11945.7</v>
      </c>
    </row>
    <row r="1154" spans="34:46" x14ac:dyDescent="0.35">
      <c r="AH1154" t="s">
        <v>204</v>
      </c>
      <c r="AI1154" t="s">
        <v>180</v>
      </c>
      <c r="AJ1154" s="3">
        <v>43615</v>
      </c>
      <c r="AK1154" t="s">
        <v>41</v>
      </c>
      <c r="AL1154" s="1">
        <v>9450</v>
      </c>
      <c r="AM1154" t="s">
        <v>8</v>
      </c>
      <c r="AN1154" t="s">
        <v>8</v>
      </c>
      <c r="AO1154" t="s">
        <v>8</v>
      </c>
      <c r="AP1154" s="1">
        <v>1519.1</v>
      </c>
      <c r="AQ1154" t="s">
        <v>8</v>
      </c>
      <c r="AR1154" t="s">
        <v>8</v>
      </c>
      <c r="AS1154" t="s">
        <v>8</v>
      </c>
      <c r="AT1154">
        <v>11945.7</v>
      </c>
    </row>
    <row r="1155" spans="34:46" x14ac:dyDescent="0.35">
      <c r="AH1155" t="s">
        <v>204</v>
      </c>
      <c r="AI1155" t="s">
        <v>180</v>
      </c>
      <c r="AJ1155" s="3">
        <v>43671</v>
      </c>
      <c r="AK1155" t="s">
        <v>42</v>
      </c>
      <c r="AL1155" s="1">
        <v>10100</v>
      </c>
      <c r="AM1155" t="s">
        <v>8</v>
      </c>
      <c r="AN1155" t="s">
        <v>8</v>
      </c>
      <c r="AO1155" t="s">
        <v>8</v>
      </c>
      <c r="AP1155" s="1">
        <v>1.4</v>
      </c>
      <c r="AQ1155" t="s">
        <v>8</v>
      </c>
      <c r="AR1155" t="s">
        <v>8</v>
      </c>
      <c r="AS1155" t="s">
        <v>8</v>
      </c>
      <c r="AT1155">
        <v>11945.7</v>
      </c>
    </row>
    <row r="1156" spans="34:46" x14ac:dyDescent="0.35">
      <c r="AH1156" t="s">
        <v>204</v>
      </c>
      <c r="AI1156" t="s">
        <v>180</v>
      </c>
      <c r="AJ1156" s="3">
        <v>43825</v>
      </c>
      <c r="AK1156" t="s">
        <v>41</v>
      </c>
      <c r="AL1156" s="1">
        <v>8200</v>
      </c>
      <c r="AM1156" t="s">
        <v>8</v>
      </c>
      <c r="AN1156" t="s">
        <v>8</v>
      </c>
      <c r="AO1156" t="s">
        <v>8</v>
      </c>
      <c r="AP1156" s="1" t="s">
        <v>8</v>
      </c>
      <c r="AQ1156" t="s">
        <v>8</v>
      </c>
      <c r="AR1156" t="s">
        <v>8</v>
      </c>
      <c r="AS1156" t="s">
        <v>8</v>
      </c>
      <c r="AT1156">
        <v>11945.7</v>
      </c>
    </row>
    <row r="1157" spans="34:46" x14ac:dyDescent="0.35">
      <c r="AH1157" t="s">
        <v>204</v>
      </c>
      <c r="AI1157" t="s">
        <v>180</v>
      </c>
      <c r="AJ1157" s="3">
        <v>43643</v>
      </c>
      <c r="AK1157" t="s">
        <v>41</v>
      </c>
      <c r="AL1157" s="1">
        <v>8100</v>
      </c>
      <c r="AM1157" t="s">
        <v>8</v>
      </c>
      <c r="AN1157" t="s">
        <v>8</v>
      </c>
      <c r="AO1157" t="s">
        <v>8</v>
      </c>
      <c r="AP1157" s="1">
        <v>2475.1999999999998</v>
      </c>
      <c r="AQ1157" t="s">
        <v>8</v>
      </c>
      <c r="AR1157" t="s">
        <v>8</v>
      </c>
      <c r="AS1157" t="s">
        <v>8</v>
      </c>
      <c r="AT1157">
        <v>11945.7</v>
      </c>
    </row>
    <row r="1158" spans="34:46" x14ac:dyDescent="0.35">
      <c r="AH1158" t="s">
        <v>204</v>
      </c>
      <c r="AI1158" t="s">
        <v>180</v>
      </c>
      <c r="AJ1158" s="3">
        <v>43615</v>
      </c>
      <c r="AK1158" t="s">
        <v>41</v>
      </c>
      <c r="AL1158" s="1">
        <v>9650</v>
      </c>
      <c r="AM1158" t="s">
        <v>8</v>
      </c>
      <c r="AN1158" t="s">
        <v>8</v>
      </c>
      <c r="AO1158" t="s">
        <v>8</v>
      </c>
      <c r="AP1158" s="1">
        <v>1325.3</v>
      </c>
      <c r="AQ1158" t="s">
        <v>8</v>
      </c>
      <c r="AR1158" t="s">
        <v>8</v>
      </c>
      <c r="AS1158" t="s">
        <v>8</v>
      </c>
      <c r="AT1158">
        <v>11945.7</v>
      </c>
    </row>
    <row r="1159" spans="34:46" x14ac:dyDescent="0.35">
      <c r="AH1159" t="s">
        <v>204</v>
      </c>
      <c r="AI1159" t="s">
        <v>180</v>
      </c>
      <c r="AJ1159" s="3">
        <v>43643</v>
      </c>
      <c r="AK1159" t="s">
        <v>41</v>
      </c>
      <c r="AL1159" s="1">
        <v>8300</v>
      </c>
      <c r="AM1159" t="s">
        <v>8</v>
      </c>
      <c r="AN1159" t="s">
        <v>8</v>
      </c>
      <c r="AO1159" t="s">
        <v>8</v>
      </c>
      <c r="AP1159" s="1">
        <v>2375</v>
      </c>
      <c r="AQ1159" t="s">
        <v>8</v>
      </c>
      <c r="AR1159" t="s">
        <v>8</v>
      </c>
      <c r="AS1159" t="s">
        <v>8</v>
      </c>
      <c r="AT1159">
        <v>11945.7</v>
      </c>
    </row>
    <row r="1160" spans="34:46" x14ac:dyDescent="0.35">
      <c r="AH1160" t="s">
        <v>204</v>
      </c>
      <c r="AI1160" t="s">
        <v>180</v>
      </c>
      <c r="AJ1160" s="3">
        <v>43636</v>
      </c>
      <c r="AK1160" t="s">
        <v>42</v>
      </c>
      <c r="AL1160" s="1">
        <v>13300</v>
      </c>
      <c r="AM1160" t="s">
        <v>8</v>
      </c>
      <c r="AN1160" t="s">
        <v>8</v>
      </c>
      <c r="AO1160" t="s">
        <v>8</v>
      </c>
      <c r="AP1160" s="1">
        <v>1406.45</v>
      </c>
      <c r="AQ1160" t="s">
        <v>8</v>
      </c>
      <c r="AR1160" t="s">
        <v>8</v>
      </c>
      <c r="AS1160" t="s">
        <v>8</v>
      </c>
      <c r="AT1160">
        <v>11945.7</v>
      </c>
    </row>
    <row r="1161" spans="34:46" x14ac:dyDescent="0.35">
      <c r="AH1161" t="s">
        <v>204</v>
      </c>
      <c r="AI1161" t="s">
        <v>180</v>
      </c>
      <c r="AJ1161" s="3">
        <v>43615</v>
      </c>
      <c r="AK1161" t="s">
        <v>42</v>
      </c>
      <c r="AL1161" s="1">
        <v>13400</v>
      </c>
      <c r="AM1161" t="s">
        <v>8</v>
      </c>
      <c r="AN1161" t="s">
        <v>8</v>
      </c>
      <c r="AO1161" t="s">
        <v>8</v>
      </c>
      <c r="AP1161" s="1">
        <v>1467.95</v>
      </c>
      <c r="AQ1161" t="s">
        <v>8</v>
      </c>
      <c r="AR1161" t="s">
        <v>8</v>
      </c>
      <c r="AS1161" t="s">
        <v>8</v>
      </c>
      <c r="AT1161">
        <v>11945.7</v>
      </c>
    </row>
    <row r="1162" spans="34:46" x14ac:dyDescent="0.35">
      <c r="AH1162" t="s">
        <v>204</v>
      </c>
      <c r="AI1162" t="s">
        <v>180</v>
      </c>
      <c r="AJ1162" s="3">
        <v>43657</v>
      </c>
      <c r="AK1162" t="s">
        <v>42</v>
      </c>
      <c r="AL1162" s="1">
        <v>12350</v>
      </c>
      <c r="AM1162" t="s">
        <v>8</v>
      </c>
      <c r="AN1162" t="s">
        <v>8</v>
      </c>
      <c r="AO1162" t="s">
        <v>8</v>
      </c>
      <c r="AP1162">
        <v>927.05</v>
      </c>
      <c r="AQ1162" t="s">
        <v>8</v>
      </c>
      <c r="AR1162" t="s">
        <v>8</v>
      </c>
      <c r="AS1162" t="s">
        <v>8</v>
      </c>
      <c r="AT1162">
        <v>11945.7</v>
      </c>
    </row>
    <row r="1163" spans="34:46" x14ac:dyDescent="0.35">
      <c r="AH1163" t="s">
        <v>204</v>
      </c>
      <c r="AI1163" t="s">
        <v>180</v>
      </c>
      <c r="AJ1163" s="3">
        <v>43825</v>
      </c>
      <c r="AK1163" t="s">
        <v>42</v>
      </c>
      <c r="AL1163" s="1">
        <v>7100</v>
      </c>
      <c r="AM1163" t="s">
        <v>8</v>
      </c>
      <c r="AN1163" t="s">
        <v>8</v>
      </c>
      <c r="AO1163" t="s">
        <v>8</v>
      </c>
      <c r="AP1163" s="1">
        <v>64.25</v>
      </c>
      <c r="AQ1163" t="s">
        <v>8</v>
      </c>
      <c r="AR1163" t="s">
        <v>8</v>
      </c>
      <c r="AS1163" t="s">
        <v>8</v>
      </c>
      <c r="AT1163">
        <v>11945.7</v>
      </c>
    </row>
    <row r="1164" spans="34:46" x14ac:dyDescent="0.35">
      <c r="AH1164" t="s">
        <v>204</v>
      </c>
      <c r="AI1164" t="s">
        <v>180</v>
      </c>
      <c r="AJ1164" s="3">
        <v>43650</v>
      </c>
      <c r="AK1164" t="s">
        <v>41</v>
      </c>
      <c r="AL1164" s="1">
        <v>10000</v>
      </c>
      <c r="AM1164" t="s">
        <v>8</v>
      </c>
      <c r="AN1164" t="s">
        <v>8</v>
      </c>
      <c r="AO1164" t="s">
        <v>8</v>
      </c>
      <c r="AP1164" s="1">
        <v>1610.85</v>
      </c>
      <c r="AQ1164" t="s">
        <v>8</v>
      </c>
      <c r="AR1164" t="s">
        <v>8</v>
      </c>
      <c r="AS1164" t="s">
        <v>8</v>
      </c>
      <c r="AT1164">
        <v>11945.7</v>
      </c>
    </row>
    <row r="1165" spans="34:46" x14ac:dyDescent="0.35">
      <c r="AH1165" t="s">
        <v>204</v>
      </c>
      <c r="AI1165" t="s">
        <v>180</v>
      </c>
      <c r="AJ1165" s="3">
        <v>43643</v>
      </c>
      <c r="AK1165" t="s">
        <v>42</v>
      </c>
      <c r="AL1165" s="1">
        <v>7200</v>
      </c>
      <c r="AM1165" t="s">
        <v>8</v>
      </c>
      <c r="AN1165" t="s">
        <v>8</v>
      </c>
      <c r="AO1165" t="s">
        <v>8</v>
      </c>
      <c r="AP1165" s="1">
        <v>97.35</v>
      </c>
      <c r="AQ1165" t="s">
        <v>8</v>
      </c>
      <c r="AR1165" t="s">
        <v>8</v>
      </c>
      <c r="AS1165" t="s">
        <v>8</v>
      </c>
      <c r="AT1165">
        <v>11945.7</v>
      </c>
    </row>
    <row r="1166" spans="34:46" x14ac:dyDescent="0.35">
      <c r="AH1166" t="s">
        <v>204</v>
      </c>
      <c r="AI1166" t="s">
        <v>180</v>
      </c>
      <c r="AJ1166" s="3">
        <v>43825</v>
      </c>
      <c r="AK1166" t="s">
        <v>42</v>
      </c>
      <c r="AL1166" s="1">
        <v>7300</v>
      </c>
      <c r="AM1166" t="s">
        <v>8</v>
      </c>
      <c r="AN1166" t="s">
        <v>8</v>
      </c>
      <c r="AO1166" t="s">
        <v>8</v>
      </c>
      <c r="AP1166">
        <v>66</v>
      </c>
      <c r="AQ1166" t="s">
        <v>8</v>
      </c>
      <c r="AR1166" t="s">
        <v>8</v>
      </c>
      <c r="AS1166" t="s">
        <v>8</v>
      </c>
      <c r="AT1166">
        <v>11945.7</v>
      </c>
    </row>
    <row r="1167" spans="34:46" x14ac:dyDescent="0.35">
      <c r="AH1167" t="s">
        <v>204</v>
      </c>
      <c r="AI1167" t="s">
        <v>180</v>
      </c>
      <c r="AJ1167" s="3">
        <v>43650</v>
      </c>
      <c r="AK1167" t="s">
        <v>41</v>
      </c>
      <c r="AL1167" s="1">
        <v>10200</v>
      </c>
      <c r="AM1167" t="s">
        <v>8</v>
      </c>
      <c r="AN1167" t="s">
        <v>8</v>
      </c>
      <c r="AO1167" t="s">
        <v>8</v>
      </c>
      <c r="AP1167" s="1">
        <v>1650</v>
      </c>
      <c r="AQ1167" t="s">
        <v>8</v>
      </c>
      <c r="AR1167" t="s">
        <v>8</v>
      </c>
      <c r="AS1167" t="s">
        <v>8</v>
      </c>
      <c r="AT1167">
        <v>11945.7</v>
      </c>
    </row>
    <row r="1168" spans="34:46" x14ac:dyDescent="0.35">
      <c r="AH1168" t="s">
        <v>204</v>
      </c>
      <c r="AI1168" t="s">
        <v>180</v>
      </c>
      <c r="AJ1168" s="3">
        <v>43643</v>
      </c>
      <c r="AK1168" t="s">
        <v>42</v>
      </c>
      <c r="AL1168" s="1">
        <v>7400</v>
      </c>
      <c r="AM1168" t="s">
        <v>8</v>
      </c>
      <c r="AN1168" t="s">
        <v>8</v>
      </c>
      <c r="AO1168" t="s">
        <v>8</v>
      </c>
      <c r="AP1168" s="1">
        <v>115.35</v>
      </c>
      <c r="AQ1168" t="s">
        <v>8</v>
      </c>
      <c r="AR1168" t="s">
        <v>8</v>
      </c>
      <c r="AS1168" t="s">
        <v>8</v>
      </c>
      <c r="AT1168">
        <v>11945.7</v>
      </c>
    </row>
    <row r="1169" spans="34:46" x14ac:dyDescent="0.35">
      <c r="AH1169" t="s">
        <v>204</v>
      </c>
      <c r="AI1169" t="s">
        <v>180</v>
      </c>
      <c r="AJ1169" s="3">
        <v>44007</v>
      </c>
      <c r="AK1169" t="s">
        <v>42</v>
      </c>
      <c r="AL1169" s="1">
        <v>11800</v>
      </c>
      <c r="AM1169" t="s">
        <v>8</v>
      </c>
      <c r="AN1169" t="s">
        <v>8</v>
      </c>
      <c r="AO1169" t="s">
        <v>8</v>
      </c>
      <c r="AP1169" s="1" t="s">
        <v>8</v>
      </c>
      <c r="AQ1169" t="s">
        <v>8</v>
      </c>
      <c r="AR1169" t="s">
        <v>8</v>
      </c>
      <c r="AS1169" t="s">
        <v>8</v>
      </c>
      <c r="AT1169">
        <v>11945.7</v>
      </c>
    </row>
    <row r="1170" spans="34:46" x14ac:dyDescent="0.35">
      <c r="AH1170" t="s">
        <v>204</v>
      </c>
      <c r="AI1170" t="s">
        <v>180</v>
      </c>
      <c r="AJ1170" s="3">
        <v>43650</v>
      </c>
      <c r="AK1170" t="s">
        <v>41</v>
      </c>
      <c r="AL1170" s="1">
        <v>10400</v>
      </c>
      <c r="AM1170" t="s">
        <v>8</v>
      </c>
      <c r="AN1170" t="s">
        <v>8</v>
      </c>
      <c r="AO1170" t="s">
        <v>8</v>
      </c>
      <c r="AP1170" s="1">
        <v>1453.5</v>
      </c>
      <c r="AQ1170" t="s">
        <v>8</v>
      </c>
      <c r="AR1170" t="s">
        <v>8</v>
      </c>
      <c r="AS1170" t="s">
        <v>8</v>
      </c>
      <c r="AT1170">
        <v>11945.7</v>
      </c>
    </row>
    <row r="1171" spans="34:46" x14ac:dyDescent="0.35">
      <c r="AH1171" t="s">
        <v>204</v>
      </c>
      <c r="AI1171" t="s">
        <v>180</v>
      </c>
      <c r="AJ1171" s="3">
        <v>43671</v>
      </c>
      <c r="AK1171" t="s">
        <v>41</v>
      </c>
      <c r="AL1171" s="1">
        <v>10700</v>
      </c>
      <c r="AM1171" t="s">
        <v>8</v>
      </c>
      <c r="AN1171" t="s">
        <v>8</v>
      </c>
      <c r="AO1171" t="s">
        <v>8</v>
      </c>
      <c r="AP1171" s="1">
        <v>1151.25</v>
      </c>
      <c r="AQ1171" t="s">
        <v>8</v>
      </c>
      <c r="AR1171" t="s">
        <v>8</v>
      </c>
      <c r="AS1171" t="s">
        <v>8</v>
      </c>
      <c r="AT1171">
        <v>11945.7</v>
      </c>
    </row>
    <row r="1172" spans="34:46" x14ac:dyDescent="0.35">
      <c r="AH1172" t="s">
        <v>204</v>
      </c>
      <c r="AI1172" t="s">
        <v>180</v>
      </c>
      <c r="AJ1172" s="3">
        <v>43671</v>
      </c>
      <c r="AK1172" t="s">
        <v>41</v>
      </c>
      <c r="AL1172" s="1">
        <v>10900</v>
      </c>
      <c r="AM1172" t="s">
        <v>8</v>
      </c>
      <c r="AN1172" t="s">
        <v>8</v>
      </c>
      <c r="AO1172" t="s">
        <v>8</v>
      </c>
      <c r="AP1172" s="1">
        <v>1100</v>
      </c>
      <c r="AQ1172" t="s">
        <v>8</v>
      </c>
      <c r="AR1172" t="s">
        <v>8</v>
      </c>
      <c r="AS1172" t="s">
        <v>8</v>
      </c>
      <c r="AT1172">
        <v>11945.7</v>
      </c>
    </row>
    <row r="1173" spans="34:46" x14ac:dyDescent="0.35">
      <c r="AH1173" t="s">
        <v>204</v>
      </c>
      <c r="AI1173" t="s">
        <v>180</v>
      </c>
      <c r="AJ1173" s="3">
        <v>43629</v>
      </c>
      <c r="AK1173" t="s">
        <v>42</v>
      </c>
      <c r="AL1173" s="1">
        <v>11150</v>
      </c>
      <c r="AM1173" t="s">
        <v>8</v>
      </c>
      <c r="AN1173" t="s">
        <v>8</v>
      </c>
      <c r="AO1173" t="s">
        <v>8</v>
      </c>
      <c r="AP1173">
        <v>45.05</v>
      </c>
      <c r="AQ1173" t="s">
        <v>8</v>
      </c>
      <c r="AR1173" t="s">
        <v>8</v>
      </c>
      <c r="AS1173" t="s">
        <v>8</v>
      </c>
      <c r="AT1173">
        <v>11945.7</v>
      </c>
    </row>
    <row r="1174" spans="34:46" x14ac:dyDescent="0.35">
      <c r="AH1174" t="s">
        <v>204</v>
      </c>
      <c r="AI1174" t="s">
        <v>180</v>
      </c>
      <c r="AJ1174" s="3">
        <v>44196</v>
      </c>
      <c r="AK1174" t="s">
        <v>42</v>
      </c>
      <c r="AL1174" s="1">
        <v>5100</v>
      </c>
      <c r="AM1174" t="s">
        <v>8</v>
      </c>
      <c r="AN1174" t="s">
        <v>8</v>
      </c>
      <c r="AO1174" t="s">
        <v>8</v>
      </c>
      <c r="AP1174" s="1">
        <v>22.1</v>
      </c>
      <c r="AQ1174" t="s">
        <v>8</v>
      </c>
      <c r="AR1174" t="s">
        <v>8</v>
      </c>
      <c r="AS1174" t="s">
        <v>8</v>
      </c>
      <c r="AT1174">
        <v>11945.7</v>
      </c>
    </row>
    <row r="1175" spans="34:46" x14ac:dyDescent="0.35">
      <c r="AH1175" t="s">
        <v>204</v>
      </c>
      <c r="AI1175" t="s">
        <v>180</v>
      </c>
      <c r="AJ1175" s="3">
        <v>44371</v>
      </c>
      <c r="AK1175" t="s">
        <v>42</v>
      </c>
      <c r="AL1175" s="1">
        <v>7600</v>
      </c>
      <c r="AM1175" t="s">
        <v>8</v>
      </c>
      <c r="AN1175" t="s">
        <v>8</v>
      </c>
      <c r="AO1175" t="s">
        <v>8</v>
      </c>
      <c r="AP1175" s="1">
        <v>145.15</v>
      </c>
      <c r="AQ1175" t="s">
        <v>8</v>
      </c>
      <c r="AR1175" t="s">
        <v>8</v>
      </c>
      <c r="AS1175" t="s">
        <v>8</v>
      </c>
      <c r="AT1175">
        <v>11945.7</v>
      </c>
    </row>
    <row r="1176" spans="34:46" x14ac:dyDescent="0.35">
      <c r="AH1176" t="s">
        <v>204</v>
      </c>
      <c r="AI1176" t="s">
        <v>180</v>
      </c>
      <c r="AJ1176" s="3">
        <v>45288</v>
      </c>
      <c r="AK1176" t="s">
        <v>42</v>
      </c>
      <c r="AL1176" s="1">
        <v>9500</v>
      </c>
      <c r="AM1176" t="s">
        <v>8</v>
      </c>
      <c r="AN1176" t="s">
        <v>8</v>
      </c>
      <c r="AO1176" t="s">
        <v>8</v>
      </c>
      <c r="AP1176" s="1">
        <v>173.2</v>
      </c>
      <c r="AQ1176" t="s">
        <v>8</v>
      </c>
      <c r="AR1176" t="s">
        <v>8</v>
      </c>
      <c r="AS1176" t="s">
        <v>8</v>
      </c>
      <c r="AT1176">
        <v>11945.7</v>
      </c>
    </row>
    <row r="1177" spans="34:46" x14ac:dyDescent="0.35">
      <c r="AH1177" t="s">
        <v>204</v>
      </c>
      <c r="AI1177" t="s">
        <v>180</v>
      </c>
      <c r="AJ1177" s="3">
        <v>44371</v>
      </c>
      <c r="AK1177" t="s">
        <v>42</v>
      </c>
      <c r="AL1177" s="1">
        <v>7800</v>
      </c>
      <c r="AM1177" t="s">
        <v>8</v>
      </c>
      <c r="AN1177" t="s">
        <v>8</v>
      </c>
      <c r="AO1177" t="s">
        <v>8</v>
      </c>
      <c r="AP1177" s="1">
        <v>168.95</v>
      </c>
      <c r="AQ1177" t="s">
        <v>8</v>
      </c>
      <c r="AR1177" t="s">
        <v>8</v>
      </c>
      <c r="AS1177" t="s">
        <v>8</v>
      </c>
      <c r="AT1177">
        <v>11945.7</v>
      </c>
    </row>
    <row r="1178" spans="34:46" x14ac:dyDescent="0.35">
      <c r="AH1178" t="s">
        <v>204</v>
      </c>
      <c r="AI1178" t="s">
        <v>180</v>
      </c>
      <c r="AJ1178" s="3">
        <v>45288</v>
      </c>
      <c r="AK1178" t="s">
        <v>42</v>
      </c>
      <c r="AL1178" s="1">
        <v>9700</v>
      </c>
      <c r="AM1178" t="s">
        <v>8</v>
      </c>
      <c r="AN1178" t="s">
        <v>8</v>
      </c>
      <c r="AO1178" t="s">
        <v>8</v>
      </c>
      <c r="AP1178" s="1">
        <v>194.65</v>
      </c>
      <c r="AQ1178" t="s">
        <v>8</v>
      </c>
      <c r="AR1178" t="s">
        <v>8</v>
      </c>
      <c r="AS1178" t="s">
        <v>8</v>
      </c>
      <c r="AT1178">
        <v>11945.7</v>
      </c>
    </row>
    <row r="1179" spans="34:46" x14ac:dyDescent="0.35">
      <c r="AH1179" t="s">
        <v>204</v>
      </c>
      <c r="AI1179" t="s">
        <v>180</v>
      </c>
      <c r="AJ1179" s="3">
        <v>45106</v>
      </c>
      <c r="AK1179" t="s">
        <v>42</v>
      </c>
      <c r="AL1179" s="1">
        <v>9800</v>
      </c>
      <c r="AM1179" t="s">
        <v>8</v>
      </c>
      <c r="AN1179" t="s">
        <v>8</v>
      </c>
      <c r="AO1179" t="s">
        <v>8</v>
      </c>
      <c r="AP1179" s="1">
        <v>34.85</v>
      </c>
      <c r="AQ1179" t="s">
        <v>8</v>
      </c>
      <c r="AR1179" t="s">
        <v>8</v>
      </c>
      <c r="AS1179" t="s">
        <v>8</v>
      </c>
      <c r="AT1179">
        <v>11945.7</v>
      </c>
    </row>
    <row r="1180" spans="34:46" x14ac:dyDescent="0.35">
      <c r="AH1180" t="s">
        <v>204</v>
      </c>
      <c r="AI1180" t="s">
        <v>180</v>
      </c>
      <c r="AJ1180" s="3">
        <v>45288</v>
      </c>
      <c r="AK1180" t="s">
        <v>42</v>
      </c>
      <c r="AL1180" s="1">
        <v>9900</v>
      </c>
      <c r="AM1180" t="s">
        <v>8</v>
      </c>
      <c r="AN1180" t="s">
        <v>8</v>
      </c>
      <c r="AO1180" t="s">
        <v>8</v>
      </c>
      <c r="AP1180" s="1">
        <v>217.85</v>
      </c>
      <c r="AQ1180" t="s">
        <v>8</v>
      </c>
      <c r="AR1180" t="s">
        <v>8</v>
      </c>
      <c r="AS1180" t="s">
        <v>8</v>
      </c>
      <c r="AT1180">
        <v>11945.7</v>
      </c>
    </row>
    <row r="1181" spans="34:46" x14ac:dyDescent="0.35">
      <c r="AH1181" t="s">
        <v>204</v>
      </c>
      <c r="AI1181" t="s">
        <v>180</v>
      </c>
      <c r="AJ1181" s="3">
        <v>43629</v>
      </c>
      <c r="AK1181" t="s">
        <v>41</v>
      </c>
      <c r="AL1181" s="1">
        <v>13050</v>
      </c>
      <c r="AM1181" t="s">
        <v>8</v>
      </c>
      <c r="AN1181" t="s">
        <v>8</v>
      </c>
      <c r="AO1181" t="s">
        <v>8</v>
      </c>
      <c r="AP1181" s="1">
        <v>3.75</v>
      </c>
      <c r="AQ1181" t="s">
        <v>8</v>
      </c>
      <c r="AR1181" t="s">
        <v>8</v>
      </c>
      <c r="AS1181" t="s">
        <v>8</v>
      </c>
      <c r="AT1181">
        <v>11945.7</v>
      </c>
    </row>
    <row r="1182" spans="34:46" x14ac:dyDescent="0.35">
      <c r="AH1182" t="s">
        <v>204</v>
      </c>
      <c r="AI1182" t="s">
        <v>180</v>
      </c>
      <c r="AJ1182" s="3">
        <v>44196</v>
      </c>
      <c r="AK1182" t="s">
        <v>42</v>
      </c>
      <c r="AL1182" s="1">
        <v>11100</v>
      </c>
      <c r="AM1182" t="s">
        <v>8</v>
      </c>
      <c r="AN1182" t="s">
        <v>8</v>
      </c>
      <c r="AO1182" t="s">
        <v>8</v>
      </c>
      <c r="AP1182" s="1">
        <v>742</v>
      </c>
      <c r="AQ1182" t="s">
        <v>8</v>
      </c>
      <c r="AR1182" t="s">
        <v>8</v>
      </c>
      <c r="AS1182" t="s">
        <v>8</v>
      </c>
      <c r="AT1182">
        <v>11945.7</v>
      </c>
    </row>
    <row r="1183" spans="34:46" x14ac:dyDescent="0.35">
      <c r="AH1183" t="s">
        <v>204</v>
      </c>
      <c r="AI1183" t="s">
        <v>180</v>
      </c>
      <c r="AJ1183" s="3">
        <v>44196</v>
      </c>
      <c r="AK1183" t="s">
        <v>42</v>
      </c>
      <c r="AL1183" s="1">
        <v>11300</v>
      </c>
      <c r="AM1183" t="s">
        <v>8</v>
      </c>
      <c r="AN1183" t="s">
        <v>8</v>
      </c>
      <c r="AO1183" t="s">
        <v>8</v>
      </c>
      <c r="AP1183" s="1">
        <v>680</v>
      </c>
      <c r="AQ1183" t="s">
        <v>8</v>
      </c>
      <c r="AR1183" t="s">
        <v>8</v>
      </c>
      <c r="AS1183" t="s">
        <v>8</v>
      </c>
      <c r="AT1183">
        <v>11945.7</v>
      </c>
    </row>
    <row r="1184" spans="34:46" x14ac:dyDescent="0.35">
      <c r="AH1184" t="s">
        <v>204</v>
      </c>
      <c r="AI1184" t="s">
        <v>180</v>
      </c>
      <c r="AJ1184" s="3">
        <v>43629</v>
      </c>
      <c r="AK1184" t="s">
        <v>42</v>
      </c>
      <c r="AL1184" s="1">
        <v>13100</v>
      </c>
      <c r="AM1184" t="s">
        <v>8</v>
      </c>
      <c r="AN1184" t="s">
        <v>8</v>
      </c>
      <c r="AO1184" t="s">
        <v>8</v>
      </c>
      <c r="AP1184" s="1">
        <v>1351</v>
      </c>
      <c r="AQ1184" t="s">
        <v>8</v>
      </c>
      <c r="AR1184" t="s">
        <v>8</v>
      </c>
      <c r="AS1184" t="s">
        <v>8</v>
      </c>
      <c r="AT1184">
        <v>11945.7</v>
      </c>
    </row>
    <row r="1185" spans="34:46" x14ac:dyDescent="0.35">
      <c r="AH1185" t="s">
        <v>204</v>
      </c>
      <c r="AI1185" t="s">
        <v>180</v>
      </c>
      <c r="AJ1185" s="3">
        <v>43629</v>
      </c>
      <c r="AK1185" t="s">
        <v>42</v>
      </c>
      <c r="AL1185" s="1">
        <v>13300</v>
      </c>
      <c r="AM1185" t="s">
        <v>8</v>
      </c>
      <c r="AN1185" t="s">
        <v>8</v>
      </c>
      <c r="AO1185" t="s">
        <v>8</v>
      </c>
      <c r="AP1185" s="1">
        <v>1370.6</v>
      </c>
      <c r="AQ1185" t="s">
        <v>8</v>
      </c>
      <c r="AR1185" t="s">
        <v>8</v>
      </c>
      <c r="AS1185" t="s">
        <v>8</v>
      </c>
      <c r="AT1185">
        <v>11945.7</v>
      </c>
    </row>
    <row r="1186" spans="34:46" x14ac:dyDescent="0.35">
      <c r="AH1186" t="s">
        <v>204</v>
      </c>
      <c r="AI1186" t="s">
        <v>180</v>
      </c>
      <c r="AJ1186" s="3">
        <v>43671</v>
      </c>
      <c r="AK1186" t="s">
        <v>42</v>
      </c>
      <c r="AL1186" s="1">
        <v>12450</v>
      </c>
      <c r="AM1186" t="s">
        <v>8</v>
      </c>
      <c r="AN1186" t="s">
        <v>8</v>
      </c>
      <c r="AO1186" t="s">
        <v>8</v>
      </c>
      <c r="AP1186">
        <v>700.55</v>
      </c>
      <c r="AQ1186" t="s">
        <v>8</v>
      </c>
      <c r="AR1186" t="s">
        <v>8</v>
      </c>
      <c r="AS1186" t="s">
        <v>8</v>
      </c>
      <c r="AT1186">
        <v>11945.7</v>
      </c>
    </row>
    <row r="1187" spans="34:46" x14ac:dyDescent="0.35">
      <c r="AH1187" t="s">
        <v>204</v>
      </c>
      <c r="AI1187" t="s">
        <v>180</v>
      </c>
      <c r="AJ1187" s="3">
        <v>43636</v>
      </c>
      <c r="AK1187" t="s">
        <v>41</v>
      </c>
      <c r="AL1187" s="1">
        <v>10200</v>
      </c>
      <c r="AM1187" t="s">
        <v>8</v>
      </c>
      <c r="AN1187" t="s">
        <v>8</v>
      </c>
      <c r="AO1187" t="s">
        <v>8</v>
      </c>
      <c r="AP1187" s="1">
        <v>1510.2</v>
      </c>
      <c r="AQ1187" t="s">
        <v>8</v>
      </c>
      <c r="AR1187" t="s">
        <v>8</v>
      </c>
      <c r="AS1187" t="s">
        <v>8</v>
      </c>
      <c r="AT1187">
        <v>11945.7</v>
      </c>
    </row>
    <row r="1188" spans="34:46" x14ac:dyDescent="0.35">
      <c r="AH1188" t="s">
        <v>204</v>
      </c>
      <c r="AI1188" t="s">
        <v>180</v>
      </c>
      <c r="AJ1188" s="3">
        <v>44007</v>
      </c>
      <c r="AK1188" t="s">
        <v>41</v>
      </c>
      <c r="AL1188" s="1">
        <v>9000</v>
      </c>
      <c r="AM1188" t="s">
        <v>8</v>
      </c>
      <c r="AN1188" t="s">
        <v>8</v>
      </c>
      <c r="AO1188" t="s">
        <v>8</v>
      </c>
      <c r="AP1188" t="s">
        <v>8</v>
      </c>
      <c r="AQ1188" t="s">
        <v>8</v>
      </c>
      <c r="AR1188" t="s">
        <v>8</v>
      </c>
      <c r="AS1188" t="s">
        <v>8</v>
      </c>
      <c r="AT1188">
        <v>11945.7</v>
      </c>
    </row>
    <row r="1189" spans="34:46" x14ac:dyDescent="0.35">
      <c r="AH1189" t="s">
        <v>204</v>
      </c>
      <c r="AI1189" t="s">
        <v>180</v>
      </c>
      <c r="AJ1189" s="3">
        <v>44742</v>
      </c>
      <c r="AK1189" t="s">
        <v>42</v>
      </c>
      <c r="AL1189" s="1">
        <v>12100</v>
      </c>
      <c r="AM1189" t="s">
        <v>8</v>
      </c>
      <c r="AN1189" t="s">
        <v>8</v>
      </c>
      <c r="AO1189" t="s">
        <v>8</v>
      </c>
      <c r="AP1189" s="1">
        <v>335.65</v>
      </c>
      <c r="AQ1189" t="s">
        <v>8</v>
      </c>
      <c r="AR1189" t="s">
        <v>8</v>
      </c>
      <c r="AS1189" t="s">
        <v>8</v>
      </c>
      <c r="AT1189">
        <v>11945.7</v>
      </c>
    </row>
    <row r="1190" spans="34:46" x14ac:dyDescent="0.35">
      <c r="AH1190" t="s">
        <v>204</v>
      </c>
      <c r="AI1190" t="s">
        <v>180</v>
      </c>
      <c r="AJ1190" s="3">
        <v>43671</v>
      </c>
      <c r="AK1190" t="s">
        <v>42</v>
      </c>
      <c r="AL1190" s="1">
        <v>12650</v>
      </c>
      <c r="AM1190" t="s">
        <v>8</v>
      </c>
      <c r="AN1190" t="s">
        <v>8</v>
      </c>
      <c r="AO1190" t="s">
        <v>8</v>
      </c>
      <c r="AP1190">
        <v>859.7</v>
      </c>
      <c r="AQ1190" t="s">
        <v>8</v>
      </c>
      <c r="AR1190" t="s">
        <v>8</v>
      </c>
      <c r="AS1190" t="s">
        <v>8</v>
      </c>
      <c r="AT1190">
        <v>11945.7</v>
      </c>
    </row>
    <row r="1191" spans="34:46" x14ac:dyDescent="0.35">
      <c r="AH1191" t="s">
        <v>204</v>
      </c>
      <c r="AI1191" t="s">
        <v>180</v>
      </c>
      <c r="AJ1191" s="3">
        <v>43636</v>
      </c>
      <c r="AK1191" t="s">
        <v>41</v>
      </c>
      <c r="AL1191" s="1">
        <v>10400</v>
      </c>
      <c r="AM1191" t="s">
        <v>8</v>
      </c>
      <c r="AN1191" t="s">
        <v>8</v>
      </c>
      <c r="AO1191" t="s">
        <v>8</v>
      </c>
      <c r="AP1191" s="1">
        <v>1472</v>
      </c>
      <c r="AQ1191" t="s">
        <v>8</v>
      </c>
      <c r="AR1191" t="s">
        <v>8</v>
      </c>
      <c r="AS1191" t="s">
        <v>8</v>
      </c>
      <c r="AT1191">
        <v>11945.7</v>
      </c>
    </row>
    <row r="1192" spans="34:46" x14ac:dyDescent="0.35">
      <c r="AH1192" t="s">
        <v>204</v>
      </c>
      <c r="AI1192" t="s">
        <v>180</v>
      </c>
      <c r="AJ1192" s="3">
        <v>44742</v>
      </c>
      <c r="AK1192" t="s">
        <v>42</v>
      </c>
      <c r="AL1192" s="1">
        <v>12300</v>
      </c>
      <c r="AM1192" t="s">
        <v>8</v>
      </c>
      <c r="AN1192" t="s">
        <v>8</v>
      </c>
      <c r="AO1192" t="s">
        <v>8</v>
      </c>
      <c r="AP1192">
        <v>395.85</v>
      </c>
      <c r="AQ1192" t="s">
        <v>8</v>
      </c>
      <c r="AR1192" t="s">
        <v>8</v>
      </c>
      <c r="AS1192" t="s">
        <v>8</v>
      </c>
      <c r="AT1192">
        <v>11945.7</v>
      </c>
    </row>
    <row r="1193" spans="34:46" x14ac:dyDescent="0.35">
      <c r="AH1193" t="s">
        <v>204</v>
      </c>
      <c r="AI1193" t="s">
        <v>180</v>
      </c>
      <c r="AJ1193" s="3">
        <v>45106</v>
      </c>
      <c r="AK1193" t="s">
        <v>41</v>
      </c>
      <c r="AL1193" s="1">
        <v>11000</v>
      </c>
      <c r="AM1193" t="s">
        <v>8</v>
      </c>
      <c r="AN1193" t="s">
        <v>8</v>
      </c>
      <c r="AO1193" t="s">
        <v>8</v>
      </c>
      <c r="AP1193" s="1" t="s">
        <v>8</v>
      </c>
      <c r="AQ1193" t="s">
        <v>8</v>
      </c>
      <c r="AR1193" t="s">
        <v>8</v>
      </c>
      <c r="AS1193" t="s">
        <v>8</v>
      </c>
      <c r="AT1193">
        <v>11945.7</v>
      </c>
    </row>
    <row r="1194" spans="34:46" x14ac:dyDescent="0.35">
      <c r="AH1194" t="s">
        <v>204</v>
      </c>
      <c r="AI1194" t="s">
        <v>180</v>
      </c>
      <c r="AJ1194" s="3">
        <v>43734</v>
      </c>
      <c r="AK1194" t="s">
        <v>41</v>
      </c>
      <c r="AL1194" s="1">
        <v>11500</v>
      </c>
      <c r="AM1194" t="s">
        <v>8</v>
      </c>
      <c r="AN1194" t="s">
        <v>8</v>
      </c>
      <c r="AO1194" t="s">
        <v>8</v>
      </c>
      <c r="AP1194">
        <v>650</v>
      </c>
      <c r="AQ1194" t="s">
        <v>8</v>
      </c>
      <c r="AR1194" t="s">
        <v>8</v>
      </c>
      <c r="AS1194" t="s">
        <v>8</v>
      </c>
      <c r="AT1194">
        <v>11945.7</v>
      </c>
    </row>
    <row r="1195" spans="34:46" x14ac:dyDescent="0.35">
      <c r="AH1195" t="s">
        <v>204</v>
      </c>
      <c r="AI1195" t="s">
        <v>180</v>
      </c>
      <c r="AJ1195" s="3">
        <v>44924</v>
      </c>
      <c r="AK1195" t="s">
        <v>42</v>
      </c>
      <c r="AL1195" s="1">
        <v>10100</v>
      </c>
      <c r="AM1195" t="s">
        <v>8</v>
      </c>
      <c r="AN1195" t="s">
        <v>8</v>
      </c>
      <c r="AO1195" t="s">
        <v>8</v>
      </c>
      <c r="AP1195" s="1">
        <v>67.650000000000006</v>
      </c>
      <c r="AQ1195" t="s">
        <v>8</v>
      </c>
      <c r="AR1195" t="s">
        <v>8</v>
      </c>
      <c r="AS1195" t="s">
        <v>8</v>
      </c>
      <c r="AT1195">
        <v>11945.7</v>
      </c>
    </row>
    <row r="1196" spans="34:46" x14ac:dyDescent="0.35">
      <c r="AH1196" t="s">
        <v>204</v>
      </c>
      <c r="AI1196" t="s">
        <v>180</v>
      </c>
      <c r="AJ1196" s="3">
        <v>43664</v>
      </c>
      <c r="AK1196" t="s">
        <v>41</v>
      </c>
      <c r="AL1196" s="1">
        <v>10500</v>
      </c>
      <c r="AM1196" t="s">
        <v>8</v>
      </c>
      <c r="AN1196" t="s">
        <v>8</v>
      </c>
      <c r="AO1196" t="s">
        <v>8</v>
      </c>
      <c r="AP1196" s="1">
        <v>909.65</v>
      </c>
      <c r="AQ1196" t="s">
        <v>8</v>
      </c>
      <c r="AR1196" t="s">
        <v>8</v>
      </c>
      <c r="AS1196" t="s">
        <v>8</v>
      </c>
      <c r="AT1196">
        <v>11945.7</v>
      </c>
    </row>
    <row r="1197" spans="34:46" x14ac:dyDescent="0.35">
      <c r="AH1197" t="s">
        <v>204</v>
      </c>
      <c r="AI1197" t="s">
        <v>180</v>
      </c>
      <c r="AJ1197" s="3">
        <v>43734</v>
      </c>
      <c r="AK1197" t="s">
        <v>42</v>
      </c>
      <c r="AL1197" s="1">
        <v>9100</v>
      </c>
      <c r="AM1197" t="s">
        <v>8</v>
      </c>
      <c r="AN1197" t="s">
        <v>8</v>
      </c>
      <c r="AO1197" t="s">
        <v>8</v>
      </c>
      <c r="AP1197">
        <v>26.45</v>
      </c>
      <c r="AQ1197" t="s">
        <v>8</v>
      </c>
      <c r="AR1197" t="s">
        <v>8</v>
      </c>
      <c r="AS1197" t="s">
        <v>8</v>
      </c>
      <c r="AT1197">
        <v>11945.7</v>
      </c>
    </row>
    <row r="1198" spans="34:46" x14ac:dyDescent="0.35">
      <c r="AH1198" t="s">
        <v>204</v>
      </c>
      <c r="AI1198" t="s">
        <v>180</v>
      </c>
      <c r="AJ1198" s="3">
        <v>44007</v>
      </c>
      <c r="AK1198" t="s">
        <v>42</v>
      </c>
      <c r="AL1198" s="1">
        <v>8100</v>
      </c>
      <c r="AM1198" t="s">
        <v>8</v>
      </c>
      <c r="AN1198" t="s">
        <v>8</v>
      </c>
      <c r="AO1198" t="s">
        <v>8</v>
      </c>
      <c r="AP1198" s="1">
        <v>19.45</v>
      </c>
      <c r="AQ1198" t="s">
        <v>8</v>
      </c>
      <c r="AR1198" t="s">
        <v>8</v>
      </c>
      <c r="AS1198" t="s">
        <v>8</v>
      </c>
      <c r="AT1198">
        <v>11945.7</v>
      </c>
    </row>
    <row r="1199" spans="34:46" x14ac:dyDescent="0.35">
      <c r="AH1199" t="s">
        <v>204</v>
      </c>
      <c r="AI1199" t="s">
        <v>180</v>
      </c>
      <c r="AJ1199" s="3">
        <v>43643</v>
      </c>
      <c r="AK1199" t="s">
        <v>42</v>
      </c>
      <c r="AL1199" s="1">
        <v>9750</v>
      </c>
      <c r="AM1199" t="s">
        <v>8</v>
      </c>
      <c r="AN1199" t="s">
        <v>8</v>
      </c>
      <c r="AO1199" t="s">
        <v>8</v>
      </c>
      <c r="AP1199" s="1">
        <v>0.35</v>
      </c>
      <c r="AQ1199" t="s">
        <v>8</v>
      </c>
      <c r="AR1199" t="s">
        <v>8</v>
      </c>
      <c r="AS1199" t="s">
        <v>8</v>
      </c>
      <c r="AT1199">
        <v>11945.7</v>
      </c>
    </row>
    <row r="1200" spans="34:46" x14ac:dyDescent="0.35">
      <c r="AH1200" t="s">
        <v>204</v>
      </c>
      <c r="AI1200" t="s">
        <v>180</v>
      </c>
      <c r="AJ1200" s="3">
        <v>43664</v>
      </c>
      <c r="AK1200" t="s">
        <v>41</v>
      </c>
      <c r="AL1200" s="1">
        <v>10700</v>
      </c>
      <c r="AM1200" t="s">
        <v>8</v>
      </c>
      <c r="AN1200" t="s">
        <v>8</v>
      </c>
      <c r="AO1200" t="s">
        <v>8</v>
      </c>
      <c r="AP1200" s="1">
        <v>735</v>
      </c>
      <c r="AQ1200" t="s">
        <v>8</v>
      </c>
      <c r="AR1200" t="s">
        <v>8</v>
      </c>
      <c r="AS1200" t="s">
        <v>8</v>
      </c>
      <c r="AT1200">
        <v>11945.7</v>
      </c>
    </row>
    <row r="1201" spans="34:46" x14ac:dyDescent="0.35">
      <c r="AH1201" t="s">
        <v>204</v>
      </c>
      <c r="AI1201" t="s">
        <v>180</v>
      </c>
      <c r="AJ1201" s="3">
        <v>43734</v>
      </c>
      <c r="AK1201" t="s">
        <v>42</v>
      </c>
      <c r="AL1201" s="1">
        <v>9300</v>
      </c>
      <c r="AM1201" t="s">
        <v>8</v>
      </c>
      <c r="AN1201" t="s">
        <v>8</v>
      </c>
      <c r="AO1201" t="s">
        <v>8</v>
      </c>
      <c r="AP1201">
        <v>37.5</v>
      </c>
      <c r="AQ1201" t="s">
        <v>8</v>
      </c>
      <c r="AR1201" t="s">
        <v>8</v>
      </c>
      <c r="AS1201" t="s">
        <v>8</v>
      </c>
      <c r="AT1201">
        <v>11945.7</v>
      </c>
    </row>
    <row r="1202" spans="34:46" x14ac:dyDescent="0.35">
      <c r="AH1202" t="s">
        <v>204</v>
      </c>
      <c r="AI1202" t="s">
        <v>180</v>
      </c>
      <c r="AJ1202" s="3">
        <v>43650</v>
      </c>
      <c r="AK1202" t="s">
        <v>41</v>
      </c>
      <c r="AL1202" s="1">
        <v>12750</v>
      </c>
      <c r="AM1202" t="s">
        <v>8</v>
      </c>
      <c r="AN1202" t="s">
        <v>8</v>
      </c>
      <c r="AO1202" t="s">
        <v>8</v>
      </c>
      <c r="AP1202" s="1">
        <v>29.55</v>
      </c>
      <c r="AQ1202" t="s">
        <v>8</v>
      </c>
      <c r="AR1202" t="s">
        <v>8</v>
      </c>
      <c r="AS1202" t="s">
        <v>8</v>
      </c>
      <c r="AT1202">
        <v>11945.7</v>
      </c>
    </row>
    <row r="1203" spans="34:46" x14ac:dyDescent="0.35">
      <c r="AH1203" t="s">
        <v>204</v>
      </c>
      <c r="AI1203" t="s">
        <v>180</v>
      </c>
      <c r="AJ1203" s="3">
        <v>43643</v>
      </c>
      <c r="AK1203" t="s">
        <v>42</v>
      </c>
      <c r="AL1203" s="1">
        <v>9950</v>
      </c>
      <c r="AM1203" t="s">
        <v>8</v>
      </c>
      <c r="AN1203" t="s">
        <v>8</v>
      </c>
      <c r="AO1203" t="s">
        <v>8</v>
      </c>
      <c r="AP1203" s="1">
        <v>0.6</v>
      </c>
      <c r="AQ1203" t="s">
        <v>8</v>
      </c>
      <c r="AR1203" t="s">
        <v>8</v>
      </c>
      <c r="AS1203" t="s">
        <v>8</v>
      </c>
      <c r="AT1203">
        <v>11945.7</v>
      </c>
    </row>
    <row r="1204" spans="34:46" x14ac:dyDescent="0.35">
      <c r="AH1204" t="s">
        <v>204</v>
      </c>
      <c r="AI1204" t="s">
        <v>180</v>
      </c>
      <c r="AJ1204" s="3">
        <v>43734</v>
      </c>
      <c r="AK1204" t="s">
        <v>42</v>
      </c>
      <c r="AL1204" s="1">
        <v>9500</v>
      </c>
      <c r="AM1204" t="s">
        <v>8</v>
      </c>
      <c r="AN1204" t="s">
        <v>8</v>
      </c>
      <c r="AO1204" t="s">
        <v>8</v>
      </c>
      <c r="AP1204" s="1">
        <v>51.9</v>
      </c>
      <c r="AQ1204" t="s">
        <v>8</v>
      </c>
      <c r="AR1204" t="s">
        <v>8</v>
      </c>
      <c r="AS1204" t="s">
        <v>8</v>
      </c>
      <c r="AT1204">
        <v>11945.7</v>
      </c>
    </row>
    <row r="1205" spans="34:46" x14ac:dyDescent="0.35">
      <c r="AH1205" t="s">
        <v>204</v>
      </c>
      <c r="AI1205" t="s">
        <v>180</v>
      </c>
      <c r="AJ1205" s="3">
        <v>44371</v>
      </c>
      <c r="AK1205" t="s">
        <v>42</v>
      </c>
      <c r="AL1205" s="1">
        <v>10100</v>
      </c>
      <c r="AM1205" t="s">
        <v>8</v>
      </c>
      <c r="AN1205" t="s">
        <v>8</v>
      </c>
      <c r="AO1205" t="s">
        <v>8</v>
      </c>
      <c r="AP1205" s="1" t="s">
        <v>8</v>
      </c>
      <c r="AQ1205" t="s">
        <v>8</v>
      </c>
      <c r="AR1205" t="s">
        <v>8</v>
      </c>
      <c r="AS1205" t="s">
        <v>8</v>
      </c>
      <c r="AT1205">
        <v>11945.7</v>
      </c>
    </row>
    <row r="1206" spans="34:46" x14ac:dyDescent="0.35">
      <c r="AH1206" t="s">
        <v>204</v>
      </c>
      <c r="AI1206" t="s">
        <v>180</v>
      </c>
      <c r="AJ1206" s="3">
        <v>43657</v>
      </c>
      <c r="AK1206" t="s">
        <v>41</v>
      </c>
      <c r="AL1206" s="1">
        <v>11000</v>
      </c>
      <c r="AM1206" t="s">
        <v>8</v>
      </c>
      <c r="AN1206" t="s">
        <v>8</v>
      </c>
      <c r="AO1206" t="s">
        <v>8</v>
      </c>
      <c r="AP1206" s="1">
        <v>531.9</v>
      </c>
      <c r="AQ1206" t="s">
        <v>8</v>
      </c>
      <c r="AR1206" t="s">
        <v>8</v>
      </c>
      <c r="AS1206" t="s">
        <v>8</v>
      </c>
      <c r="AT1206">
        <v>11945.7</v>
      </c>
    </row>
    <row r="1207" spans="34:46" x14ac:dyDescent="0.35">
      <c r="AH1207" t="s">
        <v>204</v>
      </c>
      <c r="AI1207" t="s">
        <v>180</v>
      </c>
      <c r="AJ1207" s="3">
        <v>43636</v>
      </c>
      <c r="AK1207" t="s">
        <v>41</v>
      </c>
      <c r="AL1207" s="1">
        <v>9750</v>
      </c>
      <c r="AM1207" t="s">
        <v>8</v>
      </c>
      <c r="AN1207" t="s">
        <v>8</v>
      </c>
      <c r="AO1207" t="s">
        <v>8</v>
      </c>
      <c r="AP1207" s="1">
        <v>1470.75</v>
      </c>
      <c r="AQ1207" t="s">
        <v>8</v>
      </c>
      <c r="AR1207" t="s">
        <v>8</v>
      </c>
      <c r="AS1207" t="s">
        <v>8</v>
      </c>
      <c r="AT1207">
        <v>11945.7</v>
      </c>
    </row>
    <row r="1208" spans="34:46" x14ac:dyDescent="0.35">
      <c r="AH1208" t="s">
        <v>204</v>
      </c>
      <c r="AI1208" t="s">
        <v>180</v>
      </c>
      <c r="AJ1208" s="3">
        <v>44007</v>
      </c>
      <c r="AK1208" t="s">
        <v>42</v>
      </c>
      <c r="AL1208" s="1">
        <v>6800</v>
      </c>
      <c r="AM1208" t="s">
        <v>8</v>
      </c>
      <c r="AN1208" t="s">
        <v>8</v>
      </c>
      <c r="AO1208" t="s">
        <v>8</v>
      </c>
      <c r="AP1208" s="1">
        <v>71.400000000000006</v>
      </c>
      <c r="AQ1208" t="s">
        <v>8</v>
      </c>
      <c r="AR1208" t="s">
        <v>8</v>
      </c>
      <c r="AS1208" t="s">
        <v>8</v>
      </c>
      <c r="AT1208">
        <v>11945.7</v>
      </c>
    </row>
    <row r="1209" spans="34:46" x14ac:dyDescent="0.35">
      <c r="AH1209" t="s">
        <v>204</v>
      </c>
      <c r="AI1209" t="s">
        <v>180</v>
      </c>
      <c r="AJ1209" s="3">
        <v>43657</v>
      </c>
      <c r="AK1209" t="s">
        <v>41</v>
      </c>
      <c r="AL1209" s="1">
        <v>11200</v>
      </c>
      <c r="AM1209" t="s">
        <v>8</v>
      </c>
      <c r="AN1209" t="s">
        <v>8</v>
      </c>
      <c r="AO1209" t="s">
        <v>8</v>
      </c>
      <c r="AP1209" s="1">
        <v>395.3</v>
      </c>
      <c r="AQ1209" t="s">
        <v>8</v>
      </c>
      <c r="AR1209" t="s">
        <v>8</v>
      </c>
      <c r="AS1209" t="s">
        <v>8</v>
      </c>
      <c r="AT1209">
        <v>11945.7</v>
      </c>
    </row>
    <row r="1210" spans="34:46" x14ac:dyDescent="0.35">
      <c r="AH1210" t="s">
        <v>204</v>
      </c>
      <c r="AI1210" t="s">
        <v>180</v>
      </c>
      <c r="AJ1210" s="3">
        <v>43636</v>
      </c>
      <c r="AK1210" t="s">
        <v>41</v>
      </c>
      <c r="AL1210" s="1">
        <v>9950</v>
      </c>
      <c r="AM1210" t="s">
        <v>8</v>
      </c>
      <c r="AN1210" t="s">
        <v>8</v>
      </c>
      <c r="AO1210" t="s">
        <v>8</v>
      </c>
      <c r="AP1210" s="1">
        <v>1492.85</v>
      </c>
      <c r="AQ1210" t="s">
        <v>8</v>
      </c>
      <c r="AR1210" t="s">
        <v>8</v>
      </c>
      <c r="AS1210" t="s">
        <v>8</v>
      </c>
      <c r="AT1210">
        <v>11945.7</v>
      </c>
    </row>
    <row r="1211" spans="34:46" x14ac:dyDescent="0.35">
      <c r="AH1211" t="s">
        <v>204</v>
      </c>
      <c r="AI1211" t="s">
        <v>180</v>
      </c>
      <c r="AJ1211" s="3">
        <v>44924</v>
      </c>
      <c r="AK1211" t="s">
        <v>42</v>
      </c>
      <c r="AL1211" s="1">
        <v>8700</v>
      </c>
      <c r="AM1211" t="s">
        <v>8</v>
      </c>
      <c r="AN1211" t="s">
        <v>8</v>
      </c>
      <c r="AO1211" t="s">
        <v>8</v>
      </c>
      <c r="AP1211">
        <v>13.8</v>
      </c>
      <c r="AQ1211" t="s">
        <v>8</v>
      </c>
      <c r="AR1211" t="s">
        <v>8</v>
      </c>
      <c r="AS1211" t="s">
        <v>8</v>
      </c>
      <c r="AT1211">
        <v>11945.7</v>
      </c>
    </row>
    <row r="1212" spans="34:46" x14ac:dyDescent="0.35">
      <c r="AH1212" t="s">
        <v>204</v>
      </c>
      <c r="AI1212" t="s">
        <v>180</v>
      </c>
      <c r="AJ1212" s="3">
        <v>43650</v>
      </c>
      <c r="AK1212" t="s">
        <v>42</v>
      </c>
      <c r="AL1212" s="1">
        <v>12800</v>
      </c>
      <c r="AM1212" t="s">
        <v>8</v>
      </c>
      <c r="AN1212" t="s">
        <v>8</v>
      </c>
      <c r="AO1212" t="s">
        <v>8</v>
      </c>
      <c r="AP1212" s="1">
        <v>944.05</v>
      </c>
      <c r="AQ1212" t="s">
        <v>8</v>
      </c>
      <c r="AR1212" t="s">
        <v>8</v>
      </c>
      <c r="AS1212" t="s">
        <v>8</v>
      </c>
      <c r="AT1212">
        <v>11945.7</v>
      </c>
    </row>
    <row r="1213" spans="34:46" x14ac:dyDescent="0.35">
      <c r="AH1213" t="s">
        <v>204</v>
      </c>
      <c r="AI1213" t="s">
        <v>180</v>
      </c>
      <c r="AJ1213" s="3">
        <v>44924</v>
      </c>
      <c r="AK1213" t="s">
        <v>42</v>
      </c>
      <c r="AL1213" s="1">
        <v>8900</v>
      </c>
      <c r="AM1213" t="s">
        <v>8</v>
      </c>
      <c r="AN1213" t="s">
        <v>8</v>
      </c>
      <c r="AO1213" t="s">
        <v>8</v>
      </c>
      <c r="AP1213" s="1">
        <v>17.95</v>
      </c>
      <c r="AQ1213" t="s">
        <v>8</v>
      </c>
      <c r="AR1213" t="s">
        <v>8</v>
      </c>
      <c r="AS1213" t="s">
        <v>8</v>
      </c>
      <c r="AT1213">
        <v>11945.7</v>
      </c>
    </row>
    <row r="1214" spans="34:46" x14ac:dyDescent="0.35">
      <c r="AH1214" t="s">
        <v>204</v>
      </c>
      <c r="AI1214" t="s">
        <v>180</v>
      </c>
      <c r="AJ1214" s="3">
        <v>43622</v>
      </c>
      <c r="AK1214" t="s">
        <v>41</v>
      </c>
      <c r="AL1214" s="1">
        <v>9750</v>
      </c>
      <c r="AM1214" t="s">
        <v>8</v>
      </c>
      <c r="AN1214" t="s">
        <v>8</v>
      </c>
      <c r="AO1214" t="s">
        <v>8</v>
      </c>
      <c r="AP1214" s="1">
        <v>1441.4</v>
      </c>
      <c r="AQ1214" t="s">
        <v>8</v>
      </c>
      <c r="AR1214" t="s">
        <v>8</v>
      </c>
      <c r="AS1214" t="s">
        <v>8</v>
      </c>
      <c r="AT1214">
        <v>11945.7</v>
      </c>
    </row>
    <row r="1215" spans="34:46" x14ac:dyDescent="0.35">
      <c r="AH1215" t="s">
        <v>204</v>
      </c>
      <c r="AI1215" t="s">
        <v>180</v>
      </c>
      <c r="AJ1215" s="3">
        <v>43636</v>
      </c>
      <c r="AK1215" t="s">
        <v>42</v>
      </c>
      <c r="AL1215" s="1">
        <v>12150</v>
      </c>
      <c r="AM1215" t="s">
        <v>8</v>
      </c>
      <c r="AN1215" t="s">
        <v>8</v>
      </c>
      <c r="AO1215" t="s">
        <v>8</v>
      </c>
      <c r="AP1215">
        <v>375.9</v>
      </c>
      <c r="AQ1215" t="s">
        <v>8</v>
      </c>
      <c r="AR1215" t="s">
        <v>8</v>
      </c>
      <c r="AS1215" t="s">
        <v>8</v>
      </c>
      <c r="AT1215">
        <v>11945.7</v>
      </c>
    </row>
    <row r="1216" spans="34:46" x14ac:dyDescent="0.35">
      <c r="AH1216" t="s">
        <v>204</v>
      </c>
      <c r="AI1216" t="s">
        <v>180</v>
      </c>
      <c r="AJ1216" s="3">
        <v>43622</v>
      </c>
      <c r="AK1216" t="s">
        <v>41</v>
      </c>
      <c r="AL1216" s="1">
        <v>9950</v>
      </c>
      <c r="AM1216" t="s">
        <v>8</v>
      </c>
      <c r="AN1216" t="s">
        <v>8</v>
      </c>
      <c r="AO1216" t="s">
        <v>8</v>
      </c>
      <c r="AP1216" s="1">
        <v>1462.8</v>
      </c>
      <c r="AQ1216" t="s">
        <v>8</v>
      </c>
      <c r="AR1216" t="s">
        <v>8</v>
      </c>
      <c r="AS1216" t="s">
        <v>8</v>
      </c>
      <c r="AT1216">
        <v>11945.7</v>
      </c>
    </row>
    <row r="1217" spans="34:46" x14ac:dyDescent="0.35">
      <c r="AH1217" t="s">
        <v>204</v>
      </c>
      <c r="AI1217" t="s">
        <v>180</v>
      </c>
      <c r="AJ1217" s="3">
        <v>43825</v>
      </c>
      <c r="AK1217" t="s">
        <v>41</v>
      </c>
      <c r="AL1217" s="1">
        <v>14000</v>
      </c>
      <c r="AM1217" t="s">
        <v>8</v>
      </c>
      <c r="AN1217" t="s">
        <v>8</v>
      </c>
      <c r="AO1217" t="s">
        <v>8</v>
      </c>
      <c r="AP1217" s="1">
        <v>38</v>
      </c>
      <c r="AQ1217" t="s">
        <v>8</v>
      </c>
      <c r="AR1217" t="s">
        <v>8</v>
      </c>
      <c r="AS1217" t="s">
        <v>8</v>
      </c>
      <c r="AT1217">
        <v>11945.7</v>
      </c>
    </row>
    <row r="1218" spans="34:46" x14ac:dyDescent="0.35">
      <c r="AH1218" t="s">
        <v>204</v>
      </c>
      <c r="AI1218" t="s">
        <v>180</v>
      </c>
      <c r="AJ1218" s="3">
        <v>43615</v>
      </c>
      <c r="AK1218" t="s">
        <v>42</v>
      </c>
      <c r="AL1218" s="1">
        <v>10550</v>
      </c>
      <c r="AM1218" t="s">
        <v>8</v>
      </c>
      <c r="AN1218" t="s">
        <v>8</v>
      </c>
      <c r="AO1218" t="s">
        <v>8</v>
      </c>
      <c r="AP1218" s="1">
        <v>99.55</v>
      </c>
      <c r="AQ1218" t="s">
        <v>8</v>
      </c>
      <c r="AR1218" t="s">
        <v>8</v>
      </c>
      <c r="AS1218" t="s">
        <v>8</v>
      </c>
      <c r="AT1218">
        <v>11945.7</v>
      </c>
    </row>
    <row r="1219" spans="34:46" x14ac:dyDescent="0.35">
      <c r="AH1219" t="s">
        <v>204</v>
      </c>
      <c r="AI1219" t="s">
        <v>180</v>
      </c>
      <c r="AJ1219" s="3">
        <v>44371</v>
      </c>
      <c r="AK1219" t="s">
        <v>41</v>
      </c>
      <c r="AL1219" s="1">
        <v>12000</v>
      </c>
      <c r="AM1219" t="s">
        <v>8</v>
      </c>
      <c r="AN1219" t="s">
        <v>8</v>
      </c>
      <c r="AO1219" t="s">
        <v>8</v>
      </c>
      <c r="AP1219" s="1">
        <v>2075</v>
      </c>
      <c r="AQ1219" t="s">
        <v>8</v>
      </c>
      <c r="AR1219" t="s">
        <v>8</v>
      </c>
      <c r="AS1219" t="s">
        <v>8</v>
      </c>
      <c r="AT1219">
        <v>11945.7</v>
      </c>
    </row>
    <row r="1220" spans="34:46" x14ac:dyDescent="0.35">
      <c r="AH1220" t="s">
        <v>204</v>
      </c>
      <c r="AI1220" t="s">
        <v>180</v>
      </c>
      <c r="AJ1220" s="3">
        <v>43622</v>
      </c>
      <c r="AK1220" t="s">
        <v>41</v>
      </c>
      <c r="AL1220" s="1">
        <v>13050</v>
      </c>
      <c r="AM1220" t="s">
        <v>8</v>
      </c>
      <c r="AN1220" t="s">
        <v>8</v>
      </c>
      <c r="AO1220" t="s">
        <v>8</v>
      </c>
      <c r="AP1220" s="1">
        <v>5.05</v>
      </c>
      <c r="AQ1220" t="s">
        <v>8</v>
      </c>
      <c r="AR1220" t="s">
        <v>8</v>
      </c>
      <c r="AS1220" t="s">
        <v>8</v>
      </c>
      <c r="AT1220">
        <v>11945.7</v>
      </c>
    </row>
    <row r="1221" spans="34:46" x14ac:dyDescent="0.35">
      <c r="AH1221" t="s">
        <v>204</v>
      </c>
      <c r="AI1221" t="s">
        <v>180</v>
      </c>
      <c r="AJ1221" s="3">
        <v>43643</v>
      </c>
      <c r="AK1221" t="s">
        <v>41</v>
      </c>
      <c r="AL1221" s="1">
        <v>13350</v>
      </c>
      <c r="AM1221" t="s">
        <v>8</v>
      </c>
      <c r="AN1221" t="s">
        <v>8</v>
      </c>
      <c r="AO1221" t="s">
        <v>8</v>
      </c>
      <c r="AP1221" s="1">
        <v>22.55</v>
      </c>
      <c r="AQ1221" t="s">
        <v>8</v>
      </c>
      <c r="AR1221" t="s">
        <v>8</v>
      </c>
      <c r="AS1221" t="s">
        <v>8</v>
      </c>
      <c r="AT1221">
        <v>11945.7</v>
      </c>
    </row>
    <row r="1222" spans="34:46" x14ac:dyDescent="0.35">
      <c r="AH1222" t="s">
        <v>204</v>
      </c>
      <c r="AI1222" t="s">
        <v>180</v>
      </c>
      <c r="AJ1222" s="3">
        <v>43636</v>
      </c>
      <c r="AK1222" t="s">
        <v>42</v>
      </c>
      <c r="AL1222" s="1">
        <v>10850</v>
      </c>
      <c r="AM1222" t="s">
        <v>8</v>
      </c>
      <c r="AN1222" t="s">
        <v>8</v>
      </c>
      <c r="AO1222" t="s">
        <v>8</v>
      </c>
      <c r="AP1222" s="1">
        <v>5.3</v>
      </c>
      <c r="AQ1222" t="s">
        <v>8</v>
      </c>
      <c r="AR1222" t="s">
        <v>8</v>
      </c>
      <c r="AS1222" t="s">
        <v>8</v>
      </c>
      <c r="AT1222">
        <v>11945.7</v>
      </c>
    </row>
    <row r="1223" spans="34:46" x14ac:dyDescent="0.35">
      <c r="AH1223" t="s">
        <v>204</v>
      </c>
      <c r="AI1223" t="s">
        <v>180</v>
      </c>
      <c r="AJ1223" s="3">
        <v>45288</v>
      </c>
      <c r="AK1223" t="s">
        <v>42</v>
      </c>
      <c r="AL1223" s="1">
        <v>12100</v>
      </c>
      <c r="AM1223" t="s">
        <v>8</v>
      </c>
      <c r="AN1223" t="s">
        <v>8</v>
      </c>
      <c r="AO1223" t="s">
        <v>8</v>
      </c>
      <c r="AP1223" s="1">
        <v>597.95000000000005</v>
      </c>
      <c r="AQ1223" t="s">
        <v>8</v>
      </c>
      <c r="AR1223" t="s">
        <v>8</v>
      </c>
      <c r="AS1223" t="s">
        <v>8</v>
      </c>
      <c r="AT1223">
        <v>11945.7</v>
      </c>
    </row>
    <row r="1224" spans="34:46" x14ac:dyDescent="0.35">
      <c r="AH1224" t="s">
        <v>204</v>
      </c>
      <c r="AI1224" t="s">
        <v>180</v>
      </c>
      <c r="AJ1224" s="3">
        <v>44371</v>
      </c>
      <c r="AK1224" t="s">
        <v>41</v>
      </c>
      <c r="AL1224" s="1">
        <v>10700</v>
      </c>
      <c r="AM1224" t="s">
        <v>8</v>
      </c>
      <c r="AN1224" t="s">
        <v>8</v>
      </c>
      <c r="AO1224" t="s">
        <v>8</v>
      </c>
      <c r="AP1224" t="s">
        <v>8</v>
      </c>
      <c r="AQ1224" t="s">
        <v>8</v>
      </c>
      <c r="AR1224" t="s">
        <v>8</v>
      </c>
      <c r="AS1224" t="s">
        <v>8</v>
      </c>
      <c r="AT1224">
        <v>11945.7</v>
      </c>
    </row>
    <row r="1225" spans="34:46" x14ac:dyDescent="0.35">
      <c r="AH1225" t="s">
        <v>204</v>
      </c>
      <c r="AI1225" t="s">
        <v>180</v>
      </c>
      <c r="AJ1225" s="3">
        <v>43622</v>
      </c>
      <c r="AK1225" t="s">
        <v>42</v>
      </c>
      <c r="AL1225" s="1">
        <v>13100</v>
      </c>
      <c r="AM1225" t="s">
        <v>8</v>
      </c>
      <c r="AN1225" t="s">
        <v>8</v>
      </c>
      <c r="AO1225" t="s">
        <v>8</v>
      </c>
      <c r="AP1225" s="1">
        <v>1346.8</v>
      </c>
      <c r="AQ1225" t="s">
        <v>8</v>
      </c>
      <c r="AR1225" t="s">
        <v>8</v>
      </c>
      <c r="AS1225" t="s">
        <v>8</v>
      </c>
      <c r="AT1225">
        <v>11945.7</v>
      </c>
    </row>
    <row r="1226" spans="34:46" x14ac:dyDescent="0.35">
      <c r="AH1226" t="s">
        <v>204</v>
      </c>
      <c r="AI1226" t="s">
        <v>180</v>
      </c>
      <c r="AJ1226" s="3">
        <v>43629</v>
      </c>
      <c r="AK1226" t="s">
        <v>41</v>
      </c>
      <c r="AL1226" s="1">
        <v>10000</v>
      </c>
      <c r="AM1226" t="s">
        <v>8</v>
      </c>
      <c r="AN1226" t="s">
        <v>8</v>
      </c>
      <c r="AO1226" t="s">
        <v>8</v>
      </c>
      <c r="AP1226" s="1">
        <v>1569.85</v>
      </c>
      <c r="AQ1226" t="s">
        <v>8</v>
      </c>
      <c r="AR1226" t="s">
        <v>8</v>
      </c>
      <c r="AS1226" t="s">
        <v>8</v>
      </c>
      <c r="AT1226">
        <v>11945.7</v>
      </c>
    </row>
    <row r="1227" spans="34:46" x14ac:dyDescent="0.35">
      <c r="AH1227" t="s">
        <v>204</v>
      </c>
      <c r="AI1227" t="s">
        <v>180</v>
      </c>
      <c r="AJ1227" s="3">
        <v>43643</v>
      </c>
      <c r="AK1227" t="s">
        <v>42</v>
      </c>
      <c r="AL1227" s="1">
        <v>13400</v>
      </c>
      <c r="AM1227" t="s">
        <v>8</v>
      </c>
      <c r="AN1227" t="s">
        <v>8</v>
      </c>
      <c r="AO1227" t="s">
        <v>8</v>
      </c>
      <c r="AP1227" s="1">
        <v>1332.2</v>
      </c>
      <c r="AQ1227" t="s">
        <v>8</v>
      </c>
      <c r="AR1227" t="s">
        <v>8</v>
      </c>
      <c r="AS1227" t="s">
        <v>8</v>
      </c>
      <c r="AT1227">
        <v>11945.7</v>
      </c>
    </row>
    <row r="1228" spans="34:46" x14ac:dyDescent="0.35">
      <c r="AH1228" t="s">
        <v>204</v>
      </c>
      <c r="AI1228" t="s">
        <v>180</v>
      </c>
      <c r="AJ1228" s="3">
        <v>44371</v>
      </c>
      <c r="AK1228" t="s">
        <v>41</v>
      </c>
      <c r="AL1228" s="1">
        <v>10900</v>
      </c>
      <c r="AM1228" t="s">
        <v>8</v>
      </c>
      <c r="AN1228" t="s">
        <v>8</v>
      </c>
      <c r="AO1228" t="s">
        <v>8</v>
      </c>
      <c r="AP1228" s="1" t="s">
        <v>8</v>
      </c>
      <c r="AQ1228" t="s">
        <v>8</v>
      </c>
      <c r="AR1228" t="s">
        <v>8</v>
      </c>
      <c r="AS1228" t="s">
        <v>8</v>
      </c>
      <c r="AT1228">
        <v>11945.7</v>
      </c>
    </row>
    <row r="1229" spans="34:46" x14ac:dyDescent="0.35">
      <c r="AH1229" t="s">
        <v>204</v>
      </c>
      <c r="AI1229" t="s">
        <v>180</v>
      </c>
      <c r="AJ1229" s="3">
        <v>43664</v>
      </c>
      <c r="AK1229" t="s">
        <v>42</v>
      </c>
      <c r="AL1229" s="1">
        <v>12450</v>
      </c>
      <c r="AM1229" t="s">
        <v>8</v>
      </c>
      <c r="AN1229" t="s">
        <v>8</v>
      </c>
      <c r="AO1229" t="s">
        <v>8</v>
      </c>
      <c r="AP1229" s="1">
        <v>1060.8</v>
      </c>
      <c r="AQ1229" t="s">
        <v>8</v>
      </c>
      <c r="AR1229" t="s">
        <v>8</v>
      </c>
      <c r="AS1229" t="s">
        <v>8</v>
      </c>
      <c r="AT1229">
        <v>11945.7</v>
      </c>
    </row>
    <row r="1230" spans="34:46" x14ac:dyDescent="0.35">
      <c r="AH1230" t="s">
        <v>204</v>
      </c>
      <c r="AI1230" t="s">
        <v>180</v>
      </c>
      <c r="AJ1230" s="3">
        <v>43629</v>
      </c>
      <c r="AK1230" t="s">
        <v>41</v>
      </c>
      <c r="AL1230" s="1">
        <v>10200</v>
      </c>
      <c r="AM1230" t="s">
        <v>8</v>
      </c>
      <c r="AN1230" t="s">
        <v>8</v>
      </c>
      <c r="AO1230" t="s">
        <v>8</v>
      </c>
      <c r="AP1230" s="1">
        <v>1518.05</v>
      </c>
      <c r="AQ1230" t="s">
        <v>8</v>
      </c>
      <c r="AR1230" t="s">
        <v>8</v>
      </c>
      <c r="AS1230" t="s">
        <v>8</v>
      </c>
      <c r="AT1230">
        <v>11945.7</v>
      </c>
    </row>
    <row r="1231" spans="34:46" x14ac:dyDescent="0.35">
      <c r="AH1231" t="s">
        <v>204</v>
      </c>
      <c r="AI1231" t="s">
        <v>180</v>
      </c>
      <c r="AJ1231" s="3">
        <v>43643</v>
      </c>
      <c r="AK1231" t="s">
        <v>42</v>
      </c>
      <c r="AL1231" s="1">
        <v>13600</v>
      </c>
      <c r="AM1231" t="s">
        <v>8</v>
      </c>
      <c r="AN1231" t="s">
        <v>8</v>
      </c>
      <c r="AO1231" t="s">
        <v>8</v>
      </c>
      <c r="AP1231" s="1">
        <v>1601.75</v>
      </c>
      <c r="AQ1231" t="s">
        <v>8</v>
      </c>
      <c r="AR1231" t="s">
        <v>8</v>
      </c>
      <c r="AS1231" t="s">
        <v>8</v>
      </c>
      <c r="AT1231">
        <v>11945.7</v>
      </c>
    </row>
    <row r="1232" spans="34:46" x14ac:dyDescent="0.35">
      <c r="AH1232" t="s">
        <v>204</v>
      </c>
      <c r="AI1232" t="s">
        <v>180</v>
      </c>
      <c r="AJ1232" s="3">
        <v>44196</v>
      </c>
      <c r="AK1232" t="s">
        <v>42</v>
      </c>
      <c r="AL1232" s="1">
        <v>9600</v>
      </c>
      <c r="AM1232" t="s">
        <v>8</v>
      </c>
      <c r="AN1232" t="s">
        <v>8</v>
      </c>
      <c r="AO1232" t="s">
        <v>8</v>
      </c>
      <c r="AP1232" s="1">
        <v>160</v>
      </c>
      <c r="AQ1232" t="s">
        <v>8</v>
      </c>
      <c r="AR1232" t="s">
        <v>8</v>
      </c>
      <c r="AS1232" t="s">
        <v>8</v>
      </c>
      <c r="AT1232">
        <v>11945.7</v>
      </c>
    </row>
    <row r="1233" spans="34:46" x14ac:dyDescent="0.35">
      <c r="AH1233" t="s">
        <v>204</v>
      </c>
      <c r="AI1233" t="s">
        <v>180</v>
      </c>
      <c r="AJ1233" s="3">
        <v>43643</v>
      </c>
      <c r="AK1233" t="s">
        <v>42</v>
      </c>
      <c r="AL1233" s="1">
        <v>13800</v>
      </c>
      <c r="AM1233" t="s">
        <v>8</v>
      </c>
      <c r="AN1233" t="s">
        <v>8</v>
      </c>
      <c r="AO1233" t="s">
        <v>8</v>
      </c>
      <c r="AP1233" s="1">
        <v>1615.65</v>
      </c>
      <c r="AQ1233" t="s">
        <v>8</v>
      </c>
      <c r="AR1233" t="s">
        <v>8</v>
      </c>
      <c r="AS1233" t="s">
        <v>8</v>
      </c>
      <c r="AT1233">
        <v>11945.7</v>
      </c>
    </row>
    <row r="1234" spans="34:46" x14ac:dyDescent="0.35">
      <c r="AH1234" t="s">
        <v>204</v>
      </c>
      <c r="AI1234" t="s">
        <v>180</v>
      </c>
      <c r="AJ1234" s="3">
        <v>43615</v>
      </c>
      <c r="AK1234" t="s">
        <v>41</v>
      </c>
      <c r="AL1234" s="1">
        <v>12650</v>
      </c>
      <c r="AM1234" t="s">
        <v>8</v>
      </c>
      <c r="AN1234" t="s">
        <v>8</v>
      </c>
      <c r="AO1234" t="s">
        <v>8</v>
      </c>
      <c r="AP1234" s="1">
        <v>11.85</v>
      </c>
      <c r="AQ1234" t="s">
        <v>8</v>
      </c>
      <c r="AR1234" t="s">
        <v>8</v>
      </c>
      <c r="AS1234" t="s">
        <v>8</v>
      </c>
      <c r="AT1234">
        <v>11945.7</v>
      </c>
    </row>
    <row r="1235" spans="34:46" x14ac:dyDescent="0.35">
      <c r="AH1235" t="s">
        <v>204</v>
      </c>
      <c r="AI1235" t="s">
        <v>180</v>
      </c>
      <c r="AJ1235" s="3">
        <v>43916</v>
      </c>
      <c r="AK1235" t="s">
        <v>41</v>
      </c>
      <c r="AL1235" s="1">
        <v>11500</v>
      </c>
      <c r="AM1235" t="s">
        <v>8</v>
      </c>
      <c r="AN1235" t="s">
        <v>8</v>
      </c>
      <c r="AO1235" t="s">
        <v>8</v>
      </c>
      <c r="AP1235" s="1">
        <v>1159.4000000000001</v>
      </c>
      <c r="AQ1235" t="s">
        <v>8</v>
      </c>
      <c r="AR1235" t="s">
        <v>8</v>
      </c>
      <c r="AS1235" t="s">
        <v>8</v>
      </c>
      <c r="AT1235">
        <v>11945.7</v>
      </c>
    </row>
    <row r="1236" spans="34:46" x14ac:dyDescent="0.35">
      <c r="AH1236" t="s">
        <v>204</v>
      </c>
      <c r="AI1236" t="s">
        <v>180</v>
      </c>
      <c r="AJ1236" s="3">
        <v>44196</v>
      </c>
      <c r="AK1236" t="s">
        <v>42</v>
      </c>
      <c r="AL1236" s="1">
        <v>9800</v>
      </c>
      <c r="AM1236" t="s">
        <v>8</v>
      </c>
      <c r="AN1236" t="s">
        <v>8</v>
      </c>
      <c r="AO1236" t="s">
        <v>8</v>
      </c>
      <c r="AP1236" s="1">
        <v>215</v>
      </c>
      <c r="AQ1236" t="s">
        <v>8</v>
      </c>
      <c r="AR1236" t="s">
        <v>8</v>
      </c>
      <c r="AS1236" t="s">
        <v>8</v>
      </c>
      <c r="AT1236">
        <v>11945.7</v>
      </c>
    </row>
    <row r="1237" spans="34:46" x14ac:dyDescent="0.35">
      <c r="AH1237" t="s">
        <v>204</v>
      </c>
      <c r="AI1237" t="s">
        <v>180</v>
      </c>
      <c r="AJ1237" s="3">
        <v>43636</v>
      </c>
      <c r="AK1237" t="s">
        <v>41</v>
      </c>
      <c r="AL1237" s="1">
        <v>12750</v>
      </c>
      <c r="AM1237" t="s">
        <v>8</v>
      </c>
      <c r="AN1237" t="s">
        <v>8</v>
      </c>
      <c r="AO1237" t="s">
        <v>8</v>
      </c>
      <c r="AP1237">
        <v>17.5</v>
      </c>
      <c r="AQ1237" t="s">
        <v>8</v>
      </c>
      <c r="AR1237" t="s">
        <v>8</v>
      </c>
      <c r="AS1237" t="s">
        <v>8</v>
      </c>
      <c r="AT1237">
        <v>11945.7</v>
      </c>
    </row>
    <row r="1238" spans="34:46" x14ac:dyDescent="0.35">
      <c r="AH1238" t="s">
        <v>204</v>
      </c>
      <c r="AI1238" t="s">
        <v>180</v>
      </c>
      <c r="AJ1238" s="3">
        <v>43636</v>
      </c>
      <c r="AK1238" t="s">
        <v>41</v>
      </c>
      <c r="AL1238" s="1">
        <v>12950</v>
      </c>
      <c r="AM1238" t="s">
        <v>8</v>
      </c>
      <c r="AN1238" t="s">
        <v>8</v>
      </c>
      <c r="AO1238" t="s">
        <v>8</v>
      </c>
      <c r="AP1238" s="1">
        <v>8</v>
      </c>
      <c r="AQ1238" t="s">
        <v>8</v>
      </c>
      <c r="AR1238" t="s">
        <v>8</v>
      </c>
      <c r="AS1238" t="s">
        <v>8</v>
      </c>
      <c r="AT1238">
        <v>11945.7</v>
      </c>
    </row>
    <row r="1239" spans="34:46" x14ac:dyDescent="0.35">
      <c r="AH1239" t="s">
        <v>204</v>
      </c>
      <c r="AI1239" t="s">
        <v>180</v>
      </c>
      <c r="AJ1239" s="3">
        <v>43643</v>
      </c>
      <c r="AK1239" t="s">
        <v>41</v>
      </c>
      <c r="AL1239" s="1">
        <v>7600</v>
      </c>
      <c r="AM1239" t="s">
        <v>8</v>
      </c>
      <c r="AN1239" t="s">
        <v>8</v>
      </c>
      <c r="AO1239" t="s">
        <v>8</v>
      </c>
      <c r="AP1239" s="1">
        <v>3650</v>
      </c>
      <c r="AQ1239" t="s">
        <v>8</v>
      </c>
      <c r="AR1239" t="s">
        <v>8</v>
      </c>
      <c r="AS1239" t="s">
        <v>8</v>
      </c>
      <c r="AT1239">
        <v>11945.7</v>
      </c>
    </row>
    <row r="1240" spans="34:46" x14ac:dyDescent="0.35">
      <c r="AH1240" t="s">
        <v>204</v>
      </c>
      <c r="AI1240" t="s">
        <v>180</v>
      </c>
      <c r="AJ1240" s="3">
        <v>43643</v>
      </c>
      <c r="AK1240" t="s">
        <v>41</v>
      </c>
      <c r="AL1240" s="1">
        <v>7800</v>
      </c>
      <c r="AM1240" t="s">
        <v>8</v>
      </c>
      <c r="AN1240" t="s">
        <v>8</v>
      </c>
      <c r="AO1240" t="s">
        <v>8</v>
      </c>
      <c r="AP1240" s="1">
        <v>2670</v>
      </c>
      <c r="AQ1240" t="s">
        <v>8</v>
      </c>
      <c r="AR1240" t="s">
        <v>8</v>
      </c>
      <c r="AS1240" t="s">
        <v>8</v>
      </c>
      <c r="AT1240">
        <v>11945.7</v>
      </c>
    </row>
    <row r="1241" spans="34:46" x14ac:dyDescent="0.35">
      <c r="AH1241" t="s">
        <v>204</v>
      </c>
      <c r="AI1241" t="s">
        <v>180</v>
      </c>
      <c r="AJ1241" s="3">
        <v>43615</v>
      </c>
      <c r="AK1241" t="s">
        <v>42</v>
      </c>
      <c r="AL1241" s="1">
        <v>9350</v>
      </c>
      <c r="AM1241" t="s">
        <v>8</v>
      </c>
      <c r="AN1241" t="s">
        <v>8</v>
      </c>
      <c r="AO1241" t="s">
        <v>8</v>
      </c>
      <c r="AP1241" s="1">
        <v>0.2</v>
      </c>
      <c r="AQ1241" t="s">
        <v>8</v>
      </c>
      <c r="AR1241" t="s">
        <v>8</v>
      </c>
      <c r="AS1241" t="s">
        <v>8</v>
      </c>
      <c r="AT1241">
        <v>11945.7</v>
      </c>
    </row>
    <row r="1242" spans="34:46" x14ac:dyDescent="0.35">
      <c r="AH1242" t="s">
        <v>204</v>
      </c>
      <c r="AI1242" t="s">
        <v>180</v>
      </c>
      <c r="AJ1242" s="3">
        <v>44007</v>
      </c>
      <c r="AK1242" t="s">
        <v>42</v>
      </c>
      <c r="AL1242" s="1">
        <v>12400</v>
      </c>
      <c r="AM1242" t="s">
        <v>8</v>
      </c>
      <c r="AN1242" t="s">
        <v>8</v>
      </c>
      <c r="AO1242" t="s">
        <v>8</v>
      </c>
      <c r="AP1242">
        <v>830</v>
      </c>
      <c r="AQ1242" t="s">
        <v>8</v>
      </c>
      <c r="AR1242" t="s">
        <v>8</v>
      </c>
      <c r="AS1242" t="s">
        <v>8</v>
      </c>
      <c r="AT1242">
        <v>11945.7</v>
      </c>
    </row>
    <row r="1243" spans="34:46" x14ac:dyDescent="0.35">
      <c r="AH1243" t="s">
        <v>204</v>
      </c>
      <c r="AI1243" t="s">
        <v>180</v>
      </c>
      <c r="AJ1243" s="3">
        <v>43650</v>
      </c>
      <c r="AK1243" t="s">
        <v>41</v>
      </c>
      <c r="AL1243" s="1">
        <v>11000</v>
      </c>
      <c r="AM1243" t="s">
        <v>8</v>
      </c>
      <c r="AN1243" t="s">
        <v>8</v>
      </c>
      <c r="AO1243" t="s">
        <v>8</v>
      </c>
      <c r="AP1243">
        <v>882.2</v>
      </c>
      <c r="AQ1243" t="s">
        <v>8</v>
      </c>
      <c r="AR1243" t="s">
        <v>8</v>
      </c>
      <c r="AS1243" t="s">
        <v>8</v>
      </c>
      <c r="AT1243">
        <v>11945.7</v>
      </c>
    </row>
    <row r="1244" spans="34:46" x14ac:dyDescent="0.35">
      <c r="AH1244" t="s">
        <v>204</v>
      </c>
      <c r="AI1244" t="s">
        <v>180</v>
      </c>
      <c r="AJ1244" s="3">
        <v>43825</v>
      </c>
      <c r="AK1244" t="s">
        <v>42</v>
      </c>
      <c r="AL1244" s="1">
        <v>6600</v>
      </c>
      <c r="AM1244" t="s">
        <v>8</v>
      </c>
      <c r="AN1244" t="s">
        <v>8</v>
      </c>
      <c r="AO1244" t="s">
        <v>8</v>
      </c>
      <c r="AP1244">
        <v>3.05</v>
      </c>
      <c r="AQ1244" t="s">
        <v>8</v>
      </c>
      <c r="AR1244" t="s">
        <v>8</v>
      </c>
      <c r="AS1244" t="s">
        <v>8</v>
      </c>
      <c r="AT1244">
        <v>11945.7</v>
      </c>
    </row>
    <row r="1245" spans="34:46" x14ac:dyDescent="0.35">
      <c r="AH1245" t="s">
        <v>204</v>
      </c>
      <c r="AI1245" t="s">
        <v>180</v>
      </c>
      <c r="AJ1245" s="3">
        <v>43671</v>
      </c>
      <c r="AK1245" t="s">
        <v>41</v>
      </c>
      <c r="AL1245" s="1">
        <v>11300</v>
      </c>
      <c r="AM1245" t="s">
        <v>8</v>
      </c>
      <c r="AN1245" t="s">
        <v>8</v>
      </c>
      <c r="AO1245" t="s">
        <v>8</v>
      </c>
      <c r="AP1245">
        <v>650.4</v>
      </c>
      <c r="AQ1245" t="s">
        <v>8</v>
      </c>
      <c r="AR1245" t="s">
        <v>8</v>
      </c>
      <c r="AS1245" t="s">
        <v>8</v>
      </c>
      <c r="AT1245">
        <v>11945.7</v>
      </c>
    </row>
    <row r="1246" spans="34:46" x14ac:dyDescent="0.35">
      <c r="AH1246" t="s">
        <v>204</v>
      </c>
      <c r="AI1246" t="s">
        <v>180</v>
      </c>
      <c r="AJ1246" s="3">
        <v>43825</v>
      </c>
      <c r="AK1246" t="s">
        <v>42</v>
      </c>
      <c r="AL1246" s="1">
        <v>6800</v>
      </c>
      <c r="AM1246" t="s">
        <v>8</v>
      </c>
      <c r="AN1246" t="s">
        <v>8</v>
      </c>
      <c r="AO1246" t="s">
        <v>8</v>
      </c>
      <c r="AP1246">
        <v>36.5</v>
      </c>
      <c r="AQ1246" t="s">
        <v>8</v>
      </c>
      <c r="AR1246" t="s">
        <v>8</v>
      </c>
      <c r="AS1246" t="s">
        <v>8</v>
      </c>
      <c r="AT1246">
        <v>11945.7</v>
      </c>
    </row>
    <row r="1247" spans="34:46" x14ac:dyDescent="0.35">
      <c r="AH1247" t="s">
        <v>204</v>
      </c>
      <c r="AI1247" t="s">
        <v>180</v>
      </c>
      <c r="AJ1247" s="3">
        <v>44371</v>
      </c>
      <c r="AK1247" t="s">
        <v>42</v>
      </c>
      <c r="AL1247" s="1">
        <v>8400</v>
      </c>
      <c r="AM1247" t="s">
        <v>8</v>
      </c>
      <c r="AN1247" t="s">
        <v>8</v>
      </c>
      <c r="AO1247" t="s">
        <v>8</v>
      </c>
      <c r="AP1247">
        <v>117</v>
      </c>
      <c r="AQ1247" t="s">
        <v>8</v>
      </c>
      <c r="AR1247" t="s">
        <v>8</v>
      </c>
      <c r="AS1247" t="s">
        <v>8</v>
      </c>
      <c r="AT1247">
        <v>11945.7</v>
      </c>
    </row>
    <row r="1248" spans="34:46" x14ac:dyDescent="0.35">
      <c r="AH1248" t="s">
        <v>204</v>
      </c>
      <c r="AI1248" t="s">
        <v>180</v>
      </c>
      <c r="AJ1248" s="3">
        <v>43629</v>
      </c>
      <c r="AK1248" t="s">
        <v>42</v>
      </c>
      <c r="AL1248" s="1">
        <v>10650</v>
      </c>
      <c r="AM1248" t="s">
        <v>8</v>
      </c>
      <c r="AN1248" t="s">
        <v>8</v>
      </c>
      <c r="AO1248" t="s">
        <v>8</v>
      </c>
      <c r="AP1248" s="1">
        <v>5.5</v>
      </c>
      <c r="AQ1248" t="s">
        <v>8</v>
      </c>
      <c r="AR1248" t="s">
        <v>8</v>
      </c>
      <c r="AS1248" t="s">
        <v>8</v>
      </c>
      <c r="AT1248">
        <v>11945.7</v>
      </c>
    </row>
    <row r="1249" spans="34:46" x14ac:dyDescent="0.35">
      <c r="AH1249" t="s">
        <v>204</v>
      </c>
      <c r="AI1249" t="s">
        <v>180</v>
      </c>
      <c r="AJ1249" s="3">
        <v>44196</v>
      </c>
      <c r="AK1249" t="s">
        <v>42</v>
      </c>
      <c r="AL1249" s="1">
        <v>4600</v>
      </c>
      <c r="AM1249" t="s">
        <v>8</v>
      </c>
      <c r="AN1249" t="s">
        <v>8</v>
      </c>
      <c r="AO1249" t="s">
        <v>8</v>
      </c>
      <c r="AP1249">
        <v>86.9</v>
      </c>
      <c r="AQ1249" t="s">
        <v>8</v>
      </c>
      <c r="AR1249" t="s">
        <v>8</v>
      </c>
      <c r="AS1249" t="s">
        <v>8</v>
      </c>
      <c r="AT1249">
        <v>11945.7</v>
      </c>
    </row>
    <row r="1250" spans="34:46" x14ac:dyDescent="0.35">
      <c r="AH1250" t="s">
        <v>204</v>
      </c>
      <c r="AI1250" t="s">
        <v>180</v>
      </c>
      <c r="AJ1250" s="3">
        <v>44371</v>
      </c>
      <c r="AK1250" t="s">
        <v>42</v>
      </c>
      <c r="AL1250" s="1">
        <v>8600</v>
      </c>
      <c r="AM1250" t="s">
        <v>8</v>
      </c>
      <c r="AN1250" t="s">
        <v>8</v>
      </c>
      <c r="AO1250" t="s">
        <v>8</v>
      </c>
      <c r="AP1250">
        <v>184.65</v>
      </c>
      <c r="AQ1250" t="s">
        <v>8</v>
      </c>
      <c r="AR1250" t="s">
        <v>8</v>
      </c>
      <c r="AS1250" t="s">
        <v>8</v>
      </c>
      <c r="AT1250">
        <v>11945.7</v>
      </c>
    </row>
    <row r="1251" spans="34:46" x14ac:dyDescent="0.35">
      <c r="AH1251" t="s">
        <v>204</v>
      </c>
      <c r="AI1251" t="s">
        <v>180</v>
      </c>
      <c r="AJ1251" s="3">
        <v>43629</v>
      </c>
      <c r="AK1251" t="s">
        <v>42</v>
      </c>
      <c r="AL1251" s="1">
        <v>10850</v>
      </c>
      <c r="AM1251" t="s">
        <v>8</v>
      </c>
      <c r="AN1251" t="s">
        <v>8</v>
      </c>
      <c r="AO1251" t="s">
        <v>8</v>
      </c>
      <c r="AP1251">
        <v>13.95</v>
      </c>
      <c r="AQ1251" t="s">
        <v>8</v>
      </c>
      <c r="AR1251" t="s">
        <v>8</v>
      </c>
      <c r="AS1251" t="s">
        <v>8</v>
      </c>
      <c r="AT1251">
        <v>11945.7</v>
      </c>
    </row>
    <row r="1252" spans="34:46" x14ac:dyDescent="0.35">
      <c r="AH1252" t="s">
        <v>204</v>
      </c>
      <c r="AI1252" t="s">
        <v>180</v>
      </c>
      <c r="AJ1252" s="3">
        <v>44196</v>
      </c>
      <c r="AK1252" t="s">
        <v>42</v>
      </c>
      <c r="AL1252" s="1">
        <v>4800</v>
      </c>
      <c r="AM1252" t="s">
        <v>8</v>
      </c>
      <c r="AN1252" t="s">
        <v>8</v>
      </c>
      <c r="AO1252" t="s">
        <v>8</v>
      </c>
      <c r="AP1252" s="1">
        <v>34.799999999999997</v>
      </c>
      <c r="AQ1252" t="s">
        <v>8</v>
      </c>
      <c r="AR1252" t="s">
        <v>8</v>
      </c>
      <c r="AS1252" t="s">
        <v>8</v>
      </c>
      <c r="AT1252">
        <v>11945.7</v>
      </c>
    </row>
    <row r="1253" spans="34:46" x14ac:dyDescent="0.35">
      <c r="AH1253" t="s">
        <v>204</v>
      </c>
      <c r="AI1253" t="s">
        <v>180</v>
      </c>
      <c r="AJ1253" s="3">
        <v>43664</v>
      </c>
      <c r="AK1253" t="s">
        <v>41</v>
      </c>
      <c r="AL1253" s="1">
        <v>9750</v>
      </c>
      <c r="AM1253" t="s">
        <v>8</v>
      </c>
      <c r="AN1253" t="s">
        <v>8</v>
      </c>
      <c r="AO1253" t="s">
        <v>8</v>
      </c>
      <c r="AP1253" s="1">
        <v>1627.3</v>
      </c>
      <c r="AQ1253" t="s">
        <v>8</v>
      </c>
      <c r="AR1253" t="s">
        <v>8</v>
      </c>
      <c r="AS1253" t="s">
        <v>8</v>
      </c>
      <c r="AT1253">
        <v>11945.7</v>
      </c>
    </row>
    <row r="1254" spans="34:46" x14ac:dyDescent="0.35">
      <c r="AH1254" t="s">
        <v>204</v>
      </c>
      <c r="AI1254" t="s">
        <v>180</v>
      </c>
      <c r="AJ1254" s="3">
        <v>43664</v>
      </c>
      <c r="AK1254" t="s">
        <v>41</v>
      </c>
      <c r="AL1254" s="1">
        <v>9950</v>
      </c>
      <c r="AM1254" t="s">
        <v>8</v>
      </c>
      <c r="AN1254" t="s">
        <v>8</v>
      </c>
      <c r="AO1254" t="s">
        <v>8</v>
      </c>
      <c r="AP1254" s="1">
        <v>1431.25</v>
      </c>
      <c r="AQ1254" t="s">
        <v>8</v>
      </c>
      <c r="AR1254" t="s">
        <v>8</v>
      </c>
      <c r="AS1254" t="s">
        <v>8</v>
      </c>
      <c r="AT1254">
        <v>11945.7</v>
      </c>
    </row>
    <row r="1255" spans="34:46" x14ac:dyDescent="0.35">
      <c r="AH1255" t="s">
        <v>204</v>
      </c>
      <c r="AI1255" t="s">
        <v>180</v>
      </c>
      <c r="AJ1255" s="3">
        <v>43622</v>
      </c>
      <c r="AK1255" t="s">
        <v>41</v>
      </c>
      <c r="AL1255" s="1">
        <v>10000</v>
      </c>
      <c r="AM1255" t="s">
        <v>8</v>
      </c>
      <c r="AN1255" t="s">
        <v>8</v>
      </c>
      <c r="AO1255" t="s">
        <v>8</v>
      </c>
      <c r="AP1255" s="1">
        <v>1553.5</v>
      </c>
      <c r="AQ1255" t="s">
        <v>8</v>
      </c>
      <c r="AR1255" t="s">
        <v>8</v>
      </c>
      <c r="AS1255" t="s">
        <v>8</v>
      </c>
      <c r="AT1255">
        <v>11945.7</v>
      </c>
    </row>
    <row r="1256" spans="34:46" x14ac:dyDescent="0.35">
      <c r="AH1256" t="s">
        <v>204</v>
      </c>
      <c r="AI1256" t="s">
        <v>180</v>
      </c>
      <c r="AJ1256" s="3">
        <v>43734</v>
      </c>
      <c r="AK1256" t="s">
        <v>42</v>
      </c>
      <c r="AL1256" s="1">
        <v>10000</v>
      </c>
      <c r="AM1256" t="s">
        <v>8</v>
      </c>
      <c r="AN1256" t="s">
        <v>8</v>
      </c>
      <c r="AO1256" t="s">
        <v>8</v>
      </c>
      <c r="AP1256" s="1">
        <v>107.1</v>
      </c>
      <c r="AQ1256" t="s">
        <v>8</v>
      </c>
      <c r="AR1256" t="s">
        <v>8</v>
      </c>
      <c r="AS1256" t="s">
        <v>8</v>
      </c>
      <c r="AT1256">
        <v>11945.7</v>
      </c>
    </row>
    <row r="1257" spans="34:46" x14ac:dyDescent="0.35">
      <c r="AH1257" t="s">
        <v>204</v>
      </c>
      <c r="AI1257" t="s">
        <v>180</v>
      </c>
      <c r="AJ1257" s="3">
        <v>43734</v>
      </c>
      <c r="AK1257" t="s">
        <v>42</v>
      </c>
      <c r="AL1257" s="1">
        <v>10200</v>
      </c>
      <c r="AM1257" t="s">
        <v>8</v>
      </c>
      <c r="AN1257" t="s">
        <v>8</v>
      </c>
      <c r="AO1257" t="s">
        <v>8</v>
      </c>
      <c r="AP1257" s="1">
        <v>138.55000000000001</v>
      </c>
      <c r="AQ1257" t="s">
        <v>8</v>
      </c>
      <c r="AR1257" t="s">
        <v>8</v>
      </c>
      <c r="AS1257" t="s">
        <v>8</v>
      </c>
      <c r="AT1257">
        <v>11945.7</v>
      </c>
    </row>
    <row r="1258" spans="34:46" x14ac:dyDescent="0.35">
      <c r="AH1258" t="s">
        <v>204</v>
      </c>
      <c r="AI1258" t="s">
        <v>180</v>
      </c>
      <c r="AJ1258" s="3">
        <v>43734</v>
      </c>
      <c r="AK1258" t="s">
        <v>42</v>
      </c>
      <c r="AL1258" s="1">
        <v>10400</v>
      </c>
      <c r="AM1258" t="s">
        <v>8</v>
      </c>
      <c r="AN1258" t="s">
        <v>8</v>
      </c>
      <c r="AO1258" t="s">
        <v>8</v>
      </c>
      <c r="AP1258" s="1">
        <v>176.35</v>
      </c>
      <c r="AQ1258" t="s">
        <v>8</v>
      </c>
      <c r="AR1258" t="s">
        <v>8</v>
      </c>
      <c r="AS1258" t="s">
        <v>8</v>
      </c>
      <c r="AT1258">
        <v>11945.7</v>
      </c>
    </row>
    <row r="1259" spans="34:46" x14ac:dyDescent="0.35">
      <c r="AH1259" t="s">
        <v>204</v>
      </c>
      <c r="AI1259" t="s">
        <v>180</v>
      </c>
      <c r="AJ1259" s="3">
        <v>43629</v>
      </c>
      <c r="AK1259" t="s">
        <v>41</v>
      </c>
      <c r="AL1259" s="1">
        <v>12550</v>
      </c>
      <c r="AM1259" t="s">
        <v>8</v>
      </c>
      <c r="AN1259" t="s">
        <v>8</v>
      </c>
      <c r="AO1259" t="s">
        <v>8</v>
      </c>
      <c r="AP1259" s="1">
        <v>25.05</v>
      </c>
      <c r="AQ1259" t="s">
        <v>8</v>
      </c>
      <c r="AR1259" t="s">
        <v>8</v>
      </c>
      <c r="AS1259" t="s">
        <v>8</v>
      </c>
      <c r="AT1259">
        <v>11945.7</v>
      </c>
    </row>
    <row r="1260" spans="34:46" x14ac:dyDescent="0.35">
      <c r="AH1260" t="s">
        <v>204</v>
      </c>
      <c r="AI1260" t="s">
        <v>180</v>
      </c>
      <c r="AJ1260" s="3">
        <v>43671</v>
      </c>
      <c r="AK1260" t="s">
        <v>42</v>
      </c>
      <c r="AL1260" s="1">
        <v>13050</v>
      </c>
      <c r="AM1260" t="s">
        <v>8</v>
      </c>
      <c r="AN1260" t="s">
        <v>8</v>
      </c>
      <c r="AO1260" t="s">
        <v>8</v>
      </c>
      <c r="AP1260" s="1">
        <v>1208.7</v>
      </c>
      <c r="AQ1260" t="s">
        <v>8</v>
      </c>
      <c r="AR1260" t="s">
        <v>8</v>
      </c>
      <c r="AS1260" t="s">
        <v>8</v>
      </c>
      <c r="AT1260">
        <v>11945.7</v>
      </c>
    </row>
    <row r="1261" spans="34:46" x14ac:dyDescent="0.35">
      <c r="AH1261" t="s">
        <v>204</v>
      </c>
      <c r="AI1261" t="s">
        <v>180</v>
      </c>
      <c r="AJ1261" s="3">
        <v>43629</v>
      </c>
      <c r="AK1261" t="s">
        <v>41</v>
      </c>
      <c r="AL1261" s="1">
        <v>12750</v>
      </c>
      <c r="AM1261" t="s">
        <v>8</v>
      </c>
      <c r="AN1261" t="s">
        <v>8</v>
      </c>
      <c r="AO1261" t="s">
        <v>8</v>
      </c>
      <c r="AP1261" s="1">
        <v>12.3</v>
      </c>
      <c r="AQ1261" t="s">
        <v>8</v>
      </c>
      <c r="AR1261" t="s">
        <v>8</v>
      </c>
      <c r="AS1261" t="s">
        <v>8</v>
      </c>
      <c r="AT1261">
        <v>11945.7</v>
      </c>
    </row>
    <row r="1262" spans="34:46" x14ac:dyDescent="0.35">
      <c r="AH1262" t="s">
        <v>204</v>
      </c>
      <c r="AI1262" t="s">
        <v>180</v>
      </c>
      <c r="AJ1262" s="3">
        <v>43671</v>
      </c>
      <c r="AK1262" t="s">
        <v>42</v>
      </c>
      <c r="AL1262" s="1">
        <v>13250</v>
      </c>
      <c r="AM1262" t="s">
        <v>8</v>
      </c>
      <c r="AN1262" t="s">
        <v>8</v>
      </c>
      <c r="AO1262" t="s">
        <v>8</v>
      </c>
      <c r="AP1262" s="1">
        <v>1296.9000000000001</v>
      </c>
      <c r="AQ1262" t="s">
        <v>8</v>
      </c>
      <c r="AR1262" t="s">
        <v>8</v>
      </c>
      <c r="AS1262" t="s">
        <v>8</v>
      </c>
      <c r="AT1262">
        <v>11945.7</v>
      </c>
    </row>
    <row r="1263" spans="34:46" x14ac:dyDescent="0.35">
      <c r="AH1263" t="s">
        <v>204</v>
      </c>
      <c r="AI1263" t="s">
        <v>180</v>
      </c>
      <c r="AJ1263" s="3">
        <v>43636</v>
      </c>
      <c r="AK1263" t="s">
        <v>41</v>
      </c>
      <c r="AL1263" s="1">
        <v>11000</v>
      </c>
      <c r="AM1263" t="s">
        <v>8</v>
      </c>
      <c r="AN1263" t="s">
        <v>8</v>
      </c>
      <c r="AO1263" t="s">
        <v>8</v>
      </c>
      <c r="AP1263" s="1">
        <v>889.55</v>
      </c>
      <c r="AQ1263" t="s">
        <v>8</v>
      </c>
      <c r="AR1263" t="s">
        <v>8</v>
      </c>
      <c r="AS1263" t="s">
        <v>8</v>
      </c>
      <c r="AT1263">
        <v>11945.7</v>
      </c>
    </row>
    <row r="1264" spans="34:46" x14ac:dyDescent="0.35">
      <c r="AH1264" t="s">
        <v>204</v>
      </c>
      <c r="AI1264" t="s">
        <v>180</v>
      </c>
      <c r="AJ1264" s="3">
        <v>44196</v>
      </c>
      <c r="AK1264" t="s">
        <v>42</v>
      </c>
      <c r="AL1264" s="1">
        <v>10800</v>
      </c>
      <c r="AM1264" t="s">
        <v>8</v>
      </c>
      <c r="AN1264" t="s">
        <v>8</v>
      </c>
      <c r="AO1264" t="s">
        <v>8</v>
      </c>
      <c r="AP1264">
        <v>365</v>
      </c>
      <c r="AQ1264" t="s">
        <v>8</v>
      </c>
      <c r="AR1264" t="s">
        <v>8</v>
      </c>
      <c r="AS1264" t="s">
        <v>8</v>
      </c>
      <c r="AT1264">
        <v>11945.7</v>
      </c>
    </row>
    <row r="1265" spans="34:46" x14ac:dyDescent="0.35">
      <c r="AH1265" t="s">
        <v>204</v>
      </c>
      <c r="AI1265" t="s">
        <v>180</v>
      </c>
      <c r="AJ1265" s="3">
        <v>44742</v>
      </c>
      <c r="AK1265" t="s">
        <v>42</v>
      </c>
      <c r="AL1265" s="1">
        <v>7100</v>
      </c>
      <c r="AM1265" t="s">
        <v>8</v>
      </c>
      <c r="AN1265" t="s">
        <v>8</v>
      </c>
      <c r="AO1265" t="s">
        <v>8</v>
      </c>
      <c r="AP1265" s="1">
        <v>0.2</v>
      </c>
      <c r="AQ1265" t="s">
        <v>8</v>
      </c>
      <c r="AR1265" t="s">
        <v>8</v>
      </c>
      <c r="AS1265" t="s">
        <v>8</v>
      </c>
      <c r="AT1265">
        <v>11945.7</v>
      </c>
    </row>
    <row r="1266" spans="34:46" x14ac:dyDescent="0.35">
      <c r="AH1266" t="s">
        <v>204</v>
      </c>
      <c r="AI1266" t="s">
        <v>180</v>
      </c>
      <c r="AJ1266" s="3">
        <v>43629</v>
      </c>
      <c r="AK1266" t="s">
        <v>42</v>
      </c>
      <c r="AL1266" s="1">
        <v>12600</v>
      </c>
      <c r="AM1266" t="s">
        <v>8</v>
      </c>
      <c r="AN1266" t="s">
        <v>8</v>
      </c>
      <c r="AO1266" t="s">
        <v>8</v>
      </c>
      <c r="AP1266" s="1">
        <v>875</v>
      </c>
      <c r="AQ1266" t="s">
        <v>8</v>
      </c>
      <c r="AR1266" t="s">
        <v>8</v>
      </c>
      <c r="AS1266" t="s">
        <v>8</v>
      </c>
      <c r="AT1266">
        <v>11945.7</v>
      </c>
    </row>
    <row r="1267" spans="34:46" x14ac:dyDescent="0.35">
      <c r="AH1267" t="s">
        <v>204</v>
      </c>
      <c r="AI1267" t="s">
        <v>180</v>
      </c>
      <c r="AJ1267" s="3">
        <v>44742</v>
      </c>
      <c r="AK1267" t="s">
        <v>42</v>
      </c>
      <c r="AL1267" s="1">
        <v>7300</v>
      </c>
      <c r="AM1267" t="s">
        <v>8</v>
      </c>
      <c r="AN1267" t="s">
        <v>8</v>
      </c>
      <c r="AO1267" t="s">
        <v>8</v>
      </c>
      <c r="AP1267" s="1">
        <v>0.35</v>
      </c>
      <c r="AQ1267" t="s">
        <v>8</v>
      </c>
      <c r="AR1267" t="s">
        <v>8</v>
      </c>
      <c r="AS1267" t="s">
        <v>8</v>
      </c>
      <c r="AT1267">
        <v>11945.7</v>
      </c>
    </row>
    <row r="1268" spans="34:46" x14ac:dyDescent="0.35">
      <c r="AH1268" t="s">
        <v>204</v>
      </c>
      <c r="AI1268" t="s">
        <v>180</v>
      </c>
      <c r="AJ1268" s="3">
        <v>44007</v>
      </c>
      <c r="AK1268" t="s">
        <v>41</v>
      </c>
      <c r="AL1268" s="1">
        <v>8300</v>
      </c>
      <c r="AM1268" t="s">
        <v>8</v>
      </c>
      <c r="AN1268" t="s">
        <v>8</v>
      </c>
      <c r="AO1268" t="s">
        <v>8</v>
      </c>
      <c r="AP1268" t="s">
        <v>8</v>
      </c>
      <c r="AQ1268" t="s">
        <v>8</v>
      </c>
      <c r="AR1268" t="s">
        <v>8</v>
      </c>
      <c r="AS1268" t="s">
        <v>8</v>
      </c>
      <c r="AT1268">
        <v>11945.7</v>
      </c>
    </row>
    <row r="1269" spans="34:46" x14ac:dyDescent="0.35">
      <c r="AH1269" t="s">
        <v>204</v>
      </c>
      <c r="AI1269" t="s">
        <v>180</v>
      </c>
      <c r="AJ1269" s="3">
        <v>43629</v>
      </c>
      <c r="AK1269" t="s">
        <v>42</v>
      </c>
      <c r="AL1269" s="1">
        <v>12800</v>
      </c>
      <c r="AM1269" t="s">
        <v>8</v>
      </c>
      <c r="AN1269" t="s">
        <v>8</v>
      </c>
      <c r="AO1269" t="s">
        <v>8</v>
      </c>
      <c r="AP1269" s="1">
        <v>1061.7</v>
      </c>
      <c r="AQ1269" t="s">
        <v>8</v>
      </c>
      <c r="AR1269" t="s">
        <v>8</v>
      </c>
      <c r="AS1269" t="s">
        <v>8</v>
      </c>
      <c r="AT1269">
        <v>11945.7</v>
      </c>
    </row>
    <row r="1270" spans="34:46" x14ac:dyDescent="0.35">
      <c r="AH1270" t="s">
        <v>204</v>
      </c>
      <c r="AI1270" t="s">
        <v>180</v>
      </c>
      <c r="AJ1270" s="3">
        <v>43671</v>
      </c>
      <c r="AK1270" t="s">
        <v>42</v>
      </c>
      <c r="AL1270" s="1">
        <v>11950</v>
      </c>
      <c r="AM1270" t="s">
        <v>8</v>
      </c>
      <c r="AN1270" t="s">
        <v>8</v>
      </c>
      <c r="AO1270" t="s">
        <v>8</v>
      </c>
      <c r="AP1270" s="1">
        <v>368.5</v>
      </c>
      <c r="AQ1270" t="s">
        <v>8</v>
      </c>
      <c r="AR1270" t="s">
        <v>8</v>
      </c>
      <c r="AS1270" t="s">
        <v>8</v>
      </c>
      <c r="AT1270">
        <v>11945.7</v>
      </c>
    </row>
    <row r="1271" spans="34:46" x14ac:dyDescent="0.35">
      <c r="AH1271" t="s">
        <v>204</v>
      </c>
      <c r="AI1271" t="s">
        <v>180</v>
      </c>
      <c r="AJ1271" s="3">
        <v>44742</v>
      </c>
      <c r="AK1271" t="s">
        <v>42</v>
      </c>
      <c r="AL1271" s="1">
        <v>11600</v>
      </c>
      <c r="AM1271" t="s">
        <v>8</v>
      </c>
      <c r="AN1271" t="s">
        <v>8</v>
      </c>
      <c r="AO1271" t="s">
        <v>8</v>
      </c>
      <c r="AP1271" s="1">
        <v>620</v>
      </c>
      <c r="AQ1271" t="s">
        <v>8</v>
      </c>
      <c r="AR1271" t="s">
        <v>8</v>
      </c>
      <c r="AS1271" t="s">
        <v>8</v>
      </c>
      <c r="AT1271">
        <v>11945.7</v>
      </c>
    </row>
    <row r="1272" spans="34:46" x14ac:dyDescent="0.35">
      <c r="AH1272" t="s">
        <v>204</v>
      </c>
      <c r="AI1272" t="s">
        <v>180</v>
      </c>
      <c r="AJ1272" s="3">
        <v>43664</v>
      </c>
      <c r="AK1272" t="s">
        <v>41</v>
      </c>
      <c r="AL1272" s="1">
        <v>11100</v>
      </c>
      <c r="AM1272" t="s">
        <v>8</v>
      </c>
      <c r="AN1272" t="s">
        <v>8</v>
      </c>
      <c r="AO1272" t="s">
        <v>8</v>
      </c>
      <c r="AP1272" s="1">
        <v>433.4</v>
      </c>
      <c r="AQ1272" t="s">
        <v>8</v>
      </c>
      <c r="AR1272" t="s">
        <v>8</v>
      </c>
      <c r="AS1272" t="s">
        <v>8</v>
      </c>
      <c r="AT1272">
        <v>11945.7</v>
      </c>
    </row>
    <row r="1273" spans="34:46" x14ac:dyDescent="0.35">
      <c r="AH1273" t="s">
        <v>204</v>
      </c>
      <c r="AI1273" t="s">
        <v>180</v>
      </c>
      <c r="AJ1273" s="3">
        <v>43664</v>
      </c>
      <c r="AK1273" t="s">
        <v>41</v>
      </c>
      <c r="AL1273" s="1">
        <v>11300</v>
      </c>
      <c r="AM1273" t="s">
        <v>8</v>
      </c>
      <c r="AN1273" t="s">
        <v>8</v>
      </c>
      <c r="AO1273" t="s">
        <v>8</v>
      </c>
      <c r="AP1273" s="1">
        <v>313.95</v>
      </c>
      <c r="AQ1273" t="s">
        <v>8</v>
      </c>
      <c r="AR1273" t="s">
        <v>8</v>
      </c>
      <c r="AS1273" t="s">
        <v>8</v>
      </c>
      <c r="AT1273">
        <v>11945.7</v>
      </c>
    </row>
    <row r="1274" spans="34:46" x14ac:dyDescent="0.35">
      <c r="AH1274" t="s">
        <v>204</v>
      </c>
      <c r="AI1274" t="s">
        <v>180</v>
      </c>
      <c r="AJ1274" s="3">
        <v>43629</v>
      </c>
      <c r="AK1274" t="s">
        <v>41</v>
      </c>
      <c r="AL1274" s="1">
        <v>9800</v>
      </c>
      <c r="AM1274" t="s">
        <v>8</v>
      </c>
      <c r="AN1274" t="s">
        <v>8</v>
      </c>
      <c r="AO1274" t="s">
        <v>8</v>
      </c>
      <c r="AP1274" s="1">
        <v>1568.65</v>
      </c>
      <c r="AQ1274" t="s">
        <v>8</v>
      </c>
      <c r="AR1274" t="s">
        <v>8</v>
      </c>
      <c r="AS1274" t="s">
        <v>8</v>
      </c>
      <c r="AT1274">
        <v>11945.7</v>
      </c>
    </row>
    <row r="1275" spans="34:46" x14ac:dyDescent="0.35">
      <c r="AH1275" t="s">
        <v>204</v>
      </c>
      <c r="AI1275" t="s">
        <v>180</v>
      </c>
      <c r="AJ1275" s="3">
        <v>43664</v>
      </c>
      <c r="AK1275" t="s">
        <v>41</v>
      </c>
      <c r="AL1275" s="1">
        <v>11500</v>
      </c>
      <c r="AM1275" t="s">
        <v>8</v>
      </c>
      <c r="AN1275" t="s">
        <v>8</v>
      </c>
      <c r="AO1275" t="s">
        <v>8</v>
      </c>
      <c r="AP1275" s="1">
        <v>217.85</v>
      </c>
      <c r="AQ1275" t="s">
        <v>8</v>
      </c>
      <c r="AR1275" t="s">
        <v>8</v>
      </c>
      <c r="AS1275" t="s">
        <v>8</v>
      </c>
      <c r="AT1275">
        <v>11945.7</v>
      </c>
    </row>
    <row r="1276" spans="34:46" x14ac:dyDescent="0.35">
      <c r="AH1276" t="s">
        <v>204</v>
      </c>
      <c r="AI1276" t="s">
        <v>180</v>
      </c>
      <c r="AJ1276" s="3">
        <v>44007</v>
      </c>
      <c r="AK1276" t="s">
        <v>42</v>
      </c>
      <c r="AL1276" s="1">
        <v>7400</v>
      </c>
      <c r="AM1276" t="s">
        <v>8</v>
      </c>
      <c r="AN1276" t="s">
        <v>8</v>
      </c>
      <c r="AO1276" t="s">
        <v>8</v>
      </c>
      <c r="AP1276" s="1">
        <v>40</v>
      </c>
      <c r="AQ1276" t="s">
        <v>8</v>
      </c>
      <c r="AR1276" t="s">
        <v>8</v>
      </c>
      <c r="AS1276" t="s">
        <v>8</v>
      </c>
      <c r="AT1276">
        <v>11945.7</v>
      </c>
    </row>
    <row r="1277" spans="34:46" x14ac:dyDescent="0.35">
      <c r="AH1277" t="s">
        <v>204</v>
      </c>
      <c r="AI1277" t="s">
        <v>180</v>
      </c>
      <c r="AJ1277" s="3">
        <v>43622</v>
      </c>
      <c r="AK1277" t="s">
        <v>42</v>
      </c>
      <c r="AL1277" s="1">
        <v>10250</v>
      </c>
      <c r="AM1277" t="s">
        <v>8</v>
      </c>
      <c r="AN1277" t="s">
        <v>8</v>
      </c>
      <c r="AO1277" t="s">
        <v>8</v>
      </c>
      <c r="AP1277" s="1">
        <v>0.85</v>
      </c>
      <c r="AQ1277" t="s">
        <v>8</v>
      </c>
      <c r="AR1277" t="s">
        <v>8</v>
      </c>
      <c r="AS1277" t="s">
        <v>8</v>
      </c>
      <c r="AT1277">
        <v>11945.7</v>
      </c>
    </row>
    <row r="1278" spans="34:46" x14ac:dyDescent="0.35">
      <c r="AH1278" t="s">
        <v>204</v>
      </c>
      <c r="AI1278" t="s">
        <v>180</v>
      </c>
      <c r="AJ1278" s="3">
        <v>44007</v>
      </c>
      <c r="AK1278" t="s">
        <v>42</v>
      </c>
      <c r="AL1278" s="1">
        <v>7600</v>
      </c>
      <c r="AM1278" t="s">
        <v>8</v>
      </c>
      <c r="AN1278" t="s">
        <v>8</v>
      </c>
      <c r="AO1278" t="s">
        <v>8</v>
      </c>
      <c r="AP1278" s="1">
        <v>50</v>
      </c>
      <c r="AQ1278" t="s">
        <v>8</v>
      </c>
      <c r="AR1278" t="s">
        <v>8</v>
      </c>
      <c r="AS1278" t="s">
        <v>8</v>
      </c>
      <c r="AT1278">
        <v>11945.7</v>
      </c>
    </row>
    <row r="1279" spans="34:46" x14ac:dyDescent="0.35">
      <c r="AH1279" t="s">
        <v>204</v>
      </c>
      <c r="AI1279" t="s">
        <v>180</v>
      </c>
      <c r="AJ1279" s="3">
        <v>44924</v>
      </c>
      <c r="AK1279" t="s">
        <v>42</v>
      </c>
      <c r="AL1279" s="1">
        <v>9300</v>
      </c>
      <c r="AM1279" t="s">
        <v>8</v>
      </c>
      <c r="AN1279" t="s">
        <v>8</v>
      </c>
      <c r="AO1279" t="s">
        <v>8</v>
      </c>
      <c r="AP1279" s="1">
        <v>29.15</v>
      </c>
      <c r="AQ1279" t="s">
        <v>8</v>
      </c>
      <c r="AR1279" t="s">
        <v>8</v>
      </c>
      <c r="AS1279" t="s">
        <v>8</v>
      </c>
      <c r="AT1279">
        <v>11945.7</v>
      </c>
    </row>
    <row r="1280" spans="34:46" x14ac:dyDescent="0.35">
      <c r="AH1280" t="s">
        <v>204</v>
      </c>
      <c r="AI1280" t="s">
        <v>180</v>
      </c>
      <c r="AJ1280" s="3">
        <v>43643</v>
      </c>
      <c r="AK1280" t="s">
        <v>42</v>
      </c>
      <c r="AL1280" s="1">
        <v>12250</v>
      </c>
      <c r="AM1280" t="s">
        <v>8</v>
      </c>
      <c r="AN1280" t="s">
        <v>8</v>
      </c>
      <c r="AO1280" t="s">
        <v>8</v>
      </c>
      <c r="AP1280" s="1">
        <v>597</v>
      </c>
      <c r="AQ1280" t="s">
        <v>8</v>
      </c>
      <c r="AR1280" t="s">
        <v>8</v>
      </c>
      <c r="AS1280" t="s">
        <v>8</v>
      </c>
      <c r="AT1280">
        <v>11945.7</v>
      </c>
    </row>
    <row r="1281" spans="34:46" x14ac:dyDescent="0.35">
      <c r="AH1281" t="s">
        <v>204</v>
      </c>
      <c r="AI1281" t="s">
        <v>180</v>
      </c>
      <c r="AJ1281" s="3">
        <v>43825</v>
      </c>
      <c r="AK1281" t="s">
        <v>42</v>
      </c>
      <c r="AL1281" s="1">
        <v>11600</v>
      </c>
      <c r="AM1281" t="s">
        <v>8</v>
      </c>
      <c r="AN1281" t="s">
        <v>8</v>
      </c>
      <c r="AO1281" t="s">
        <v>8</v>
      </c>
      <c r="AP1281">
        <v>751</v>
      </c>
      <c r="AQ1281" t="s">
        <v>8</v>
      </c>
      <c r="AR1281" t="s">
        <v>8</v>
      </c>
      <c r="AS1281" t="s">
        <v>8</v>
      </c>
      <c r="AT1281">
        <v>11945.7</v>
      </c>
    </row>
    <row r="1282" spans="34:46" x14ac:dyDescent="0.35">
      <c r="AH1282" t="s">
        <v>204</v>
      </c>
      <c r="AI1282" t="s">
        <v>180</v>
      </c>
      <c r="AJ1282" s="3">
        <v>43734</v>
      </c>
      <c r="AK1282" t="s">
        <v>42</v>
      </c>
      <c r="AL1282" s="1">
        <v>8800</v>
      </c>
      <c r="AM1282" t="s">
        <v>8</v>
      </c>
      <c r="AN1282" t="s">
        <v>8</v>
      </c>
      <c r="AO1282" t="s">
        <v>8</v>
      </c>
      <c r="AP1282" s="1">
        <v>15</v>
      </c>
      <c r="AQ1282" t="s">
        <v>8</v>
      </c>
      <c r="AR1282" t="s">
        <v>8</v>
      </c>
      <c r="AS1282" t="s">
        <v>8</v>
      </c>
      <c r="AT1282">
        <v>11945.7</v>
      </c>
    </row>
    <row r="1283" spans="34:46" x14ac:dyDescent="0.35">
      <c r="AH1283" t="s">
        <v>204</v>
      </c>
      <c r="AI1283" t="s">
        <v>180</v>
      </c>
      <c r="AJ1283" s="3">
        <v>43650</v>
      </c>
      <c r="AK1283" t="s">
        <v>42</v>
      </c>
      <c r="AL1283" s="1">
        <v>13400</v>
      </c>
      <c r="AM1283" t="s">
        <v>8</v>
      </c>
      <c r="AN1283" t="s">
        <v>8</v>
      </c>
      <c r="AO1283" t="s">
        <v>8</v>
      </c>
      <c r="AP1283" s="1">
        <v>1398.3</v>
      </c>
      <c r="AQ1283" t="s">
        <v>8</v>
      </c>
      <c r="AR1283" t="s">
        <v>8</v>
      </c>
      <c r="AS1283" t="s">
        <v>8</v>
      </c>
      <c r="AT1283">
        <v>11945.7</v>
      </c>
    </row>
    <row r="1284" spans="34:46" x14ac:dyDescent="0.35">
      <c r="AH1284" t="s">
        <v>204</v>
      </c>
      <c r="AI1284" t="s">
        <v>180</v>
      </c>
      <c r="AJ1284" s="3">
        <v>43622</v>
      </c>
      <c r="AK1284" t="s">
        <v>42</v>
      </c>
      <c r="AL1284" s="1">
        <v>10450</v>
      </c>
      <c r="AM1284" t="s">
        <v>8</v>
      </c>
      <c r="AN1284" t="s">
        <v>8</v>
      </c>
      <c r="AO1284" t="s">
        <v>8</v>
      </c>
      <c r="AP1284" s="1">
        <v>2.5499999999999998</v>
      </c>
      <c r="AQ1284" t="s">
        <v>8</v>
      </c>
      <c r="AR1284" t="s">
        <v>8</v>
      </c>
      <c r="AS1284" t="s">
        <v>8</v>
      </c>
      <c r="AT1284">
        <v>11945.7</v>
      </c>
    </row>
    <row r="1285" spans="34:46" x14ac:dyDescent="0.35">
      <c r="AH1285" t="s">
        <v>204</v>
      </c>
      <c r="AI1285" t="s">
        <v>180</v>
      </c>
      <c r="AJ1285" s="3">
        <v>44924</v>
      </c>
      <c r="AK1285" t="s">
        <v>42</v>
      </c>
      <c r="AL1285" s="1">
        <v>9500</v>
      </c>
      <c r="AM1285" t="s">
        <v>8</v>
      </c>
      <c r="AN1285" t="s">
        <v>8</v>
      </c>
      <c r="AO1285" t="s">
        <v>8</v>
      </c>
      <c r="AP1285" s="1">
        <v>36.5</v>
      </c>
      <c r="AQ1285" t="s">
        <v>8</v>
      </c>
      <c r="AR1285" t="s">
        <v>8</v>
      </c>
      <c r="AS1285" t="s">
        <v>8</v>
      </c>
      <c r="AT1285">
        <v>11945.7</v>
      </c>
    </row>
    <row r="1286" spans="34:46" x14ac:dyDescent="0.35">
      <c r="AH1286" t="s">
        <v>204</v>
      </c>
      <c r="AI1286" t="s">
        <v>180</v>
      </c>
      <c r="AJ1286" s="3">
        <v>44007</v>
      </c>
      <c r="AK1286" t="s">
        <v>42</v>
      </c>
      <c r="AL1286" s="1">
        <v>7800</v>
      </c>
      <c r="AM1286" t="s">
        <v>8</v>
      </c>
      <c r="AN1286" t="s">
        <v>8</v>
      </c>
      <c r="AO1286" t="s">
        <v>8</v>
      </c>
      <c r="AP1286" s="1">
        <v>125</v>
      </c>
      <c r="AQ1286" t="s">
        <v>8</v>
      </c>
      <c r="AR1286" t="s">
        <v>8</v>
      </c>
      <c r="AS1286" t="s">
        <v>8</v>
      </c>
      <c r="AT1286">
        <v>11945.7</v>
      </c>
    </row>
    <row r="1287" spans="34:46" x14ac:dyDescent="0.35">
      <c r="AH1287" t="s">
        <v>204</v>
      </c>
      <c r="AI1287" t="s">
        <v>180</v>
      </c>
      <c r="AJ1287" s="3">
        <v>43825</v>
      </c>
      <c r="AK1287" t="s">
        <v>42</v>
      </c>
      <c r="AL1287" s="1">
        <v>11800</v>
      </c>
      <c r="AM1287" t="s">
        <v>8</v>
      </c>
      <c r="AN1287" t="s">
        <v>8</v>
      </c>
      <c r="AO1287" t="s">
        <v>8</v>
      </c>
      <c r="AP1287" s="1">
        <v>848</v>
      </c>
      <c r="AQ1287" t="s">
        <v>8</v>
      </c>
      <c r="AR1287" t="s">
        <v>8</v>
      </c>
      <c r="AS1287" t="s">
        <v>8</v>
      </c>
      <c r="AT1287">
        <v>11945.7</v>
      </c>
    </row>
    <row r="1288" spans="34:46" x14ac:dyDescent="0.35">
      <c r="AH1288" t="s">
        <v>204</v>
      </c>
      <c r="AI1288" t="s">
        <v>180</v>
      </c>
      <c r="AJ1288" s="3">
        <v>43622</v>
      </c>
      <c r="AK1288" t="s">
        <v>42</v>
      </c>
      <c r="AL1288" s="1">
        <v>10650</v>
      </c>
      <c r="AM1288" t="s">
        <v>8</v>
      </c>
      <c r="AN1288" t="s">
        <v>8</v>
      </c>
      <c r="AO1288" t="s">
        <v>8</v>
      </c>
      <c r="AP1288" s="1">
        <v>6.9</v>
      </c>
      <c r="AQ1288" t="s">
        <v>8</v>
      </c>
      <c r="AR1288" t="s">
        <v>8</v>
      </c>
      <c r="AS1288" t="s">
        <v>8</v>
      </c>
      <c r="AT1288">
        <v>11945.7</v>
      </c>
    </row>
    <row r="1289" spans="34:46" x14ac:dyDescent="0.35">
      <c r="AH1289" t="s">
        <v>204</v>
      </c>
      <c r="AI1289" t="s">
        <v>180</v>
      </c>
      <c r="AJ1289" s="3">
        <v>44924</v>
      </c>
      <c r="AK1289" t="s">
        <v>42</v>
      </c>
      <c r="AL1289" s="1">
        <v>9700</v>
      </c>
      <c r="AM1289" t="s">
        <v>8</v>
      </c>
      <c r="AN1289" t="s">
        <v>8</v>
      </c>
      <c r="AO1289" t="s">
        <v>8</v>
      </c>
      <c r="AP1289">
        <v>45.3</v>
      </c>
      <c r="AQ1289" t="s">
        <v>8</v>
      </c>
      <c r="AR1289" t="s">
        <v>8</v>
      </c>
      <c r="AS1289" t="s">
        <v>8</v>
      </c>
      <c r="AT1289">
        <v>11945.7</v>
      </c>
    </row>
    <row r="1290" spans="34:46" x14ac:dyDescent="0.35">
      <c r="AH1290" t="s">
        <v>204</v>
      </c>
      <c r="AI1290" t="s">
        <v>180</v>
      </c>
      <c r="AJ1290" s="3">
        <v>43657</v>
      </c>
      <c r="AK1290" t="s">
        <v>41</v>
      </c>
      <c r="AL1290" s="1">
        <v>10500</v>
      </c>
      <c r="AM1290" t="s">
        <v>8</v>
      </c>
      <c r="AN1290" t="s">
        <v>8</v>
      </c>
      <c r="AO1290" t="s">
        <v>8</v>
      </c>
      <c r="AP1290" s="1">
        <v>949.5</v>
      </c>
      <c r="AQ1290" t="s">
        <v>8</v>
      </c>
      <c r="AR1290" t="s">
        <v>8</v>
      </c>
      <c r="AS1290" t="s">
        <v>8</v>
      </c>
      <c r="AT1290">
        <v>11945.7</v>
      </c>
    </row>
    <row r="1291" spans="34:46" x14ac:dyDescent="0.35">
      <c r="AH1291" t="s">
        <v>204</v>
      </c>
      <c r="AI1291" t="s">
        <v>180</v>
      </c>
      <c r="AJ1291" s="3">
        <v>43643</v>
      </c>
      <c r="AK1291" t="s">
        <v>42</v>
      </c>
      <c r="AL1291" s="1">
        <v>10950</v>
      </c>
      <c r="AM1291" t="s">
        <v>8</v>
      </c>
      <c r="AN1291" t="s">
        <v>8</v>
      </c>
      <c r="AO1291" t="s">
        <v>8</v>
      </c>
      <c r="AP1291" s="1">
        <v>14.25</v>
      </c>
      <c r="AQ1291" t="s">
        <v>8</v>
      </c>
      <c r="AR1291" t="s">
        <v>8</v>
      </c>
      <c r="AS1291" t="s">
        <v>8</v>
      </c>
      <c r="AT1291">
        <v>11945.7</v>
      </c>
    </row>
    <row r="1292" spans="34:46" x14ac:dyDescent="0.35">
      <c r="AH1292" t="s">
        <v>204</v>
      </c>
      <c r="AI1292" t="s">
        <v>180</v>
      </c>
      <c r="AJ1292" s="3">
        <v>43657</v>
      </c>
      <c r="AK1292" t="s">
        <v>41</v>
      </c>
      <c r="AL1292" s="1">
        <v>10700</v>
      </c>
      <c r="AM1292" t="s">
        <v>8</v>
      </c>
      <c r="AN1292" t="s">
        <v>8</v>
      </c>
      <c r="AO1292" t="s">
        <v>8</v>
      </c>
      <c r="AP1292">
        <v>771.65</v>
      </c>
      <c r="AQ1292" t="s">
        <v>8</v>
      </c>
      <c r="AR1292" t="s">
        <v>8</v>
      </c>
      <c r="AS1292" t="s">
        <v>8</v>
      </c>
      <c r="AT1292">
        <v>11945.7</v>
      </c>
    </row>
    <row r="1293" spans="34:46" x14ac:dyDescent="0.35">
      <c r="AH1293" t="s">
        <v>204</v>
      </c>
      <c r="AI1293" t="s">
        <v>180</v>
      </c>
      <c r="AJ1293" s="3">
        <v>43916</v>
      </c>
      <c r="AK1293" t="s">
        <v>42</v>
      </c>
      <c r="AL1293" s="1">
        <v>10000</v>
      </c>
      <c r="AM1293" t="s">
        <v>8</v>
      </c>
      <c r="AN1293" t="s">
        <v>8</v>
      </c>
      <c r="AO1293" t="s">
        <v>8</v>
      </c>
      <c r="AP1293" s="1">
        <v>31.75</v>
      </c>
      <c r="AQ1293" t="s">
        <v>8</v>
      </c>
      <c r="AR1293" t="s">
        <v>8</v>
      </c>
      <c r="AS1293" t="s">
        <v>8</v>
      </c>
      <c r="AT1293">
        <v>11945.7</v>
      </c>
    </row>
    <row r="1294" spans="34:46" x14ac:dyDescent="0.35">
      <c r="AH1294" t="s">
        <v>204</v>
      </c>
      <c r="AI1294" t="s">
        <v>180</v>
      </c>
      <c r="AJ1294" s="3">
        <v>43657</v>
      </c>
      <c r="AK1294" t="s">
        <v>41</v>
      </c>
      <c r="AL1294" s="1">
        <v>10900</v>
      </c>
      <c r="AM1294" t="s">
        <v>8</v>
      </c>
      <c r="AN1294" t="s">
        <v>8</v>
      </c>
      <c r="AO1294" t="s">
        <v>8</v>
      </c>
      <c r="AP1294" s="1">
        <v>607.25</v>
      </c>
      <c r="AQ1294" t="s">
        <v>8</v>
      </c>
      <c r="AR1294" t="s">
        <v>8</v>
      </c>
      <c r="AS1294" t="s">
        <v>8</v>
      </c>
      <c r="AT1294">
        <v>11945.7</v>
      </c>
    </row>
    <row r="1295" spans="34:46" x14ac:dyDescent="0.35">
      <c r="AH1295" t="s">
        <v>204</v>
      </c>
      <c r="AI1295" t="s">
        <v>180</v>
      </c>
      <c r="AJ1295" s="3">
        <v>43636</v>
      </c>
      <c r="AK1295" t="s">
        <v>42</v>
      </c>
      <c r="AL1295" s="1">
        <v>11450</v>
      </c>
      <c r="AM1295" t="s">
        <v>8</v>
      </c>
      <c r="AN1295" t="s">
        <v>8</v>
      </c>
      <c r="AO1295" t="s">
        <v>8</v>
      </c>
      <c r="AP1295">
        <v>65.7</v>
      </c>
      <c r="AQ1295" t="s">
        <v>8</v>
      </c>
      <c r="AR1295" t="s">
        <v>8</v>
      </c>
      <c r="AS1295" t="s">
        <v>8</v>
      </c>
      <c r="AT1295">
        <v>11945.7</v>
      </c>
    </row>
    <row r="1296" spans="34:46" x14ac:dyDescent="0.35">
      <c r="AH1296" t="s">
        <v>204</v>
      </c>
      <c r="AI1296" t="s">
        <v>180</v>
      </c>
      <c r="AJ1296" s="3">
        <v>44560</v>
      </c>
      <c r="AK1296" t="s">
        <v>42</v>
      </c>
      <c r="AL1296" s="1">
        <v>6000</v>
      </c>
      <c r="AM1296" t="s">
        <v>8</v>
      </c>
      <c r="AN1296" t="s">
        <v>8</v>
      </c>
      <c r="AO1296" t="s">
        <v>8</v>
      </c>
      <c r="AP1296" s="1">
        <v>42</v>
      </c>
      <c r="AQ1296" t="s">
        <v>8</v>
      </c>
      <c r="AR1296" t="s">
        <v>8</v>
      </c>
      <c r="AS1296" t="s">
        <v>8</v>
      </c>
      <c r="AT1296">
        <v>11945.7</v>
      </c>
    </row>
    <row r="1297" spans="34:46" x14ac:dyDescent="0.35">
      <c r="AH1297" t="s">
        <v>204</v>
      </c>
      <c r="AI1297" t="s">
        <v>180</v>
      </c>
      <c r="AJ1297" s="3">
        <v>43636</v>
      </c>
      <c r="AK1297" t="s">
        <v>42</v>
      </c>
      <c r="AL1297" s="1">
        <v>11650</v>
      </c>
      <c r="AM1297" t="s">
        <v>8</v>
      </c>
      <c r="AN1297" t="s">
        <v>8</v>
      </c>
      <c r="AO1297" t="s">
        <v>8</v>
      </c>
      <c r="AP1297" s="1">
        <v>120.7</v>
      </c>
      <c r="AQ1297" t="s">
        <v>8</v>
      </c>
      <c r="AR1297" t="s">
        <v>8</v>
      </c>
      <c r="AS1297" t="s">
        <v>8</v>
      </c>
      <c r="AT1297">
        <v>11945.7</v>
      </c>
    </row>
    <row r="1298" spans="34:46" x14ac:dyDescent="0.35">
      <c r="AH1298" t="s">
        <v>204</v>
      </c>
      <c r="AI1298" t="s">
        <v>180</v>
      </c>
      <c r="AJ1298" s="3">
        <v>44371</v>
      </c>
      <c r="AK1298" t="s">
        <v>41</v>
      </c>
      <c r="AL1298" s="1">
        <v>11300</v>
      </c>
      <c r="AM1298" t="s">
        <v>8</v>
      </c>
      <c r="AN1298" t="s">
        <v>8</v>
      </c>
      <c r="AO1298" t="s">
        <v>8</v>
      </c>
      <c r="AP1298" t="s">
        <v>8</v>
      </c>
      <c r="AQ1298" t="s">
        <v>8</v>
      </c>
      <c r="AR1298" t="s">
        <v>8</v>
      </c>
      <c r="AS1298" t="s">
        <v>8</v>
      </c>
      <c r="AT1298">
        <v>11945.7</v>
      </c>
    </row>
    <row r="1299" spans="34:46" x14ac:dyDescent="0.35">
      <c r="AH1299" t="s">
        <v>204</v>
      </c>
      <c r="AI1299" t="s">
        <v>180</v>
      </c>
      <c r="AJ1299" s="3">
        <v>44560</v>
      </c>
      <c r="AK1299" t="s">
        <v>42</v>
      </c>
      <c r="AL1299" s="1">
        <v>6200</v>
      </c>
      <c r="AM1299" t="s">
        <v>8</v>
      </c>
      <c r="AN1299" t="s">
        <v>8</v>
      </c>
      <c r="AO1299" t="s">
        <v>8</v>
      </c>
      <c r="AP1299" s="1">
        <v>52.7</v>
      </c>
      <c r="AQ1299" t="s">
        <v>8</v>
      </c>
      <c r="AR1299" t="s">
        <v>8</v>
      </c>
      <c r="AS1299" t="s">
        <v>8</v>
      </c>
      <c r="AT1299">
        <v>11945.7</v>
      </c>
    </row>
    <row r="1300" spans="34:46" x14ac:dyDescent="0.35">
      <c r="AH1300" t="s">
        <v>204</v>
      </c>
      <c r="AI1300" t="s">
        <v>180</v>
      </c>
      <c r="AJ1300" s="3">
        <v>44371</v>
      </c>
      <c r="AK1300" t="s">
        <v>41</v>
      </c>
      <c r="AL1300" s="1">
        <v>11500</v>
      </c>
      <c r="AM1300" t="s">
        <v>8</v>
      </c>
      <c r="AN1300" t="s">
        <v>8</v>
      </c>
      <c r="AO1300" t="s">
        <v>8</v>
      </c>
      <c r="AP1300" s="1">
        <v>2055.0500000000002</v>
      </c>
      <c r="AQ1300" t="s">
        <v>8</v>
      </c>
      <c r="AR1300" t="s">
        <v>8</v>
      </c>
      <c r="AS1300" t="s">
        <v>8</v>
      </c>
      <c r="AT1300">
        <v>11945.7</v>
      </c>
    </row>
    <row r="1301" spans="34:46" x14ac:dyDescent="0.35">
      <c r="AH1301" t="s">
        <v>204</v>
      </c>
      <c r="AI1301" t="s">
        <v>180</v>
      </c>
      <c r="AJ1301" s="3">
        <v>43622</v>
      </c>
      <c r="AK1301" t="s">
        <v>42</v>
      </c>
      <c r="AL1301" s="1">
        <v>9650</v>
      </c>
      <c r="AM1301" t="s">
        <v>8</v>
      </c>
      <c r="AN1301" t="s">
        <v>8</v>
      </c>
      <c r="AO1301" t="s">
        <v>8</v>
      </c>
      <c r="AP1301" s="1">
        <v>0.05</v>
      </c>
      <c r="AQ1301" t="s">
        <v>8</v>
      </c>
      <c r="AR1301" t="s">
        <v>8</v>
      </c>
      <c r="AS1301" t="s">
        <v>8</v>
      </c>
      <c r="AT1301">
        <v>11945.7</v>
      </c>
    </row>
    <row r="1302" spans="34:46" x14ac:dyDescent="0.35">
      <c r="AH1302" t="s">
        <v>204</v>
      </c>
      <c r="AI1302" t="s">
        <v>180</v>
      </c>
      <c r="AJ1302" s="3">
        <v>43664</v>
      </c>
      <c r="AK1302" t="s">
        <v>42</v>
      </c>
      <c r="AL1302" s="1">
        <v>13050</v>
      </c>
      <c r="AM1302" t="s">
        <v>8</v>
      </c>
      <c r="AN1302" t="s">
        <v>8</v>
      </c>
      <c r="AO1302" t="s">
        <v>8</v>
      </c>
      <c r="AP1302" s="1">
        <v>1171.8499999999999</v>
      </c>
      <c r="AQ1302" t="s">
        <v>8</v>
      </c>
      <c r="AR1302" t="s">
        <v>8</v>
      </c>
      <c r="AS1302" t="s">
        <v>8</v>
      </c>
      <c r="AT1302">
        <v>11945.7</v>
      </c>
    </row>
    <row r="1303" spans="34:46" x14ac:dyDescent="0.35">
      <c r="AH1303" t="s">
        <v>204</v>
      </c>
      <c r="AI1303" t="s">
        <v>180</v>
      </c>
      <c r="AJ1303" s="3">
        <v>43643</v>
      </c>
      <c r="AK1303" t="s">
        <v>41</v>
      </c>
      <c r="AL1303" s="1">
        <v>12850</v>
      </c>
      <c r="AM1303" t="s">
        <v>8</v>
      </c>
      <c r="AN1303" t="s">
        <v>8</v>
      </c>
      <c r="AO1303" t="s">
        <v>8</v>
      </c>
      <c r="AP1303">
        <v>40.85</v>
      </c>
      <c r="AQ1303" t="s">
        <v>8</v>
      </c>
      <c r="AR1303" t="s">
        <v>8</v>
      </c>
      <c r="AS1303" t="s">
        <v>8</v>
      </c>
      <c r="AT1303">
        <v>11945.7</v>
      </c>
    </row>
    <row r="1304" spans="34:46" x14ac:dyDescent="0.35">
      <c r="AH1304" t="s">
        <v>204</v>
      </c>
      <c r="AI1304" t="s">
        <v>180</v>
      </c>
      <c r="AJ1304" s="3">
        <v>45288</v>
      </c>
      <c r="AK1304" t="s">
        <v>42</v>
      </c>
      <c r="AL1304" s="1">
        <v>11600</v>
      </c>
      <c r="AM1304" t="s">
        <v>8</v>
      </c>
      <c r="AN1304" t="s">
        <v>8</v>
      </c>
      <c r="AO1304" t="s">
        <v>8</v>
      </c>
      <c r="AP1304">
        <v>490.65</v>
      </c>
      <c r="AQ1304" t="s">
        <v>8</v>
      </c>
      <c r="AR1304" t="s">
        <v>8</v>
      </c>
      <c r="AS1304" t="s">
        <v>8</v>
      </c>
      <c r="AT1304">
        <v>11945.7</v>
      </c>
    </row>
    <row r="1305" spans="34:46" x14ac:dyDescent="0.35">
      <c r="AH1305" t="s">
        <v>204</v>
      </c>
      <c r="AI1305" t="s">
        <v>180</v>
      </c>
      <c r="AJ1305" s="3">
        <v>43622</v>
      </c>
      <c r="AK1305" t="s">
        <v>42</v>
      </c>
      <c r="AL1305" s="1">
        <v>9850</v>
      </c>
      <c r="AM1305" t="s">
        <v>8</v>
      </c>
      <c r="AN1305" t="s">
        <v>8</v>
      </c>
      <c r="AO1305" t="s">
        <v>8</v>
      </c>
      <c r="AP1305" s="1">
        <v>0.05</v>
      </c>
      <c r="AQ1305" t="s">
        <v>8</v>
      </c>
      <c r="AR1305" t="s">
        <v>8</v>
      </c>
      <c r="AS1305" t="s">
        <v>8</v>
      </c>
      <c r="AT1305">
        <v>11945.7</v>
      </c>
    </row>
    <row r="1306" spans="34:46" x14ac:dyDescent="0.35">
      <c r="AH1306" t="s">
        <v>204</v>
      </c>
      <c r="AI1306" t="s">
        <v>180</v>
      </c>
      <c r="AJ1306" s="3">
        <v>43671</v>
      </c>
      <c r="AK1306" t="s">
        <v>41</v>
      </c>
      <c r="AL1306" s="1">
        <v>10150</v>
      </c>
      <c r="AM1306" t="s">
        <v>8</v>
      </c>
      <c r="AN1306" t="s">
        <v>8</v>
      </c>
      <c r="AO1306" t="s">
        <v>8</v>
      </c>
      <c r="AP1306" s="1">
        <v>1672.5</v>
      </c>
      <c r="AQ1306" t="s">
        <v>8</v>
      </c>
      <c r="AR1306" t="s">
        <v>8</v>
      </c>
      <c r="AS1306" t="s">
        <v>8</v>
      </c>
      <c r="AT1306">
        <v>11945.7</v>
      </c>
    </row>
    <row r="1307" spans="34:46" x14ac:dyDescent="0.35">
      <c r="AH1307" t="s">
        <v>204</v>
      </c>
      <c r="AI1307" t="s">
        <v>180</v>
      </c>
      <c r="AJ1307" s="3">
        <v>45288</v>
      </c>
      <c r="AK1307" t="s">
        <v>42</v>
      </c>
      <c r="AL1307" s="1">
        <v>11800</v>
      </c>
      <c r="AM1307" t="s">
        <v>8</v>
      </c>
      <c r="AN1307" t="s">
        <v>8</v>
      </c>
      <c r="AO1307" t="s">
        <v>8</v>
      </c>
      <c r="AP1307">
        <v>532.04999999999995</v>
      </c>
      <c r="AQ1307" t="s">
        <v>8</v>
      </c>
      <c r="AR1307" t="s">
        <v>8</v>
      </c>
      <c r="AS1307" t="s">
        <v>8</v>
      </c>
      <c r="AT1307">
        <v>11945.7</v>
      </c>
    </row>
    <row r="1308" spans="34:46" x14ac:dyDescent="0.35">
      <c r="AH1308" t="s">
        <v>204</v>
      </c>
      <c r="AI1308" t="s">
        <v>180</v>
      </c>
      <c r="AJ1308" s="3">
        <v>43622</v>
      </c>
      <c r="AK1308" t="s">
        <v>42</v>
      </c>
      <c r="AL1308" s="1">
        <v>12600</v>
      </c>
      <c r="AM1308" t="s">
        <v>8</v>
      </c>
      <c r="AN1308" t="s">
        <v>8</v>
      </c>
      <c r="AO1308" t="s">
        <v>8</v>
      </c>
      <c r="AP1308">
        <v>874.15</v>
      </c>
      <c r="AQ1308" t="s">
        <v>8</v>
      </c>
      <c r="AR1308" t="s">
        <v>8</v>
      </c>
      <c r="AS1308" t="s">
        <v>8</v>
      </c>
      <c r="AT1308">
        <v>11945.7</v>
      </c>
    </row>
    <row r="1309" spans="34:46" x14ac:dyDescent="0.35">
      <c r="AH1309" t="s">
        <v>204</v>
      </c>
      <c r="AI1309" t="s">
        <v>180</v>
      </c>
      <c r="AJ1309" s="3">
        <v>43615</v>
      </c>
      <c r="AK1309" t="s">
        <v>41</v>
      </c>
      <c r="AL1309" s="1">
        <v>13450</v>
      </c>
      <c r="AM1309" t="s">
        <v>8</v>
      </c>
      <c r="AN1309" t="s">
        <v>8</v>
      </c>
      <c r="AO1309" t="s">
        <v>8</v>
      </c>
      <c r="AP1309">
        <v>0.05</v>
      </c>
      <c r="AQ1309" t="s">
        <v>8</v>
      </c>
      <c r="AR1309" t="s">
        <v>8</v>
      </c>
      <c r="AS1309" t="s">
        <v>8</v>
      </c>
      <c r="AT1309">
        <v>11945.7</v>
      </c>
    </row>
    <row r="1310" spans="34:46" x14ac:dyDescent="0.35">
      <c r="AH1310" t="s">
        <v>204</v>
      </c>
      <c r="AI1310" t="s">
        <v>180</v>
      </c>
      <c r="AJ1310" s="3">
        <v>43615</v>
      </c>
      <c r="AK1310" t="s">
        <v>41</v>
      </c>
      <c r="AL1310" s="1">
        <v>9550</v>
      </c>
      <c r="AM1310" t="s">
        <v>8</v>
      </c>
      <c r="AN1310" t="s">
        <v>8</v>
      </c>
      <c r="AO1310" t="s">
        <v>8</v>
      </c>
      <c r="AP1310" s="1">
        <v>1421.95</v>
      </c>
      <c r="AQ1310" t="s">
        <v>8</v>
      </c>
      <c r="AR1310" t="s">
        <v>8</v>
      </c>
      <c r="AS1310" t="s">
        <v>8</v>
      </c>
      <c r="AT1310">
        <v>11945.7</v>
      </c>
    </row>
    <row r="1311" spans="34:46" x14ac:dyDescent="0.35">
      <c r="AH1311" t="s">
        <v>204</v>
      </c>
      <c r="AI1311" t="s">
        <v>180</v>
      </c>
      <c r="AJ1311" s="3">
        <v>43671</v>
      </c>
      <c r="AK1311" t="s">
        <v>42</v>
      </c>
      <c r="AL1311" s="1">
        <v>10200</v>
      </c>
      <c r="AM1311" t="s">
        <v>8</v>
      </c>
      <c r="AN1311" t="s">
        <v>8</v>
      </c>
      <c r="AO1311" t="s">
        <v>8</v>
      </c>
      <c r="AP1311">
        <v>3.55</v>
      </c>
      <c r="AQ1311" t="s">
        <v>8</v>
      </c>
      <c r="AR1311" t="s">
        <v>8</v>
      </c>
      <c r="AS1311" t="s">
        <v>8</v>
      </c>
      <c r="AT1311">
        <v>11945.7</v>
      </c>
    </row>
    <row r="1312" spans="34:46" x14ac:dyDescent="0.35">
      <c r="AH1312" t="s">
        <v>204</v>
      </c>
      <c r="AI1312" t="s">
        <v>180</v>
      </c>
      <c r="AJ1312" s="3">
        <v>43643</v>
      </c>
      <c r="AK1312" t="s">
        <v>41</v>
      </c>
      <c r="AL1312" s="1">
        <v>8200</v>
      </c>
      <c r="AM1312" t="s">
        <v>8</v>
      </c>
      <c r="AN1312" t="s">
        <v>8</v>
      </c>
      <c r="AO1312" t="s">
        <v>8</v>
      </c>
      <c r="AP1312" s="1">
        <v>1816.85</v>
      </c>
      <c r="AQ1312" t="s">
        <v>8</v>
      </c>
      <c r="AR1312" t="s">
        <v>8</v>
      </c>
      <c r="AS1312" t="s">
        <v>8</v>
      </c>
      <c r="AT1312">
        <v>11945.7</v>
      </c>
    </row>
    <row r="1313" spans="34:46" x14ac:dyDescent="0.35">
      <c r="AH1313" t="s">
        <v>204</v>
      </c>
      <c r="AI1313" t="s">
        <v>180</v>
      </c>
      <c r="AJ1313" s="3">
        <v>43615</v>
      </c>
      <c r="AK1313" t="s">
        <v>41</v>
      </c>
      <c r="AL1313" s="1">
        <v>9750</v>
      </c>
      <c r="AM1313" t="s">
        <v>8</v>
      </c>
      <c r="AN1313" t="s">
        <v>8</v>
      </c>
      <c r="AO1313" t="s">
        <v>8</v>
      </c>
      <c r="AP1313" s="1">
        <v>1229.5</v>
      </c>
      <c r="AQ1313" t="s">
        <v>8</v>
      </c>
      <c r="AR1313" t="s">
        <v>8</v>
      </c>
      <c r="AS1313" t="s">
        <v>8</v>
      </c>
      <c r="AT1313">
        <v>11945.7</v>
      </c>
    </row>
    <row r="1314" spans="34:46" x14ac:dyDescent="0.35">
      <c r="AH1314" t="s">
        <v>204</v>
      </c>
      <c r="AI1314" t="s">
        <v>180</v>
      </c>
      <c r="AJ1314" s="3">
        <v>43671</v>
      </c>
      <c r="AK1314" t="s">
        <v>42</v>
      </c>
      <c r="AL1314" s="1">
        <v>10400</v>
      </c>
      <c r="AM1314" t="s">
        <v>8</v>
      </c>
      <c r="AN1314" t="s">
        <v>8</v>
      </c>
      <c r="AO1314" t="s">
        <v>8</v>
      </c>
      <c r="AP1314" s="1">
        <v>7.8</v>
      </c>
      <c r="AQ1314" t="s">
        <v>8</v>
      </c>
      <c r="AR1314" t="s">
        <v>8</v>
      </c>
      <c r="AS1314" t="s">
        <v>8</v>
      </c>
      <c r="AT1314">
        <v>11945.7</v>
      </c>
    </row>
    <row r="1315" spans="34:46" x14ac:dyDescent="0.35">
      <c r="AH1315" t="s">
        <v>204</v>
      </c>
      <c r="AI1315" t="s">
        <v>180</v>
      </c>
      <c r="AJ1315" s="3">
        <v>43643</v>
      </c>
      <c r="AK1315" t="s">
        <v>41</v>
      </c>
      <c r="AL1315" s="1">
        <v>8400</v>
      </c>
      <c r="AM1315" t="s">
        <v>8</v>
      </c>
      <c r="AN1315" t="s">
        <v>8</v>
      </c>
      <c r="AO1315" t="s">
        <v>8</v>
      </c>
      <c r="AP1315" s="1">
        <v>2325.85</v>
      </c>
      <c r="AQ1315" t="s">
        <v>8</v>
      </c>
      <c r="AR1315" t="s">
        <v>8</v>
      </c>
      <c r="AS1315" t="s">
        <v>8</v>
      </c>
      <c r="AT1315">
        <v>11945.7</v>
      </c>
    </row>
    <row r="1316" spans="34:46" x14ac:dyDescent="0.35">
      <c r="AH1316" t="s">
        <v>204</v>
      </c>
      <c r="AI1316" t="s">
        <v>180</v>
      </c>
      <c r="AJ1316" s="3">
        <v>43657</v>
      </c>
      <c r="AK1316" t="s">
        <v>42</v>
      </c>
      <c r="AL1316" s="1">
        <v>12450</v>
      </c>
      <c r="AM1316" t="s">
        <v>8</v>
      </c>
      <c r="AN1316" t="s">
        <v>8</v>
      </c>
      <c r="AO1316" t="s">
        <v>8</v>
      </c>
      <c r="AP1316" s="1">
        <v>1018.1</v>
      </c>
      <c r="AQ1316" t="s">
        <v>8</v>
      </c>
      <c r="AR1316" t="s">
        <v>8</v>
      </c>
      <c r="AS1316" t="s">
        <v>8</v>
      </c>
      <c r="AT1316">
        <v>11945.7</v>
      </c>
    </row>
    <row r="1317" spans="34:46" x14ac:dyDescent="0.35">
      <c r="AH1317" t="s">
        <v>204</v>
      </c>
      <c r="AI1317" t="s">
        <v>180</v>
      </c>
      <c r="AJ1317" s="3">
        <v>43643</v>
      </c>
      <c r="AK1317" t="s">
        <v>41</v>
      </c>
      <c r="AL1317" s="1">
        <v>8600</v>
      </c>
      <c r="AM1317" t="s">
        <v>8</v>
      </c>
      <c r="AN1317" t="s">
        <v>8</v>
      </c>
      <c r="AO1317" t="s">
        <v>8</v>
      </c>
      <c r="AP1317" s="1">
        <v>2460</v>
      </c>
      <c r="AQ1317" t="s">
        <v>8</v>
      </c>
      <c r="AR1317" t="s">
        <v>8</v>
      </c>
      <c r="AS1317" t="s">
        <v>8</v>
      </c>
      <c r="AT1317">
        <v>11945.7</v>
      </c>
    </row>
    <row r="1318" spans="34:46" x14ac:dyDescent="0.35">
      <c r="AH1318" t="s">
        <v>204</v>
      </c>
      <c r="AI1318" t="s">
        <v>180</v>
      </c>
      <c r="AJ1318" s="3">
        <v>43825</v>
      </c>
      <c r="AK1318" t="s">
        <v>42</v>
      </c>
      <c r="AL1318" s="1">
        <v>7200</v>
      </c>
      <c r="AM1318" t="s">
        <v>8</v>
      </c>
      <c r="AN1318" t="s">
        <v>8</v>
      </c>
      <c r="AO1318" t="s">
        <v>8</v>
      </c>
      <c r="AP1318" s="1">
        <v>70.400000000000006</v>
      </c>
      <c r="AQ1318" t="s">
        <v>8</v>
      </c>
      <c r="AR1318" t="s">
        <v>8</v>
      </c>
      <c r="AS1318" t="s">
        <v>8</v>
      </c>
      <c r="AT1318">
        <v>11945.7</v>
      </c>
    </row>
    <row r="1319" spans="34:46" x14ac:dyDescent="0.35">
      <c r="AH1319" t="s">
        <v>204</v>
      </c>
      <c r="AI1319" t="s">
        <v>180</v>
      </c>
      <c r="AJ1319" s="3">
        <v>43825</v>
      </c>
      <c r="AK1319" t="s">
        <v>42</v>
      </c>
      <c r="AL1319" s="1">
        <v>7400</v>
      </c>
      <c r="AM1319" t="s">
        <v>8</v>
      </c>
      <c r="AN1319" t="s">
        <v>8</v>
      </c>
      <c r="AO1319" t="s">
        <v>8</v>
      </c>
      <c r="AP1319" s="1">
        <v>84</v>
      </c>
      <c r="AQ1319" t="s">
        <v>8</v>
      </c>
      <c r="AR1319" t="s">
        <v>8</v>
      </c>
      <c r="AS1319" t="s">
        <v>8</v>
      </c>
      <c r="AT1319">
        <v>11945.7</v>
      </c>
    </row>
    <row r="1320" spans="34:46" x14ac:dyDescent="0.35">
      <c r="AH1320" t="s">
        <v>204</v>
      </c>
      <c r="AI1320" t="s">
        <v>180</v>
      </c>
      <c r="AJ1320" s="3">
        <v>43650</v>
      </c>
      <c r="AK1320" t="s">
        <v>41</v>
      </c>
      <c r="AL1320" s="1">
        <v>10300</v>
      </c>
      <c r="AM1320" t="s">
        <v>8</v>
      </c>
      <c r="AN1320" t="s">
        <v>8</v>
      </c>
      <c r="AO1320" t="s">
        <v>8</v>
      </c>
      <c r="AP1320" s="1">
        <v>1551.6</v>
      </c>
      <c r="AQ1320" t="s">
        <v>8</v>
      </c>
      <c r="AR1320" t="s">
        <v>8</v>
      </c>
      <c r="AS1320" t="s">
        <v>8</v>
      </c>
      <c r="AT1320">
        <v>11945.7</v>
      </c>
    </row>
    <row r="1321" spans="34:46" x14ac:dyDescent="0.35">
      <c r="AH1321" t="s">
        <v>204</v>
      </c>
      <c r="AI1321" t="s">
        <v>180</v>
      </c>
      <c r="AJ1321" s="3">
        <v>43643</v>
      </c>
      <c r="AK1321" t="s">
        <v>42</v>
      </c>
      <c r="AL1321" s="1">
        <v>7500</v>
      </c>
      <c r="AM1321" t="s">
        <v>8</v>
      </c>
      <c r="AN1321" t="s">
        <v>8</v>
      </c>
      <c r="AO1321" t="s">
        <v>8</v>
      </c>
      <c r="AP1321" s="1">
        <v>6.1</v>
      </c>
      <c r="AQ1321" t="s">
        <v>8</v>
      </c>
      <c r="AR1321" t="s">
        <v>8</v>
      </c>
      <c r="AS1321" t="s">
        <v>8</v>
      </c>
      <c r="AT1321">
        <v>11945.7</v>
      </c>
    </row>
    <row r="1322" spans="34:46" x14ac:dyDescent="0.35">
      <c r="AH1322" t="s">
        <v>204</v>
      </c>
      <c r="AI1322" t="s">
        <v>180</v>
      </c>
      <c r="AJ1322" s="3">
        <v>43671</v>
      </c>
      <c r="AK1322" t="s">
        <v>41</v>
      </c>
      <c r="AL1322" s="1">
        <v>9800</v>
      </c>
      <c r="AM1322" t="s">
        <v>8</v>
      </c>
      <c r="AN1322" t="s">
        <v>8</v>
      </c>
      <c r="AO1322" t="s">
        <v>8</v>
      </c>
      <c r="AP1322" s="1">
        <v>1649.65</v>
      </c>
      <c r="AQ1322" t="s">
        <v>8</v>
      </c>
      <c r="AR1322" t="s">
        <v>8</v>
      </c>
      <c r="AS1322" t="s">
        <v>8</v>
      </c>
      <c r="AT1322">
        <v>11945.7</v>
      </c>
    </row>
    <row r="1323" spans="34:46" x14ac:dyDescent="0.35">
      <c r="AH1323" t="s">
        <v>204</v>
      </c>
      <c r="AI1323" t="s">
        <v>180</v>
      </c>
      <c r="AJ1323" s="3">
        <v>43650</v>
      </c>
      <c r="AK1323" t="s">
        <v>41</v>
      </c>
      <c r="AL1323" s="1">
        <v>10500</v>
      </c>
      <c r="AM1323" t="s">
        <v>8</v>
      </c>
      <c r="AN1323" t="s">
        <v>8</v>
      </c>
      <c r="AO1323" t="s">
        <v>8</v>
      </c>
      <c r="AP1323" s="1">
        <v>1355.75</v>
      </c>
      <c r="AQ1323" t="s">
        <v>8</v>
      </c>
      <c r="AR1323" t="s">
        <v>8</v>
      </c>
      <c r="AS1323" t="s">
        <v>8</v>
      </c>
      <c r="AT1323">
        <v>11945.7</v>
      </c>
    </row>
    <row r="1324" spans="34:46" x14ac:dyDescent="0.35">
      <c r="AH1324" t="s">
        <v>204</v>
      </c>
      <c r="AI1324" t="s">
        <v>180</v>
      </c>
      <c r="AJ1324" s="3">
        <v>43643</v>
      </c>
      <c r="AK1324" t="s">
        <v>42</v>
      </c>
      <c r="AL1324" s="1">
        <v>7700</v>
      </c>
      <c r="AM1324" t="s">
        <v>8</v>
      </c>
      <c r="AN1324" t="s">
        <v>8</v>
      </c>
      <c r="AO1324" t="s">
        <v>8</v>
      </c>
      <c r="AP1324" s="1">
        <v>43</v>
      </c>
      <c r="AQ1324" t="s">
        <v>8</v>
      </c>
      <c r="AR1324" t="s">
        <v>8</v>
      </c>
      <c r="AS1324" t="s">
        <v>8</v>
      </c>
      <c r="AT1324">
        <v>11945.7</v>
      </c>
    </row>
    <row r="1325" spans="34:46" x14ac:dyDescent="0.35">
      <c r="AH1325" t="s">
        <v>204</v>
      </c>
      <c r="AI1325" t="s">
        <v>180</v>
      </c>
      <c r="AJ1325" s="3">
        <v>43650</v>
      </c>
      <c r="AK1325" t="s">
        <v>41</v>
      </c>
      <c r="AL1325" s="1">
        <v>10700</v>
      </c>
      <c r="AM1325" t="s">
        <v>8</v>
      </c>
      <c r="AN1325" t="s">
        <v>8</v>
      </c>
      <c r="AO1325" t="s">
        <v>8</v>
      </c>
      <c r="AP1325" s="1">
        <v>1162.3499999999999</v>
      </c>
      <c r="AQ1325" t="s">
        <v>8</v>
      </c>
      <c r="AR1325" t="s">
        <v>8</v>
      </c>
      <c r="AS1325" t="s">
        <v>8</v>
      </c>
      <c r="AT1325">
        <v>11945.7</v>
      </c>
    </row>
    <row r="1326" spans="34:46" x14ac:dyDescent="0.35">
      <c r="AH1326" t="s">
        <v>204</v>
      </c>
      <c r="AI1326" t="s">
        <v>180</v>
      </c>
      <c r="AJ1326" s="3">
        <v>44371</v>
      </c>
      <c r="AK1326" t="s">
        <v>42</v>
      </c>
      <c r="AL1326" s="1">
        <v>9000</v>
      </c>
      <c r="AM1326" t="s">
        <v>8</v>
      </c>
      <c r="AN1326" t="s">
        <v>8</v>
      </c>
      <c r="AO1326" t="s">
        <v>8</v>
      </c>
      <c r="AP1326" s="1">
        <v>269.85000000000002</v>
      </c>
      <c r="AQ1326" t="s">
        <v>8</v>
      </c>
      <c r="AR1326" t="s">
        <v>8</v>
      </c>
      <c r="AS1326" t="s">
        <v>8</v>
      </c>
      <c r="AT1326">
        <v>11945.7</v>
      </c>
    </row>
    <row r="1327" spans="34:46" x14ac:dyDescent="0.35">
      <c r="AH1327" t="s">
        <v>204</v>
      </c>
      <c r="AI1327" t="s">
        <v>180</v>
      </c>
      <c r="AJ1327" s="3">
        <v>43629</v>
      </c>
      <c r="AK1327" t="s">
        <v>42</v>
      </c>
      <c r="AL1327" s="1">
        <v>11250</v>
      </c>
      <c r="AM1327" t="s">
        <v>8</v>
      </c>
      <c r="AN1327" t="s">
        <v>8</v>
      </c>
      <c r="AO1327" t="s">
        <v>8</v>
      </c>
      <c r="AP1327" s="1">
        <v>63</v>
      </c>
      <c r="AQ1327" t="s">
        <v>8</v>
      </c>
      <c r="AR1327" t="s">
        <v>8</v>
      </c>
      <c r="AS1327" t="s">
        <v>8</v>
      </c>
      <c r="AT1327">
        <v>11945.7</v>
      </c>
    </row>
    <row r="1328" spans="34:46" x14ac:dyDescent="0.35">
      <c r="AH1328" t="s">
        <v>204</v>
      </c>
      <c r="AI1328" t="s">
        <v>180</v>
      </c>
      <c r="AJ1328" s="3">
        <v>44196</v>
      </c>
      <c r="AK1328" t="s">
        <v>42</v>
      </c>
      <c r="AL1328" s="1">
        <v>5200</v>
      </c>
      <c r="AM1328" t="s">
        <v>8</v>
      </c>
      <c r="AN1328" t="s">
        <v>8</v>
      </c>
      <c r="AO1328" t="s">
        <v>8</v>
      </c>
      <c r="AP1328" s="1">
        <v>34.15</v>
      </c>
      <c r="AQ1328" t="s">
        <v>8</v>
      </c>
      <c r="AR1328" t="s">
        <v>8</v>
      </c>
      <c r="AS1328" t="s">
        <v>8</v>
      </c>
      <c r="AT1328">
        <v>11945.7</v>
      </c>
    </row>
    <row r="1329" spans="34:46" x14ac:dyDescent="0.35">
      <c r="AH1329" t="s">
        <v>204</v>
      </c>
      <c r="AI1329" t="s">
        <v>180</v>
      </c>
      <c r="AJ1329" s="3">
        <v>44371</v>
      </c>
      <c r="AK1329" t="s">
        <v>42</v>
      </c>
      <c r="AL1329" s="1">
        <v>9200</v>
      </c>
      <c r="AM1329" t="s">
        <v>8</v>
      </c>
      <c r="AN1329" t="s">
        <v>8</v>
      </c>
      <c r="AO1329" t="s">
        <v>8</v>
      </c>
      <c r="AP1329">
        <v>226</v>
      </c>
      <c r="AQ1329" t="s">
        <v>8</v>
      </c>
      <c r="AR1329" t="s">
        <v>8</v>
      </c>
      <c r="AS1329" t="s">
        <v>8</v>
      </c>
      <c r="AT1329">
        <v>11945.7</v>
      </c>
    </row>
    <row r="1330" spans="34:46" x14ac:dyDescent="0.35">
      <c r="AH1330" t="s">
        <v>204</v>
      </c>
      <c r="AI1330" t="s">
        <v>180</v>
      </c>
      <c r="AJ1330" s="3">
        <v>43629</v>
      </c>
      <c r="AK1330" t="s">
        <v>42</v>
      </c>
      <c r="AL1330" s="1">
        <v>11450</v>
      </c>
      <c r="AM1330" t="s">
        <v>8</v>
      </c>
      <c r="AN1330" t="s">
        <v>8</v>
      </c>
      <c r="AO1330" t="s">
        <v>8</v>
      </c>
      <c r="AP1330">
        <v>114.4</v>
      </c>
      <c r="AQ1330" t="s">
        <v>8</v>
      </c>
      <c r="AR1330" t="s">
        <v>8</v>
      </c>
      <c r="AS1330" t="s">
        <v>8</v>
      </c>
      <c r="AT1330">
        <v>11945.7</v>
      </c>
    </row>
    <row r="1331" spans="34:46" x14ac:dyDescent="0.35">
      <c r="AH1331" t="s">
        <v>204</v>
      </c>
      <c r="AI1331" t="s">
        <v>180</v>
      </c>
      <c r="AJ1331" s="3">
        <v>44196</v>
      </c>
      <c r="AK1331" t="s">
        <v>42</v>
      </c>
      <c r="AL1331" s="1">
        <v>5400</v>
      </c>
      <c r="AM1331" t="s">
        <v>8</v>
      </c>
      <c r="AN1331" t="s">
        <v>8</v>
      </c>
      <c r="AO1331" t="s">
        <v>8</v>
      </c>
      <c r="AP1331" s="1">
        <v>20.55</v>
      </c>
      <c r="AQ1331" t="s">
        <v>8</v>
      </c>
      <c r="AR1331" t="s">
        <v>8</v>
      </c>
      <c r="AS1331" t="s">
        <v>8</v>
      </c>
      <c r="AT1331">
        <v>11945.7</v>
      </c>
    </row>
    <row r="1332" spans="34:46" x14ac:dyDescent="0.35">
      <c r="AH1332" t="s">
        <v>204</v>
      </c>
      <c r="AI1332" t="s">
        <v>180</v>
      </c>
      <c r="AJ1332" s="3">
        <v>44371</v>
      </c>
      <c r="AK1332" t="s">
        <v>42</v>
      </c>
      <c r="AL1332" s="1">
        <v>7900</v>
      </c>
      <c r="AM1332" t="s">
        <v>8</v>
      </c>
      <c r="AN1332" t="s">
        <v>8</v>
      </c>
      <c r="AO1332" t="s">
        <v>8</v>
      </c>
      <c r="AP1332">
        <v>181.75</v>
      </c>
      <c r="AQ1332" t="s">
        <v>8</v>
      </c>
      <c r="AR1332" t="s">
        <v>8</v>
      </c>
      <c r="AS1332" t="s">
        <v>8</v>
      </c>
      <c r="AT1332">
        <v>11945.7</v>
      </c>
    </row>
    <row r="1333" spans="34:46" x14ac:dyDescent="0.35">
      <c r="AH1333" t="s">
        <v>204</v>
      </c>
      <c r="AI1333" t="s">
        <v>180</v>
      </c>
      <c r="AJ1333" s="3">
        <v>45288</v>
      </c>
      <c r="AK1333" t="s">
        <v>42</v>
      </c>
      <c r="AL1333" s="1">
        <v>9800</v>
      </c>
      <c r="AM1333" t="s">
        <v>8</v>
      </c>
      <c r="AN1333" t="s">
        <v>8</v>
      </c>
      <c r="AO1333" t="s">
        <v>8</v>
      </c>
      <c r="AP1333">
        <v>206.05</v>
      </c>
      <c r="AQ1333" t="s">
        <v>8</v>
      </c>
      <c r="AR1333" t="s">
        <v>8</v>
      </c>
      <c r="AS1333" t="s">
        <v>8</v>
      </c>
      <c r="AT1333">
        <v>11945.7</v>
      </c>
    </row>
    <row r="1334" spans="34:46" x14ac:dyDescent="0.35">
      <c r="AH1334" t="s">
        <v>204</v>
      </c>
      <c r="AI1334" t="s">
        <v>180</v>
      </c>
      <c r="AJ1334" s="3">
        <v>43734</v>
      </c>
      <c r="AK1334" t="s">
        <v>42</v>
      </c>
      <c r="AL1334" s="1">
        <v>11000</v>
      </c>
      <c r="AM1334" t="s">
        <v>8</v>
      </c>
      <c r="AN1334" t="s">
        <v>8</v>
      </c>
      <c r="AO1334" t="s">
        <v>8</v>
      </c>
      <c r="AP1334" s="1">
        <v>182.95</v>
      </c>
      <c r="AQ1334" t="s">
        <v>8</v>
      </c>
      <c r="AR1334" t="s">
        <v>8</v>
      </c>
      <c r="AS1334" t="s">
        <v>8</v>
      </c>
      <c r="AT1334">
        <v>11945.7</v>
      </c>
    </row>
    <row r="1335" spans="34:46" x14ac:dyDescent="0.35">
      <c r="AH1335" t="s">
        <v>204</v>
      </c>
      <c r="AI1335" t="s">
        <v>180</v>
      </c>
      <c r="AJ1335" s="3">
        <v>44196</v>
      </c>
      <c r="AK1335" t="s">
        <v>42</v>
      </c>
      <c r="AL1335" s="1">
        <v>11400</v>
      </c>
      <c r="AM1335" t="s">
        <v>8</v>
      </c>
      <c r="AN1335" t="s">
        <v>8</v>
      </c>
      <c r="AO1335" t="s">
        <v>8</v>
      </c>
      <c r="AP1335" s="1">
        <v>758</v>
      </c>
      <c r="AQ1335" t="s">
        <v>8</v>
      </c>
      <c r="AR1335" t="s">
        <v>8</v>
      </c>
      <c r="AS1335" t="s">
        <v>8</v>
      </c>
      <c r="AT1335">
        <v>11945.7</v>
      </c>
    </row>
    <row r="1336" spans="34:46" x14ac:dyDescent="0.35">
      <c r="AH1336" t="s">
        <v>204</v>
      </c>
      <c r="AI1336" t="s">
        <v>180</v>
      </c>
      <c r="AJ1336" s="3">
        <v>43629</v>
      </c>
      <c r="AK1336" t="s">
        <v>42</v>
      </c>
      <c r="AL1336" s="1">
        <v>13200</v>
      </c>
      <c r="AM1336" t="s">
        <v>8</v>
      </c>
      <c r="AN1336" t="s">
        <v>8</v>
      </c>
      <c r="AO1336" t="s">
        <v>8</v>
      </c>
      <c r="AP1336" s="1">
        <v>1364.8</v>
      </c>
      <c r="AQ1336" t="s">
        <v>8</v>
      </c>
      <c r="AR1336" t="s">
        <v>8</v>
      </c>
      <c r="AS1336" t="s">
        <v>8</v>
      </c>
      <c r="AT1336">
        <v>11945.7</v>
      </c>
    </row>
    <row r="1337" spans="34:46" x14ac:dyDescent="0.35">
      <c r="AH1337" t="s">
        <v>204</v>
      </c>
      <c r="AI1337" t="s">
        <v>180</v>
      </c>
      <c r="AJ1337" s="3">
        <v>44196</v>
      </c>
      <c r="AK1337" t="s">
        <v>42</v>
      </c>
      <c r="AL1337" s="1">
        <v>11600</v>
      </c>
      <c r="AM1337" t="s">
        <v>8</v>
      </c>
      <c r="AN1337" t="s">
        <v>8</v>
      </c>
      <c r="AO1337" t="s">
        <v>8</v>
      </c>
      <c r="AP1337">
        <v>905</v>
      </c>
      <c r="AQ1337" t="s">
        <v>8</v>
      </c>
      <c r="AR1337" t="s">
        <v>8</v>
      </c>
      <c r="AS1337" t="s">
        <v>8</v>
      </c>
      <c r="AT1337">
        <v>11945.7</v>
      </c>
    </row>
    <row r="1338" spans="34:46" x14ac:dyDescent="0.35">
      <c r="AH1338" t="s">
        <v>204</v>
      </c>
      <c r="AI1338" t="s">
        <v>180</v>
      </c>
      <c r="AJ1338" s="3">
        <v>43629</v>
      </c>
      <c r="AK1338" t="s">
        <v>42</v>
      </c>
      <c r="AL1338" s="1">
        <v>13400</v>
      </c>
      <c r="AM1338" t="s">
        <v>8</v>
      </c>
      <c r="AN1338" t="s">
        <v>8</v>
      </c>
      <c r="AO1338" t="s">
        <v>8</v>
      </c>
      <c r="AP1338" s="1">
        <v>1435.1</v>
      </c>
      <c r="AQ1338" t="s">
        <v>8</v>
      </c>
      <c r="AR1338" t="s">
        <v>8</v>
      </c>
      <c r="AS1338" t="s">
        <v>8</v>
      </c>
      <c r="AT1338">
        <v>11945.7</v>
      </c>
    </row>
    <row r="1339" spans="34:46" x14ac:dyDescent="0.35">
      <c r="AH1339" t="s">
        <v>204</v>
      </c>
      <c r="AI1339" t="s">
        <v>180</v>
      </c>
      <c r="AJ1339" s="3">
        <v>43671</v>
      </c>
      <c r="AK1339" t="s">
        <v>42</v>
      </c>
      <c r="AL1339" s="1">
        <v>12550</v>
      </c>
      <c r="AM1339" t="s">
        <v>8</v>
      </c>
      <c r="AN1339" t="s">
        <v>8</v>
      </c>
      <c r="AO1339" t="s">
        <v>8</v>
      </c>
      <c r="AP1339" s="1">
        <v>778.6</v>
      </c>
      <c r="AQ1339" t="s">
        <v>8</v>
      </c>
      <c r="AR1339" t="s">
        <v>8</v>
      </c>
      <c r="AS1339" t="s">
        <v>8</v>
      </c>
      <c r="AT1339">
        <v>11945.7</v>
      </c>
    </row>
    <row r="1340" spans="34:46" x14ac:dyDescent="0.35">
      <c r="AH1340" t="s">
        <v>204</v>
      </c>
      <c r="AI1340" t="s">
        <v>180</v>
      </c>
      <c r="AJ1340" s="3">
        <v>43636</v>
      </c>
      <c r="AK1340" t="s">
        <v>41</v>
      </c>
      <c r="AL1340" s="1">
        <v>10300</v>
      </c>
      <c r="AM1340" t="s">
        <v>8</v>
      </c>
      <c r="AN1340" t="s">
        <v>8</v>
      </c>
      <c r="AO1340" t="s">
        <v>8</v>
      </c>
      <c r="AP1340" s="1">
        <v>1570.65</v>
      </c>
      <c r="AQ1340" t="s">
        <v>8</v>
      </c>
      <c r="AR1340" t="s">
        <v>8</v>
      </c>
      <c r="AS1340" t="s">
        <v>8</v>
      </c>
      <c r="AT1340">
        <v>11945.7</v>
      </c>
    </row>
    <row r="1341" spans="34:46" x14ac:dyDescent="0.35">
      <c r="AH1341" t="s">
        <v>204</v>
      </c>
      <c r="AI1341" t="s">
        <v>180</v>
      </c>
      <c r="AJ1341" s="3">
        <v>43657</v>
      </c>
      <c r="AK1341" t="s">
        <v>41</v>
      </c>
      <c r="AL1341" s="1">
        <v>9650</v>
      </c>
      <c r="AM1341" t="s">
        <v>8</v>
      </c>
      <c r="AN1341" t="s">
        <v>8</v>
      </c>
      <c r="AO1341" t="s">
        <v>8</v>
      </c>
      <c r="AP1341" s="1">
        <v>1609.85</v>
      </c>
      <c r="AQ1341" t="s">
        <v>8</v>
      </c>
      <c r="AR1341" t="s">
        <v>8</v>
      </c>
      <c r="AS1341" t="s">
        <v>8</v>
      </c>
      <c r="AT1341">
        <v>11945.7</v>
      </c>
    </row>
    <row r="1342" spans="34:46" x14ac:dyDescent="0.35">
      <c r="AH1342" t="s">
        <v>204</v>
      </c>
      <c r="AI1342" t="s">
        <v>180</v>
      </c>
      <c r="AJ1342" s="3">
        <v>44007</v>
      </c>
      <c r="AK1342" t="s">
        <v>41</v>
      </c>
      <c r="AL1342" s="1">
        <v>9100</v>
      </c>
      <c r="AM1342" t="s">
        <v>8</v>
      </c>
      <c r="AN1342" t="s">
        <v>8</v>
      </c>
      <c r="AO1342" t="s">
        <v>8</v>
      </c>
      <c r="AP1342" t="s">
        <v>8</v>
      </c>
      <c r="AQ1342" t="s">
        <v>8</v>
      </c>
      <c r="AR1342" t="s">
        <v>8</v>
      </c>
      <c r="AS1342" t="s">
        <v>8</v>
      </c>
      <c r="AT1342">
        <v>11945.7</v>
      </c>
    </row>
    <row r="1343" spans="34:46" x14ac:dyDescent="0.35">
      <c r="AH1343" t="s">
        <v>204</v>
      </c>
      <c r="AI1343" t="s">
        <v>180</v>
      </c>
      <c r="AJ1343" s="3">
        <v>44742</v>
      </c>
      <c r="AK1343" t="s">
        <v>42</v>
      </c>
      <c r="AL1343" s="1">
        <v>12200</v>
      </c>
      <c r="AM1343" t="s">
        <v>8</v>
      </c>
      <c r="AN1343" t="s">
        <v>8</v>
      </c>
      <c r="AO1343" t="s">
        <v>8</v>
      </c>
      <c r="AP1343" s="1">
        <v>401.8</v>
      </c>
      <c r="AQ1343" t="s">
        <v>8</v>
      </c>
      <c r="AR1343" t="s">
        <v>8</v>
      </c>
      <c r="AS1343" t="s">
        <v>8</v>
      </c>
      <c r="AT1343">
        <v>11945.7</v>
      </c>
    </row>
    <row r="1344" spans="34:46" x14ac:dyDescent="0.35">
      <c r="AH1344" t="s">
        <v>204</v>
      </c>
      <c r="AI1344" t="s">
        <v>180</v>
      </c>
      <c r="AJ1344" s="3">
        <v>43671</v>
      </c>
      <c r="AK1344" t="s">
        <v>42</v>
      </c>
      <c r="AL1344" s="1">
        <v>12750</v>
      </c>
      <c r="AM1344" t="s">
        <v>8</v>
      </c>
      <c r="AN1344" t="s">
        <v>8</v>
      </c>
      <c r="AO1344" t="s">
        <v>8</v>
      </c>
      <c r="AP1344">
        <v>943.65</v>
      </c>
      <c r="AQ1344" t="s">
        <v>8</v>
      </c>
      <c r="AR1344" t="s">
        <v>8</v>
      </c>
      <c r="AS1344" t="s">
        <v>8</v>
      </c>
      <c r="AT1344">
        <v>11945.7</v>
      </c>
    </row>
    <row r="1345" spans="34:46" x14ac:dyDescent="0.35">
      <c r="AH1345" t="s">
        <v>204</v>
      </c>
      <c r="AI1345" t="s">
        <v>180</v>
      </c>
      <c r="AJ1345" s="3">
        <v>43636</v>
      </c>
      <c r="AK1345" t="s">
        <v>41</v>
      </c>
      <c r="AL1345" s="1">
        <v>10500</v>
      </c>
      <c r="AM1345" t="s">
        <v>8</v>
      </c>
      <c r="AN1345" t="s">
        <v>8</v>
      </c>
      <c r="AO1345" t="s">
        <v>8</v>
      </c>
      <c r="AP1345" s="1">
        <v>1373.45</v>
      </c>
      <c r="AQ1345" t="s">
        <v>8</v>
      </c>
      <c r="AR1345" t="s">
        <v>8</v>
      </c>
      <c r="AS1345" t="s">
        <v>8</v>
      </c>
      <c r="AT1345">
        <v>11945.7</v>
      </c>
    </row>
    <row r="1346" spans="34:46" x14ac:dyDescent="0.35">
      <c r="AH1346" t="s">
        <v>204</v>
      </c>
      <c r="AI1346" t="s">
        <v>180</v>
      </c>
      <c r="AJ1346" s="3">
        <v>44742</v>
      </c>
      <c r="AK1346" t="s">
        <v>42</v>
      </c>
      <c r="AL1346" s="1">
        <v>12400</v>
      </c>
      <c r="AM1346" t="s">
        <v>8</v>
      </c>
      <c r="AN1346" t="s">
        <v>8</v>
      </c>
      <c r="AO1346" t="s">
        <v>8</v>
      </c>
      <c r="AP1346">
        <v>439.65</v>
      </c>
      <c r="AQ1346" t="s">
        <v>8</v>
      </c>
      <c r="AR1346" t="s">
        <v>8</v>
      </c>
      <c r="AS1346" t="s">
        <v>8</v>
      </c>
      <c r="AT1346">
        <v>11945.7</v>
      </c>
    </row>
    <row r="1347" spans="34:46" x14ac:dyDescent="0.35">
      <c r="AH1347" t="s">
        <v>204</v>
      </c>
      <c r="AI1347" t="s">
        <v>180</v>
      </c>
      <c r="AJ1347" s="3">
        <v>43671</v>
      </c>
      <c r="AK1347" t="s">
        <v>42</v>
      </c>
      <c r="AL1347" s="1">
        <v>12950</v>
      </c>
      <c r="AM1347" t="s">
        <v>8</v>
      </c>
      <c r="AN1347" t="s">
        <v>8</v>
      </c>
      <c r="AO1347" t="s">
        <v>8</v>
      </c>
      <c r="AP1347" s="1">
        <v>1118.45</v>
      </c>
      <c r="AQ1347" t="s">
        <v>8</v>
      </c>
      <c r="AR1347" t="s">
        <v>8</v>
      </c>
      <c r="AS1347" t="s">
        <v>8</v>
      </c>
      <c r="AT1347">
        <v>11945.7</v>
      </c>
    </row>
    <row r="1348" spans="34:46" x14ac:dyDescent="0.35">
      <c r="AH1348" t="s">
        <v>204</v>
      </c>
      <c r="AI1348" t="s">
        <v>180</v>
      </c>
      <c r="AJ1348" s="3">
        <v>43636</v>
      </c>
      <c r="AK1348" t="s">
        <v>41</v>
      </c>
      <c r="AL1348" s="1">
        <v>10700</v>
      </c>
      <c r="AM1348" t="s">
        <v>8</v>
      </c>
      <c r="AN1348" t="s">
        <v>8</v>
      </c>
      <c r="AO1348" t="s">
        <v>8</v>
      </c>
      <c r="AP1348" s="1">
        <v>1177.4000000000001</v>
      </c>
      <c r="AQ1348" t="s">
        <v>8</v>
      </c>
      <c r="AR1348" t="s">
        <v>8</v>
      </c>
      <c r="AS1348" t="s">
        <v>8</v>
      </c>
      <c r="AT1348">
        <v>11945.7</v>
      </c>
    </row>
    <row r="1349" spans="34:46" x14ac:dyDescent="0.35">
      <c r="AH1349" t="s">
        <v>204</v>
      </c>
      <c r="AI1349" t="s">
        <v>180</v>
      </c>
      <c r="AJ1349" s="3">
        <v>44742</v>
      </c>
      <c r="AK1349" t="s">
        <v>42</v>
      </c>
      <c r="AL1349" s="1">
        <v>12600</v>
      </c>
      <c r="AM1349" t="s">
        <v>8</v>
      </c>
      <c r="AN1349" t="s">
        <v>8</v>
      </c>
      <c r="AO1349" t="s">
        <v>8</v>
      </c>
      <c r="AP1349">
        <v>574.5</v>
      </c>
      <c r="AQ1349" t="s">
        <v>8</v>
      </c>
      <c r="AR1349" t="s">
        <v>8</v>
      </c>
      <c r="AS1349" t="s">
        <v>8</v>
      </c>
      <c r="AT1349">
        <v>11945.7</v>
      </c>
    </row>
    <row r="1350" spans="34:46" x14ac:dyDescent="0.35">
      <c r="AH1350" t="s">
        <v>204</v>
      </c>
      <c r="AI1350" t="s">
        <v>180</v>
      </c>
      <c r="AJ1350" s="3">
        <v>44924</v>
      </c>
      <c r="AK1350" t="s">
        <v>42</v>
      </c>
      <c r="AL1350" s="1">
        <v>10000</v>
      </c>
      <c r="AM1350" t="s">
        <v>8</v>
      </c>
      <c r="AN1350" t="s">
        <v>8</v>
      </c>
      <c r="AO1350" t="s">
        <v>8</v>
      </c>
      <c r="AP1350" s="1">
        <v>61.4</v>
      </c>
      <c r="AQ1350" t="s">
        <v>8</v>
      </c>
      <c r="AR1350" t="s">
        <v>8</v>
      </c>
      <c r="AS1350" t="s">
        <v>8</v>
      </c>
      <c r="AT1350">
        <v>11945.7</v>
      </c>
    </row>
    <row r="1351" spans="34:46" x14ac:dyDescent="0.35">
      <c r="AH1351" t="s">
        <v>204</v>
      </c>
      <c r="AI1351" t="s">
        <v>180</v>
      </c>
      <c r="AJ1351" s="3">
        <v>44924</v>
      </c>
      <c r="AK1351" t="s">
        <v>42</v>
      </c>
      <c r="AL1351" s="1">
        <v>10200</v>
      </c>
      <c r="AM1351" t="s">
        <v>8</v>
      </c>
      <c r="AN1351" t="s">
        <v>8</v>
      </c>
      <c r="AO1351" t="s">
        <v>8</v>
      </c>
      <c r="AP1351" s="1">
        <v>74.349999999999994</v>
      </c>
      <c r="AQ1351" t="s">
        <v>8</v>
      </c>
      <c r="AR1351" t="s">
        <v>8</v>
      </c>
      <c r="AS1351" t="s">
        <v>8</v>
      </c>
      <c r="AT1351">
        <v>11945.7</v>
      </c>
    </row>
    <row r="1352" spans="34:46" x14ac:dyDescent="0.35">
      <c r="AH1352" t="s">
        <v>204</v>
      </c>
      <c r="AI1352" t="s">
        <v>180</v>
      </c>
      <c r="AJ1352" s="3">
        <v>44924</v>
      </c>
      <c r="AK1352" t="s">
        <v>42</v>
      </c>
      <c r="AL1352" s="1">
        <v>10400</v>
      </c>
      <c r="AM1352" t="s">
        <v>8</v>
      </c>
      <c r="AN1352" t="s">
        <v>8</v>
      </c>
      <c r="AO1352" t="s">
        <v>8</v>
      </c>
      <c r="AP1352" s="1">
        <v>89.25</v>
      </c>
      <c r="AQ1352" t="s">
        <v>8</v>
      </c>
      <c r="AR1352" t="s">
        <v>8</v>
      </c>
      <c r="AS1352" t="s">
        <v>8</v>
      </c>
      <c r="AT1352">
        <v>11945.7</v>
      </c>
    </row>
    <row r="1353" spans="34:46" x14ac:dyDescent="0.35">
      <c r="AH1353" t="s">
        <v>204</v>
      </c>
      <c r="AI1353" t="s">
        <v>180</v>
      </c>
      <c r="AJ1353" s="3">
        <v>44007</v>
      </c>
      <c r="AK1353" t="s">
        <v>42</v>
      </c>
      <c r="AL1353" s="1">
        <v>8200</v>
      </c>
      <c r="AM1353" t="s">
        <v>8</v>
      </c>
      <c r="AN1353" t="s">
        <v>8</v>
      </c>
      <c r="AO1353" t="s">
        <v>8</v>
      </c>
      <c r="AP1353" s="1">
        <v>136</v>
      </c>
      <c r="AQ1353" t="s">
        <v>8</v>
      </c>
      <c r="AR1353" t="s">
        <v>8</v>
      </c>
      <c r="AS1353" t="s">
        <v>8</v>
      </c>
      <c r="AT1353">
        <v>11945.7</v>
      </c>
    </row>
    <row r="1354" spans="34:46" x14ac:dyDescent="0.35">
      <c r="AH1354" t="s">
        <v>204</v>
      </c>
      <c r="AI1354" t="s">
        <v>180</v>
      </c>
      <c r="AJ1354" s="3">
        <v>43664</v>
      </c>
      <c r="AK1354" t="s">
        <v>41</v>
      </c>
      <c r="AL1354" s="1">
        <v>10800</v>
      </c>
      <c r="AM1354" t="s">
        <v>8</v>
      </c>
      <c r="AN1354" t="s">
        <v>8</v>
      </c>
      <c r="AO1354" t="s">
        <v>8</v>
      </c>
      <c r="AP1354" s="1">
        <v>652.85</v>
      </c>
      <c r="AQ1354" t="s">
        <v>8</v>
      </c>
      <c r="AR1354" t="s">
        <v>8</v>
      </c>
      <c r="AS1354" t="s">
        <v>8</v>
      </c>
      <c r="AT1354">
        <v>11945.7</v>
      </c>
    </row>
    <row r="1355" spans="34:46" x14ac:dyDescent="0.35">
      <c r="AH1355" t="s">
        <v>204</v>
      </c>
      <c r="AI1355" t="s">
        <v>180</v>
      </c>
      <c r="AJ1355" s="3">
        <v>43734</v>
      </c>
      <c r="AK1355" t="s">
        <v>42</v>
      </c>
      <c r="AL1355" s="1">
        <v>9400</v>
      </c>
      <c r="AM1355" t="s">
        <v>8</v>
      </c>
      <c r="AN1355" t="s">
        <v>8</v>
      </c>
      <c r="AO1355" t="s">
        <v>8</v>
      </c>
      <c r="AP1355">
        <v>44.25</v>
      </c>
      <c r="AQ1355" t="s">
        <v>8</v>
      </c>
      <c r="AR1355" t="s">
        <v>8</v>
      </c>
      <c r="AS1355" t="s">
        <v>8</v>
      </c>
      <c r="AT1355">
        <v>11945.7</v>
      </c>
    </row>
    <row r="1356" spans="34:46" x14ac:dyDescent="0.35">
      <c r="AH1356" t="s">
        <v>204</v>
      </c>
      <c r="AI1356" t="s">
        <v>180</v>
      </c>
      <c r="AJ1356" s="3">
        <v>44371</v>
      </c>
      <c r="AK1356" t="s">
        <v>42</v>
      </c>
      <c r="AL1356" s="1">
        <v>10000</v>
      </c>
      <c r="AM1356" t="s">
        <v>8</v>
      </c>
      <c r="AN1356" t="s">
        <v>8</v>
      </c>
      <c r="AO1356" t="s">
        <v>8</v>
      </c>
      <c r="AP1356" s="1">
        <v>238</v>
      </c>
      <c r="AQ1356" t="s">
        <v>8</v>
      </c>
      <c r="AR1356" t="s">
        <v>8</v>
      </c>
      <c r="AS1356" t="s">
        <v>8</v>
      </c>
      <c r="AT1356">
        <v>11945.7</v>
      </c>
    </row>
    <row r="1357" spans="34:46" x14ac:dyDescent="0.35">
      <c r="AH1357" t="s">
        <v>204</v>
      </c>
      <c r="AI1357" t="s">
        <v>180</v>
      </c>
      <c r="AJ1357" s="3">
        <v>44007</v>
      </c>
      <c r="AK1357" t="s">
        <v>42</v>
      </c>
      <c r="AL1357" s="1">
        <v>8400</v>
      </c>
      <c r="AM1357" t="s">
        <v>8</v>
      </c>
      <c r="AN1357" t="s">
        <v>8</v>
      </c>
      <c r="AO1357" t="s">
        <v>8</v>
      </c>
      <c r="AP1357" s="1">
        <v>90</v>
      </c>
      <c r="AQ1357" t="s">
        <v>8</v>
      </c>
      <c r="AR1357" t="s">
        <v>8</v>
      </c>
      <c r="AS1357" t="s">
        <v>8</v>
      </c>
      <c r="AT1357">
        <v>11945.7</v>
      </c>
    </row>
    <row r="1358" spans="34:46" x14ac:dyDescent="0.35">
      <c r="AH1358" t="s">
        <v>204</v>
      </c>
      <c r="AI1358" t="s">
        <v>180</v>
      </c>
      <c r="AJ1358" s="3">
        <v>43734</v>
      </c>
      <c r="AK1358" t="s">
        <v>42</v>
      </c>
      <c r="AL1358" s="1">
        <v>9600</v>
      </c>
      <c r="AM1358" t="s">
        <v>8</v>
      </c>
      <c r="AN1358" t="s">
        <v>8</v>
      </c>
      <c r="AO1358" t="s">
        <v>8</v>
      </c>
      <c r="AP1358" s="1">
        <v>60.6</v>
      </c>
      <c r="AQ1358" t="s">
        <v>8</v>
      </c>
      <c r="AR1358" t="s">
        <v>8</v>
      </c>
      <c r="AS1358" t="s">
        <v>8</v>
      </c>
      <c r="AT1358">
        <v>11945.7</v>
      </c>
    </row>
    <row r="1359" spans="34:46" x14ac:dyDescent="0.35">
      <c r="AH1359" t="s">
        <v>204</v>
      </c>
      <c r="AI1359" t="s">
        <v>180</v>
      </c>
      <c r="AJ1359" s="3">
        <v>44371</v>
      </c>
      <c r="AK1359" t="s">
        <v>42</v>
      </c>
      <c r="AL1359" s="1">
        <v>10200</v>
      </c>
      <c r="AM1359" t="s">
        <v>8</v>
      </c>
      <c r="AN1359" t="s">
        <v>8</v>
      </c>
      <c r="AO1359" t="s">
        <v>8</v>
      </c>
      <c r="AP1359" s="1" t="s">
        <v>8</v>
      </c>
      <c r="AQ1359" t="s">
        <v>8</v>
      </c>
      <c r="AR1359" t="s">
        <v>8</v>
      </c>
      <c r="AS1359" t="s">
        <v>8</v>
      </c>
      <c r="AT1359">
        <v>11945.7</v>
      </c>
    </row>
    <row r="1360" spans="34:46" x14ac:dyDescent="0.35">
      <c r="AH1360" t="s">
        <v>204</v>
      </c>
      <c r="AI1360" t="s">
        <v>180</v>
      </c>
      <c r="AJ1360" s="3">
        <v>43657</v>
      </c>
      <c r="AK1360" t="s">
        <v>41</v>
      </c>
      <c r="AL1360" s="1">
        <v>11100</v>
      </c>
      <c r="AM1360" t="s">
        <v>8</v>
      </c>
      <c r="AN1360" t="s">
        <v>8</v>
      </c>
      <c r="AO1360" t="s">
        <v>8</v>
      </c>
      <c r="AP1360" s="1">
        <v>460.6</v>
      </c>
      <c r="AQ1360" t="s">
        <v>8</v>
      </c>
      <c r="AR1360" t="s">
        <v>8</v>
      </c>
      <c r="AS1360" t="s">
        <v>8</v>
      </c>
      <c r="AT1360">
        <v>11945.7</v>
      </c>
    </row>
    <row r="1361" spans="34:46" x14ac:dyDescent="0.35">
      <c r="AH1361" t="s">
        <v>204</v>
      </c>
      <c r="AI1361" t="s">
        <v>180</v>
      </c>
      <c r="AJ1361" s="3">
        <v>43734</v>
      </c>
      <c r="AK1361" t="s">
        <v>42</v>
      </c>
      <c r="AL1361" s="1">
        <v>9800</v>
      </c>
      <c r="AM1361" t="s">
        <v>8</v>
      </c>
      <c r="AN1361" t="s">
        <v>8</v>
      </c>
      <c r="AO1361" t="s">
        <v>8</v>
      </c>
      <c r="AP1361" s="1">
        <v>81.3</v>
      </c>
      <c r="AQ1361" t="s">
        <v>8</v>
      </c>
      <c r="AR1361" t="s">
        <v>8</v>
      </c>
      <c r="AS1361" t="s">
        <v>8</v>
      </c>
      <c r="AT1361">
        <v>11945.7</v>
      </c>
    </row>
    <row r="1362" spans="34:46" x14ac:dyDescent="0.35">
      <c r="AH1362" t="s">
        <v>204</v>
      </c>
      <c r="AI1362" t="s">
        <v>180</v>
      </c>
      <c r="AJ1362" s="3">
        <v>43657</v>
      </c>
      <c r="AK1362" t="s">
        <v>41</v>
      </c>
      <c r="AL1362" s="1">
        <v>11300</v>
      </c>
      <c r="AM1362" t="s">
        <v>8</v>
      </c>
      <c r="AN1362" t="s">
        <v>8</v>
      </c>
      <c r="AO1362" t="s">
        <v>8</v>
      </c>
      <c r="AP1362" s="1">
        <v>335.7</v>
      </c>
      <c r="AQ1362" t="s">
        <v>8</v>
      </c>
      <c r="AR1362" t="s">
        <v>8</v>
      </c>
      <c r="AS1362" t="s">
        <v>8</v>
      </c>
      <c r="AT1362">
        <v>11945.7</v>
      </c>
    </row>
    <row r="1363" spans="34:46" x14ac:dyDescent="0.35">
      <c r="AH1363" t="s">
        <v>204</v>
      </c>
      <c r="AI1363" t="s">
        <v>180</v>
      </c>
      <c r="AJ1363" s="3">
        <v>43657</v>
      </c>
      <c r="AK1363" t="s">
        <v>41</v>
      </c>
      <c r="AL1363" s="1">
        <v>11500</v>
      </c>
      <c r="AM1363" t="s">
        <v>8</v>
      </c>
      <c r="AN1363" t="s">
        <v>8</v>
      </c>
      <c r="AO1363" t="s">
        <v>8</v>
      </c>
      <c r="AP1363" s="1">
        <v>234.15</v>
      </c>
      <c r="AQ1363" t="s">
        <v>8</v>
      </c>
      <c r="AR1363" t="s">
        <v>8</v>
      </c>
      <c r="AS1363" t="s">
        <v>8</v>
      </c>
      <c r="AT1363">
        <v>11945.7</v>
      </c>
    </row>
    <row r="1364" spans="34:46" x14ac:dyDescent="0.35">
      <c r="AH1364" t="s">
        <v>204</v>
      </c>
      <c r="AI1364" t="s">
        <v>180</v>
      </c>
      <c r="AJ1364" s="3">
        <v>43636</v>
      </c>
      <c r="AK1364" t="s">
        <v>42</v>
      </c>
      <c r="AL1364" s="1">
        <v>12050</v>
      </c>
      <c r="AM1364" t="s">
        <v>8</v>
      </c>
      <c r="AN1364" t="s">
        <v>8</v>
      </c>
      <c r="AO1364" t="s">
        <v>8</v>
      </c>
      <c r="AP1364" s="1">
        <v>311.2</v>
      </c>
      <c r="AQ1364" t="s">
        <v>8</v>
      </c>
      <c r="AR1364" t="s">
        <v>8</v>
      </c>
      <c r="AS1364" t="s">
        <v>8</v>
      </c>
      <c r="AT1364">
        <v>11945.7</v>
      </c>
    </row>
    <row r="1365" spans="34:46" x14ac:dyDescent="0.35">
      <c r="AH1365" t="s">
        <v>204</v>
      </c>
      <c r="AI1365" t="s">
        <v>180</v>
      </c>
      <c r="AJ1365" s="3">
        <v>43636</v>
      </c>
      <c r="AK1365" t="s">
        <v>42</v>
      </c>
      <c r="AL1365" s="1">
        <v>12250</v>
      </c>
      <c r="AM1365" t="s">
        <v>8</v>
      </c>
      <c r="AN1365" t="s">
        <v>8</v>
      </c>
      <c r="AO1365" t="s">
        <v>8</v>
      </c>
      <c r="AP1365" s="1">
        <v>446.7</v>
      </c>
      <c r="AQ1365" t="s">
        <v>8</v>
      </c>
      <c r="AR1365" t="s">
        <v>8</v>
      </c>
      <c r="AS1365" t="s">
        <v>8</v>
      </c>
      <c r="AT1365">
        <v>11945.7</v>
      </c>
    </row>
    <row r="1366" spans="34:46" x14ac:dyDescent="0.35">
      <c r="AH1366" t="s">
        <v>204</v>
      </c>
      <c r="AI1366" t="s">
        <v>180</v>
      </c>
      <c r="AJ1366" s="3">
        <v>44371</v>
      </c>
      <c r="AK1366" t="s">
        <v>41</v>
      </c>
      <c r="AL1366" s="1">
        <v>12100</v>
      </c>
      <c r="AM1366" t="s">
        <v>8</v>
      </c>
      <c r="AN1366" t="s">
        <v>8</v>
      </c>
      <c r="AO1366" t="s">
        <v>8</v>
      </c>
      <c r="AP1366" s="1">
        <v>2015</v>
      </c>
      <c r="AQ1366" t="s">
        <v>8</v>
      </c>
      <c r="AR1366" t="s">
        <v>8</v>
      </c>
      <c r="AS1366" t="s">
        <v>8</v>
      </c>
      <c r="AT1366">
        <v>11945.7</v>
      </c>
    </row>
    <row r="1367" spans="34:46" x14ac:dyDescent="0.35">
      <c r="AH1367" t="s">
        <v>204</v>
      </c>
      <c r="AI1367" t="s">
        <v>180</v>
      </c>
      <c r="AJ1367" s="3">
        <v>43622</v>
      </c>
      <c r="AK1367" t="s">
        <v>41</v>
      </c>
      <c r="AL1367" s="1">
        <v>13150</v>
      </c>
      <c r="AM1367" t="s">
        <v>8</v>
      </c>
      <c r="AN1367" t="s">
        <v>8</v>
      </c>
      <c r="AO1367" t="s">
        <v>8</v>
      </c>
      <c r="AP1367" s="1">
        <v>3.6</v>
      </c>
      <c r="AQ1367" t="s">
        <v>8</v>
      </c>
      <c r="AR1367" t="s">
        <v>8</v>
      </c>
      <c r="AS1367" t="s">
        <v>8</v>
      </c>
      <c r="AT1367">
        <v>11945.7</v>
      </c>
    </row>
    <row r="1368" spans="34:46" x14ac:dyDescent="0.35">
      <c r="AH1368" t="s">
        <v>204</v>
      </c>
      <c r="AI1368" t="s">
        <v>180</v>
      </c>
      <c r="AJ1368" s="3">
        <v>43643</v>
      </c>
      <c r="AK1368" t="s">
        <v>41</v>
      </c>
      <c r="AL1368" s="1">
        <v>13450</v>
      </c>
      <c r="AM1368" t="s">
        <v>8</v>
      </c>
      <c r="AN1368" t="s">
        <v>8</v>
      </c>
      <c r="AO1368" t="s">
        <v>8</v>
      </c>
      <c r="AP1368" s="1">
        <v>7.85</v>
      </c>
      <c r="AQ1368" t="s">
        <v>8</v>
      </c>
      <c r="AR1368" t="s">
        <v>8</v>
      </c>
      <c r="AS1368" t="s">
        <v>8</v>
      </c>
      <c r="AT1368">
        <v>11945.7</v>
      </c>
    </row>
    <row r="1369" spans="34:46" x14ac:dyDescent="0.35">
      <c r="AH1369" t="s">
        <v>204</v>
      </c>
      <c r="AI1369" t="s">
        <v>180</v>
      </c>
      <c r="AJ1369" s="3">
        <v>45288</v>
      </c>
      <c r="AK1369" t="s">
        <v>42</v>
      </c>
      <c r="AL1369" s="1">
        <v>12200</v>
      </c>
      <c r="AM1369" t="s">
        <v>8</v>
      </c>
      <c r="AN1369" t="s">
        <v>8</v>
      </c>
      <c r="AO1369" t="s">
        <v>8</v>
      </c>
      <c r="AP1369" s="1">
        <v>620.9</v>
      </c>
      <c r="AQ1369" t="s">
        <v>8</v>
      </c>
      <c r="AR1369" t="s">
        <v>8</v>
      </c>
      <c r="AS1369" t="s">
        <v>8</v>
      </c>
      <c r="AT1369">
        <v>11945.7</v>
      </c>
    </row>
    <row r="1370" spans="34:46" x14ac:dyDescent="0.35">
      <c r="AH1370" t="s">
        <v>204</v>
      </c>
      <c r="AI1370" t="s">
        <v>180</v>
      </c>
      <c r="AJ1370" s="3">
        <v>45288</v>
      </c>
      <c r="AK1370" t="s">
        <v>42</v>
      </c>
      <c r="AL1370" s="1">
        <v>12400</v>
      </c>
      <c r="AM1370" t="s">
        <v>8</v>
      </c>
      <c r="AN1370" t="s">
        <v>8</v>
      </c>
      <c r="AO1370" t="s">
        <v>8</v>
      </c>
      <c r="AP1370" s="1">
        <v>668.4</v>
      </c>
      <c r="AQ1370" t="s">
        <v>8</v>
      </c>
      <c r="AR1370" t="s">
        <v>8</v>
      </c>
      <c r="AS1370" t="s">
        <v>8</v>
      </c>
      <c r="AT1370">
        <v>11945.7</v>
      </c>
    </row>
    <row r="1371" spans="34:46" x14ac:dyDescent="0.35">
      <c r="AH1371" t="s">
        <v>204</v>
      </c>
      <c r="AI1371" t="s">
        <v>180</v>
      </c>
      <c r="AJ1371" s="3">
        <v>44560</v>
      </c>
      <c r="AK1371" t="s">
        <v>42</v>
      </c>
      <c r="AL1371" s="1">
        <v>5700</v>
      </c>
      <c r="AM1371" t="s">
        <v>8</v>
      </c>
      <c r="AN1371" t="s">
        <v>8</v>
      </c>
      <c r="AO1371" t="s">
        <v>8</v>
      </c>
      <c r="AP1371">
        <v>29.05</v>
      </c>
      <c r="AQ1371" t="s">
        <v>8</v>
      </c>
      <c r="AR1371" t="s">
        <v>8</v>
      </c>
      <c r="AS1371" t="s">
        <v>8</v>
      </c>
      <c r="AT1371">
        <v>11945.7</v>
      </c>
    </row>
    <row r="1372" spans="34:46" x14ac:dyDescent="0.35">
      <c r="AH1372" t="s">
        <v>204</v>
      </c>
      <c r="AI1372" t="s">
        <v>180</v>
      </c>
      <c r="AJ1372" s="3">
        <v>43622</v>
      </c>
      <c r="AK1372" t="s">
        <v>42</v>
      </c>
      <c r="AL1372" s="1">
        <v>13200</v>
      </c>
      <c r="AM1372" t="s">
        <v>8</v>
      </c>
      <c r="AN1372" t="s">
        <v>8</v>
      </c>
      <c r="AO1372" t="s">
        <v>8</v>
      </c>
      <c r="AP1372" s="1">
        <v>1381.3</v>
      </c>
      <c r="AQ1372" t="s">
        <v>8</v>
      </c>
      <c r="AR1372" t="s">
        <v>8</v>
      </c>
      <c r="AS1372" t="s">
        <v>8</v>
      </c>
      <c r="AT1372">
        <v>11945.7</v>
      </c>
    </row>
    <row r="1373" spans="34:46" x14ac:dyDescent="0.35">
      <c r="AH1373" t="s">
        <v>204</v>
      </c>
      <c r="AI1373" t="s">
        <v>180</v>
      </c>
      <c r="AJ1373" s="3">
        <v>43629</v>
      </c>
      <c r="AK1373" t="s">
        <v>41</v>
      </c>
      <c r="AL1373" s="1">
        <v>10100</v>
      </c>
      <c r="AM1373" t="s">
        <v>8</v>
      </c>
      <c r="AN1373" t="s">
        <v>8</v>
      </c>
      <c r="AO1373" t="s">
        <v>8</v>
      </c>
      <c r="AP1373" s="1">
        <v>1616.65</v>
      </c>
      <c r="AQ1373" t="s">
        <v>8</v>
      </c>
      <c r="AR1373" t="s">
        <v>8</v>
      </c>
      <c r="AS1373" t="s">
        <v>8</v>
      </c>
      <c r="AT1373">
        <v>11945.7</v>
      </c>
    </row>
    <row r="1374" spans="34:46" x14ac:dyDescent="0.35">
      <c r="AH1374" t="s">
        <v>204</v>
      </c>
      <c r="AI1374" t="s">
        <v>180</v>
      </c>
      <c r="AJ1374" s="3">
        <v>44560</v>
      </c>
      <c r="AK1374" t="s">
        <v>42</v>
      </c>
      <c r="AL1374" s="1">
        <v>5900</v>
      </c>
      <c r="AM1374" t="s">
        <v>8</v>
      </c>
      <c r="AN1374" t="s">
        <v>8</v>
      </c>
      <c r="AO1374" t="s">
        <v>8</v>
      </c>
      <c r="AP1374" s="1">
        <v>37.299999999999997</v>
      </c>
      <c r="AQ1374" t="s">
        <v>8</v>
      </c>
      <c r="AR1374" t="s">
        <v>8</v>
      </c>
      <c r="AS1374" t="s">
        <v>8</v>
      </c>
      <c r="AT1374">
        <v>11945.7</v>
      </c>
    </row>
    <row r="1375" spans="34:46" x14ac:dyDescent="0.35">
      <c r="AH1375" t="s">
        <v>204</v>
      </c>
      <c r="AI1375" t="s">
        <v>180</v>
      </c>
      <c r="AJ1375" s="3">
        <v>43622</v>
      </c>
      <c r="AK1375" t="s">
        <v>42</v>
      </c>
      <c r="AL1375" s="1">
        <v>13400</v>
      </c>
      <c r="AM1375" t="s">
        <v>8</v>
      </c>
      <c r="AN1375" t="s">
        <v>8</v>
      </c>
      <c r="AO1375" t="s">
        <v>8</v>
      </c>
      <c r="AP1375" s="1">
        <v>1450.9</v>
      </c>
      <c r="AQ1375" t="s">
        <v>8</v>
      </c>
      <c r="AR1375" t="s">
        <v>8</v>
      </c>
      <c r="AS1375" t="s">
        <v>8</v>
      </c>
      <c r="AT1375">
        <v>11945.7</v>
      </c>
    </row>
    <row r="1376" spans="34:46" x14ac:dyDescent="0.35">
      <c r="AH1376" t="s">
        <v>204</v>
      </c>
      <c r="AI1376" t="s">
        <v>180</v>
      </c>
      <c r="AJ1376" s="3">
        <v>43664</v>
      </c>
      <c r="AK1376" t="s">
        <v>42</v>
      </c>
      <c r="AL1376" s="1">
        <v>12550</v>
      </c>
      <c r="AM1376" t="s">
        <v>8</v>
      </c>
      <c r="AN1376" t="s">
        <v>8</v>
      </c>
      <c r="AO1376" t="s">
        <v>8</v>
      </c>
      <c r="AP1376" s="1">
        <v>1154.0999999999999</v>
      </c>
      <c r="AQ1376" t="s">
        <v>8</v>
      </c>
      <c r="AR1376" t="s">
        <v>8</v>
      </c>
      <c r="AS1376" t="s">
        <v>8</v>
      </c>
      <c r="AT1376">
        <v>11945.7</v>
      </c>
    </row>
    <row r="1377" spans="34:46" x14ac:dyDescent="0.35">
      <c r="AH1377" t="s">
        <v>204</v>
      </c>
      <c r="AI1377" t="s">
        <v>180</v>
      </c>
      <c r="AJ1377" s="3">
        <v>43629</v>
      </c>
      <c r="AK1377" t="s">
        <v>41</v>
      </c>
      <c r="AL1377" s="1">
        <v>10300</v>
      </c>
      <c r="AM1377" t="s">
        <v>8</v>
      </c>
      <c r="AN1377" t="s">
        <v>8</v>
      </c>
      <c r="AO1377" t="s">
        <v>8</v>
      </c>
      <c r="AP1377" s="1">
        <v>1419.6</v>
      </c>
      <c r="AQ1377" t="s">
        <v>8</v>
      </c>
      <c r="AR1377" t="s">
        <v>8</v>
      </c>
      <c r="AS1377" t="s">
        <v>8</v>
      </c>
      <c r="AT1377">
        <v>11945.7</v>
      </c>
    </row>
    <row r="1378" spans="34:46" x14ac:dyDescent="0.35">
      <c r="AH1378" t="s">
        <v>204</v>
      </c>
      <c r="AI1378" t="s">
        <v>180</v>
      </c>
      <c r="AJ1378" s="3">
        <v>43643</v>
      </c>
      <c r="AK1378" t="s">
        <v>42</v>
      </c>
      <c r="AL1378" s="1">
        <v>13700</v>
      </c>
      <c r="AM1378" t="s">
        <v>8</v>
      </c>
      <c r="AN1378" t="s">
        <v>8</v>
      </c>
      <c r="AO1378" t="s">
        <v>8</v>
      </c>
      <c r="AP1378" s="1">
        <v>1609.4</v>
      </c>
      <c r="AQ1378" t="s">
        <v>8</v>
      </c>
      <c r="AR1378" t="s">
        <v>8</v>
      </c>
      <c r="AS1378" t="s">
        <v>8</v>
      </c>
      <c r="AT1378">
        <v>11945.7</v>
      </c>
    </row>
    <row r="1379" spans="34:46" x14ac:dyDescent="0.35">
      <c r="AH1379" t="s">
        <v>204</v>
      </c>
      <c r="AI1379" t="s">
        <v>180</v>
      </c>
      <c r="AJ1379" s="3">
        <v>43664</v>
      </c>
      <c r="AK1379" t="s">
        <v>42</v>
      </c>
      <c r="AL1379" s="1">
        <v>12750</v>
      </c>
      <c r="AM1379" t="s">
        <v>8</v>
      </c>
      <c r="AN1379" t="s">
        <v>8</v>
      </c>
      <c r="AO1379" t="s">
        <v>8</v>
      </c>
      <c r="AP1379" s="1">
        <v>1344.45</v>
      </c>
      <c r="AQ1379" t="s">
        <v>8</v>
      </c>
      <c r="AR1379" t="s">
        <v>8</v>
      </c>
      <c r="AS1379" t="s">
        <v>8</v>
      </c>
      <c r="AT1379">
        <v>11945.7</v>
      </c>
    </row>
    <row r="1380" spans="34:46" x14ac:dyDescent="0.35">
      <c r="AH1380" t="s">
        <v>204</v>
      </c>
      <c r="AI1380" t="s">
        <v>180</v>
      </c>
      <c r="AJ1380" s="3">
        <v>43629</v>
      </c>
      <c r="AK1380" t="s">
        <v>41</v>
      </c>
      <c r="AL1380" s="1">
        <v>10500</v>
      </c>
      <c r="AM1380" t="s">
        <v>8</v>
      </c>
      <c r="AN1380" t="s">
        <v>8</v>
      </c>
      <c r="AO1380" t="s">
        <v>8</v>
      </c>
      <c r="AP1380" s="1">
        <v>1223.7</v>
      </c>
      <c r="AQ1380" t="s">
        <v>8</v>
      </c>
      <c r="AR1380" t="s">
        <v>8</v>
      </c>
      <c r="AS1380" t="s">
        <v>8</v>
      </c>
      <c r="AT1380">
        <v>11945.7</v>
      </c>
    </row>
    <row r="1381" spans="34:46" x14ac:dyDescent="0.35">
      <c r="AH1381" t="s">
        <v>204</v>
      </c>
      <c r="AI1381" t="s">
        <v>180</v>
      </c>
      <c r="AJ1381" s="3">
        <v>43643</v>
      </c>
      <c r="AK1381" t="s">
        <v>42</v>
      </c>
      <c r="AL1381" s="1">
        <v>13900</v>
      </c>
      <c r="AM1381" t="s">
        <v>8</v>
      </c>
      <c r="AN1381" t="s">
        <v>8</v>
      </c>
      <c r="AO1381" t="s">
        <v>8</v>
      </c>
      <c r="AP1381" s="1">
        <v>1945.4</v>
      </c>
      <c r="AQ1381" t="s">
        <v>8</v>
      </c>
      <c r="AR1381" t="s">
        <v>8</v>
      </c>
      <c r="AS1381" t="s">
        <v>8</v>
      </c>
      <c r="AT1381">
        <v>11945.7</v>
      </c>
    </row>
    <row r="1382" spans="34:46" x14ac:dyDescent="0.35">
      <c r="AH1382" t="s">
        <v>204</v>
      </c>
      <c r="AI1382" t="s">
        <v>180</v>
      </c>
      <c r="AJ1382" s="3">
        <v>44196</v>
      </c>
      <c r="AK1382" t="s">
        <v>42</v>
      </c>
      <c r="AL1382" s="1">
        <v>9900</v>
      </c>
      <c r="AM1382" t="s">
        <v>8</v>
      </c>
      <c r="AN1382" t="s">
        <v>8</v>
      </c>
      <c r="AO1382" t="s">
        <v>8</v>
      </c>
      <c r="AP1382" s="1">
        <v>297</v>
      </c>
      <c r="AQ1382" t="s">
        <v>8</v>
      </c>
      <c r="AR1382" t="s">
        <v>8</v>
      </c>
      <c r="AS1382" t="s">
        <v>8</v>
      </c>
      <c r="AT1382">
        <v>11945.7</v>
      </c>
    </row>
    <row r="1383" spans="34:46" x14ac:dyDescent="0.35">
      <c r="AH1383" t="s">
        <v>204</v>
      </c>
      <c r="AI1383" t="s">
        <v>180</v>
      </c>
      <c r="AJ1383" s="3">
        <v>43657</v>
      </c>
      <c r="AK1383" t="s">
        <v>42</v>
      </c>
      <c r="AL1383" s="1">
        <v>13050</v>
      </c>
      <c r="AM1383" t="s">
        <v>8</v>
      </c>
      <c r="AN1383" t="s">
        <v>8</v>
      </c>
      <c r="AO1383" t="s">
        <v>8</v>
      </c>
      <c r="AP1383" s="1">
        <v>1170.45</v>
      </c>
      <c r="AQ1383" t="s">
        <v>8</v>
      </c>
      <c r="AR1383" t="s">
        <v>8</v>
      </c>
      <c r="AS1383" t="s">
        <v>8</v>
      </c>
      <c r="AT1383">
        <v>11945.7</v>
      </c>
    </row>
    <row r="1384" spans="34:46" x14ac:dyDescent="0.35">
      <c r="AH1384" t="s">
        <v>204</v>
      </c>
      <c r="AI1384" t="s">
        <v>180</v>
      </c>
      <c r="AJ1384" s="3">
        <v>43643</v>
      </c>
      <c r="AK1384" t="s">
        <v>41</v>
      </c>
      <c r="AL1384" s="1">
        <v>9200</v>
      </c>
      <c r="AM1384" t="s">
        <v>8</v>
      </c>
      <c r="AN1384" t="s">
        <v>8</v>
      </c>
      <c r="AO1384" t="s">
        <v>8</v>
      </c>
      <c r="AP1384" s="1">
        <v>1956.55</v>
      </c>
      <c r="AQ1384" t="s">
        <v>8</v>
      </c>
      <c r="AR1384" t="s">
        <v>8</v>
      </c>
      <c r="AS1384" t="s">
        <v>8</v>
      </c>
      <c r="AT1384">
        <v>11945.7</v>
      </c>
    </row>
    <row r="1385" spans="34:46" x14ac:dyDescent="0.35">
      <c r="AH1385" t="s">
        <v>204</v>
      </c>
      <c r="AI1385" t="s">
        <v>180</v>
      </c>
      <c r="AJ1385" s="3">
        <v>43657</v>
      </c>
      <c r="AK1385" t="s">
        <v>42</v>
      </c>
      <c r="AL1385" s="1">
        <v>13250</v>
      </c>
      <c r="AM1385" t="s">
        <v>8</v>
      </c>
      <c r="AN1385" t="s">
        <v>8</v>
      </c>
      <c r="AO1385" t="s">
        <v>8</v>
      </c>
      <c r="AP1385" s="1">
        <v>1344.6</v>
      </c>
      <c r="AQ1385" t="s">
        <v>8</v>
      </c>
      <c r="AR1385" t="s">
        <v>8</v>
      </c>
      <c r="AS1385" t="s">
        <v>8</v>
      </c>
      <c r="AT1385">
        <v>11945.7</v>
      </c>
    </row>
    <row r="1386" spans="34:46" x14ac:dyDescent="0.35">
      <c r="AH1386" t="s">
        <v>204</v>
      </c>
      <c r="AI1386" t="s">
        <v>180</v>
      </c>
      <c r="AJ1386" s="3">
        <v>43643</v>
      </c>
      <c r="AK1386" t="s">
        <v>41</v>
      </c>
      <c r="AL1386" s="1">
        <v>7900</v>
      </c>
      <c r="AM1386" t="s">
        <v>8</v>
      </c>
      <c r="AN1386" t="s">
        <v>8</v>
      </c>
      <c r="AO1386" t="s">
        <v>8</v>
      </c>
      <c r="AP1386" s="1">
        <v>4000</v>
      </c>
      <c r="AQ1386" t="s">
        <v>8</v>
      </c>
      <c r="AR1386" t="s">
        <v>8</v>
      </c>
      <c r="AS1386" t="s">
        <v>8</v>
      </c>
      <c r="AT1386">
        <v>11945.7</v>
      </c>
    </row>
    <row r="1387" spans="34:46" x14ac:dyDescent="0.35">
      <c r="AH1387" t="s">
        <v>204</v>
      </c>
      <c r="AI1387" t="s">
        <v>180</v>
      </c>
      <c r="AJ1387" s="3">
        <v>43825</v>
      </c>
      <c r="AK1387" t="s">
        <v>42</v>
      </c>
      <c r="AL1387" s="1">
        <v>8000</v>
      </c>
      <c r="AM1387" t="s">
        <v>8</v>
      </c>
      <c r="AN1387" t="s">
        <v>8</v>
      </c>
      <c r="AO1387" t="s">
        <v>8</v>
      </c>
      <c r="AP1387" s="1">
        <v>54.45</v>
      </c>
      <c r="AQ1387" t="s">
        <v>8</v>
      </c>
      <c r="AR1387" t="s">
        <v>8</v>
      </c>
      <c r="AS1387" t="s">
        <v>8</v>
      </c>
      <c r="AT1387">
        <v>11945.7</v>
      </c>
    </row>
    <row r="1388" spans="34:46" x14ac:dyDescent="0.35">
      <c r="AH1388" t="s">
        <v>204</v>
      </c>
      <c r="AI1388" t="s">
        <v>180</v>
      </c>
      <c r="AJ1388" s="3">
        <v>43615</v>
      </c>
      <c r="AK1388" t="s">
        <v>42</v>
      </c>
      <c r="AL1388" s="1">
        <v>9450</v>
      </c>
      <c r="AM1388" t="s">
        <v>8</v>
      </c>
      <c r="AN1388" t="s">
        <v>8</v>
      </c>
      <c r="AO1388" t="s">
        <v>8</v>
      </c>
      <c r="AP1388" s="1">
        <v>0.65</v>
      </c>
      <c r="AQ1388" t="s">
        <v>8</v>
      </c>
      <c r="AR1388" t="s">
        <v>8</v>
      </c>
      <c r="AS1388" t="s">
        <v>8</v>
      </c>
      <c r="AT1388">
        <v>11945.7</v>
      </c>
    </row>
    <row r="1389" spans="34:46" x14ac:dyDescent="0.35">
      <c r="AH1389" t="s">
        <v>204</v>
      </c>
      <c r="AI1389" t="s">
        <v>180</v>
      </c>
      <c r="AJ1389" s="3">
        <v>43643</v>
      </c>
      <c r="AK1389" t="s">
        <v>42</v>
      </c>
      <c r="AL1389" s="1">
        <v>8100</v>
      </c>
      <c r="AM1389" t="s">
        <v>8</v>
      </c>
      <c r="AN1389" t="s">
        <v>8</v>
      </c>
      <c r="AO1389" t="s">
        <v>8</v>
      </c>
      <c r="AP1389" s="1">
        <v>5.0999999999999996</v>
      </c>
      <c r="AQ1389" t="s">
        <v>8</v>
      </c>
      <c r="AR1389" t="s">
        <v>8</v>
      </c>
      <c r="AS1389" t="s">
        <v>8</v>
      </c>
      <c r="AT1389">
        <v>11945.7</v>
      </c>
    </row>
    <row r="1390" spans="34:46" x14ac:dyDescent="0.35">
      <c r="AH1390" t="s">
        <v>204</v>
      </c>
      <c r="AI1390" t="s">
        <v>180</v>
      </c>
      <c r="AJ1390" s="3">
        <v>43825</v>
      </c>
      <c r="AK1390" t="s">
        <v>42</v>
      </c>
      <c r="AL1390" s="1">
        <v>8200</v>
      </c>
      <c r="AM1390" t="s">
        <v>8</v>
      </c>
      <c r="AN1390" t="s">
        <v>8</v>
      </c>
      <c r="AO1390" t="s">
        <v>8</v>
      </c>
      <c r="AP1390" s="1">
        <v>52</v>
      </c>
      <c r="AQ1390" t="s">
        <v>8</v>
      </c>
      <c r="AR1390" t="s">
        <v>8</v>
      </c>
      <c r="AS1390" t="s">
        <v>8</v>
      </c>
      <c r="AT1390">
        <v>11945.7</v>
      </c>
    </row>
    <row r="1391" spans="34:46" x14ac:dyDescent="0.35">
      <c r="AH1391" t="s">
        <v>204</v>
      </c>
      <c r="AI1391" t="s">
        <v>180</v>
      </c>
      <c r="AJ1391" s="3">
        <v>43615</v>
      </c>
      <c r="AK1391" t="s">
        <v>42</v>
      </c>
      <c r="AL1391" s="1">
        <v>9650</v>
      </c>
      <c r="AM1391" t="s">
        <v>8</v>
      </c>
      <c r="AN1391" t="s">
        <v>8</v>
      </c>
      <c r="AO1391" t="s">
        <v>8</v>
      </c>
      <c r="AP1391" s="1">
        <v>0.4</v>
      </c>
      <c r="AQ1391" t="s">
        <v>8</v>
      </c>
      <c r="AR1391" t="s">
        <v>8</v>
      </c>
      <c r="AS1391" t="s">
        <v>8</v>
      </c>
      <c r="AT1391">
        <v>11945.7</v>
      </c>
    </row>
    <row r="1392" spans="34:46" x14ac:dyDescent="0.35">
      <c r="AH1392" t="s">
        <v>204</v>
      </c>
      <c r="AI1392" t="s">
        <v>180</v>
      </c>
      <c r="AJ1392" s="3">
        <v>43650</v>
      </c>
      <c r="AK1392" t="s">
        <v>41</v>
      </c>
      <c r="AL1392" s="1">
        <v>11100</v>
      </c>
      <c r="AM1392" t="s">
        <v>8</v>
      </c>
      <c r="AN1392" t="s">
        <v>8</v>
      </c>
      <c r="AO1392" t="s">
        <v>8</v>
      </c>
      <c r="AP1392" s="1">
        <v>793.3</v>
      </c>
      <c r="AQ1392" t="s">
        <v>8</v>
      </c>
      <c r="AR1392" t="s">
        <v>8</v>
      </c>
      <c r="AS1392" t="s">
        <v>8</v>
      </c>
      <c r="AT1392">
        <v>11945.7</v>
      </c>
    </row>
    <row r="1393" spans="34:46" x14ac:dyDescent="0.35">
      <c r="AH1393" t="s">
        <v>204</v>
      </c>
      <c r="AI1393" t="s">
        <v>180</v>
      </c>
      <c r="AJ1393" s="3">
        <v>43643</v>
      </c>
      <c r="AK1393" t="s">
        <v>42</v>
      </c>
      <c r="AL1393" s="1">
        <v>8300</v>
      </c>
      <c r="AM1393" t="s">
        <v>8</v>
      </c>
      <c r="AN1393" t="s">
        <v>8</v>
      </c>
      <c r="AO1393" t="s">
        <v>8</v>
      </c>
      <c r="AP1393" s="1">
        <v>42</v>
      </c>
      <c r="AQ1393" t="s">
        <v>8</v>
      </c>
      <c r="AR1393" t="s">
        <v>8</v>
      </c>
      <c r="AS1393" t="s">
        <v>8</v>
      </c>
      <c r="AT1393">
        <v>11945.7</v>
      </c>
    </row>
    <row r="1394" spans="34:46" x14ac:dyDescent="0.35">
      <c r="AH1394" t="s">
        <v>204</v>
      </c>
      <c r="AI1394" t="s">
        <v>180</v>
      </c>
      <c r="AJ1394" s="3">
        <v>43650</v>
      </c>
      <c r="AK1394" t="s">
        <v>41</v>
      </c>
      <c r="AL1394" s="1">
        <v>11300</v>
      </c>
      <c r="AM1394" t="s">
        <v>8</v>
      </c>
      <c r="AN1394" t="s">
        <v>8</v>
      </c>
      <c r="AO1394" t="s">
        <v>8</v>
      </c>
      <c r="AP1394" s="1">
        <v>382</v>
      </c>
      <c r="AQ1394" t="s">
        <v>8</v>
      </c>
      <c r="AR1394" t="s">
        <v>8</v>
      </c>
      <c r="AS1394" t="s">
        <v>8</v>
      </c>
      <c r="AT1394">
        <v>11945.7</v>
      </c>
    </row>
    <row r="1395" spans="34:46" x14ac:dyDescent="0.35">
      <c r="AH1395" t="s">
        <v>204</v>
      </c>
      <c r="AI1395" t="s">
        <v>180</v>
      </c>
      <c r="AJ1395" s="3">
        <v>43825</v>
      </c>
      <c r="AK1395" t="s">
        <v>42</v>
      </c>
      <c r="AL1395" s="1">
        <v>6900</v>
      </c>
      <c r="AM1395" t="s">
        <v>8</v>
      </c>
      <c r="AN1395" t="s">
        <v>8</v>
      </c>
      <c r="AO1395" t="s">
        <v>8</v>
      </c>
      <c r="AP1395">
        <v>117</v>
      </c>
      <c r="AQ1395" t="s">
        <v>8</v>
      </c>
      <c r="AR1395" t="s">
        <v>8</v>
      </c>
      <c r="AS1395" t="s">
        <v>8</v>
      </c>
      <c r="AT1395">
        <v>11945.7</v>
      </c>
    </row>
    <row r="1396" spans="34:46" x14ac:dyDescent="0.35">
      <c r="AH1396" t="s">
        <v>204</v>
      </c>
      <c r="AI1396" t="s">
        <v>180</v>
      </c>
      <c r="AJ1396" s="3">
        <v>43629</v>
      </c>
      <c r="AK1396" t="s">
        <v>42</v>
      </c>
      <c r="AL1396" s="1">
        <v>12050</v>
      </c>
      <c r="AM1396" t="s">
        <v>8</v>
      </c>
      <c r="AN1396" t="s">
        <v>8</v>
      </c>
      <c r="AO1396" t="s">
        <v>8</v>
      </c>
      <c r="AP1396" s="1">
        <v>210</v>
      </c>
      <c r="AQ1396" t="s">
        <v>8</v>
      </c>
      <c r="AR1396" t="s">
        <v>8</v>
      </c>
      <c r="AS1396" t="s">
        <v>8</v>
      </c>
      <c r="AT1396">
        <v>11945.7</v>
      </c>
    </row>
    <row r="1397" spans="34:46" x14ac:dyDescent="0.35">
      <c r="AH1397" t="s">
        <v>204</v>
      </c>
      <c r="AI1397" t="s">
        <v>180</v>
      </c>
      <c r="AJ1397" s="3">
        <v>44196</v>
      </c>
      <c r="AK1397" t="s">
        <v>42</v>
      </c>
      <c r="AL1397" s="1">
        <v>6000</v>
      </c>
      <c r="AM1397" t="s">
        <v>8</v>
      </c>
      <c r="AN1397" t="s">
        <v>8</v>
      </c>
      <c r="AO1397" t="s">
        <v>8</v>
      </c>
      <c r="AP1397" s="1">
        <v>15.35</v>
      </c>
      <c r="AQ1397" t="s">
        <v>8</v>
      </c>
      <c r="AR1397" t="s">
        <v>8</v>
      </c>
      <c r="AS1397" t="s">
        <v>8</v>
      </c>
      <c r="AT1397">
        <v>11945.7</v>
      </c>
    </row>
    <row r="1398" spans="34:46" x14ac:dyDescent="0.35">
      <c r="AH1398" t="s">
        <v>204</v>
      </c>
      <c r="AI1398" t="s">
        <v>180</v>
      </c>
      <c r="AJ1398" s="3">
        <v>44371</v>
      </c>
      <c r="AK1398" t="s">
        <v>42</v>
      </c>
      <c r="AL1398" s="1">
        <v>8500</v>
      </c>
      <c r="AM1398" t="s">
        <v>8</v>
      </c>
      <c r="AN1398" t="s">
        <v>8</v>
      </c>
      <c r="AO1398" t="s">
        <v>8</v>
      </c>
      <c r="AP1398" s="1">
        <v>68</v>
      </c>
      <c r="AQ1398" t="s">
        <v>8</v>
      </c>
      <c r="AR1398" t="s">
        <v>8</v>
      </c>
      <c r="AS1398" t="s">
        <v>8</v>
      </c>
      <c r="AT1398">
        <v>11945.7</v>
      </c>
    </row>
    <row r="1399" spans="34:46" x14ac:dyDescent="0.35">
      <c r="AH1399" t="s">
        <v>204</v>
      </c>
      <c r="AI1399" t="s">
        <v>180</v>
      </c>
      <c r="AJ1399" s="3">
        <v>43629</v>
      </c>
      <c r="AK1399" t="s">
        <v>42</v>
      </c>
      <c r="AL1399" s="1">
        <v>10750</v>
      </c>
      <c r="AM1399" t="s">
        <v>8</v>
      </c>
      <c r="AN1399" t="s">
        <v>8</v>
      </c>
      <c r="AO1399" t="s">
        <v>8</v>
      </c>
      <c r="AP1399" s="1">
        <v>8.9</v>
      </c>
      <c r="AQ1399" t="s">
        <v>8</v>
      </c>
      <c r="AR1399" t="s">
        <v>8</v>
      </c>
      <c r="AS1399" t="s">
        <v>8</v>
      </c>
      <c r="AT1399">
        <v>11945.7</v>
      </c>
    </row>
    <row r="1400" spans="34:46" x14ac:dyDescent="0.35">
      <c r="AH1400" t="s">
        <v>204</v>
      </c>
      <c r="AI1400" t="s">
        <v>180</v>
      </c>
      <c r="AJ1400" s="3">
        <v>44196</v>
      </c>
      <c r="AK1400" t="s">
        <v>42</v>
      </c>
      <c r="AL1400" s="1">
        <v>4700</v>
      </c>
      <c r="AM1400" t="s">
        <v>8</v>
      </c>
      <c r="AN1400" t="s">
        <v>8</v>
      </c>
      <c r="AO1400" t="s">
        <v>8</v>
      </c>
      <c r="AP1400" s="1">
        <v>95.6</v>
      </c>
      <c r="AQ1400" t="s">
        <v>8</v>
      </c>
      <c r="AR1400" t="s">
        <v>8</v>
      </c>
      <c r="AS1400" t="s">
        <v>8</v>
      </c>
      <c r="AT1400">
        <v>11945.7</v>
      </c>
    </row>
    <row r="1401" spans="34:46" x14ac:dyDescent="0.35">
      <c r="AH1401" t="s">
        <v>204</v>
      </c>
      <c r="AI1401" t="s">
        <v>180</v>
      </c>
      <c r="AJ1401" s="3">
        <v>44371</v>
      </c>
      <c r="AK1401" t="s">
        <v>42</v>
      </c>
      <c r="AL1401" s="1">
        <v>8700</v>
      </c>
      <c r="AM1401" t="s">
        <v>8</v>
      </c>
      <c r="AN1401" t="s">
        <v>8</v>
      </c>
      <c r="AO1401" t="s">
        <v>8</v>
      </c>
      <c r="AP1401">
        <v>43</v>
      </c>
      <c r="AQ1401" t="s">
        <v>8</v>
      </c>
      <c r="AR1401" t="s">
        <v>8</v>
      </c>
      <c r="AS1401" t="s">
        <v>8</v>
      </c>
      <c r="AT1401">
        <v>11945.7</v>
      </c>
    </row>
    <row r="1402" spans="34:46" x14ac:dyDescent="0.35">
      <c r="AH1402" t="s">
        <v>204</v>
      </c>
      <c r="AI1402" t="s">
        <v>180</v>
      </c>
      <c r="AJ1402" s="3">
        <v>43629</v>
      </c>
      <c r="AK1402" t="s">
        <v>42</v>
      </c>
      <c r="AL1402" s="1">
        <v>10950</v>
      </c>
      <c r="AM1402" t="s">
        <v>8</v>
      </c>
      <c r="AN1402" t="s">
        <v>8</v>
      </c>
      <c r="AO1402" t="s">
        <v>8</v>
      </c>
      <c r="AP1402" s="1">
        <v>21.25</v>
      </c>
      <c r="AQ1402" t="s">
        <v>8</v>
      </c>
      <c r="AR1402" t="s">
        <v>8</v>
      </c>
      <c r="AS1402" t="s">
        <v>8</v>
      </c>
      <c r="AT1402">
        <v>11945.7</v>
      </c>
    </row>
    <row r="1403" spans="34:46" x14ac:dyDescent="0.35">
      <c r="AH1403" t="s">
        <v>204</v>
      </c>
      <c r="AI1403" t="s">
        <v>180</v>
      </c>
      <c r="AJ1403" s="3">
        <v>44196</v>
      </c>
      <c r="AK1403" t="s">
        <v>42</v>
      </c>
      <c r="AL1403" s="1">
        <v>4900</v>
      </c>
      <c r="AM1403" t="s">
        <v>8</v>
      </c>
      <c r="AN1403" t="s">
        <v>8</v>
      </c>
      <c r="AO1403" t="s">
        <v>8</v>
      </c>
      <c r="AP1403">
        <v>30.75</v>
      </c>
      <c r="AQ1403" t="s">
        <v>8</v>
      </c>
      <c r="AR1403" t="s">
        <v>8</v>
      </c>
      <c r="AS1403" t="s">
        <v>8</v>
      </c>
      <c r="AT1403">
        <v>11945.7</v>
      </c>
    </row>
    <row r="1404" spans="34:46" x14ac:dyDescent="0.35">
      <c r="AH1404" t="s">
        <v>204</v>
      </c>
      <c r="AI1404" t="s">
        <v>180</v>
      </c>
      <c r="AJ1404" s="3">
        <v>43664</v>
      </c>
      <c r="AK1404" t="s">
        <v>41</v>
      </c>
      <c r="AL1404" s="1">
        <v>9850</v>
      </c>
      <c r="AM1404" t="s">
        <v>8</v>
      </c>
      <c r="AN1404" t="s">
        <v>8</v>
      </c>
      <c r="AO1404" t="s">
        <v>8</v>
      </c>
      <c r="AP1404" s="1">
        <v>1529.1</v>
      </c>
      <c r="AQ1404" t="s">
        <v>8</v>
      </c>
      <c r="AR1404" t="s">
        <v>8</v>
      </c>
      <c r="AS1404" t="s">
        <v>8</v>
      </c>
      <c r="AT1404">
        <v>11945.7</v>
      </c>
    </row>
    <row r="1405" spans="34:46" x14ac:dyDescent="0.35">
      <c r="AH1405" t="s">
        <v>204</v>
      </c>
      <c r="AI1405" t="s">
        <v>180</v>
      </c>
      <c r="AJ1405" s="3">
        <v>44371</v>
      </c>
      <c r="AK1405" t="s">
        <v>42</v>
      </c>
      <c r="AL1405" s="1">
        <v>8900</v>
      </c>
      <c r="AM1405" t="s">
        <v>8</v>
      </c>
      <c r="AN1405" t="s">
        <v>8</v>
      </c>
      <c r="AO1405" t="s">
        <v>8</v>
      </c>
      <c r="AP1405" s="1">
        <v>346.4</v>
      </c>
      <c r="AQ1405" t="s">
        <v>8</v>
      </c>
      <c r="AR1405" t="s">
        <v>8</v>
      </c>
      <c r="AS1405" t="s">
        <v>8</v>
      </c>
      <c r="AT1405">
        <v>11945.7</v>
      </c>
    </row>
    <row r="1406" spans="34:46" x14ac:dyDescent="0.35">
      <c r="AH1406" t="s">
        <v>204</v>
      </c>
      <c r="AI1406" t="s">
        <v>180</v>
      </c>
      <c r="AJ1406" s="3">
        <v>43622</v>
      </c>
      <c r="AK1406" t="s">
        <v>41</v>
      </c>
      <c r="AL1406" s="1">
        <v>10100</v>
      </c>
      <c r="AM1406" t="s">
        <v>8</v>
      </c>
      <c r="AN1406" t="s">
        <v>8</v>
      </c>
      <c r="AO1406" t="s">
        <v>8</v>
      </c>
      <c r="AP1406" s="1">
        <v>1621.2</v>
      </c>
      <c r="AQ1406" t="s">
        <v>8</v>
      </c>
      <c r="AR1406" t="s">
        <v>8</v>
      </c>
      <c r="AS1406" t="s">
        <v>8</v>
      </c>
      <c r="AT1406">
        <v>11945.7</v>
      </c>
    </row>
    <row r="1407" spans="34:46" x14ac:dyDescent="0.35">
      <c r="AH1407" t="s">
        <v>204</v>
      </c>
      <c r="AI1407" t="s">
        <v>180</v>
      </c>
      <c r="AJ1407" s="3">
        <v>43622</v>
      </c>
      <c r="AK1407" t="s">
        <v>41</v>
      </c>
      <c r="AL1407" s="1">
        <v>10300</v>
      </c>
      <c r="AM1407" t="s">
        <v>8</v>
      </c>
      <c r="AN1407" t="s">
        <v>8</v>
      </c>
      <c r="AO1407" t="s">
        <v>8</v>
      </c>
      <c r="AP1407" s="1">
        <v>1424.4</v>
      </c>
      <c r="AQ1407" t="s">
        <v>8</v>
      </c>
      <c r="AR1407" t="s">
        <v>8</v>
      </c>
      <c r="AS1407" t="s">
        <v>8</v>
      </c>
      <c r="AT1407">
        <v>11945.7</v>
      </c>
    </row>
    <row r="1408" spans="34:46" x14ac:dyDescent="0.35">
      <c r="AH1408" t="s">
        <v>204</v>
      </c>
      <c r="AI1408" t="s">
        <v>180</v>
      </c>
      <c r="AJ1408" s="3">
        <v>44196</v>
      </c>
      <c r="AK1408" t="s">
        <v>42</v>
      </c>
      <c r="AL1408" s="1">
        <v>12000</v>
      </c>
      <c r="AM1408" t="s">
        <v>8</v>
      </c>
      <c r="AN1408" t="s">
        <v>8</v>
      </c>
      <c r="AO1408" t="s">
        <v>8</v>
      </c>
      <c r="AP1408" s="1">
        <v>835.15</v>
      </c>
      <c r="AQ1408" t="s">
        <v>8</v>
      </c>
      <c r="AR1408" t="s">
        <v>8</v>
      </c>
      <c r="AS1408" t="s">
        <v>8</v>
      </c>
      <c r="AT1408">
        <v>11945.7</v>
      </c>
    </row>
    <row r="1409" spans="34:46" x14ac:dyDescent="0.35">
      <c r="AH1409" t="s">
        <v>204</v>
      </c>
      <c r="AI1409" t="s">
        <v>180</v>
      </c>
      <c r="AJ1409" s="3">
        <v>43734</v>
      </c>
      <c r="AK1409" t="s">
        <v>42</v>
      </c>
      <c r="AL1409" s="1">
        <v>10300</v>
      </c>
      <c r="AM1409" t="s">
        <v>8</v>
      </c>
      <c r="AN1409" t="s">
        <v>8</v>
      </c>
      <c r="AO1409" t="s">
        <v>8</v>
      </c>
      <c r="AP1409" s="1">
        <v>156.6</v>
      </c>
      <c r="AQ1409" t="s">
        <v>8</v>
      </c>
      <c r="AR1409" t="s">
        <v>8</v>
      </c>
      <c r="AS1409" t="s">
        <v>8</v>
      </c>
      <c r="AT1409">
        <v>11945.7</v>
      </c>
    </row>
    <row r="1410" spans="34:46" x14ac:dyDescent="0.35">
      <c r="AH1410" t="s">
        <v>204</v>
      </c>
      <c r="AI1410" t="s">
        <v>180</v>
      </c>
      <c r="AJ1410" s="3">
        <v>43734</v>
      </c>
      <c r="AK1410" t="s">
        <v>42</v>
      </c>
      <c r="AL1410" s="1">
        <v>10500</v>
      </c>
      <c r="AM1410" t="s">
        <v>8</v>
      </c>
      <c r="AN1410" t="s">
        <v>8</v>
      </c>
      <c r="AO1410" t="s">
        <v>8</v>
      </c>
      <c r="AP1410" s="1">
        <v>197.75</v>
      </c>
      <c r="AQ1410" t="s">
        <v>8</v>
      </c>
      <c r="AR1410" t="s">
        <v>8</v>
      </c>
      <c r="AS1410" t="s">
        <v>8</v>
      </c>
      <c r="AT1410">
        <v>11945.7</v>
      </c>
    </row>
    <row r="1411" spans="34:46" x14ac:dyDescent="0.35">
      <c r="AH1411" t="s">
        <v>204</v>
      </c>
      <c r="AI1411" t="s">
        <v>180</v>
      </c>
      <c r="AJ1411" s="3">
        <v>43734</v>
      </c>
      <c r="AK1411" t="s">
        <v>42</v>
      </c>
      <c r="AL1411" s="1">
        <v>10700</v>
      </c>
      <c r="AM1411" t="s">
        <v>8</v>
      </c>
      <c r="AN1411" t="s">
        <v>8</v>
      </c>
      <c r="AO1411" t="s">
        <v>8</v>
      </c>
      <c r="AP1411">
        <v>246.3</v>
      </c>
      <c r="AQ1411" t="s">
        <v>8</v>
      </c>
      <c r="AR1411" t="s">
        <v>8</v>
      </c>
      <c r="AS1411" t="s">
        <v>8</v>
      </c>
      <c r="AT1411">
        <v>11945.7</v>
      </c>
    </row>
    <row r="1412" spans="34:46" x14ac:dyDescent="0.35">
      <c r="AH1412" t="s">
        <v>204</v>
      </c>
      <c r="AI1412" t="s">
        <v>180</v>
      </c>
      <c r="AJ1412" s="3">
        <v>43629</v>
      </c>
      <c r="AK1412" t="s">
        <v>41</v>
      </c>
      <c r="AL1412" s="1">
        <v>12850</v>
      </c>
      <c r="AM1412" t="s">
        <v>8</v>
      </c>
      <c r="AN1412" t="s">
        <v>8</v>
      </c>
      <c r="AO1412" t="s">
        <v>8</v>
      </c>
      <c r="AP1412" s="1">
        <v>8.4</v>
      </c>
      <c r="AQ1412" t="s">
        <v>8</v>
      </c>
      <c r="AR1412" t="s">
        <v>8</v>
      </c>
      <c r="AS1412" t="s">
        <v>8</v>
      </c>
      <c r="AT1412">
        <v>11945.7</v>
      </c>
    </row>
    <row r="1413" spans="34:46" x14ac:dyDescent="0.35">
      <c r="AH1413" t="s">
        <v>204</v>
      </c>
      <c r="AI1413" t="s">
        <v>180</v>
      </c>
      <c r="AJ1413" s="3">
        <v>43671</v>
      </c>
      <c r="AK1413" t="s">
        <v>42</v>
      </c>
      <c r="AL1413" s="1">
        <v>13350</v>
      </c>
      <c r="AM1413" t="s">
        <v>8</v>
      </c>
      <c r="AN1413" t="s">
        <v>8</v>
      </c>
      <c r="AO1413" t="s">
        <v>8</v>
      </c>
      <c r="AP1413" s="1">
        <v>1427.2</v>
      </c>
      <c r="AQ1413" t="s">
        <v>8</v>
      </c>
      <c r="AR1413" t="s">
        <v>8</v>
      </c>
      <c r="AS1413" t="s">
        <v>8</v>
      </c>
      <c r="AT1413">
        <v>11945.7</v>
      </c>
    </row>
    <row r="1414" spans="34:46" x14ac:dyDescent="0.35">
      <c r="AH1414" t="s">
        <v>204</v>
      </c>
      <c r="AI1414" t="s">
        <v>180</v>
      </c>
      <c r="AJ1414" s="3">
        <v>43636</v>
      </c>
      <c r="AK1414" t="s">
        <v>41</v>
      </c>
      <c r="AL1414" s="1">
        <v>11100</v>
      </c>
      <c r="AM1414" t="s">
        <v>8</v>
      </c>
      <c r="AN1414" t="s">
        <v>8</v>
      </c>
      <c r="AO1414" t="s">
        <v>8</v>
      </c>
      <c r="AP1414">
        <v>797</v>
      </c>
      <c r="AQ1414" t="s">
        <v>8</v>
      </c>
      <c r="AR1414" t="s">
        <v>8</v>
      </c>
      <c r="AS1414" t="s">
        <v>8</v>
      </c>
      <c r="AT1414">
        <v>11945.7</v>
      </c>
    </row>
    <row r="1415" spans="34:46" x14ac:dyDescent="0.35">
      <c r="AH1415" t="s">
        <v>204</v>
      </c>
      <c r="AI1415" t="s">
        <v>180</v>
      </c>
      <c r="AJ1415" s="3">
        <v>44196</v>
      </c>
      <c r="AK1415" t="s">
        <v>42</v>
      </c>
      <c r="AL1415" s="1">
        <v>10900</v>
      </c>
      <c r="AM1415" t="s">
        <v>8</v>
      </c>
      <c r="AN1415" t="s">
        <v>8</v>
      </c>
      <c r="AO1415" t="s">
        <v>8</v>
      </c>
      <c r="AP1415" s="1">
        <v>669</v>
      </c>
      <c r="AQ1415" t="s">
        <v>8</v>
      </c>
      <c r="AR1415" t="s">
        <v>8</v>
      </c>
      <c r="AS1415" t="s">
        <v>8</v>
      </c>
      <c r="AT1415">
        <v>11945.7</v>
      </c>
    </row>
    <row r="1416" spans="34:46" x14ac:dyDescent="0.35">
      <c r="AH1416" t="s">
        <v>204</v>
      </c>
      <c r="AI1416" t="s">
        <v>180</v>
      </c>
      <c r="AJ1416" s="3">
        <v>44742</v>
      </c>
      <c r="AK1416" t="s">
        <v>42</v>
      </c>
      <c r="AL1416" s="1">
        <v>7200</v>
      </c>
      <c r="AM1416" t="s">
        <v>8</v>
      </c>
      <c r="AN1416" t="s">
        <v>8</v>
      </c>
      <c r="AO1416" t="s">
        <v>8</v>
      </c>
      <c r="AP1416" s="1">
        <v>0.25</v>
      </c>
      <c r="AQ1416" t="s">
        <v>8</v>
      </c>
      <c r="AR1416" t="s">
        <v>8</v>
      </c>
      <c r="AS1416" t="s">
        <v>8</v>
      </c>
      <c r="AT1416">
        <v>11945.7</v>
      </c>
    </row>
    <row r="1417" spans="34:46" x14ac:dyDescent="0.35">
      <c r="AH1417" t="s">
        <v>204</v>
      </c>
      <c r="AI1417" t="s">
        <v>180</v>
      </c>
      <c r="AJ1417" s="3">
        <v>43636</v>
      </c>
      <c r="AK1417" t="s">
        <v>41</v>
      </c>
      <c r="AL1417" s="1">
        <v>11300</v>
      </c>
      <c r="AM1417" t="s">
        <v>8</v>
      </c>
      <c r="AN1417" t="s">
        <v>8</v>
      </c>
      <c r="AO1417" t="s">
        <v>8</v>
      </c>
      <c r="AP1417" s="1">
        <v>620.75</v>
      </c>
      <c r="AQ1417" t="s">
        <v>8</v>
      </c>
      <c r="AR1417" t="s">
        <v>8</v>
      </c>
      <c r="AS1417" t="s">
        <v>8</v>
      </c>
      <c r="AT1417">
        <v>11945.7</v>
      </c>
    </row>
    <row r="1418" spans="34:46" x14ac:dyDescent="0.35">
      <c r="AH1418" t="s">
        <v>204</v>
      </c>
      <c r="AI1418" t="s">
        <v>180</v>
      </c>
      <c r="AJ1418" s="3">
        <v>44742</v>
      </c>
      <c r="AK1418" t="s">
        <v>42</v>
      </c>
      <c r="AL1418" s="1">
        <v>7400</v>
      </c>
      <c r="AM1418" t="s">
        <v>8</v>
      </c>
      <c r="AN1418" t="s">
        <v>8</v>
      </c>
      <c r="AO1418" t="s">
        <v>8</v>
      </c>
      <c r="AP1418" s="1">
        <v>0.45</v>
      </c>
      <c r="AQ1418" t="s">
        <v>8</v>
      </c>
      <c r="AR1418" t="s">
        <v>8</v>
      </c>
      <c r="AS1418" t="s">
        <v>8</v>
      </c>
      <c r="AT1418">
        <v>11945.7</v>
      </c>
    </row>
    <row r="1419" spans="34:46" x14ac:dyDescent="0.35">
      <c r="AH1419" t="s">
        <v>204</v>
      </c>
      <c r="AI1419" t="s">
        <v>180</v>
      </c>
      <c r="AJ1419" s="3">
        <v>43629</v>
      </c>
      <c r="AK1419" t="s">
        <v>42</v>
      </c>
      <c r="AL1419" s="1">
        <v>12900</v>
      </c>
      <c r="AM1419" t="s">
        <v>8</v>
      </c>
      <c r="AN1419" t="s">
        <v>8</v>
      </c>
      <c r="AO1419" t="s">
        <v>8</v>
      </c>
      <c r="AP1419" s="1">
        <v>1157.25</v>
      </c>
      <c r="AQ1419" t="s">
        <v>8</v>
      </c>
      <c r="AR1419" t="s">
        <v>8</v>
      </c>
      <c r="AS1419" t="s">
        <v>8</v>
      </c>
      <c r="AT1419">
        <v>11945.7</v>
      </c>
    </row>
    <row r="1420" spans="34:46" x14ac:dyDescent="0.35">
      <c r="AH1420" t="s">
        <v>204</v>
      </c>
      <c r="AI1420" t="s">
        <v>180</v>
      </c>
      <c r="AJ1420" s="3">
        <v>43650</v>
      </c>
      <c r="AK1420" t="s">
        <v>42</v>
      </c>
      <c r="AL1420" s="1">
        <v>11950</v>
      </c>
      <c r="AM1420" t="s">
        <v>8</v>
      </c>
      <c r="AN1420" t="s">
        <v>8</v>
      </c>
      <c r="AO1420" t="s">
        <v>8</v>
      </c>
      <c r="AP1420">
        <v>297.45</v>
      </c>
      <c r="AQ1420" t="s">
        <v>8</v>
      </c>
      <c r="AR1420" t="s">
        <v>8</v>
      </c>
      <c r="AS1420" t="s">
        <v>8</v>
      </c>
      <c r="AT1420">
        <v>11945.7</v>
      </c>
    </row>
    <row r="1421" spans="34:46" x14ac:dyDescent="0.35">
      <c r="AH1421" t="s">
        <v>204</v>
      </c>
      <c r="AI1421" t="s">
        <v>180</v>
      </c>
      <c r="AJ1421" s="3">
        <v>44007</v>
      </c>
      <c r="AK1421" t="s">
        <v>41</v>
      </c>
      <c r="AL1421" s="1">
        <v>8800</v>
      </c>
      <c r="AM1421" t="s">
        <v>8</v>
      </c>
      <c r="AN1421" t="s">
        <v>8</v>
      </c>
      <c r="AO1421" t="s">
        <v>8</v>
      </c>
      <c r="AP1421" s="1" t="s">
        <v>8</v>
      </c>
      <c r="AQ1421" t="s">
        <v>8</v>
      </c>
      <c r="AR1421" t="s">
        <v>8</v>
      </c>
      <c r="AS1421" t="s">
        <v>8</v>
      </c>
      <c r="AT1421">
        <v>11945.7</v>
      </c>
    </row>
    <row r="1422" spans="34:46" x14ac:dyDescent="0.35">
      <c r="AH1422" t="s">
        <v>204</v>
      </c>
      <c r="AI1422" t="s">
        <v>180</v>
      </c>
      <c r="AJ1422" s="3">
        <v>44742</v>
      </c>
      <c r="AK1422" t="s">
        <v>42</v>
      </c>
      <c r="AL1422" s="1">
        <v>11900</v>
      </c>
      <c r="AM1422" t="s">
        <v>8</v>
      </c>
      <c r="AN1422" t="s">
        <v>8</v>
      </c>
      <c r="AO1422" t="s">
        <v>8</v>
      </c>
      <c r="AP1422" s="1">
        <v>776</v>
      </c>
      <c r="AQ1422" t="s">
        <v>8</v>
      </c>
      <c r="AR1422" t="s">
        <v>8</v>
      </c>
      <c r="AS1422" t="s">
        <v>8</v>
      </c>
      <c r="AT1422">
        <v>11945.7</v>
      </c>
    </row>
    <row r="1423" spans="34:46" x14ac:dyDescent="0.35">
      <c r="AH1423" t="s">
        <v>204</v>
      </c>
      <c r="AI1423" t="s">
        <v>180</v>
      </c>
      <c r="AJ1423" s="3">
        <v>44924</v>
      </c>
      <c r="AK1423" t="s">
        <v>42</v>
      </c>
      <c r="AL1423" s="1">
        <v>11000</v>
      </c>
      <c r="AM1423" t="s">
        <v>8</v>
      </c>
      <c r="AN1423" t="s">
        <v>8</v>
      </c>
      <c r="AO1423" t="s">
        <v>8</v>
      </c>
      <c r="AP1423" s="1">
        <v>147.35</v>
      </c>
      <c r="AQ1423" t="s">
        <v>8</v>
      </c>
      <c r="AR1423" t="s">
        <v>8</v>
      </c>
      <c r="AS1423" t="s">
        <v>8</v>
      </c>
      <c r="AT1423">
        <v>11945.7</v>
      </c>
    </row>
    <row r="1424" spans="34:46" x14ac:dyDescent="0.35">
      <c r="AH1424" t="s">
        <v>204</v>
      </c>
      <c r="AI1424" t="s">
        <v>180</v>
      </c>
      <c r="AJ1424" s="3">
        <v>43664</v>
      </c>
      <c r="AK1424" t="s">
        <v>41</v>
      </c>
      <c r="AL1424" s="1">
        <v>11400</v>
      </c>
      <c r="AM1424" t="s">
        <v>8</v>
      </c>
      <c r="AN1424" t="s">
        <v>8</v>
      </c>
      <c r="AO1424" t="s">
        <v>8</v>
      </c>
      <c r="AP1424" s="1">
        <v>262.95</v>
      </c>
      <c r="AQ1424" t="s">
        <v>8</v>
      </c>
      <c r="AR1424" t="s">
        <v>8</v>
      </c>
      <c r="AS1424" t="s">
        <v>8</v>
      </c>
      <c r="AT1424">
        <v>11945.7</v>
      </c>
    </row>
    <row r="1425" spans="34:46" x14ac:dyDescent="0.35">
      <c r="AH1425" t="s">
        <v>204</v>
      </c>
      <c r="AI1425" t="s">
        <v>180</v>
      </c>
      <c r="AJ1425" s="3">
        <v>44007</v>
      </c>
      <c r="AK1425" t="s">
        <v>42</v>
      </c>
      <c r="AL1425" s="1">
        <v>9000</v>
      </c>
      <c r="AM1425" t="s">
        <v>8</v>
      </c>
      <c r="AN1425" t="s">
        <v>8</v>
      </c>
      <c r="AO1425" t="s">
        <v>8</v>
      </c>
      <c r="AP1425" s="1">
        <v>75</v>
      </c>
      <c r="AQ1425" t="s">
        <v>8</v>
      </c>
      <c r="AR1425" t="s">
        <v>8</v>
      </c>
      <c r="AS1425" t="s">
        <v>8</v>
      </c>
      <c r="AT1425">
        <v>11945.7</v>
      </c>
    </row>
    <row r="1426" spans="34:46" x14ac:dyDescent="0.35">
      <c r="AH1426" t="s">
        <v>204</v>
      </c>
      <c r="AI1426" t="s">
        <v>180</v>
      </c>
      <c r="AJ1426" s="3">
        <v>43629</v>
      </c>
      <c r="AK1426" t="s">
        <v>41</v>
      </c>
      <c r="AL1426" s="1">
        <v>9900</v>
      </c>
      <c r="AM1426" t="s">
        <v>8</v>
      </c>
      <c r="AN1426" t="s">
        <v>8</v>
      </c>
      <c r="AO1426" t="s">
        <v>8</v>
      </c>
      <c r="AP1426" s="1">
        <v>1528.8</v>
      </c>
      <c r="AQ1426" t="s">
        <v>8</v>
      </c>
      <c r="AR1426" t="s">
        <v>8</v>
      </c>
      <c r="AS1426" t="s">
        <v>8</v>
      </c>
      <c r="AT1426">
        <v>11945.7</v>
      </c>
    </row>
    <row r="1427" spans="34:46" x14ac:dyDescent="0.35">
      <c r="AH1427" t="s">
        <v>204</v>
      </c>
      <c r="AI1427" t="s">
        <v>180</v>
      </c>
      <c r="AJ1427" s="3">
        <v>43664</v>
      </c>
      <c r="AK1427" t="s">
        <v>41</v>
      </c>
      <c r="AL1427" s="1">
        <v>11600</v>
      </c>
      <c r="AM1427" t="s">
        <v>8</v>
      </c>
      <c r="AN1427" t="s">
        <v>8</v>
      </c>
      <c r="AO1427" t="s">
        <v>8</v>
      </c>
      <c r="AP1427" s="1">
        <v>178.4</v>
      </c>
      <c r="AQ1427" t="s">
        <v>8</v>
      </c>
      <c r="AR1427" t="s">
        <v>8</v>
      </c>
      <c r="AS1427" t="s">
        <v>8</v>
      </c>
      <c r="AT1427">
        <v>11945.7</v>
      </c>
    </row>
    <row r="1428" spans="34:46" x14ac:dyDescent="0.35">
      <c r="AH1428" t="s">
        <v>204</v>
      </c>
      <c r="AI1428" t="s">
        <v>180</v>
      </c>
      <c r="AJ1428" s="3">
        <v>43643</v>
      </c>
      <c r="AK1428" t="s">
        <v>42</v>
      </c>
      <c r="AL1428" s="1">
        <v>12150</v>
      </c>
      <c r="AM1428" t="s">
        <v>8</v>
      </c>
      <c r="AN1428" t="s">
        <v>8</v>
      </c>
      <c r="AO1428" t="s">
        <v>8</v>
      </c>
      <c r="AP1428" s="1">
        <v>527.9</v>
      </c>
      <c r="AQ1428" t="s">
        <v>8</v>
      </c>
      <c r="AR1428" t="s">
        <v>8</v>
      </c>
      <c r="AS1428" t="s">
        <v>8</v>
      </c>
      <c r="AT1428">
        <v>11945.7</v>
      </c>
    </row>
    <row r="1429" spans="34:46" x14ac:dyDescent="0.35">
      <c r="AH1429" t="s">
        <v>204</v>
      </c>
      <c r="AI1429" t="s">
        <v>180</v>
      </c>
      <c r="AJ1429" s="3">
        <v>44007</v>
      </c>
      <c r="AK1429" t="s">
        <v>42</v>
      </c>
      <c r="AL1429" s="1">
        <v>7700</v>
      </c>
      <c r="AM1429" t="s">
        <v>8</v>
      </c>
      <c r="AN1429" t="s">
        <v>8</v>
      </c>
      <c r="AO1429" t="s">
        <v>8</v>
      </c>
      <c r="AP1429" s="1">
        <v>55</v>
      </c>
      <c r="AQ1429" t="s">
        <v>8</v>
      </c>
      <c r="AR1429" t="s">
        <v>8</v>
      </c>
      <c r="AS1429" t="s">
        <v>8</v>
      </c>
      <c r="AT1429">
        <v>11945.7</v>
      </c>
    </row>
    <row r="1430" spans="34:46" x14ac:dyDescent="0.35">
      <c r="AH1430" t="s">
        <v>204</v>
      </c>
      <c r="AI1430" t="s">
        <v>180</v>
      </c>
      <c r="AJ1430" s="3">
        <v>43643</v>
      </c>
      <c r="AK1430" t="s">
        <v>42</v>
      </c>
      <c r="AL1430" s="1">
        <v>12350</v>
      </c>
      <c r="AM1430" t="s">
        <v>8</v>
      </c>
      <c r="AN1430" t="s">
        <v>8</v>
      </c>
      <c r="AO1430" t="s">
        <v>8</v>
      </c>
      <c r="AP1430" s="1">
        <v>670.55</v>
      </c>
      <c r="AQ1430" t="s">
        <v>8</v>
      </c>
      <c r="AR1430" t="s">
        <v>8</v>
      </c>
      <c r="AS1430" t="s">
        <v>8</v>
      </c>
      <c r="AT1430">
        <v>11945.7</v>
      </c>
    </row>
    <row r="1431" spans="34:46" x14ac:dyDescent="0.35">
      <c r="AH1431" t="s">
        <v>204</v>
      </c>
      <c r="AI1431" t="s">
        <v>180</v>
      </c>
      <c r="AJ1431" s="3">
        <v>43657</v>
      </c>
      <c r="AK1431" t="s">
        <v>41</v>
      </c>
      <c r="AL1431" s="1">
        <v>12100</v>
      </c>
      <c r="AM1431" t="s">
        <v>8</v>
      </c>
      <c r="AN1431" t="s">
        <v>8</v>
      </c>
      <c r="AO1431" t="s">
        <v>8</v>
      </c>
      <c r="AP1431" s="1">
        <v>60.05</v>
      </c>
      <c r="AQ1431" t="s">
        <v>8</v>
      </c>
      <c r="AR1431" t="s">
        <v>8</v>
      </c>
      <c r="AS1431" t="s">
        <v>8</v>
      </c>
      <c r="AT1431">
        <v>11945.7</v>
      </c>
    </row>
    <row r="1432" spans="34:46" x14ac:dyDescent="0.35">
      <c r="AH1432" t="s">
        <v>204</v>
      </c>
      <c r="AI1432" t="s">
        <v>180</v>
      </c>
      <c r="AJ1432" s="3">
        <v>43622</v>
      </c>
      <c r="AK1432" t="s">
        <v>42</v>
      </c>
      <c r="AL1432" s="1">
        <v>10550</v>
      </c>
      <c r="AM1432" t="s">
        <v>8</v>
      </c>
      <c r="AN1432" t="s">
        <v>8</v>
      </c>
      <c r="AO1432" t="s">
        <v>8</v>
      </c>
      <c r="AP1432" s="1">
        <v>4.25</v>
      </c>
      <c r="AQ1432" t="s">
        <v>8</v>
      </c>
      <c r="AR1432" t="s">
        <v>8</v>
      </c>
      <c r="AS1432" t="s">
        <v>8</v>
      </c>
      <c r="AT1432">
        <v>11945.7</v>
      </c>
    </row>
    <row r="1433" spans="34:46" x14ac:dyDescent="0.35">
      <c r="AH1433" t="s">
        <v>204</v>
      </c>
      <c r="AI1433" t="s">
        <v>180</v>
      </c>
      <c r="AJ1433" s="3">
        <v>44007</v>
      </c>
      <c r="AK1433" t="s">
        <v>42</v>
      </c>
      <c r="AL1433" s="1">
        <v>7900</v>
      </c>
      <c r="AM1433" t="s">
        <v>8</v>
      </c>
      <c r="AN1433" t="s">
        <v>8</v>
      </c>
      <c r="AO1433" t="s">
        <v>8</v>
      </c>
      <c r="AP1433">
        <v>169.35</v>
      </c>
      <c r="AQ1433" t="s">
        <v>8</v>
      </c>
      <c r="AR1433" t="s">
        <v>8</v>
      </c>
      <c r="AS1433" t="s">
        <v>8</v>
      </c>
      <c r="AT1433">
        <v>11945.7</v>
      </c>
    </row>
    <row r="1434" spans="34:46" x14ac:dyDescent="0.35">
      <c r="AH1434" t="s">
        <v>204</v>
      </c>
      <c r="AI1434" t="s">
        <v>180</v>
      </c>
      <c r="AJ1434" s="3">
        <v>44924</v>
      </c>
      <c r="AK1434" t="s">
        <v>42</v>
      </c>
      <c r="AL1434" s="1">
        <v>9600</v>
      </c>
      <c r="AM1434" t="s">
        <v>8</v>
      </c>
      <c r="AN1434" t="s">
        <v>8</v>
      </c>
      <c r="AO1434" t="s">
        <v>8</v>
      </c>
      <c r="AP1434" s="1">
        <v>40.700000000000003</v>
      </c>
      <c r="AQ1434" t="s">
        <v>8</v>
      </c>
      <c r="AR1434" t="s">
        <v>8</v>
      </c>
      <c r="AS1434" t="s">
        <v>8</v>
      </c>
      <c r="AT1434">
        <v>11945.7</v>
      </c>
    </row>
    <row r="1435" spans="34:46" x14ac:dyDescent="0.35">
      <c r="AH1435" t="s">
        <v>204</v>
      </c>
      <c r="AI1435" t="s">
        <v>180</v>
      </c>
      <c r="AJ1435" s="3">
        <v>43643</v>
      </c>
      <c r="AK1435" t="s">
        <v>42</v>
      </c>
      <c r="AL1435" s="1">
        <v>12550</v>
      </c>
      <c r="AM1435" t="s">
        <v>8</v>
      </c>
      <c r="AN1435" t="s">
        <v>8</v>
      </c>
      <c r="AO1435" t="s">
        <v>8</v>
      </c>
      <c r="AP1435">
        <v>826.6</v>
      </c>
      <c r="AQ1435" t="s">
        <v>8</v>
      </c>
      <c r="AR1435" t="s">
        <v>8</v>
      </c>
      <c r="AS1435" t="s">
        <v>8</v>
      </c>
      <c r="AT1435">
        <v>11945.7</v>
      </c>
    </row>
    <row r="1436" spans="34:46" x14ac:dyDescent="0.35">
      <c r="AH1436" t="s">
        <v>204</v>
      </c>
      <c r="AI1436" t="s">
        <v>180</v>
      </c>
      <c r="AJ1436" s="3">
        <v>43825</v>
      </c>
      <c r="AK1436" t="s">
        <v>42</v>
      </c>
      <c r="AL1436" s="1">
        <v>11900</v>
      </c>
      <c r="AM1436" t="s">
        <v>8</v>
      </c>
      <c r="AN1436" t="s">
        <v>8</v>
      </c>
      <c r="AO1436" t="s">
        <v>8</v>
      </c>
      <c r="AP1436">
        <v>543.54999999999995</v>
      </c>
      <c r="AQ1436" t="s">
        <v>8</v>
      </c>
      <c r="AR1436" t="s">
        <v>8</v>
      </c>
      <c r="AS1436" t="s">
        <v>8</v>
      </c>
      <c r="AT1436">
        <v>11945.7</v>
      </c>
    </row>
    <row r="1437" spans="34:46" x14ac:dyDescent="0.35">
      <c r="AH1437" t="s">
        <v>204</v>
      </c>
      <c r="AI1437" t="s">
        <v>180</v>
      </c>
      <c r="AJ1437" s="3">
        <v>43622</v>
      </c>
      <c r="AK1437" t="s">
        <v>42</v>
      </c>
      <c r="AL1437" s="1">
        <v>10750</v>
      </c>
      <c r="AM1437" t="s">
        <v>8</v>
      </c>
      <c r="AN1437" t="s">
        <v>8</v>
      </c>
      <c r="AO1437" t="s">
        <v>8</v>
      </c>
      <c r="AP1437">
        <v>10.85</v>
      </c>
      <c r="AQ1437" t="s">
        <v>8</v>
      </c>
      <c r="AR1437" t="s">
        <v>8</v>
      </c>
      <c r="AS1437" t="s">
        <v>8</v>
      </c>
      <c r="AT1437">
        <v>11945.7</v>
      </c>
    </row>
    <row r="1438" spans="34:46" x14ac:dyDescent="0.35">
      <c r="AH1438" t="s">
        <v>204</v>
      </c>
      <c r="AI1438" t="s">
        <v>180</v>
      </c>
      <c r="AJ1438" s="3">
        <v>44924</v>
      </c>
      <c r="AK1438" t="s">
        <v>42</v>
      </c>
      <c r="AL1438" s="1">
        <v>9800</v>
      </c>
      <c r="AM1438" t="s">
        <v>8</v>
      </c>
      <c r="AN1438" t="s">
        <v>8</v>
      </c>
      <c r="AO1438" t="s">
        <v>8</v>
      </c>
      <c r="AP1438" s="1">
        <v>50.25</v>
      </c>
      <c r="AQ1438" t="s">
        <v>8</v>
      </c>
      <c r="AR1438" t="s">
        <v>8</v>
      </c>
      <c r="AS1438" t="s">
        <v>8</v>
      </c>
      <c r="AT1438">
        <v>11945.7</v>
      </c>
    </row>
    <row r="1439" spans="34:46" x14ac:dyDescent="0.35">
      <c r="AH1439" t="s">
        <v>204</v>
      </c>
      <c r="AI1439" t="s">
        <v>180</v>
      </c>
      <c r="AJ1439" s="3">
        <v>43622</v>
      </c>
      <c r="AK1439" t="s">
        <v>42</v>
      </c>
      <c r="AL1439" s="1">
        <v>10950</v>
      </c>
      <c r="AM1439" t="s">
        <v>8</v>
      </c>
      <c r="AN1439" t="s">
        <v>8</v>
      </c>
      <c r="AO1439" t="s">
        <v>8</v>
      </c>
      <c r="AP1439" s="1">
        <v>9.5</v>
      </c>
      <c r="AQ1439" t="s">
        <v>8</v>
      </c>
      <c r="AR1439" t="s">
        <v>8</v>
      </c>
      <c r="AS1439" t="s">
        <v>8</v>
      </c>
      <c r="AT1439">
        <v>11945.7</v>
      </c>
    </row>
    <row r="1440" spans="34:46" x14ac:dyDescent="0.35">
      <c r="AH1440" t="s">
        <v>204</v>
      </c>
      <c r="AI1440" t="s">
        <v>180</v>
      </c>
      <c r="AJ1440" s="3">
        <v>43657</v>
      </c>
      <c r="AK1440" t="s">
        <v>41</v>
      </c>
      <c r="AL1440" s="1">
        <v>10800</v>
      </c>
      <c r="AM1440" t="s">
        <v>8</v>
      </c>
      <c r="AN1440" t="s">
        <v>8</v>
      </c>
      <c r="AO1440" t="s">
        <v>8</v>
      </c>
      <c r="AP1440" s="1">
        <v>687.5</v>
      </c>
      <c r="AQ1440" t="s">
        <v>8</v>
      </c>
      <c r="AR1440" t="s">
        <v>8</v>
      </c>
      <c r="AS1440" t="s">
        <v>8</v>
      </c>
      <c r="AT1440">
        <v>11945.7</v>
      </c>
    </row>
    <row r="1441" spans="34:46" x14ac:dyDescent="0.35">
      <c r="AH1441" t="s">
        <v>204</v>
      </c>
      <c r="AI1441" t="s">
        <v>180</v>
      </c>
      <c r="AJ1441" s="3">
        <v>43636</v>
      </c>
      <c r="AK1441" t="s">
        <v>42</v>
      </c>
      <c r="AL1441" s="1">
        <v>13050</v>
      </c>
      <c r="AM1441" t="s">
        <v>8</v>
      </c>
      <c r="AN1441" t="s">
        <v>8</v>
      </c>
      <c r="AO1441" t="s">
        <v>8</v>
      </c>
      <c r="AP1441" s="1">
        <v>1153.3499999999999</v>
      </c>
      <c r="AQ1441" t="s">
        <v>8</v>
      </c>
      <c r="AR1441" t="s">
        <v>8</v>
      </c>
      <c r="AS1441" t="s">
        <v>8</v>
      </c>
      <c r="AT1441">
        <v>11945.7</v>
      </c>
    </row>
    <row r="1442" spans="34:46" x14ac:dyDescent="0.35">
      <c r="AH1442" t="s">
        <v>204</v>
      </c>
      <c r="AI1442" t="s">
        <v>180</v>
      </c>
      <c r="AJ1442" s="3">
        <v>44560</v>
      </c>
      <c r="AK1442" t="s">
        <v>42</v>
      </c>
      <c r="AL1442" s="1">
        <v>6100</v>
      </c>
      <c r="AM1442" t="s">
        <v>8</v>
      </c>
      <c r="AN1442" t="s">
        <v>8</v>
      </c>
      <c r="AO1442" t="s">
        <v>8</v>
      </c>
      <c r="AP1442" s="1">
        <v>47.15</v>
      </c>
      <c r="AQ1442" t="s">
        <v>8</v>
      </c>
      <c r="AR1442" t="s">
        <v>8</v>
      </c>
      <c r="AS1442" t="s">
        <v>8</v>
      </c>
      <c r="AT1442">
        <v>11945.7</v>
      </c>
    </row>
    <row r="1443" spans="34:46" x14ac:dyDescent="0.35">
      <c r="AH1443" t="s">
        <v>204</v>
      </c>
      <c r="AI1443" t="s">
        <v>180</v>
      </c>
      <c r="AJ1443" s="3">
        <v>43636</v>
      </c>
      <c r="AK1443" t="s">
        <v>42</v>
      </c>
      <c r="AL1443" s="1">
        <v>11750</v>
      </c>
      <c r="AM1443" t="s">
        <v>8</v>
      </c>
      <c r="AN1443" t="s">
        <v>8</v>
      </c>
      <c r="AO1443" t="s">
        <v>8</v>
      </c>
      <c r="AP1443" s="1">
        <v>157.9</v>
      </c>
      <c r="AQ1443" t="s">
        <v>8</v>
      </c>
      <c r="AR1443" t="s">
        <v>8</v>
      </c>
      <c r="AS1443" t="s">
        <v>8</v>
      </c>
      <c r="AT1443">
        <v>11945.7</v>
      </c>
    </row>
    <row r="1444" spans="34:46" x14ac:dyDescent="0.35">
      <c r="AH1444" t="s">
        <v>204</v>
      </c>
      <c r="AI1444" t="s">
        <v>180</v>
      </c>
      <c r="AJ1444" s="3">
        <v>43916</v>
      </c>
      <c r="AK1444" t="s">
        <v>42</v>
      </c>
      <c r="AL1444" s="1">
        <v>9000</v>
      </c>
      <c r="AM1444" t="s">
        <v>8</v>
      </c>
      <c r="AN1444" t="s">
        <v>8</v>
      </c>
      <c r="AO1444" t="s">
        <v>8</v>
      </c>
      <c r="AP1444">
        <v>6.1</v>
      </c>
      <c r="AQ1444" t="s">
        <v>8</v>
      </c>
      <c r="AR1444" t="s">
        <v>8</v>
      </c>
      <c r="AS1444" t="s">
        <v>8</v>
      </c>
      <c r="AT1444">
        <v>11945.7</v>
      </c>
    </row>
    <row r="1445" spans="34:46" x14ac:dyDescent="0.35">
      <c r="AH1445" t="s">
        <v>204</v>
      </c>
      <c r="AI1445" t="s">
        <v>180</v>
      </c>
      <c r="AJ1445" s="3">
        <v>45288</v>
      </c>
      <c r="AK1445" t="s">
        <v>42</v>
      </c>
      <c r="AL1445" s="1">
        <v>13000</v>
      </c>
      <c r="AM1445" t="s">
        <v>8</v>
      </c>
      <c r="AN1445" t="s">
        <v>8</v>
      </c>
      <c r="AO1445" t="s">
        <v>8</v>
      </c>
      <c r="AP1445">
        <v>823.2</v>
      </c>
      <c r="AQ1445" t="s">
        <v>8</v>
      </c>
      <c r="AR1445" t="s">
        <v>8</v>
      </c>
      <c r="AS1445" t="s">
        <v>8</v>
      </c>
      <c r="AT1445">
        <v>11945.7</v>
      </c>
    </row>
    <row r="1446" spans="34:46" x14ac:dyDescent="0.35">
      <c r="AH1446" t="s">
        <v>204</v>
      </c>
      <c r="AI1446" t="s">
        <v>180</v>
      </c>
      <c r="AJ1446" s="3">
        <v>44560</v>
      </c>
      <c r="AK1446" t="s">
        <v>42</v>
      </c>
      <c r="AL1446" s="1">
        <v>6300</v>
      </c>
      <c r="AM1446" t="s">
        <v>8</v>
      </c>
      <c r="AN1446" t="s">
        <v>8</v>
      </c>
      <c r="AO1446" t="s">
        <v>8</v>
      </c>
      <c r="AP1446" s="1">
        <v>58.75</v>
      </c>
      <c r="AQ1446" t="s">
        <v>8</v>
      </c>
      <c r="AR1446" t="s">
        <v>8</v>
      </c>
      <c r="AS1446" t="s">
        <v>8</v>
      </c>
      <c r="AT1446">
        <v>11945.7</v>
      </c>
    </row>
    <row r="1447" spans="34:46" x14ac:dyDescent="0.35">
      <c r="AH1447" t="s">
        <v>204</v>
      </c>
      <c r="AI1447" t="s">
        <v>180</v>
      </c>
      <c r="AJ1447" s="3">
        <v>43636</v>
      </c>
      <c r="AK1447" t="s">
        <v>42</v>
      </c>
      <c r="AL1447" s="1">
        <v>11950</v>
      </c>
      <c r="AM1447" t="s">
        <v>8</v>
      </c>
      <c r="AN1447" t="s">
        <v>8</v>
      </c>
      <c r="AO1447" t="s">
        <v>8</v>
      </c>
      <c r="AP1447" s="1">
        <v>253.1</v>
      </c>
      <c r="AQ1447" t="s">
        <v>8</v>
      </c>
      <c r="AR1447" t="s">
        <v>8</v>
      </c>
      <c r="AS1447" t="s">
        <v>8</v>
      </c>
      <c r="AT1447">
        <v>11945.7</v>
      </c>
    </row>
    <row r="1448" spans="34:46" x14ac:dyDescent="0.35">
      <c r="AH1448" t="s">
        <v>204</v>
      </c>
      <c r="AI1448" t="s">
        <v>180</v>
      </c>
      <c r="AJ1448" s="3">
        <v>44371</v>
      </c>
      <c r="AK1448" t="s">
        <v>41</v>
      </c>
      <c r="AL1448" s="1">
        <v>11600</v>
      </c>
      <c r="AM1448" t="s">
        <v>8</v>
      </c>
      <c r="AN1448" t="s">
        <v>8</v>
      </c>
      <c r="AO1448" t="s">
        <v>8</v>
      </c>
      <c r="AP1448" s="1">
        <v>2329.9</v>
      </c>
      <c r="AQ1448" t="s">
        <v>8</v>
      </c>
      <c r="AR1448" t="s">
        <v>8</v>
      </c>
      <c r="AS1448" t="s">
        <v>8</v>
      </c>
      <c r="AT1448">
        <v>11945.7</v>
      </c>
    </row>
    <row r="1449" spans="34:46" x14ac:dyDescent="0.35">
      <c r="AH1449" t="s">
        <v>204</v>
      </c>
      <c r="AI1449" t="s">
        <v>180</v>
      </c>
      <c r="AJ1449" s="3">
        <v>43622</v>
      </c>
      <c r="AK1449" t="s">
        <v>41</v>
      </c>
      <c r="AL1449" s="1">
        <v>12650</v>
      </c>
      <c r="AM1449" t="s">
        <v>8</v>
      </c>
      <c r="AN1449" t="s">
        <v>8</v>
      </c>
      <c r="AO1449" t="s">
        <v>8</v>
      </c>
      <c r="AP1449" s="1">
        <v>21.55</v>
      </c>
      <c r="AQ1449" t="s">
        <v>8</v>
      </c>
      <c r="AR1449" t="s">
        <v>8</v>
      </c>
      <c r="AS1449" t="s">
        <v>8</v>
      </c>
      <c r="AT1449">
        <v>11945.7</v>
      </c>
    </row>
    <row r="1450" spans="34:46" x14ac:dyDescent="0.35">
      <c r="AH1450" t="s">
        <v>204</v>
      </c>
      <c r="AI1450" t="s">
        <v>180</v>
      </c>
      <c r="AJ1450" s="3">
        <v>44560</v>
      </c>
      <c r="AK1450" t="s">
        <v>42</v>
      </c>
      <c r="AL1450" s="1">
        <v>6500</v>
      </c>
      <c r="AM1450" t="s">
        <v>8</v>
      </c>
      <c r="AN1450" t="s">
        <v>8</v>
      </c>
      <c r="AO1450" t="s">
        <v>8</v>
      </c>
      <c r="AP1450" s="1">
        <v>72.349999999999994</v>
      </c>
      <c r="AQ1450" t="s">
        <v>8</v>
      </c>
      <c r="AR1450" t="s">
        <v>8</v>
      </c>
      <c r="AS1450" t="s">
        <v>8</v>
      </c>
      <c r="AT1450">
        <v>11945.7</v>
      </c>
    </row>
    <row r="1451" spans="34:46" x14ac:dyDescent="0.35">
      <c r="AH1451" t="s">
        <v>204</v>
      </c>
      <c r="AI1451" t="s">
        <v>180</v>
      </c>
      <c r="AJ1451" s="3">
        <v>43622</v>
      </c>
      <c r="AK1451" t="s">
        <v>42</v>
      </c>
      <c r="AL1451" s="1">
        <v>9750</v>
      </c>
      <c r="AM1451" t="s">
        <v>8</v>
      </c>
      <c r="AN1451" t="s">
        <v>8</v>
      </c>
      <c r="AO1451" t="s">
        <v>8</v>
      </c>
      <c r="AP1451" s="1">
        <v>0.05</v>
      </c>
      <c r="AQ1451" t="s">
        <v>8</v>
      </c>
      <c r="AR1451" t="s">
        <v>8</v>
      </c>
      <c r="AS1451" t="s">
        <v>8</v>
      </c>
      <c r="AT1451">
        <v>11945.7</v>
      </c>
    </row>
    <row r="1452" spans="34:46" x14ac:dyDescent="0.35">
      <c r="AH1452" t="s">
        <v>204</v>
      </c>
      <c r="AI1452" t="s">
        <v>180</v>
      </c>
      <c r="AJ1452" s="3">
        <v>43664</v>
      </c>
      <c r="AK1452" t="s">
        <v>42</v>
      </c>
      <c r="AL1452" s="1">
        <v>13150</v>
      </c>
      <c r="AM1452" t="s">
        <v>8</v>
      </c>
      <c r="AN1452" t="s">
        <v>8</v>
      </c>
      <c r="AO1452" t="s">
        <v>8</v>
      </c>
      <c r="AP1452" s="1">
        <v>1256.2</v>
      </c>
      <c r="AQ1452" t="s">
        <v>8</v>
      </c>
      <c r="AR1452" t="s">
        <v>8</v>
      </c>
      <c r="AS1452" t="s">
        <v>8</v>
      </c>
      <c r="AT1452">
        <v>11945.7</v>
      </c>
    </row>
    <row r="1453" spans="34:46" x14ac:dyDescent="0.35">
      <c r="AH1453" t="s">
        <v>204</v>
      </c>
      <c r="AI1453" t="s">
        <v>180</v>
      </c>
      <c r="AJ1453" s="3">
        <v>43671</v>
      </c>
      <c r="AK1453" t="s">
        <v>41</v>
      </c>
      <c r="AL1453" s="1">
        <v>10050</v>
      </c>
      <c r="AM1453" t="s">
        <v>8</v>
      </c>
      <c r="AN1453" t="s">
        <v>8</v>
      </c>
      <c r="AO1453" t="s">
        <v>8</v>
      </c>
      <c r="AP1453" s="1">
        <v>1603.4</v>
      </c>
      <c r="AQ1453" t="s">
        <v>8</v>
      </c>
      <c r="AR1453" t="s">
        <v>8</v>
      </c>
      <c r="AS1453" t="s">
        <v>8</v>
      </c>
      <c r="AT1453">
        <v>11945.7</v>
      </c>
    </row>
    <row r="1454" spans="34:46" x14ac:dyDescent="0.35">
      <c r="AH1454" t="s">
        <v>204</v>
      </c>
      <c r="AI1454" t="s">
        <v>180</v>
      </c>
      <c r="AJ1454" s="3">
        <v>44371</v>
      </c>
      <c r="AK1454" t="s">
        <v>41</v>
      </c>
      <c r="AL1454" s="1">
        <v>11800</v>
      </c>
      <c r="AM1454" t="s">
        <v>8</v>
      </c>
      <c r="AN1454" t="s">
        <v>8</v>
      </c>
      <c r="AO1454" t="s">
        <v>8</v>
      </c>
      <c r="AP1454" s="1">
        <v>2245</v>
      </c>
      <c r="AQ1454" t="s">
        <v>8</v>
      </c>
      <c r="AR1454" t="s">
        <v>8</v>
      </c>
      <c r="AS1454" t="s">
        <v>8</v>
      </c>
      <c r="AT1454">
        <v>11945.7</v>
      </c>
    </row>
    <row r="1455" spans="34:46" x14ac:dyDescent="0.35">
      <c r="AH1455" t="s">
        <v>204</v>
      </c>
      <c r="AI1455" t="s">
        <v>180</v>
      </c>
      <c r="AJ1455" s="3">
        <v>43622</v>
      </c>
      <c r="AK1455" t="s">
        <v>41</v>
      </c>
      <c r="AL1455" s="1">
        <v>12850</v>
      </c>
      <c r="AM1455" t="s">
        <v>8</v>
      </c>
      <c r="AN1455" t="s">
        <v>8</v>
      </c>
      <c r="AO1455" t="s">
        <v>8</v>
      </c>
      <c r="AP1455" s="1">
        <v>10.75</v>
      </c>
      <c r="AQ1455" t="s">
        <v>8</v>
      </c>
      <c r="AR1455" t="s">
        <v>8</v>
      </c>
      <c r="AS1455" t="s">
        <v>8</v>
      </c>
      <c r="AT1455">
        <v>11945.7</v>
      </c>
    </row>
    <row r="1456" spans="34:46" x14ac:dyDescent="0.35">
      <c r="AH1456" t="s">
        <v>204</v>
      </c>
      <c r="AI1456" t="s">
        <v>180</v>
      </c>
      <c r="AJ1456" s="3">
        <v>45288</v>
      </c>
      <c r="AK1456" t="s">
        <v>42</v>
      </c>
      <c r="AL1456" s="1">
        <v>11700</v>
      </c>
      <c r="AM1456" t="s">
        <v>8</v>
      </c>
      <c r="AN1456" t="s">
        <v>8</v>
      </c>
      <c r="AO1456" t="s">
        <v>8</v>
      </c>
      <c r="AP1456" s="1">
        <v>511.1</v>
      </c>
      <c r="AQ1456" t="s">
        <v>8</v>
      </c>
      <c r="AR1456" t="s">
        <v>8</v>
      </c>
      <c r="AS1456" t="s">
        <v>8</v>
      </c>
      <c r="AT1456">
        <v>11945.7</v>
      </c>
    </row>
    <row r="1457" spans="34:46" x14ac:dyDescent="0.35">
      <c r="AH1457" t="s">
        <v>204</v>
      </c>
      <c r="AI1457" t="s">
        <v>180</v>
      </c>
      <c r="AJ1457" s="3">
        <v>43622</v>
      </c>
      <c r="AK1457" t="s">
        <v>42</v>
      </c>
      <c r="AL1457" s="1">
        <v>9950</v>
      </c>
      <c r="AM1457" t="s">
        <v>8</v>
      </c>
      <c r="AN1457" t="s">
        <v>8</v>
      </c>
      <c r="AO1457" t="s">
        <v>8</v>
      </c>
      <c r="AP1457">
        <v>0.05</v>
      </c>
      <c r="AQ1457" t="s">
        <v>8</v>
      </c>
      <c r="AR1457" t="s">
        <v>8</v>
      </c>
      <c r="AS1457" t="s">
        <v>8</v>
      </c>
      <c r="AT1457">
        <v>11945.7</v>
      </c>
    </row>
    <row r="1458" spans="34:46" x14ac:dyDescent="0.35">
      <c r="AH1458" t="s">
        <v>204</v>
      </c>
      <c r="AI1458" t="s">
        <v>180</v>
      </c>
      <c r="AJ1458" s="3">
        <v>43916</v>
      </c>
      <c r="AK1458" t="s">
        <v>41</v>
      </c>
      <c r="AL1458" s="1">
        <v>12000</v>
      </c>
      <c r="AM1458" t="s">
        <v>8</v>
      </c>
      <c r="AN1458" t="s">
        <v>8</v>
      </c>
      <c r="AO1458" t="s">
        <v>8</v>
      </c>
      <c r="AP1458" s="1">
        <v>861.1</v>
      </c>
      <c r="AQ1458" t="s">
        <v>8</v>
      </c>
      <c r="AR1458" t="s">
        <v>8</v>
      </c>
      <c r="AS1458" t="s">
        <v>8</v>
      </c>
      <c r="AT1458">
        <v>11945.7</v>
      </c>
    </row>
    <row r="1459" spans="34:46" x14ac:dyDescent="0.35">
      <c r="AH1459" t="s">
        <v>204</v>
      </c>
      <c r="AI1459" t="s">
        <v>180</v>
      </c>
      <c r="AJ1459" s="3">
        <v>43664</v>
      </c>
      <c r="AK1459" t="s">
        <v>42</v>
      </c>
      <c r="AL1459" s="1">
        <v>13350</v>
      </c>
      <c r="AM1459" t="s">
        <v>8</v>
      </c>
      <c r="AN1459" t="s">
        <v>8</v>
      </c>
      <c r="AO1459" t="s">
        <v>8</v>
      </c>
      <c r="AP1459" s="1">
        <v>1430.25</v>
      </c>
      <c r="AQ1459" t="s">
        <v>8</v>
      </c>
      <c r="AR1459" t="s">
        <v>8</v>
      </c>
      <c r="AS1459" t="s">
        <v>8</v>
      </c>
      <c r="AT1459">
        <v>11945.7</v>
      </c>
    </row>
    <row r="1460" spans="34:46" x14ac:dyDescent="0.35">
      <c r="AH1460" t="s">
        <v>204</v>
      </c>
      <c r="AI1460" t="s">
        <v>180</v>
      </c>
      <c r="AJ1460" s="3">
        <v>43629</v>
      </c>
      <c r="AK1460" t="s">
        <v>41</v>
      </c>
      <c r="AL1460" s="1">
        <v>11100</v>
      </c>
      <c r="AM1460" t="s">
        <v>8</v>
      </c>
      <c r="AN1460" t="s">
        <v>8</v>
      </c>
      <c r="AO1460" t="s">
        <v>8</v>
      </c>
      <c r="AP1460" s="1">
        <v>666</v>
      </c>
      <c r="AQ1460" t="s">
        <v>8</v>
      </c>
      <c r="AR1460" t="s">
        <v>8</v>
      </c>
      <c r="AS1460" t="s">
        <v>8</v>
      </c>
      <c r="AT1460">
        <v>11945.7</v>
      </c>
    </row>
    <row r="1461" spans="34:46" x14ac:dyDescent="0.35">
      <c r="AH1461" t="s">
        <v>204</v>
      </c>
      <c r="AI1461" t="s">
        <v>180</v>
      </c>
      <c r="AJ1461" s="3">
        <v>43671</v>
      </c>
      <c r="AK1461" t="s">
        <v>41</v>
      </c>
      <c r="AL1461" s="1">
        <v>10250</v>
      </c>
      <c r="AM1461" t="s">
        <v>8</v>
      </c>
      <c r="AN1461" t="s">
        <v>8</v>
      </c>
      <c r="AO1461" t="s">
        <v>8</v>
      </c>
      <c r="AP1461" s="1">
        <v>1575.75</v>
      </c>
      <c r="AQ1461" t="s">
        <v>8</v>
      </c>
      <c r="AR1461" t="s">
        <v>8</v>
      </c>
      <c r="AS1461" t="s">
        <v>8</v>
      </c>
      <c r="AT1461">
        <v>11945.7</v>
      </c>
    </row>
    <row r="1462" spans="34:46" x14ac:dyDescent="0.35">
      <c r="AH1462" t="s">
        <v>204</v>
      </c>
      <c r="AI1462" t="s">
        <v>180</v>
      </c>
      <c r="AJ1462" s="3">
        <v>45288</v>
      </c>
      <c r="AK1462" t="s">
        <v>42</v>
      </c>
      <c r="AL1462" s="1">
        <v>11900</v>
      </c>
      <c r="AM1462" t="s">
        <v>8</v>
      </c>
      <c r="AN1462" t="s">
        <v>8</v>
      </c>
      <c r="AO1462" t="s">
        <v>8</v>
      </c>
      <c r="AP1462">
        <v>553.5</v>
      </c>
      <c r="AQ1462" t="s">
        <v>8</v>
      </c>
      <c r="AR1462" t="s">
        <v>8</v>
      </c>
      <c r="AS1462" t="s">
        <v>8</v>
      </c>
      <c r="AT1462">
        <v>11945.7</v>
      </c>
    </row>
    <row r="1463" spans="34:46" x14ac:dyDescent="0.35">
      <c r="AH1463" t="s">
        <v>204</v>
      </c>
      <c r="AI1463" t="s">
        <v>180</v>
      </c>
      <c r="AJ1463" s="3">
        <v>43615</v>
      </c>
      <c r="AK1463" t="s">
        <v>41</v>
      </c>
      <c r="AL1463" s="1">
        <v>13350</v>
      </c>
      <c r="AM1463" t="s">
        <v>8</v>
      </c>
      <c r="AN1463" t="s">
        <v>8</v>
      </c>
      <c r="AO1463" t="s">
        <v>8</v>
      </c>
      <c r="AP1463" s="1">
        <v>0.25</v>
      </c>
      <c r="AQ1463" t="s">
        <v>8</v>
      </c>
      <c r="AR1463" t="s">
        <v>8</v>
      </c>
      <c r="AS1463" t="s">
        <v>8</v>
      </c>
      <c r="AT1463">
        <v>11945.7</v>
      </c>
    </row>
    <row r="1464" spans="34:46" x14ac:dyDescent="0.35">
      <c r="AH1464" t="s">
        <v>204</v>
      </c>
      <c r="AI1464" t="s">
        <v>180</v>
      </c>
      <c r="AJ1464" s="3">
        <v>43622</v>
      </c>
      <c r="AK1464" t="s">
        <v>42</v>
      </c>
      <c r="AL1464" s="1">
        <v>12700</v>
      </c>
      <c r="AM1464" t="s">
        <v>8</v>
      </c>
      <c r="AN1464" t="s">
        <v>8</v>
      </c>
      <c r="AO1464" t="s">
        <v>8</v>
      </c>
      <c r="AP1464" s="1">
        <v>965.7</v>
      </c>
      <c r="AQ1464" t="s">
        <v>8</v>
      </c>
      <c r="AR1464" t="s">
        <v>8</v>
      </c>
      <c r="AS1464" t="s">
        <v>8</v>
      </c>
      <c r="AT1464">
        <v>11945.7</v>
      </c>
    </row>
    <row r="1465" spans="34:46" x14ac:dyDescent="0.35">
      <c r="AH1465" t="s">
        <v>204</v>
      </c>
      <c r="AI1465" t="s">
        <v>180</v>
      </c>
      <c r="AJ1465" s="3">
        <v>43671</v>
      </c>
      <c r="AK1465" t="s">
        <v>41</v>
      </c>
      <c r="AL1465" s="1">
        <v>10450</v>
      </c>
      <c r="AM1465" t="s">
        <v>8</v>
      </c>
      <c r="AN1465" t="s">
        <v>8</v>
      </c>
      <c r="AO1465" t="s">
        <v>8</v>
      </c>
      <c r="AP1465" s="1">
        <v>1384.3</v>
      </c>
      <c r="AQ1465" t="s">
        <v>8</v>
      </c>
      <c r="AR1465" t="s">
        <v>8</v>
      </c>
      <c r="AS1465" t="s">
        <v>8</v>
      </c>
      <c r="AT1465">
        <v>11945.7</v>
      </c>
    </row>
    <row r="1466" spans="34:46" x14ac:dyDescent="0.35">
      <c r="AH1466" t="s">
        <v>204</v>
      </c>
      <c r="AI1466" t="s">
        <v>180</v>
      </c>
      <c r="AJ1466" s="3">
        <v>43622</v>
      </c>
      <c r="AK1466" t="s">
        <v>42</v>
      </c>
      <c r="AL1466" s="1">
        <v>12900</v>
      </c>
      <c r="AM1466" t="s">
        <v>8</v>
      </c>
      <c r="AN1466" t="s">
        <v>8</v>
      </c>
      <c r="AO1466" t="s">
        <v>8</v>
      </c>
      <c r="AP1466" s="1">
        <v>1154.05</v>
      </c>
      <c r="AQ1466" t="s">
        <v>8</v>
      </c>
      <c r="AR1466" t="s">
        <v>8</v>
      </c>
      <c r="AS1466" t="s">
        <v>8</v>
      </c>
      <c r="AT1466">
        <v>11945.7</v>
      </c>
    </row>
    <row r="1467" spans="34:46" x14ac:dyDescent="0.35">
      <c r="AH1467" t="s">
        <v>204</v>
      </c>
      <c r="AI1467" t="s">
        <v>180</v>
      </c>
      <c r="AJ1467" s="3">
        <v>43650</v>
      </c>
      <c r="AK1467" t="s">
        <v>42</v>
      </c>
      <c r="AL1467" s="1">
        <v>10000</v>
      </c>
      <c r="AM1467" t="s">
        <v>8</v>
      </c>
      <c r="AN1467" t="s">
        <v>8</v>
      </c>
      <c r="AO1467" t="s">
        <v>8</v>
      </c>
      <c r="AP1467" s="1">
        <v>0.4</v>
      </c>
      <c r="AQ1467" t="s">
        <v>8</v>
      </c>
      <c r="AR1467" t="s">
        <v>8</v>
      </c>
      <c r="AS1467" t="s">
        <v>8</v>
      </c>
      <c r="AT1467">
        <v>11945.7</v>
      </c>
    </row>
    <row r="1468" spans="34:46" x14ac:dyDescent="0.35">
      <c r="AH1468" t="s">
        <v>204</v>
      </c>
      <c r="AI1468" t="s">
        <v>180</v>
      </c>
      <c r="AJ1468" s="3">
        <v>43671</v>
      </c>
      <c r="AK1468" t="s">
        <v>42</v>
      </c>
      <c r="AL1468" s="1">
        <v>10300</v>
      </c>
      <c r="AM1468" t="s">
        <v>8</v>
      </c>
      <c r="AN1468" t="s">
        <v>8</v>
      </c>
      <c r="AO1468" t="s">
        <v>8</v>
      </c>
      <c r="AP1468" s="1">
        <v>5.3</v>
      </c>
      <c r="AQ1468" t="s">
        <v>8</v>
      </c>
      <c r="AR1468" t="s">
        <v>8</v>
      </c>
      <c r="AS1468" t="s">
        <v>8</v>
      </c>
      <c r="AT1468">
        <v>11945.7</v>
      </c>
    </row>
    <row r="1469" spans="34:46" x14ac:dyDescent="0.35">
      <c r="AH1469" t="s">
        <v>204</v>
      </c>
      <c r="AI1469" t="s">
        <v>180</v>
      </c>
      <c r="AJ1469" s="3">
        <v>43615</v>
      </c>
      <c r="AK1469" t="s">
        <v>41</v>
      </c>
      <c r="AL1469" s="1">
        <v>9850</v>
      </c>
      <c r="AM1469" t="s">
        <v>8</v>
      </c>
      <c r="AN1469" t="s">
        <v>8</v>
      </c>
      <c r="AO1469" t="s">
        <v>8</v>
      </c>
      <c r="AP1469" s="1">
        <v>1134.7</v>
      </c>
      <c r="AQ1469" t="s">
        <v>8</v>
      </c>
      <c r="AR1469" t="s">
        <v>8</v>
      </c>
      <c r="AS1469" t="s">
        <v>8</v>
      </c>
      <c r="AT1469">
        <v>11945.7</v>
      </c>
    </row>
    <row r="1470" spans="34:46" x14ac:dyDescent="0.35">
      <c r="AH1470" t="s">
        <v>204</v>
      </c>
      <c r="AI1470" t="s">
        <v>180</v>
      </c>
      <c r="AJ1470" s="3">
        <v>43643</v>
      </c>
      <c r="AK1470" t="s">
        <v>41</v>
      </c>
      <c r="AL1470" s="1">
        <v>8500</v>
      </c>
      <c r="AM1470" t="s">
        <v>8</v>
      </c>
      <c r="AN1470" t="s">
        <v>8</v>
      </c>
      <c r="AO1470" t="s">
        <v>8</v>
      </c>
      <c r="AP1470" s="1">
        <v>3279.8</v>
      </c>
      <c r="AQ1470" t="s">
        <v>8</v>
      </c>
      <c r="AR1470" t="s">
        <v>8</v>
      </c>
      <c r="AS1470" t="s">
        <v>8</v>
      </c>
      <c r="AT1470">
        <v>11945.7</v>
      </c>
    </row>
    <row r="1471" spans="34:46" x14ac:dyDescent="0.35">
      <c r="AH1471" t="s">
        <v>204</v>
      </c>
      <c r="AI1471" t="s">
        <v>180</v>
      </c>
      <c r="AJ1471" s="3">
        <v>43657</v>
      </c>
      <c r="AK1471" t="s">
        <v>42</v>
      </c>
      <c r="AL1471" s="1">
        <v>12550</v>
      </c>
      <c r="AM1471" t="s">
        <v>8</v>
      </c>
      <c r="AN1471" t="s">
        <v>8</v>
      </c>
      <c r="AO1471" t="s">
        <v>8</v>
      </c>
      <c r="AP1471" s="1">
        <v>1110.9000000000001</v>
      </c>
      <c r="AQ1471" t="s">
        <v>8</v>
      </c>
      <c r="AR1471" t="s">
        <v>8</v>
      </c>
      <c r="AS1471" t="s">
        <v>8</v>
      </c>
      <c r="AT1471">
        <v>11945.7</v>
      </c>
    </row>
    <row r="1472" spans="34:46" x14ac:dyDescent="0.35">
      <c r="AH1472" t="s">
        <v>204</v>
      </c>
      <c r="AI1472" t="s">
        <v>180</v>
      </c>
      <c r="AJ1472" s="3">
        <v>43643</v>
      </c>
      <c r="AK1472" t="s">
        <v>41</v>
      </c>
      <c r="AL1472" s="1">
        <v>8700</v>
      </c>
      <c r="AM1472" t="s">
        <v>8</v>
      </c>
      <c r="AN1472" t="s">
        <v>8</v>
      </c>
      <c r="AO1472" t="s">
        <v>8</v>
      </c>
      <c r="AP1472" s="1">
        <v>2770</v>
      </c>
      <c r="AQ1472" t="s">
        <v>8</v>
      </c>
      <c r="AR1472" t="s">
        <v>8</v>
      </c>
      <c r="AS1472" t="s">
        <v>8</v>
      </c>
      <c r="AT1472">
        <v>11945.7</v>
      </c>
    </row>
    <row r="1473" spans="34:46" x14ac:dyDescent="0.35">
      <c r="AH1473" t="s">
        <v>204</v>
      </c>
      <c r="AI1473" t="s">
        <v>180</v>
      </c>
      <c r="AJ1473" s="3">
        <v>43657</v>
      </c>
      <c r="AK1473" t="s">
        <v>42</v>
      </c>
      <c r="AL1473" s="1">
        <v>12750</v>
      </c>
      <c r="AM1473" t="s">
        <v>8</v>
      </c>
      <c r="AN1473" t="s">
        <v>8</v>
      </c>
      <c r="AO1473" t="s">
        <v>8</v>
      </c>
      <c r="AP1473" s="1">
        <v>1300.5999999999999</v>
      </c>
      <c r="AQ1473" t="s">
        <v>8</v>
      </c>
      <c r="AR1473" t="s">
        <v>8</v>
      </c>
      <c r="AS1473" t="s">
        <v>8</v>
      </c>
      <c r="AT1473">
        <v>11945.7</v>
      </c>
    </row>
    <row r="1474" spans="34:46" x14ac:dyDescent="0.35">
      <c r="AH1474" t="s">
        <v>204</v>
      </c>
      <c r="AI1474" t="s">
        <v>180</v>
      </c>
      <c r="AJ1474" s="3">
        <v>43643</v>
      </c>
      <c r="AK1474" t="s">
        <v>41</v>
      </c>
      <c r="AL1474" s="1">
        <v>8900</v>
      </c>
      <c r="AM1474" t="s">
        <v>8</v>
      </c>
      <c r="AN1474" t="s">
        <v>8</v>
      </c>
      <c r="AO1474" t="s">
        <v>8</v>
      </c>
      <c r="AP1474" s="1">
        <v>2090.1</v>
      </c>
      <c r="AQ1474" t="s">
        <v>8</v>
      </c>
      <c r="AR1474" t="s">
        <v>8</v>
      </c>
      <c r="AS1474" t="s">
        <v>8</v>
      </c>
      <c r="AT1474">
        <v>11945.7</v>
      </c>
    </row>
    <row r="1475" spans="34:46" x14ac:dyDescent="0.35">
      <c r="AH1475" t="s">
        <v>204</v>
      </c>
      <c r="AI1475" t="s">
        <v>180</v>
      </c>
      <c r="AJ1475" s="3">
        <v>43825</v>
      </c>
      <c r="AK1475" t="s">
        <v>42</v>
      </c>
      <c r="AL1475" s="1">
        <v>7500</v>
      </c>
      <c r="AM1475" t="s">
        <v>8</v>
      </c>
      <c r="AN1475" t="s">
        <v>8</v>
      </c>
      <c r="AO1475" t="s">
        <v>8</v>
      </c>
      <c r="AP1475" s="1">
        <v>13</v>
      </c>
      <c r="AQ1475" t="s">
        <v>8</v>
      </c>
      <c r="AR1475" t="s">
        <v>8</v>
      </c>
      <c r="AS1475" t="s">
        <v>8</v>
      </c>
      <c r="AT1475">
        <v>11945.7</v>
      </c>
    </row>
    <row r="1476" spans="34:46" x14ac:dyDescent="0.35">
      <c r="AH1476" t="s">
        <v>204</v>
      </c>
      <c r="AI1476" t="s">
        <v>180</v>
      </c>
      <c r="AJ1476" s="3">
        <v>43671</v>
      </c>
      <c r="AK1476" t="s">
        <v>41</v>
      </c>
      <c r="AL1476" s="1">
        <v>9700</v>
      </c>
      <c r="AM1476" t="s">
        <v>8</v>
      </c>
      <c r="AN1476" t="s">
        <v>8</v>
      </c>
      <c r="AO1476" t="s">
        <v>8</v>
      </c>
      <c r="AP1476" s="1">
        <v>1587.9</v>
      </c>
      <c r="AQ1476" t="s">
        <v>8</v>
      </c>
      <c r="AR1476" t="s">
        <v>8</v>
      </c>
      <c r="AS1476" t="s">
        <v>8</v>
      </c>
      <c r="AT1476">
        <v>11945.7</v>
      </c>
    </row>
    <row r="1477" spans="34:46" x14ac:dyDescent="0.35">
      <c r="AH1477" t="s">
        <v>204</v>
      </c>
      <c r="AI1477" t="s">
        <v>180</v>
      </c>
      <c r="AJ1477" s="3">
        <v>43825</v>
      </c>
      <c r="AK1477" t="s">
        <v>42</v>
      </c>
      <c r="AL1477" s="1">
        <v>7700</v>
      </c>
      <c r="AM1477" t="s">
        <v>8</v>
      </c>
      <c r="AN1477" t="s">
        <v>8</v>
      </c>
      <c r="AO1477" t="s">
        <v>8</v>
      </c>
      <c r="AP1477" s="1">
        <v>3.05</v>
      </c>
      <c r="AQ1477" t="s">
        <v>8</v>
      </c>
      <c r="AR1477" t="s">
        <v>8</v>
      </c>
      <c r="AS1477" t="s">
        <v>8</v>
      </c>
      <c r="AT1477">
        <v>11945.7</v>
      </c>
    </row>
    <row r="1478" spans="34:46" x14ac:dyDescent="0.35">
      <c r="AH1478" t="s">
        <v>204</v>
      </c>
      <c r="AI1478" t="s">
        <v>180</v>
      </c>
      <c r="AJ1478" s="3">
        <v>43643</v>
      </c>
      <c r="AK1478" t="s">
        <v>42</v>
      </c>
      <c r="AL1478" s="1">
        <v>7600</v>
      </c>
      <c r="AM1478" t="s">
        <v>8</v>
      </c>
      <c r="AN1478" t="s">
        <v>8</v>
      </c>
      <c r="AO1478" t="s">
        <v>8</v>
      </c>
      <c r="AP1478" s="1">
        <v>3.85</v>
      </c>
      <c r="AQ1478" t="s">
        <v>8</v>
      </c>
      <c r="AR1478" t="s">
        <v>8</v>
      </c>
      <c r="AS1478" t="s">
        <v>8</v>
      </c>
      <c r="AT1478">
        <v>11945.7</v>
      </c>
    </row>
    <row r="1479" spans="34:46" x14ac:dyDescent="0.35">
      <c r="AH1479" t="s">
        <v>204</v>
      </c>
      <c r="AI1479" t="s">
        <v>180</v>
      </c>
      <c r="AJ1479" s="3">
        <v>43671</v>
      </c>
      <c r="AK1479" t="s">
        <v>41</v>
      </c>
      <c r="AL1479" s="1">
        <v>9900</v>
      </c>
      <c r="AM1479" t="s">
        <v>8</v>
      </c>
      <c r="AN1479" t="s">
        <v>8</v>
      </c>
      <c r="AO1479" t="s">
        <v>8</v>
      </c>
      <c r="AP1479" s="1">
        <v>1611.3</v>
      </c>
      <c r="AQ1479" t="s">
        <v>8</v>
      </c>
      <c r="AR1479" t="s">
        <v>8</v>
      </c>
      <c r="AS1479" t="s">
        <v>8</v>
      </c>
      <c r="AT1479">
        <v>11945.7</v>
      </c>
    </row>
    <row r="1480" spans="34:46" x14ac:dyDescent="0.35">
      <c r="AH1480" t="s">
        <v>204</v>
      </c>
      <c r="AI1480" t="s">
        <v>180</v>
      </c>
      <c r="AJ1480" s="3">
        <v>43650</v>
      </c>
      <c r="AK1480" t="s">
        <v>41</v>
      </c>
      <c r="AL1480" s="1">
        <v>10600</v>
      </c>
      <c r="AM1480" t="s">
        <v>8</v>
      </c>
      <c r="AN1480" t="s">
        <v>8</v>
      </c>
      <c r="AO1480" t="s">
        <v>8</v>
      </c>
      <c r="AP1480" s="1">
        <v>1258.6500000000001</v>
      </c>
      <c r="AQ1480" t="s">
        <v>8</v>
      </c>
      <c r="AR1480" t="s">
        <v>8</v>
      </c>
      <c r="AS1480" t="s">
        <v>8</v>
      </c>
      <c r="AT1480">
        <v>11945.7</v>
      </c>
    </row>
    <row r="1481" spans="34:46" x14ac:dyDescent="0.35">
      <c r="AH1481" t="s">
        <v>204</v>
      </c>
      <c r="AI1481" t="s">
        <v>180</v>
      </c>
      <c r="AJ1481" s="3">
        <v>43643</v>
      </c>
      <c r="AK1481" t="s">
        <v>42</v>
      </c>
      <c r="AL1481" s="1">
        <v>7800</v>
      </c>
      <c r="AM1481" t="s">
        <v>8</v>
      </c>
      <c r="AN1481" t="s">
        <v>8</v>
      </c>
      <c r="AO1481" t="s">
        <v>8</v>
      </c>
      <c r="AP1481" s="1">
        <v>67.2</v>
      </c>
      <c r="AQ1481" t="s">
        <v>8</v>
      </c>
      <c r="AR1481" t="s">
        <v>8</v>
      </c>
      <c r="AS1481" t="s">
        <v>8</v>
      </c>
      <c r="AT1481">
        <v>11945.7</v>
      </c>
    </row>
    <row r="1482" spans="34:46" x14ac:dyDescent="0.35">
      <c r="AH1482" t="s">
        <v>204</v>
      </c>
      <c r="AI1482" t="s">
        <v>180</v>
      </c>
      <c r="AJ1482" s="3">
        <v>43650</v>
      </c>
      <c r="AK1482" t="s">
        <v>41</v>
      </c>
      <c r="AL1482" s="1">
        <v>10800</v>
      </c>
      <c r="AM1482" t="s">
        <v>8</v>
      </c>
      <c r="AN1482" t="s">
        <v>8</v>
      </c>
      <c r="AO1482" t="s">
        <v>8</v>
      </c>
      <c r="AP1482" s="1">
        <v>1067.25</v>
      </c>
      <c r="AQ1482" t="s">
        <v>8</v>
      </c>
      <c r="AR1482" t="s">
        <v>8</v>
      </c>
      <c r="AS1482" t="s">
        <v>8</v>
      </c>
      <c r="AT1482">
        <v>11945.7</v>
      </c>
    </row>
    <row r="1483" spans="34:46" x14ac:dyDescent="0.35">
      <c r="AH1483" t="s">
        <v>204</v>
      </c>
      <c r="AI1483" t="s">
        <v>180</v>
      </c>
      <c r="AJ1483" s="3">
        <v>44371</v>
      </c>
      <c r="AK1483" t="s">
        <v>42</v>
      </c>
      <c r="AL1483" s="1">
        <v>9100</v>
      </c>
      <c r="AM1483" t="s">
        <v>8</v>
      </c>
      <c r="AN1483" t="s">
        <v>8</v>
      </c>
      <c r="AO1483" t="s">
        <v>8</v>
      </c>
      <c r="AP1483">
        <v>182</v>
      </c>
      <c r="AQ1483" t="s">
        <v>8</v>
      </c>
      <c r="AR1483" t="s">
        <v>8</v>
      </c>
      <c r="AS1483" t="s">
        <v>8</v>
      </c>
      <c r="AT1483">
        <v>11945.7</v>
      </c>
    </row>
    <row r="1484" spans="34:46" x14ac:dyDescent="0.35">
      <c r="AH1484" t="s">
        <v>204</v>
      </c>
      <c r="AI1484" t="s">
        <v>180</v>
      </c>
      <c r="AJ1484" s="3">
        <v>43629</v>
      </c>
      <c r="AK1484" t="s">
        <v>42</v>
      </c>
      <c r="AL1484" s="1">
        <v>11350</v>
      </c>
      <c r="AM1484" t="s">
        <v>8</v>
      </c>
      <c r="AN1484" t="s">
        <v>8</v>
      </c>
      <c r="AO1484" t="s">
        <v>8</v>
      </c>
      <c r="AP1484">
        <v>86.35</v>
      </c>
      <c r="AQ1484" t="s">
        <v>8</v>
      </c>
      <c r="AR1484" t="s">
        <v>8</v>
      </c>
      <c r="AS1484" t="s">
        <v>8</v>
      </c>
      <c r="AT1484">
        <v>11945.7</v>
      </c>
    </row>
    <row r="1485" spans="34:46" x14ac:dyDescent="0.35">
      <c r="AH1485" t="s">
        <v>204</v>
      </c>
      <c r="AI1485" t="s">
        <v>180</v>
      </c>
      <c r="AJ1485" s="3">
        <v>44196</v>
      </c>
      <c r="AK1485" t="s">
        <v>42</v>
      </c>
      <c r="AL1485" s="1">
        <v>5300</v>
      </c>
      <c r="AM1485" t="s">
        <v>8</v>
      </c>
      <c r="AN1485" t="s">
        <v>8</v>
      </c>
      <c r="AO1485" t="s">
        <v>8</v>
      </c>
      <c r="AP1485" s="1">
        <v>13.65</v>
      </c>
      <c r="AQ1485" t="s">
        <v>8</v>
      </c>
      <c r="AR1485" t="s">
        <v>8</v>
      </c>
      <c r="AS1485" t="s">
        <v>8</v>
      </c>
      <c r="AT1485">
        <v>11945.7</v>
      </c>
    </row>
    <row r="1486" spans="34:46" x14ac:dyDescent="0.35">
      <c r="AH1486" t="s">
        <v>204</v>
      </c>
      <c r="AI1486" t="s">
        <v>180</v>
      </c>
      <c r="AJ1486" s="3">
        <v>44371</v>
      </c>
      <c r="AK1486" t="s">
        <v>42</v>
      </c>
      <c r="AL1486" s="1">
        <v>9300</v>
      </c>
      <c r="AM1486" t="s">
        <v>8</v>
      </c>
      <c r="AN1486" t="s">
        <v>8</v>
      </c>
      <c r="AO1486" t="s">
        <v>8</v>
      </c>
      <c r="AP1486" s="1">
        <v>431.55</v>
      </c>
      <c r="AQ1486" t="s">
        <v>8</v>
      </c>
      <c r="AR1486" t="s">
        <v>8</v>
      </c>
      <c r="AS1486" t="s">
        <v>8</v>
      </c>
      <c r="AT1486">
        <v>11945.7</v>
      </c>
    </row>
    <row r="1487" spans="34:46" x14ac:dyDescent="0.35">
      <c r="AH1487" t="s">
        <v>204</v>
      </c>
      <c r="AI1487" t="s">
        <v>180</v>
      </c>
      <c r="AJ1487" s="3">
        <v>43629</v>
      </c>
      <c r="AK1487" t="s">
        <v>42</v>
      </c>
      <c r="AL1487" s="1">
        <v>11550</v>
      </c>
      <c r="AM1487" t="s">
        <v>8</v>
      </c>
      <c r="AN1487" t="s">
        <v>8</v>
      </c>
      <c r="AO1487" t="s">
        <v>8</v>
      </c>
      <c r="AP1487" s="1">
        <v>149.15</v>
      </c>
      <c r="AQ1487" t="s">
        <v>8</v>
      </c>
      <c r="AR1487" t="s">
        <v>8</v>
      </c>
      <c r="AS1487" t="s">
        <v>8</v>
      </c>
      <c r="AT1487">
        <v>11945.7</v>
      </c>
    </row>
    <row r="1488" spans="34:46" x14ac:dyDescent="0.35">
      <c r="AH1488" t="s">
        <v>204</v>
      </c>
      <c r="AI1488" t="s">
        <v>180</v>
      </c>
      <c r="AJ1488" s="3">
        <v>44196</v>
      </c>
      <c r="AK1488" t="s">
        <v>42</v>
      </c>
      <c r="AL1488" s="1">
        <v>5500</v>
      </c>
      <c r="AM1488" t="s">
        <v>8</v>
      </c>
      <c r="AN1488" t="s">
        <v>8</v>
      </c>
      <c r="AO1488" t="s">
        <v>8</v>
      </c>
      <c r="AP1488" s="1">
        <v>109.9</v>
      </c>
      <c r="AQ1488" t="s">
        <v>8</v>
      </c>
      <c r="AR1488" t="s">
        <v>8</v>
      </c>
      <c r="AS1488" t="s">
        <v>8</v>
      </c>
      <c r="AT1488">
        <v>11945.7</v>
      </c>
    </row>
    <row r="1489" spans="34:46" x14ac:dyDescent="0.35">
      <c r="AH1489" t="s">
        <v>204</v>
      </c>
      <c r="AI1489" t="s">
        <v>180</v>
      </c>
      <c r="AJ1489" s="3">
        <v>44371</v>
      </c>
      <c r="AK1489" t="s">
        <v>42</v>
      </c>
      <c r="AL1489" s="1">
        <v>9500</v>
      </c>
      <c r="AM1489" t="s">
        <v>8</v>
      </c>
      <c r="AN1489" t="s">
        <v>8</v>
      </c>
      <c r="AO1489" t="s">
        <v>8</v>
      </c>
      <c r="AP1489" s="1">
        <v>478.45</v>
      </c>
      <c r="AQ1489" t="s">
        <v>8</v>
      </c>
      <c r="AR1489" t="s">
        <v>8</v>
      </c>
      <c r="AS1489" t="s">
        <v>8</v>
      </c>
      <c r="AT1489">
        <v>11945.7</v>
      </c>
    </row>
    <row r="1490" spans="34:46" x14ac:dyDescent="0.35">
      <c r="AH1490" t="s">
        <v>204</v>
      </c>
      <c r="AI1490" t="s">
        <v>180</v>
      </c>
      <c r="AJ1490" s="3">
        <v>44196</v>
      </c>
      <c r="AK1490" t="s">
        <v>42</v>
      </c>
      <c r="AL1490" s="1">
        <v>5700</v>
      </c>
      <c r="AM1490" t="s">
        <v>8</v>
      </c>
      <c r="AN1490" t="s">
        <v>8</v>
      </c>
      <c r="AO1490" t="s">
        <v>8</v>
      </c>
      <c r="AP1490" s="1">
        <v>9.6999999999999993</v>
      </c>
      <c r="AQ1490" t="s">
        <v>8</v>
      </c>
      <c r="AR1490" t="s">
        <v>8</v>
      </c>
      <c r="AS1490" t="s">
        <v>8</v>
      </c>
      <c r="AT1490">
        <v>11945.7</v>
      </c>
    </row>
    <row r="1491" spans="34:46" x14ac:dyDescent="0.35">
      <c r="AH1491" t="s">
        <v>204</v>
      </c>
      <c r="AI1491" t="s">
        <v>180</v>
      </c>
      <c r="AJ1491" s="3">
        <v>43636</v>
      </c>
      <c r="AK1491" t="s">
        <v>42</v>
      </c>
      <c r="AL1491" s="1">
        <v>10000</v>
      </c>
      <c r="AM1491" t="s">
        <v>8</v>
      </c>
      <c r="AN1491" t="s">
        <v>8</v>
      </c>
      <c r="AO1491" t="s">
        <v>8</v>
      </c>
      <c r="AP1491" s="1">
        <v>0.1</v>
      </c>
      <c r="AQ1491" t="s">
        <v>8</v>
      </c>
      <c r="AR1491" t="s">
        <v>8</v>
      </c>
      <c r="AS1491" t="s">
        <v>8</v>
      </c>
      <c r="AT1491">
        <v>11945.7</v>
      </c>
    </row>
    <row r="1492" spans="34:46" x14ac:dyDescent="0.35">
      <c r="AH1492" t="s">
        <v>204</v>
      </c>
      <c r="AI1492" t="s">
        <v>180</v>
      </c>
      <c r="AJ1492" s="3">
        <v>43664</v>
      </c>
      <c r="AK1492" t="s">
        <v>41</v>
      </c>
      <c r="AL1492" s="1">
        <v>10050</v>
      </c>
      <c r="AM1492" t="s">
        <v>8</v>
      </c>
      <c r="AN1492" t="s">
        <v>8</v>
      </c>
      <c r="AO1492" t="s">
        <v>8</v>
      </c>
      <c r="AP1492" s="1">
        <v>1333.9</v>
      </c>
      <c r="AQ1492" t="s">
        <v>8</v>
      </c>
      <c r="AR1492" t="s">
        <v>8</v>
      </c>
      <c r="AS1492" t="s">
        <v>8</v>
      </c>
      <c r="AT1492">
        <v>11945.7</v>
      </c>
    </row>
    <row r="1493" spans="34:46" x14ac:dyDescent="0.35">
      <c r="AH1493" t="s">
        <v>204</v>
      </c>
      <c r="AI1493" t="s">
        <v>180</v>
      </c>
      <c r="AJ1493" s="3">
        <v>43664</v>
      </c>
      <c r="AK1493" t="s">
        <v>41</v>
      </c>
      <c r="AL1493" s="1">
        <v>10250</v>
      </c>
      <c r="AM1493" t="s">
        <v>8</v>
      </c>
      <c r="AN1493" t="s">
        <v>8</v>
      </c>
      <c r="AO1493" t="s">
        <v>8</v>
      </c>
      <c r="AP1493" s="1">
        <v>1141.7</v>
      </c>
      <c r="AQ1493" t="s">
        <v>8</v>
      </c>
      <c r="AR1493" t="s">
        <v>8</v>
      </c>
      <c r="AS1493" t="s">
        <v>8</v>
      </c>
      <c r="AT1493">
        <v>11945.7</v>
      </c>
    </row>
    <row r="1494" spans="34:46" x14ac:dyDescent="0.35">
      <c r="AH1494" t="s">
        <v>204</v>
      </c>
      <c r="AI1494" t="s">
        <v>180</v>
      </c>
      <c r="AJ1494" s="3">
        <v>44196</v>
      </c>
      <c r="AK1494" t="s">
        <v>42</v>
      </c>
      <c r="AL1494" s="1">
        <v>11700</v>
      </c>
      <c r="AM1494" t="s">
        <v>8</v>
      </c>
      <c r="AN1494" t="s">
        <v>8</v>
      </c>
      <c r="AO1494" t="s">
        <v>8</v>
      </c>
      <c r="AP1494">
        <v>741.15</v>
      </c>
      <c r="AQ1494" t="s">
        <v>8</v>
      </c>
      <c r="AR1494" t="s">
        <v>8</v>
      </c>
      <c r="AS1494" t="s">
        <v>8</v>
      </c>
      <c r="AT1494">
        <v>11945.7</v>
      </c>
    </row>
    <row r="1495" spans="34:46" x14ac:dyDescent="0.35">
      <c r="AH1495" t="s">
        <v>204</v>
      </c>
      <c r="AI1495" t="s">
        <v>180</v>
      </c>
      <c r="AJ1495" s="3">
        <v>44742</v>
      </c>
      <c r="AK1495" t="s">
        <v>42</v>
      </c>
      <c r="AL1495" s="1">
        <v>8000</v>
      </c>
      <c r="AM1495" t="s">
        <v>8</v>
      </c>
      <c r="AN1495" t="s">
        <v>8</v>
      </c>
      <c r="AO1495" t="s">
        <v>8</v>
      </c>
      <c r="AP1495" s="1">
        <v>1.75</v>
      </c>
      <c r="AQ1495" t="s">
        <v>8</v>
      </c>
      <c r="AR1495" t="s">
        <v>8</v>
      </c>
      <c r="AS1495" t="s">
        <v>8</v>
      </c>
      <c r="AT1495">
        <v>11945.7</v>
      </c>
    </row>
    <row r="1496" spans="34:46" x14ac:dyDescent="0.35">
      <c r="AH1496" t="s">
        <v>204</v>
      </c>
      <c r="AI1496" t="s">
        <v>180</v>
      </c>
      <c r="AJ1496" s="3">
        <v>43650</v>
      </c>
      <c r="AK1496" t="s">
        <v>42</v>
      </c>
      <c r="AL1496" s="1">
        <v>12350</v>
      </c>
      <c r="AM1496" t="s">
        <v>8</v>
      </c>
      <c r="AN1496" t="s">
        <v>8</v>
      </c>
      <c r="AO1496" t="s">
        <v>8</v>
      </c>
      <c r="AP1496" s="1">
        <v>563.35</v>
      </c>
      <c r="AQ1496" t="s">
        <v>8</v>
      </c>
      <c r="AR1496" t="s">
        <v>8</v>
      </c>
      <c r="AS1496" t="s">
        <v>8</v>
      </c>
      <c r="AT1496">
        <v>11945.7</v>
      </c>
    </row>
    <row r="1497" spans="34:46" x14ac:dyDescent="0.35">
      <c r="AH1497" t="s">
        <v>204</v>
      </c>
      <c r="AI1497" t="s">
        <v>180</v>
      </c>
      <c r="AJ1497" s="3">
        <v>43657</v>
      </c>
      <c r="AK1497" t="s">
        <v>41</v>
      </c>
      <c r="AL1497" s="1">
        <v>9750</v>
      </c>
      <c r="AM1497" t="s">
        <v>8</v>
      </c>
      <c r="AN1497" t="s">
        <v>8</v>
      </c>
      <c r="AO1497" t="s">
        <v>8</v>
      </c>
      <c r="AP1497" s="1">
        <v>1511.45</v>
      </c>
      <c r="AQ1497" t="s">
        <v>8</v>
      </c>
      <c r="AR1497" t="s">
        <v>8</v>
      </c>
      <c r="AS1497" t="s">
        <v>8</v>
      </c>
      <c r="AT1497">
        <v>11945.7</v>
      </c>
    </row>
    <row r="1498" spans="34:46" x14ac:dyDescent="0.35">
      <c r="AH1498" t="s">
        <v>204</v>
      </c>
      <c r="AI1498" t="s">
        <v>180</v>
      </c>
      <c r="AJ1498" s="3">
        <v>44196</v>
      </c>
      <c r="AK1498" t="s">
        <v>42</v>
      </c>
      <c r="AL1498" s="1">
        <v>11900</v>
      </c>
      <c r="AM1498" t="s">
        <v>8</v>
      </c>
      <c r="AN1498" t="s">
        <v>8</v>
      </c>
      <c r="AO1498" t="s">
        <v>8</v>
      </c>
      <c r="AP1498" s="1">
        <v>1012</v>
      </c>
      <c r="AQ1498" t="s">
        <v>8</v>
      </c>
      <c r="AR1498" t="s">
        <v>8</v>
      </c>
      <c r="AS1498" t="s">
        <v>8</v>
      </c>
      <c r="AT1498">
        <v>11945.7</v>
      </c>
    </row>
    <row r="1499" spans="34:46" x14ac:dyDescent="0.35">
      <c r="AH1499" t="s">
        <v>204</v>
      </c>
      <c r="AI1499" t="s">
        <v>180</v>
      </c>
      <c r="AJ1499" s="3">
        <v>44742</v>
      </c>
      <c r="AK1499" t="s">
        <v>42</v>
      </c>
      <c r="AL1499" s="1">
        <v>8200</v>
      </c>
      <c r="AM1499" t="s">
        <v>8</v>
      </c>
      <c r="AN1499" t="s">
        <v>8</v>
      </c>
      <c r="AO1499" t="s">
        <v>8</v>
      </c>
      <c r="AP1499">
        <v>2.7</v>
      </c>
      <c r="AQ1499" t="s">
        <v>8</v>
      </c>
      <c r="AR1499" t="s">
        <v>8</v>
      </c>
      <c r="AS1499" t="s">
        <v>8</v>
      </c>
      <c r="AT1499">
        <v>11945.7</v>
      </c>
    </row>
    <row r="1500" spans="34:46" x14ac:dyDescent="0.35">
      <c r="AH1500" t="s">
        <v>204</v>
      </c>
      <c r="AI1500" t="s">
        <v>180</v>
      </c>
      <c r="AJ1500" s="3">
        <v>43650</v>
      </c>
      <c r="AK1500" t="s">
        <v>42</v>
      </c>
      <c r="AL1500" s="1">
        <v>12550</v>
      </c>
      <c r="AM1500" t="s">
        <v>8</v>
      </c>
      <c r="AN1500" t="s">
        <v>8</v>
      </c>
      <c r="AO1500" t="s">
        <v>8</v>
      </c>
      <c r="AP1500">
        <v>724.45</v>
      </c>
      <c r="AQ1500" t="s">
        <v>8</v>
      </c>
      <c r="AR1500" t="s">
        <v>8</v>
      </c>
      <c r="AS1500" t="s">
        <v>8</v>
      </c>
      <c r="AT1500">
        <v>11945.7</v>
      </c>
    </row>
    <row r="1501" spans="34:46" x14ac:dyDescent="0.35">
      <c r="AH1501" t="s">
        <v>204</v>
      </c>
      <c r="AI1501" t="s">
        <v>180</v>
      </c>
      <c r="AJ1501" s="3">
        <v>44007</v>
      </c>
      <c r="AK1501" t="s">
        <v>41</v>
      </c>
      <c r="AL1501" s="1">
        <v>9200</v>
      </c>
      <c r="AM1501" t="s">
        <v>8</v>
      </c>
      <c r="AN1501" t="s">
        <v>8</v>
      </c>
      <c r="AO1501" t="s">
        <v>8</v>
      </c>
      <c r="AP1501" t="s">
        <v>8</v>
      </c>
      <c r="AQ1501" t="s">
        <v>8</v>
      </c>
      <c r="AR1501" t="s">
        <v>8</v>
      </c>
      <c r="AS1501" t="s">
        <v>8</v>
      </c>
      <c r="AT1501">
        <v>11945.7</v>
      </c>
    </row>
    <row r="1502" spans="34:46" x14ac:dyDescent="0.35">
      <c r="AH1502" t="s">
        <v>204</v>
      </c>
      <c r="AI1502" t="s">
        <v>180</v>
      </c>
      <c r="AJ1502" s="3">
        <v>43671</v>
      </c>
      <c r="AK1502" t="s">
        <v>42</v>
      </c>
      <c r="AL1502" s="1">
        <v>12850</v>
      </c>
      <c r="AM1502" t="s">
        <v>8</v>
      </c>
      <c r="AN1502" t="s">
        <v>8</v>
      </c>
      <c r="AO1502" t="s">
        <v>8</v>
      </c>
      <c r="AP1502" s="1">
        <v>1029.95</v>
      </c>
      <c r="AQ1502" t="s">
        <v>8</v>
      </c>
      <c r="AR1502" t="s">
        <v>8</v>
      </c>
      <c r="AS1502" t="s">
        <v>8</v>
      </c>
      <c r="AT1502">
        <v>11945.7</v>
      </c>
    </row>
    <row r="1503" spans="34:46" x14ac:dyDescent="0.35">
      <c r="AH1503" t="s">
        <v>204</v>
      </c>
      <c r="AI1503" t="s">
        <v>180</v>
      </c>
      <c r="AJ1503" s="3">
        <v>43636</v>
      </c>
      <c r="AK1503" t="s">
        <v>41</v>
      </c>
      <c r="AL1503" s="1">
        <v>10600</v>
      </c>
      <c r="AM1503" t="s">
        <v>8</v>
      </c>
      <c r="AN1503" t="s">
        <v>8</v>
      </c>
      <c r="AO1503" t="s">
        <v>8</v>
      </c>
      <c r="AP1503" s="1">
        <v>1275.2</v>
      </c>
      <c r="AQ1503" t="s">
        <v>8</v>
      </c>
      <c r="AR1503" t="s">
        <v>8</v>
      </c>
      <c r="AS1503" t="s">
        <v>8</v>
      </c>
      <c r="AT1503">
        <v>11945.7</v>
      </c>
    </row>
    <row r="1504" spans="34:46" x14ac:dyDescent="0.35">
      <c r="AH1504" t="s">
        <v>204</v>
      </c>
      <c r="AI1504" t="s">
        <v>180</v>
      </c>
      <c r="AJ1504" s="3">
        <v>43657</v>
      </c>
      <c r="AK1504" t="s">
        <v>41</v>
      </c>
      <c r="AL1504" s="1">
        <v>9950</v>
      </c>
      <c r="AM1504" t="s">
        <v>8</v>
      </c>
      <c r="AN1504" t="s">
        <v>8</v>
      </c>
      <c r="AO1504" t="s">
        <v>8</v>
      </c>
      <c r="AP1504" s="1">
        <v>1475.15</v>
      </c>
      <c r="AQ1504" t="s">
        <v>8</v>
      </c>
      <c r="AR1504" t="s">
        <v>8</v>
      </c>
      <c r="AS1504" t="s">
        <v>8</v>
      </c>
      <c r="AT1504">
        <v>11945.7</v>
      </c>
    </row>
    <row r="1505" spans="34:46" x14ac:dyDescent="0.35">
      <c r="AH1505" t="s">
        <v>204</v>
      </c>
      <c r="AI1505" t="s">
        <v>180</v>
      </c>
      <c r="AJ1505" s="3">
        <v>44007</v>
      </c>
      <c r="AK1505" t="s">
        <v>41</v>
      </c>
      <c r="AL1505" s="1">
        <v>9400</v>
      </c>
      <c r="AM1505" t="s">
        <v>8</v>
      </c>
      <c r="AN1505" t="s">
        <v>8</v>
      </c>
      <c r="AO1505" t="s">
        <v>8</v>
      </c>
      <c r="AP1505" s="1" t="s">
        <v>8</v>
      </c>
      <c r="AQ1505" t="s">
        <v>8</v>
      </c>
      <c r="AR1505" t="s">
        <v>8</v>
      </c>
      <c r="AS1505" t="s">
        <v>8</v>
      </c>
      <c r="AT1505">
        <v>11945.7</v>
      </c>
    </row>
    <row r="1506" spans="34:46" x14ac:dyDescent="0.35">
      <c r="AH1506" t="s">
        <v>204</v>
      </c>
      <c r="AI1506" t="s">
        <v>180</v>
      </c>
      <c r="AJ1506" s="3">
        <v>44742</v>
      </c>
      <c r="AK1506" t="s">
        <v>42</v>
      </c>
      <c r="AL1506" s="1">
        <v>12500</v>
      </c>
      <c r="AM1506" t="s">
        <v>8</v>
      </c>
      <c r="AN1506" t="s">
        <v>8</v>
      </c>
      <c r="AO1506" t="s">
        <v>8</v>
      </c>
      <c r="AP1506">
        <v>391.8</v>
      </c>
      <c r="AQ1506" t="s">
        <v>8</v>
      </c>
      <c r="AR1506" t="s">
        <v>8</v>
      </c>
      <c r="AS1506" t="s">
        <v>8</v>
      </c>
      <c r="AT1506">
        <v>11945.7</v>
      </c>
    </row>
    <row r="1507" spans="34:46" x14ac:dyDescent="0.35">
      <c r="AH1507" t="s">
        <v>204</v>
      </c>
      <c r="AI1507" t="s">
        <v>180</v>
      </c>
      <c r="AJ1507" s="3">
        <v>43734</v>
      </c>
      <c r="AK1507" t="s">
        <v>41</v>
      </c>
      <c r="AL1507" s="1">
        <v>13000</v>
      </c>
      <c r="AM1507" t="s">
        <v>8</v>
      </c>
      <c r="AN1507" t="s">
        <v>8</v>
      </c>
      <c r="AO1507" t="s">
        <v>8</v>
      </c>
      <c r="AP1507" s="1">
        <v>78.900000000000006</v>
      </c>
      <c r="AQ1507" t="s">
        <v>8</v>
      </c>
      <c r="AR1507" t="s">
        <v>8</v>
      </c>
      <c r="AS1507" t="s">
        <v>8</v>
      </c>
      <c r="AT1507">
        <v>11945.7</v>
      </c>
    </row>
    <row r="1508" spans="34:46" x14ac:dyDescent="0.35">
      <c r="AH1508" t="s">
        <v>204</v>
      </c>
      <c r="AI1508" t="s">
        <v>180</v>
      </c>
      <c r="AJ1508" s="3">
        <v>43636</v>
      </c>
      <c r="AK1508" t="s">
        <v>41</v>
      </c>
      <c r="AL1508" s="1">
        <v>10800</v>
      </c>
      <c r="AM1508" t="s">
        <v>8</v>
      </c>
      <c r="AN1508" t="s">
        <v>8</v>
      </c>
      <c r="AO1508" t="s">
        <v>8</v>
      </c>
      <c r="AP1508" s="1">
        <v>1080.25</v>
      </c>
      <c r="AQ1508" t="s">
        <v>8</v>
      </c>
      <c r="AR1508" t="s">
        <v>8</v>
      </c>
      <c r="AS1508" t="s">
        <v>8</v>
      </c>
      <c r="AT1508">
        <v>11945.7</v>
      </c>
    </row>
    <row r="1509" spans="34:46" x14ac:dyDescent="0.35">
      <c r="AH1509" t="s">
        <v>204</v>
      </c>
      <c r="AI1509" t="s">
        <v>180</v>
      </c>
      <c r="AJ1509" s="3">
        <v>44007</v>
      </c>
      <c r="AK1509" t="s">
        <v>41</v>
      </c>
      <c r="AL1509" s="1">
        <v>10000</v>
      </c>
      <c r="AM1509" t="s">
        <v>8</v>
      </c>
      <c r="AN1509" t="s">
        <v>8</v>
      </c>
      <c r="AO1509" t="s">
        <v>8</v>
      </c>
      <c r="AP1509" s="1">
        <v>2385</v>
      </c>
      <c r="AQ1509" t="s">
        <v>8</v>
      </c>
      <c r="AR1509" t="s">
        <v>8</v>
      </c>
      <c r="AS1509" t="s">
        <v>8</v>
      </c>
      <c r="AT1509">
        <v>11945.7</v>
      </c>
    </row>
    <row r="1510" spans="34:46" x14ac:dyDescent="0.35">
      <c r="AH1510" t="s">
        <v>204</v>
      </c>
      <c r="AI1510" t="s">
        <v>180</v>
      </c>
      <c r="AJ1510" s="3">
        <v>44924</v>
      </c>
      <c r="AK1510" t="s">
        <v>42</v>
      </c>
      <c r="AL1510" s="1">
        <v>10300</v>
      </c>
      <c r="AM1510" t="s">
        <v>8</v>
      </c>
      <c r="AN1510" t="s">
        <v>8</v>
      </c>
      <c r="AO1510" t="s">
        <v>8</v>
      </c>
      <c r="AP1510" s="1">
        <v>81.55</v>
      </c>
      <c r="AQ1510" t="s">
        <v>8</v>
      </c>
      <c r="AR1510" t="s">
        <v>8</v>
      </c>
      <c r="AS1510" t="s">
        <v>8</v>
      </c>
      <c r="AT1510">
        <v>11945.7</v>
      </c>
    </row>
    <row r="1511" spans="34:46" x14ac:dyDescent="0.35">
      <c r="AH1511" t="s">
        <v>204</v>
      </c>
      <c r="AI1511" t="s">
        <v>180</v>
      </c>
      <c r="AJ1511" s="3">
        <v>44924</v>
      </c>
      <c r="AK1511" t="s">
        <v>42</v>
      </c>
      <c r="AL1511" s="1">
        <v>10500</v>
      </c>
      <c r="AM1511" t="s">
        <v>8</v>
      </c>
      <c r="AN1511" t="s">
        <v>8</v>
      </c>
      <c r="AO1511" t="s">
        <v>8</v>
      </c>
      <c r="AP1511" s="1">
        <v>463.45</v>
      </c>
      <c r="AQ1511" t="s">
        <v>8</v>
      </c>
      <c r="AR1511" t="s">
        <v>8</v>
      </c>
      <c r="AS1511" t="s">
        <v>8</v>
      </c>
      <c r="AT1511">
        <v>11945.7</v>
      </c>
    </row>
    <row r="1512" spans="34:46" x14ac:dyDescent="0.35">
      <c r="AH1512" t="s">
        <v>204</v>
      </c>
      <c r="AI1512" t="s">
        <v>180</v>
      </c>
      <c r="AJ1512" s="3">
        <v>44007</v>
      </c>
      <c r="AK1512" t="s">
        <v>42</v>
      </c>
      <c r="AL1512" s="1">
        <v>8300</v>
      </c>
      <c r="AM1512" t="s">
        <v>8</v>
      </c>
      <c r="AN1512" t="s">
        <v>8</v>
      </c>
      <c r="AO1512" t="s">
        <v>8</v>
      </c>
      <c r="AP1512">
        <v>145</v>
      </c>
      <c r="AQ1512" t="s">
        <v>8</v>
      </c>
      <c r="AR1512" t="s">
        <v>8</v>
      </c>
      <c r="AS1512" t="s">
        <v>8</v>
      </c>
      <c r="AT1512">
        <v>11945.7</v>
      </c>
    </row>
    <row r="1513" spans="34:46" x14ac:dyDescent="0.35">
      <c r="AH1513" t="s">
        <v>204</v>
      </c>
      <c r="AI1513" t="s">
        <v>180</v>
      </c>
      <c r="AJ1513" s="3">
        <v>44924</v>
      </c>
      <c r="AK1513" t="s">
        <v>42</v>
      </c>
      <c r="AL1513" s="1">
        <v>10700</v>
      </c>
      <c r="AM1513" t="s">
        <v>8</v>
      </c>
      <c r="AN1513" t="s">
        <v>8</v>
      </c>
      <c r="AO1513" t="s">
        <v>8</v>
      </c>
      <c r="AP1513" s="1">
        <v>115.65</v>
      </c>
      <c r="AQ1513" t="s">
        <v>8</v>
      </c>
      <c r="AR1513" t="s">
        <v>8</v>
      </c>
      <c r="AS1513" t="s">
        <v>8</v>
      </c>
      <c r="AT1513">
        <v>11945.7</v>
      </c>
    </row>
    <row r="1514" spans="34:46" x14ac:dyDescent="0.35">
      <c r="AH1514" t="s">
        <v>204</v>
      </c>
      <c r="AI1514" t="s">
        <v>180</v>
      </c>
      <c r="AJ1514" s="3">
        <v>43664</v>
      </c>
      <c r="AK1514" t="s">
        <v>41</v>
      </c>
      <c r="AL1514" s="1">
        <v>10900</v>
      </c>
      <c r="AM1514" t="s">
        <v>8</v>
      </c>
      <c r="AN1514" t="s">
        <v>8</v>
      </c>
      <c r="AO1514" t="s">
        <v>8</v>
      </c>
      <c r="AP1514" s="1">
        <v>574.9</v>
      </c>
      <c r="AQ1514" t="s">
        <v>8</v>
      </c>
      <c r="AR1514" t="s">
        <v>8</v>
      </c>
      <c r="AS1514" t="s">
        <v>8</v>
      </c>
      <c r="AT1514">
        <v>11945.7</v>
      </c>
    </row>
    <row r="1515" spans="34:46" x14ac:dyDescent="0.35">
      <c r="AH1515" t="s">
        <v>204</v>
      </c>
      <c r="AI1515" t="s">
        <v>180</v>
      </c>
      <c r="AJ1515" s="3">
        <v>43622</v>
      </c>
      <c r="AK1515" t="s">
        <v>42</v>
      </c>
      <c r="AL1515" s="1">
        <v>11150</v>
      </c>
      <c r="AM1515" t="s">
        <v>8</v>
      </c>
      <c r="AN1515" t="s">
        <v>8</v>
      </c>
      <c r="AO1515" t="s">
        <v>8</v>
      </c>
      <c r="AP1515" s="1">
        <v>50.05</v>
      </c>
      <c r="AQ1515" t="s">
        <v>8</v>
      </c>
      <c r="AR1515" t="s">
        <v>8</v>
      </c>
      <c r="AS1515" t="s">
        <v>8</v>
      </c>
      <c r="AT1515">
        <v>11945.7</v>
      </c>
    </row>
    <row r="1516" spans="34:46" x14ac:dyDescent="0.35">
      <c r="AH1516" t="s">
        <v>204</v>
      </c>
      <c r="AI1516" t="s">
        <v>180</v>
      </c>
      <c r="AJ1516" s="3">
        <v>44007</v>
      </c>
      <c r="AK1516" t="s">
        <v>42</v>
      </c>
      <c r="AL1516" s="1">
        <v>8500</v>
      </c>
      <c r="AM1516" t="s">
        <v>8</v>
      </c>
      <c r="AN1516" t="s">
        <v>8</v>
      </c>
      <c r="AO1516" t="s">
        <v>8</v>
      </c>
      <c r="AP1516" s="1">
        <v>35.450000000000003</v>
      </c>
      <c r="AQ1516" t="s">
        <v>8</v>
      </c>
      <c r="AR1516" t="s">
        <v>8</v>
      </c>
      <c r="AS1516" t="s">
        <v>8</v>
      </c>
      <c r="AT1516">
        <v>11945.7</v>
      </c>
    </row>
    <row r="1517" spans="34:46" x14ac:dyDescent="0.35">
      <c r="AH1517" t="s">
        <v>204</v>
      </c>
      <c r="AI1517" t="s">
        <v>180</v>
      </c>
      <c r="AJ1517" s="3">
        <v>43643</v>
      </c>
      <c r="AK1517" t="s">
        <v>42</v>
      </c>
      <c r="AL1517" s="1">
        <v>13150</v>
      </c>
      <c r="AM1517" t="s">
        <v>8</v>
      </c>
      <c r="AN1517" t="s">
        <v>8</v>
      </c>
      <c r="AO1517" t="s">
        <v>8</v>
      </c>
      <c r="AP1517" s="1">
        <v>1257.8</v>
      </c>
      <c r="AQ1517" t="s">
        <v>8</v>
      </c>
      <c r="AR1517" t="s">
        <v>8</v>
      </c>
      <c r="AS1517" t="s">
        <v>8</v>
      </c>
      <c r="AT1517">
        <v>11945.7</v>
      </c>
    </row>
    <row r="1518" spans="34:46" x14ac:dyDescent="0.35">
      <c r="AH1518" t="s">
        <v>204</v>
      </c>
      <c r="AI1518" t="s">
        <v>180</v>
      </c>
      <c r="AJ1518" s="3">
        <v>43734</v>
      </c>
      <c r="AK1518" t="s">
        <v>42</v>
      </c>
      <c r="AL1518" s="1">
        <v>9700</v>
      </c>
      <c r="AM1518" t="s">
        <v>8</v>
      </c>
      <c r="AN1518" t="s">
        <v>8</v>
      </c>
      <c r="AO1518" t="s">
        <v>8</v>
      </c>
      <c r="AP1518" s="1">
        <v>70.349999999999994</v>
      </c>
      <c r="AQ1518" t="s">
        <v>8</v>
      </c>
      <c r="AR1518" t="s">
        <v>8</v>
      </c>
      <c r="AS1518" t="s">
        <v>8</v>
      </c>
      <c r="AT1518">
        <v>11945.7</v>
      </c>
    </row>
    <row r="1519" spans="34:46" x14ac:dyDescent="0.35">
      <c r="AH1519" t="s">
        <v>204</v>
      </c>
      <c r="AI1519" t="s">
        <v>180</v>
      </c>
      <c r="AJ1519" s="3">
        <v>44371</v>
      </c>
      <c r="AK1519" t="s">
        <v>42</v>
      </c>
      <c r="AL1519" s="1">
        <v>10300</v>
      </c>
      <c r="AM1519" t="s">
        <v>8</v>
      </c>
      <c r="AN1519" t="s">
        <v>8</v>
      </c>
      <c r="AO1519" t="s">
        <v>8</v>
      </c>
      <c r="AP1519" t="s">
        <v>8</v>
      </c>
      <c r="AQ1519" t="s">
        <v>8</v>
      </c>
      <c r="AR1519" t="s">
        <v>8</v>
      </c>
      <c r="AS1519" t="s">
        <v>8</v>
      </c>
      <c r="AT1519">
        <v>11945.7</v>
      </c>
    </row>
    <row r="1520" spans="34:46" x14ac:dyDescent="0.35">
      <c r="AH1520" t="s">
        <v>204</v>
      </c>
      <c r="AI1520" t="s">
        <v>180</v>
      </c>
      <c r="AJ1520" s="3">
        <v>44007</v>
      </c>
      <c r="AK1520" t="s">
        <v>42</v>
      </c>
      <c r="AL1520" s="1">
        <v>8700</v>
      </c>
      <c r="AM1520" t="s">
        <v>8</v>
      </c>
      <c r="AN1520" t="s">
        <v>8</v>
      </c>
      <c r="AO1520" t="s">
        <v>8</v>
      </c>
      <c r="AP1520" s="1">
        <v>82</v>
      </c>
      <c r="AQ1520" t="s">
        <v>8</v>
      </c>
      <c r="AR1520" t="s">
        <v>8</v>
      </c>
      <c r="AS1520" t="s">
        <v>8</v>
      </c>
      <c r="AT1520">
        <v>11945.7</v>
      </c>
    </row>
    <row r="1521" spans="34:46" x14ac:dyDescent="0.35">
      <c r="AH1521" t="s">
        <v>204</v>
      </c>
      <c r="AI1521" t="s">
        <v>180</v>
      </c>
      <c r="AJ1521" s="3">
        <v>43734</v>
      </c>
      <c r="AK1521" t="s">
        <v>42</v>
      </c>
      <c r="AL1521" s="1">
        <v>9900</v>
      </c>
      <c r="AM1521" t="s">
        <v>8</v>
      </c>
      <c r="AN1521" t="s">
        <v>8</v>
      </c>
      <c r="AO1521" t="s">
        <v>8</v>
      </c>
      <c r="AP1521" s="1">
        <v>93.55</v>
      </c>
      <c r="AQ1521" t="s">
        <v>8</v>
      </c>
      <c r="AR1521" t="s">
        <v>8</v>
      </c>
      <c r="AS1521" t="s">
        <v>8</v>
      </c>
      <c r="AT1521">
        <v>11945.7</v>
      </c>
    </row>
    <row r="1522" spans="34:46" x14ac:dyDescent="0.35">
      <c r="AH1522" t="s">
        <v>204</v>
      </c>
      <c r="AI1522" t="s">
        <v>180</v>
      </c>
      <c r="AJ1522" s="3">
        <v>44371</v>
      </c>
      <c r="AK1522" t="s">
        <v>42</v>
      </c>
      <c r="AL1522" s="1">
        <v>10500</v>
      </c>
      <c r="AM1522" t="s">
        <v>8</v>
      </c>
      <c r="AN1522" t="s">
        <v>8</v>
      </c>
      <c r="AO1522" t="s">
        <v>8</v>
      </c>
      <c r="AP1522" t="s">
        <v>8</v>
      </c>
      <c r="AQ1522" t="s">
        <v>8</v>
      </c>
      <c r="AR1522" t="s">
        <v>8</v>
      </c>
      <c r="AS1522" t="s">
        <v>8</v>
      </c>
      <c r="AT1522">
        <v>11945.7</v>
      </c>
    </row>
    <row r="1523" spans="34:46" x14ac:dyDescent="0.35">
      <c r="AH1523" t="s">
        <v>204</v>
      </c>
      <c r="AI1523" t="s">
        <v>180</v>
      </c>
      <c r="AJ1523" s="3">
        <v>43657</v>
      </c>
      <c r="AK1523" t="s">
        <v>41</v>
      </c>
      <c r="AL1523" s="1">
        <v>11400</v>
      </c>
      <c r="AM1523" t="s">
        <v>8</v>
      </c>
      <c r="AN1523" t="s">
        <v>8</v>
      </c>
      <c r="AO1523" t="s">
        <v>8</v>
      </c>
      <c r="AP1523" s="1">
        <v>281.95</v>
      </c>
      <c r="AQ1523" t="s">
        <v>8</v>
      </c>
      <c r="AR1523" t="s">
        <v>8</v>
      </c>
      <c r="AS1523" t="s">
        <v>8</v>
      </c>
      <c r="AT1523">
        <v>11945.7</v>
      </c>
    </row>
    <row r="1524" spans="34:46" x14ac:dyDescent="0.35">
      <c r="AH1524" t="s">
        <v>204</v>
      </c>
      <c r="AI1524" t="s">
        <v>180</v>
      </c>
      <c r="AJ1524" s="3">
        <v>43657</v>
      </c>
      <c r="AK1524" t="s">
        <v>41</v>
      </c>
      <c r="AL1524" s="1">
        <v>11600</v>
      </c>
      <c r="AM1524" t="s">
        <v>8</v>
      </c>
      <c r="AN1524" t="s">
        <v>8</v>
      </c>
      <c r="AO1524" t="s">
        <v>8</v>
      </c>
      <c r="AP1524">
        <v>192.25</v>
      </c>
      <c r="AQ1524" t="s">
        <v>8</v>
      </c>
      <c r="AR1524" t="s">
        <v>8</v>
      </c>
      <c r="AS1524" t="s">
        <v>8</v>
      </c>
      <c r="AT1524">
        <v>11945.7</v>
      </c>
    </row>
    <row r="1525" spans="34:46" x14ac:dyDescent="0.35">
      <c r="AH1525" t="s">
        <v>204</v>
      </c>
      <c r="AI1525" t="s">
        <v>180</v>
      </c>
      <c r="AJ1525" s="3">
        <v>43657</v>
      </c>
      <c r="AK1525" t="s">
        <v>41</v>
      </c>
      <c r="AL1525" s="1">
        <v>11800</v>
      </c>
      <c r="AM1525" t="s">
        <v>8</v>
      </c>
      <c r="AN1525" t="s">
        <v>8</v>
      </c>
      <c r="AO1525" t="s">
        <v>8</v>
      </c>
      <c r="AP1525" s="1">
        <v>125.1</v>
      </c>
      <c r="AQ1525" t="s">
        <v>8</v>
      </c>
      <c r="AR1525" t="s">
        <v>8</v>
      </c>
      <c r="AS1525" t="s">
        <v>8</v>
      </c>
      <c r="AT1525">
        <v>11945.7</v>
      </c>
    </row>
    <row r="1526" spans="34:46" x14ac:dyDescent="0.35">
      <c r="AH1526" t="s">
        <v>204</v>
      </c>
      <c r="AI1526" t="s">
        <v>180</v>
      </c>
      <c r="AJ1526" s="3">
        <v>43615</v>
      </c>
      <c r="AK1526" t="s">
        <v>42</v>
      </c>
      <c r="AL1526" s="1">
        <v>12250</v>
      </c>
      <c r="AM1526" t="s">
        <v>8</v>
      </c>
      <c r="AN1526" t="s">
        <v>8</v>
      </c>
      <c r="AO1526" t="s">
        <v>8</v>
      </c>
      <c r="AP1526" s="1">
        <v>354.95</v>
      </c>
      <c r="AQ1526" t="s">
        <v>8</v>
      </c>
      <c r="AR1526" t="s">
        <v>8</v>
      </c>
      <c r="AS1526" t="s">
        <v>8</v>
      </c>
      <c r="AT1526">
        <v>11945.7</v>
      </c>
    </row>
    <row r="1527" spans="34:46" x14ac:dyDescent="0.35">
      <c r="AH1527" t="s">
        <v>204</v>
      </c>
      <c r="AI1527" t="s">
        <v>180</v>
      </c>
      <c r="AJ1527" s="3">
        <v>43636</v>
      </c>
      <c r="AK1527" t="s">
        <v>42</v>
      </c>
      <c r="AL1527" s="1">
        <v>12350</v>
      </c>
      <c r="AM1527" t="s">
        <v>8</v>
      </c>
      <c r="AN1527" t="s">
        <v>8</v>
      </c>
      <c r="AO1527" t="s">
        <v>8</v>
      </c>
      <c r="AP1527" s="1">
        <v>523.1</v>
      </c>
      <c r="AQ1527" t="s">
        <v>8</v>
      </c>
      <c r="AR1527" t="s">
        <v>8</v>
      </c>
      <c r="AS1527" t="s">
        <v>8</v>
      </c>
      <c r="AT1527">
        <v>11945.7</v>
      </c>
    </row>
    <row r="1528" spans="34:46" x14ac:dyDescent="0.35">
      <c r="AH1528" t="s">
        <v>204</v>
      </c>
      <c r="AI1528" t="s">
        <v>180</v>
      </c>
      <c r="AJ1528" s="3">
        <v>43615</v>
      </c>
      <c r="AK1528" t="s">
        <v>42</v>
      </c>
      <c r="AL1528" s="1">
        <v>12450</v>
      </c>
      <c r="AM1528" t="s">
        <v>8</v>
      </c>
      <c r="AN1528" t="s">
        <v>8</v>
      </c>
      <c r="AO1528" t="s">
        <v>8</v>
      </c>
      <c r="AP1528" s="1">
        <v>1258.9000000000001</v>
      </c>
      <c r="AQ1528" t="s">
        <v>8</v>
      </c>
      <c r="AR1528" t="s">
        <v>8</v>
      </c>
      <c r="AS1528" t="s">
        <v>8</v>
      </c>
      <c r="AT1528">
        <v>11945.7</v>
      </c>
    </row>
    <row r="1529" spans="34:46" x14ac:dyDescent="0.35">
      <c r="AH1529" t="s">
        <v>204</v>
      </c>
      <c r="AI1529" t="s">
        <v>180</v>
      </c>
      <c r="AJ1529" s="3">
        <v>43636</v>
      </c>
      <c r="AK1529" t="s">
        <v>42</v>
      </c>
      <c r="AL1529" s="1">
        <v>12550</v>
      </c>
      <c r="AM1529" t="s">
        <v>8</v>
      </c>
      <c r="AN1529" t="s">
        <v>8</v>
      </c>
      <c r="AO1529" t="s">
        <v>8</v>
      </c>
      <c r="AP1529" s="1">
        <v>689.35</v>
      </c>
      <c r="AQ1529" t="s">
        <v>8</v>
      </c>
      <c r="AR1529" t="s">
        <v>8</v>
      </c>
      <c r="AS1529" t="s">
        <v>8</v>
      </c>
      <c r="AT1529">
        <v>11945.7</v>
      </c>
    </row>
    <row r="1530" spans="34:46" x14ac:dyDescent="0.35">
      <c r="AH1530" t="s">
        <v>204</v>
      </c>
      <c r="AI1530" t="s">
        <v>180</v>
      </c>
      <c r="AJ1530" s="3">
        <v>44371</v>
      </c>
      <c r="AK1530" t="s">
        <v>41</v>
      </c>
      <c r="AL1530" s="1">
        <v>12200</v>
      </c>
      <c r="AM1530" t="s">
        <v>8</v>
      </c>
      <c r="AN1530" t="s">
        <v>8</v>
      </c>
      <c r="AO1530" t="s">
        <v>8</v>
      </c>
      <c r="AP1530" s="1">
        <v>1950</v>
      </c>
      <c r="AQ1530" t="s">
        <v>8</v>
      </c>
      <c r="AR1530" t="s">
        <v>8</v>
      </c>
      <c r="AS1530" t="s">
        <v>8</v>
      </c>
      <c r="AT1530">
        <v>11945.7</v>
      </c>
    </row>
    <row r="1531" spans="34:46" x14ac:dyDescent="0.35">
      <c r="AH1531" t="s">
        <v>204</v>
      </c>
      <c r="AI1531" t="s">
        <v>180</v>
      </c>
      <c r="AJ1531" s="3">
        <v>43622</v>
      </c>
      <c r="AK1531" t="s">
        <v>41</v>
      </c>
      <c r="AL1531" s="1">
        <v>13250</v>
      </c>
      <c r="AM1531" t="s">
        <v>8</v>
      </c>
      <c r="AN1531" t="s">
        <v>8</v>
      </c>
      <c r="AO1531" t="s">
        <v>8</v>
      </c>
      <c r="AP1531" s="1">
        <v>1.35</v>
      </c>
      <c r="AQ1531" t="s">
        <v>8</v>
      </c>
      <c r="AR1531" t="s">
        <v>8</v>
      </c>
      <c r="AS1531" t="s">
        <v>8</v>
      </c>
      <c r="AT1531">
        <v>11945.7</v>
      </c>
    </row>
    <row r="1532" spans="34:46" x14ac:dyDescent="0.35">
      <c r="AH1532" t="s">
        <v>204</v>
      </c>
      <c r="AI1532" t="s">
        <v>180</v>
      </c>
      <c r="AJ1532" s="3">
        <v>44560</v>
      </c>
      <c r="AK1532" t="s">
        <v>42</v>
      </c>
      <c r="AL1532" s="1">
        <v>7100</v>
      </c>
      <c r="AM1532" t="s">
        <v>8</v>
      </c>
      <c r="AN1532" t="s">
        <v>8</v>
      </c>
      <c r="AO1532" t="s">
        <v>8</v>
      </c>
      <c r="AP1532" s="1">
        <v>126.35</v>
      </c>
      <c r="AQ1532" t="s">
        <v>8</v>
      </c>
      <c r="AR1532" t="s">
        <v>8</v>
      </c>
      <c r="AS1532" t="s">
        <v>8</v>
      </c>
      <c r="AT1532">
        <v>11945.7</v>
      </c>
    </row>
    <row r="1533" spans="34:46" x14ac:dyDescent="0.35">
      <c r="AH1533" t="s">
        <v>204</v>
      </c>
      <c r="AI1533" t="s">
        <v>180</v>
      </c>
      <c r="AJ1533" s="3">
        <v>43622</v>
      </c>
      <c r="AK1533" t="s">
        <v>41</v>
      </c>
      <c r="AL1533" s="1">
        <v>13450</v>
      </c>
      <c r="AM1533" t="s">
        <v>8</v>
      </c>
      <c r="AN1533" t="s">
        <v>8</v>
      </c>
      <c r="AO1533" t="s">
        <v>8</v>
      </c>
      <c r="AP1533" s="1">
        <v>0.05</v>
      </c>
      <c r="AQ1533" t="s">
        <v>8</v>
      </c>
      <c r="AR1533" t="s">
        <v>8</v>
      </c>
      <c r="AS1533" t="s">
        <v>8</v>
      </c>
      <c r="AT1533">
        <v>11945.7</v>
      </c>
    </row>
    <row r="1534" spans="34:46" x14ac:dyDescent="0.35">
      <c r="AH1534" t="s">
        <v>204</v>
      </c>
      <c r="AI1534" t="s">
        <v>180</v>
      </c>
      <c r="AJ1534" s="3">
        <v>45288</v>
      </c>
      <c r="AK1534" t="s">
        <v>42</v>
      </c>
      <c r="AL1534" s="1">
        <v>12300</v>
      </c>
      <c r="AM1534" t="s">
        <v>8</v>
      </c>
      <c r="AN1534" t="s">
        <v>8</v>
      </c>
      <c r="AO1534" t="s">
        <v>8</v>
      </c>
      <c r="AP1534" s="1">
        <v>644.4</v>
      </c>
      <c r="AQ1534" t="s">
        <v>8</v>
      </c>
      <c r="AR1534" t="s">
        <v>8</v>
      </c>
      <c r="AS1534" t="s">
        <v>8</v>
      </c>
      <c r="AT1534">
        <v>11945.7</v>
      </c>
    </row>
    <row r="1535" spans="34:46" x14ac:dyDescent="0.35">
      <c r="AH1535" t="s">
        <v>204</v>
      </c>
      <c r="AI1535" t="s">
        <v>180</v>
      </c>
      <c r="AJ1535" s="3">
        <v>45288</v>
      </c>
      <c r="AK1535" t="s">
        <v>42</v>
      </c>
      <c r="AL1535" s="1">
        <v>12500</v>
      </c>
      <c r="AM1535" t="s">
        <v>8</v>
      </c>
      <c r="AN1535" t="s">
        <v>8</v>
      </c>
      <c r="AO1535" t="s">
        <v>8</v>
      </c>
      <c r="AP1535" s="1">
        <v>692.95</v>
      </c>
      <c r="AQ1535" t="s">
        <v>8</v>
      </c>
      <c r="AR1535" t="s">
        <v>8</v>
      </c>
      <c r="AS1535" t="s">
        <v>8</v>
      </c>
      <c r="AT1535">
        <v>11945.7</v>
      </c>
    </row>
    <row r="1536" spans="34:46" x14ac:dyDescent="0.35">
      <c r="AH1536" t="s">
        <v>204</v>
      </c>
      <c r="AI1536" t="s">
        <v>180</v>
      </c>
      <c r="AJ1536" s="3">
        <v>44560</v>
      </c>
      <c r="AK1536" t="s">
        <v>42</v>
      </c>
      <c r="AL1536" s="1">
        <v>5800</v>
      </c>
      <c r="AM1536" t="s">
        <v>8</v>
      </c>
      <c r="AN1536" t="s">
        <v>8</v>
      </c>
      <c r="AO1536" t="s">
        <v>8</v>
      </c>
      <c r="AP1536" s="1">
        <v>33</v>
      </c>
      <c r="AQ1536" t="s">
        <v>8</v>
      </c>
      <c r="AR1536" t="s">
        <v>8</v>
      </c>
      <c r="AS1536" t="s">
        <v>8</v>
      </c>
      <c r="AT1536">
        <v>11945.7</v>
      </c>
    </row>
    <row r="1537" spans="34:46" x14ac:dyDescent="0.35">
      <c r="AH1537" t="s">
        <v>204</v>
      </c>
      <c r="AI1537" t="s">
        <v>180</v>
      </c>
      <c r="AJ1537" s="3">
        <v>43916</v>
      </c>
      <c r="AK1537" t="s">
        <v>42</v>
      </c>
      <c r="AL1537" s="1">
        <v>8700</v>
      </c>
      <c r="AM1537" t="s">
        <v>8</v>
      </c>
      <c r="AN1537" t="s">
        <v>8</v>
      </c>
      <c r="AO1537" t="s">
        <v>8</v>
      </c>
      <c r="AP1537" s="1">
        <v>4.25</v>
      </c>
      <c r="AQ1537" t="s">
        <v>8</v>
      </c>
      <c r="AR1537" t="s">
        <v>8</v>
      </c>
      <c r="AS1537" t="s">
        <v>8</v>
      </c>
      <c r="AT1537">
        <v>11945.7</v>
      </c>
    </row>
    <row r="1538" spans="34:46" x14ac:dyDescent="0.35">
      <c r="AH1538" t="s">
        <v>204</v>
      </c>
      <c r="AI1538" t="s">
        <v>180</v>
      </c>
      <c r="AJ1538" s="3">
        <v>43622</v>
      </c>
      <c r="AK1538" t="s">
        <v>42</v>
      </c>
      <c r="AL1538" s="1">
        <v>13300</v>
      </c>
      <c r="AM1538" t="s">
        <v>8</v>
      </c>
      <c r="AN1538" t="s">
        <v>8</v>
      </c>
      <c r="AO1538" t="s">
        <v>8</v>
      </c>
      <c r="AP1538" s="1">
        <v>1387.35</v>
      </c>
      <c r="AQ1538" t="s">
        <v>8</v>
      </c>
      <c r="AR1538" t="s">
        <v>8</v>
      </c>
      <c r="AS1538" t="s">
        <v>8</v>
      </c>
      <c r="AT1538">
        <v>11945.7</v>
      </c>
    </row>
    <row r="1539" spans="34:46" x14ac:dyDescent="0.35">
      <c r="AH1539" t="s">
        <v>204</v>
      </c>
      <c r="AI1539" t="s">
        <v>180</v>
      </c>
      <c r="AJ1539" s="3">
        <v>43671</v>
      </c>
      <c r="AK1539" t="s">
        <v>41</v>
      </c>
      <c r="AL1539" s="1">
        <v>11050</v>
      </c>
      <c r="AM1539" t="s">
        <v>8</v>
      </c>
      <c r="AN1539" t="s">
        <v>8</v>
      </c>
      <c r="AO1539" t="s">
        <v>8</v>
      </c>
      <c r="AP1539">
        <v>845.8</v>
      </c>
      <c r="AQ1539" t="s">
        <v>8</v>
      </c>
      <c r="AR1539" t="s">
        <v>8</v>
      </c>
      <c r="AS1539" t="s">
        <v>8</v>
      </c>
      <c r="AT1539">
        <v>11945.7</v>
      </c>
    </row>
    <row r="1540" spans="34:46" x14ac:dyDescent="0.35">
      <c r="AH1540" t="s">
        <v>204</v>
      </c>
      <c r="AI1540" t="s">
        <v>180</v>
      </c>
      <c r="AJ1540" s="3">
        <v>45288</v>
      </c>
      <c r="AK1540" t="s">
        <v>42</v>
      </c>
      <c r="AL1540" s="1">
        <v>12700</v>
      </c>
      <c r="AM1540" t="s">
        <v>8</v>
      </c>
      <c r="AN1540" t="s">
        <v>8</v>
      </c>
      <c r="AO1540" t="s">
        <v>8</v>
      </c>
      <c r="AP1540">
        <v>743.5</v>
      </c>
      <c r="AQ1540" t="s">
        <v>8</v>
      </c>
      <c r="AR1540" t="s">
        <v>8</v>
      </c>
      <c r="AS1540" t="s">
        <v>8</v>
      </c>
      <c r="AT1540">
        <v>11945.7</v>
      </c>
    </row>
    <row r="1541" spans="34:46" x14ac:dyDescent="0.35">
      <c r="AH1541" t="s">
        <v>204</v>
      </c>
      <c r="AI1541" t="s">
        <v>180</v>
      </c>
      <c r="AJ1541" s="3">
        <v>43664</v>
      </c>
      <c r="AK1541" t="s">
        <v>42</v>
      </c>
      <c r="AL1541" s="1">
        <v>12650</v>
      </c>
      <c r="AM1541" t="s">
        <v>8</v>
      </c>
      <c r="AN1541" t="s">
        <v>8</v>
      </c>
      <c r="AO1541" t="s">
        <v>8</v>
      </c>
      <c r="AP1541" s="1">
        <v>1248.75</v>
      </c>
      <c r="AQ1541" t="s">
        <v>8</v>
      </c>
      <c r="AR1541" t="s">
        <v>8</v>
      </c>
      <c r="AS1541" t="s">
        <v>8</v>
      </c>
      <c r="AT1541">
        <v>11945.7</v>
      </c>
    </row>
    <row r="1542" spans="34:46" x14ac:dyDescent="0.35">
      <c r="AH1542" t="s">
        <v>204</v>
      </c>
      <c r="AI1542" t="s">
        <v>180</v>
      </c>
      <c r="AJ1542" s="3">
        <v>43629</v>
      </c>
      <c r="AK1542" t="s">
        <v>41</v>
      </c>
      <c r="AL1542" s="1">
        <v>10400</v>
      </c>
      <c r="AM1542" t="s">
        <v>8</v>
      </c>
      <c r="AN1542" t="s">
        <v>8</v>
      </c>
      <c r="AO1542" t="s">
        <v>8</v>
      </c>
      <c r="AP1542" s="1">
        <v>1321.45</v>
      </c>
      <c r="AQ1542" t="s">
        <v>8</v>
      </c>
      <c r="AR1542" t="s">
        <v>8</v>
      </c>
      <c r="AS1542" t="s">
        <v>8</v>
      </c>
      <c r="AT1542">
        <v>11945.7</v>
      </c>
    </row>
    <row r="1543" spans="34:46" x14ac:dyDescent="0.35">
      <c r="AH1543" t="s">
        <v>204</v>
      </c>
      <c r="AI1543" t="s">
        <v>180</v>
      </c>
      <c r="AJ1543" s="3">
        <v>43664</v>
      </c>
      <c r="AK1543" t="s">
        <v>42</v>
      </c>
      <c r="AL1543" s="1">
        <v>12850</v>
      </c>
      <c r="AM1543" t="s">
        <v>8</v>
      </c>
      <c r="AN1543" t="s">
        <v>8</v>
      </c>
      <c r="AO1543" t="s">
        <v>8</v>
      </c>
      <c r="AP1543" s="1">
        <v>1304.9000000000001</v>
      </c>
      <c r="AQ1543" t="s">
        <v>8</v>
      </c>
      <c r="AR1543" t="s">
        <v>8</v>
      </c>
      <c r="AS1543" t="s">
        <v>8</v>
      </c>
      <c r="AT1543">
        <v>11945.7</v>
      </c>
    </row>
    <row r="1544" spans="34:46" x14ac:dyDescent="0.35">
      <c r="AH1544" t="s">
        <v>204</v>
      </c>
      <c r="AI1544" t="s">
        <v>180</v>
      </c>
      <c r="AJ1544" s="3">
        <v>43629</v>
      </c>
      <c r="AK1544" t="s">
        <v>41</v>
      </c>
      <c r="AL1544" s="1">
        <v>10600</v>
      </c>
      <c r="AM1544" t="s">
        <v>8</v>
      </c>
      <c r="AN1544" t="s">
        <v>8</v>
      </c>
      <c r="AO1544" t="s">
        <v>8</v>
      </c>
      <c r="AP1544" s="1">
        <v>1126.6500000000001</v>
      </c>
      <c r="AQ1544" t="s">
        <v>8</v>
      </c>
      <c r="AR1544" t="s">
        <v>8</v>
      </c>
      <c r="AS1544" t="s">
        <v>8</v>
      </c>
      <c r="AT1544">
        <v>11945.7</v>
      </c>
    </row>
    <row r="1545" spans="34:46" x14ac:dyDescent="0.35">
      <c r="AH1545" t="s">
        <v>204</v>
      </c>
      <c r="AI1545" t="s">
        <v>180</v>
      </c>
      <c r="AJ1545" s="3">
        <v>43643</v>
      </c>
      <c r="AK1545" t="s">
        <v>41</v>
      </c>
      <c r="AL1545" s="1">
        <v>9100</v>
      </c>
      <c r="AM1545" t="s">
        <v>8</v>
      </c>
      <c r="AN1545" t="s">
        <v>8</v>
      </c>
      <c r="AO1545" t="s">
        <v>8</v>
      </c>
      <c r="AP1545" s="1">
        <v>2000.4</v>
      </c>
      <c r="AQ1545" t="s">
        <v>8</v>
      </c>
      <c r="AR1545" t="s">
        <v>8</v>
      </c>
      <c r="AS1545" t="s">
        <v>8</v>
      </c>
      <c r="AT1545">
        <v>11945.7</v>
      </c>
    </row>
    <row r="1546" spans="34:46" x14ac:dyDescent="0.35">
      <c r="AH1546" t="s">
        <v>204</v>
      </c>
      <c r="AI1546" t="s">
        <v>180</v>
      </c>
      <c r="AJ1546" s="3">
        <v>43657</v>
      </c>
      <c r="AK1546" t="s">
        <v>42</v>
      </c>
      <c r="AL1546" s="1">
        <v>13150</v>
      </c>
      <c r="AM1546" t="s">
        <v>8</v>
      </c>
      <c r="AN1546" t="s">
        <v>8</v>
      </c>
      <c r="AO1546" t="s">
        <v>8</v>
      </c>
      <c r="AP1546" s="1">
        <v>1256.6500000000001</v>
      </c>
      <c r="AQ1546" t="s">
        <v>8</v>
      </c>
      <c r="AR1546" t="s">
        <v>8</v>
      </c>
      <c r="AS1546" t="s">
        <v>8</v>
      </c>
      <c r="AT1546">
        <v>11945.7</v>
      </c>
    </row>
    <row r="1547" spans="34:46" x14ac:dyDescent="0.35">
      <c r="AH1547" t="s">
        <v>204</v>
      </c>
      <c r="AI1547" t="s">
        <v>180</v>
      </c>
      <c r="AJ1547" s="3">
        <v>43643</v>
      </c>
      <c r="AK1547" t="s">
        <v>41</v>
      </c>
      <c r="AL1547" s="1">
        <v>9300</v>
      </c>
      <c r="AM1547" t="s">
        <v>8</v>
      </c>
      <c r="AN1547" t="s">
        <v>8</v>
      </c>
      <c r="AO1547" t="s">
        <v>8</v>
      </c>
      <c r="AP1547" s="1">
        <v>2550</v>
      </c>
      <c r="AQ1547" t="s">
        <v>8</v>
      </c>
      <c r="AR1547" t="s">
        <v>8</v>
      </c>
      <c r="AS1547" t="s">
        <v>8</v>
      </c>
      <c r="AT1547">
        <v>11945.7</v>
      </c>
    </row>
    <row r="1548" spans="34:46" x14ac:dyDescent="0.35">
      <c r="AH1548" t="s">
        <v>204</v>
      </c>
      <c r="AI1548" t="s">
        <v>180</v>
      </c>
      <c r="AJ1548" s="3">
        <v>43657</v>
      </c>
      <c r="AK1548" t="s">
        <v>42</v>
      </c>
      <c r="AL1548" s="1">
        <v>13350</v>
      </c>
      <c r="AM1548" t="s">
        <v>8</v>
      </c>
      <c r="AN1548" t="s">
        <v>8</v>
      </c>
      <c r="AO1548" t="s">
        <v>8</v>
      </c>
      <c r="AP1548" s="1">
        <v>1434.15</v>
      </c>
      <c r="AQ1548" t="s">
        <v>8</v>
      </c>
      <c r="AR1548" t="s">
        <v>8</v>
      </c>
      <c r="AS1548" t="s">
        <v>8</v>
      </c>
      <c r="AT1548">
        <v>11945.7</v>
      </c>
    </row>
    <row r="1549" spans="34:46" x14ac:dyDescent="0.35">
      <c r="AH1549" t="s">
        <v>204</v>
      </c>
      <c r="AI1549" t="s">
        <v>180</v>
      </c>
      <c r="AJ1549" s="3">
        <v>43825</v>
      </c>
      <c r="AK1549" t="s">
        <v>42</v>
      </c>
      <c r="AL1549" s="1">
        <v>8100</v>
      </c>
      <c r="AM1549" t="s">
        <v>8</v>
      </c>
      <c r="AN1549" t="s">
        <v>8</v>
      </c>
      <c r="AO1549" t="s">
        <v>8</v>
      </c>
      <c r="AP1549" s="1">
        <v>50</v>
      </c>
      <c r="AQ1549" t="s">
        <v>8</v>
      </c>
      <c r="AR1549" t="s">
        <v>8</v>
      </c>
      <c r="AS1549" t="s">
        <v>8</v>
      </c>
      <c r="AT1549">
        <v>11945.7</v>
      </c>
    </row>
    <row r="1550" spans="34:46" x14ac:dyDescent="0.35">
      <c r="AH1550" t="s">
        <v>204</v>
      </c>
      <c r="AI1550" t="s">
        <v>180</v>
      </c>
      <c r="AJ1550" s="3">
        <v>43615</v>
      </c>
      <c r="AK1550" t="s">
        <v>42</v>
      </c>
      <c r="AL1550" s="1">
        <v>9550</v>
      </c>
      <c r="AM1550" t="s">
        <v>8</v>
      </c>
      <c r="AN1550" t="s">
        <v>8</v>
      </c>
      <c r="AO1550" t="s">
        <v>8</v>
      </c>
      <c r="AP1550" s="1">
        <v>0.8</v>
      </c>
      <c r="AQ1550" t="s">
        <v>8</v>
      </c>
      <c r="AR1550" t="s">
        <v>8</v>
      </c>
      <c r="AS1550" t="s">
        <v>8</v>
      </c>
      <c r="AT1550">
        <v>11945.7</v>
      </c>
    </row>
    <row r="1551" spans="34:46" x14ac:dyDescent="0.35">
      <c r="AH1551" t="s">
        <v>204</v>
      </c>
      <c r="AI1551" t="s">
        <v>180</v>
      </c>
      <c r="AJ1551" s="3">
        <v>43825</v>
      </c>
      <c r="AK1551" t="s">
        <v>42</v>
      </c>
      <c r="AL1551" s="1">
        <v>8300</v>
      </c>
      <c r="AM1551" t="s">
        <v>8</v>
      </c>
      <c r="AN1551" t="s">
        <v>8</v>
      </c>
      <c r="AO1551" t="s">
        <v>8</v>
      </c>
      <c r="AP1551" s="1">
        <v>84</v>
      </c>
      <c r="AQ1551" t="s">
        <v>8</v>
      </c>
      <c r="AR1551" t="s">
        <v>8</v>
      </c>
      <c r="AS1551" t="s">
        <v>8</v>
      </c>
      <c r="AT1551">
        <v>11945.7</v>
      </c>
    </row>
    <row r="1552" spans="34:46" x14ac:dyDescent="0.35">
      <c r="AH1552" t="s">
        <v>204</v>
      </c>
      <c r="AI1552" t="s">
        <v>180</v>
      </c>
      <c r="AJ1552" s="3">
        <v>43643</v>
      </c>
      <c r="AK1552" t="s">
        <v>42</v>
      </c>
      <c r="AL1552" s="1">
        <v>8200</v>
      </c>
      <c r="AM1552" t="s">
        <v>8</v>
      </c>
      <c r="AN1552" t="s">
        <v>8</v>
      </c>
      <c r="AO1552" t="s">
        <v>8</v>
      </c>
      <c r="AP1552" s="1">
        <v>36</v>
      </c>
      <c r="AQ1552" t="s">
        <v>8</v>
      </c>
      <c r="AR1552" t="s">
        <v>8</v>
      </c>
      <c r="AS1552" t="s">
        <v>8</v>
      </c>
      <c r="AT1552">
        <v>11945.7</v>
      </c>
    </row>
    <row r="1553" spans="34:46" x14ac:dyDescent="0.35">
      <c r="AH1553" t="s">
        <v>204</v>
      </c>
      <c r="AI1553" t="s">
        <v>180</v>
      </c>
      <c r="AJ1553" s="3">
        <v>43643</v>
      </c>
      <c r="AK1553" t="s">
        <v>41</v>
      </c>
      <c r="AL1553" s="1">
        <v>10050</v>
      </c>
      <c r="AM1553" t="s">
        <v>8</v>
      </c>
      <c r="AN1553" t="s">
        <v>8</v>
      </c>
      <c r="AO1553" t="s">
        <v>8</v>
      </c>
      <c r="AP1553" s="1">
        <v>1709.1</v>
      </c>
      <c r="AQ1553" t="s">
        <v>8</v>
      </c>
      <c r="AR1553" t="s">
        <v>8</v>
      </c>
      <c r="AS1553" t="s">
        <v>8</v>
      </c>
      <c r="AT1553">
        <v>11945.7</v>
      </c>
    </row>
    <row r="1554" spans="34:46" x14ac:dyDescent="0.35">
      <c r="AH1554" t="s">
        <v>204</v>
      </c>
      <c r="AI1554" t="s">
        <v>180</v>
      </c>
      <c r="AJ1554" s="3">
        <v>43615</v>
      </c>
      <c r="AK1554" t="s">
        <v>42</v>
      </c>
      <c r="AL1554" s="1">
        <v>9750</v>
      </c>
      <c r="AM1554" t="s">
        <v>8</v>
      </c>
      <c r="AN1554" t="s">
        <v>8</v>
      </c>
      <c r="AO1554" t="s">
        <v>8</v>
      </c>
      <c r="AP1554" s="1">
        <v>0.1</v>
      </c>
      <c r="AQ1554" t="s">
        <v>8</v>
      </c>
      <c r="AR1554" t="s">
        <v>8</v>
      </c>
      <c r="AS1554" t="s">
        <v>8</v>
      </c>
      <c r="AT1554">
        <v>11945.7</v>
      </c>
    </row>
    <row r="1555" spans="34:46" x14ac:dyDescent="0.35">
      <c r="AH1555" t="s">
        <v>204</v>
      </c>
      <c r="AI1555" t="s">
        <v>180</v>
      </c>
      <c r="AJ1555" s="3">
        <v>43650</v>
      </c>
      <c r="AK1555" t="s">
        <v>41</v>
      </c>
      <c r="AL1555" s="1">
        <v>11200</v>
      </c>
      <c r="AM1555" t="s">
        <v>8</v>
      </c>
      <c r="AN1555" t="s">
        <v>8</v>
      </c>
      <c r="AO1555" t="s">
        <v>8</v>
      </c>
      <c r="AP1555" s="1">
        <v>707.55</v>
      </c>
      <c r="AQ1555" t="s">
        <v>8</v>
      </c>
      <c r="AR1555" t="s">
        <v>8</v>
      </c>
      <c r="AS1555" t="s">
        <v>8</v>
      </c>
      <c r="AT1555">
        <v>11945.7</v>
      </c>
    </row>
    <row r="1556" spans="34:46" x14ac:dyDescent="0.35">
      <c r="AH1556" t="s">
        <v>204</v>
      </c>
      <c r="AI1556" t="s">
        <v>180</v>
      </c>
      <c r="AJ1556" s="3">
        <v>43643</v>
      </c>
      <c r="AK1556" t="s">
        <v>42</v>
      </c>
      <c r="AL1556" s="1">
        <v>8400</v>
      </c>
      <c r="AM1556" t="s">
        <v>8</v>
      </c>
      <c r="AN1556" t="s">
        <v>8</v>
      </c>
      <c r="AO1556" t="s">
        <v>8</v>
      </c>
      <c r="AP1556" s="1">
        <v>89</v>
      </c>
      <c r="AQ1556" t="s">
        <v>8</v>
      </c>
      <c r="AR1556" t="s">
        <v>8</v>
      </c>
      <c r="AS1556" t="s">
        <v>8</v>
      </c>
      <c r="AT1556">
        <v>11945.7</v>
      </c>
    </row>
    <row r="1557" spans="34:46" x14ac:dyDescent="0.35">
      <c r="AH1557" t="s">
        <v>204</v>
      </c>
      <c r="AI1557" t="s">
        <v>180</v>
      </c>
      <c r="AJ1557" s="3">
        <v>43671</v>
      </c>
      <c r="AK1557" t="s">
        <v>41</v>
      </c>
      <c r="AL1557" s="1">
        <v>13200</v>
      </c>
      <c r="AM1557" t="s">
        <v>8</v>
      </c>
      <c r="AN1557" t="s">
        <v>8</v>
      </c>
      <c r="AO1557" t="s">
        <v>8</v>
      </c>
      <c r="AP1557" s="1">
        <v>27.4</v>
      </c>
      <c r="AQ1557" t="s">
        <v>8</v>
      </c>
      <c r="AR1557" t="s">
        <v>8</v>
      </c>
      <c r="AS1557" t="s">
        <v>8</v>
      </c>
      <c r="AT1557">
        <v>11945.7</v>
      </c>
    </row>
    <row r="1558" spans="34:46" x14ac:dyDescent="0.35">
      <c r="AH1558" t="s">
        <v>204</v>
      </c>
      <c r="AI1558" t="s">
        <v>180</v>
      </c>
      <c r="AJ1558" s="3">
        <v>43615</v>
      </c>
      <c r="AK1558" t="s">
        <v>42</v>
      </c>
      <c r="AL1558" s="1">
        <v>9950</v>
      </c>
      <c r="AM1558" t="s">
        <v>8</v>
      </c>
      <c r="AN1558" t="s">
        <v>8</v>
      </c>
      <c r="AO1558" t="s">
        <v>8</v>
      </c>
      <c r="AP1558" s="1">
        <v>0.85</v>
      </c>
      <c r="AQ1558" t="s">
        <v>8</v>
      </c>
      <c r="AR1558" t="s">
        <v>8</v>
      </c>
      <c r="AS1558" t="s">
        <v>8</v>
      </c>
      <c r="AT1558">
        <v>11945.7</v>
      </c>
    </row>
    <row r="1559" spans="34:46" x14ac:dyDescent="0.35">
      <c r="AH1559" t="s">
        <v>204</v>
      </c>
      <c r="AI1559" t="s">
        <v>180</v>
      </c>
      <c r="AJ1559" s="3">
        <v>43650</v>
      </c>
      <c r="AK1559" t="s">
        <v>41</v>
      </c>
      <c r="AL1559" s="1">
        <v>11400</v>
      </c>
      <c r="AM1559" t="s">
        <v>8</v>
      </c>
      <c r="AN1559" t="s">
        <v>8</v>
      </c>
      <c r="AO1559" t="s">
        <v>8</v>
      </c>
      <c r="AP1559">
        <v>547.9</v>
      </c>
      <c r="AQ1559" t="s">
        <v>8</v>
      </c>
      <c r="AR1559" t="s">
        <v>8</v>
      </c>
      <c r="AS1559" t="s">
        <v>8</v>
      </c>
      <c r="AT1559">
        <v>11945.7</v>
      </c>
    </row>
    <row r="1560" spans="34:46" x14ac:dyDescent="0.35">
      <c r="AH1560" t="s">
        <v>204</v>
      </c>
      <c r="AI1560" t="s">
        <v>180</v>
      </c>
      <c r="AJ1560" s="3">
        <v>43643</v>
      </c>
      <c r="AK1560" t="s">
        <v>42</v>
      </c>
      <c r="AL1560" s="1">
        <v>8600</v>
      </c>
      <c r="AM1560" t="s">
        <v>8</v>
      </c>
      <c r="AN1560" t="s">
        <v>8</v>
      </c>
      <c r="AO1560" t="s">
        <v>8</v>
      </c>
      <c r="AP1560" s="1">
        <v>63</v>
      </c>
      <c r="AQ1560" t="s">
        <v>8</v>
      </c>
      <c r="AR1560" t="s">
        <v>8</v>
      </c>
      <c r="AS1560" t="s">
        <v>8</v>
      </c>
      <c r="AT1560">
        <v>11945.7</v>
      </c>
    </row>
    <row r="1561" spans="34:46" x14ac:dyDescent="0.35">
      <c r="AH1561" t="s">
        <v>204</v>
      </c>
      <c r="AI1561" t="s">
        <v>180</v>
      </c>
      <c r="AJ1561" s="3">
        <v>44560</v>
      </c>
      <c r="AK1561" t="s">
        <v>41</v>
      </c>
      <c r="AL1561" s="1">
        <v>10600</v>
      </c>
      <c r="AM1561" t="s">
        <v>8</v>
      </c>
      <c r="AN1561" t="s">
        <v>8</v>
      </c>
      <c r="AO1561" t="s">
        <v>8</v>
      </c>
      <c r="AP1561" t="s">
        <v>8</v>
      </c>
      <c r="AQ1561" t="s">
        <v>8</v>
      </c>
      <c r="AR1561" t="s">
        <v>8</v>
      </c>
      <c r="AS1561" t="s">
        <v>8</v>
      </c>
      <c r="AT1561">
        <v>11945.7</v>
      </c>
    </row>
    <row r="1562" spans="34:46" x14ac:dyDescent="0.35">
      <c r="AH1562" t="s">
        <v>204</v>
      </c>
      <c r="AI1562" t="s">
        <v>180</v>
      </c>
      <c r="AJ1562" s="3">
        <v>44560</v>
      </c>
      <c r="AK1562" t="s">
        <v>41</v>
      </c>
      <c r="AL1562" s="1">
        <v>10800</v>
      </c>
      <c r="AM1562" t="s">
        <v>8</v>
      </c>
      <c r="AN1562" t="s">
        <v>8</v>
      </c>
      <c r="AO1562" t="s">
        <v>8</v>
      </c>
      <c r="AP1562" s="1" t="s">
        <v>8</v>
      </c>
      <c r="AQ1562" t="s">
        <v>8</v>
      </c>
      <c r="AR1562" t="s">
        <v>8</v>
      </c>
      <c r="AS1562" t="s">
        <v>8</v>
      </c>
      <c r="AT1562">
        <v>11945.7</v>
      </c>
    </row>
    <row r="1563" spans="34:46" x14ac:dyDescent="0.35">
      <c r="AH1563" t="s">
        <v>204</v>
      </c>
      <c r="AI1563" t="s">
        <v>180</v>
      </c>
      <c r="AJ1563" s="3">
        <v>43629</v>
      </c>
      <c r="AK1563" t="s">
        <v>42</v>
      </c>
      <c r="AL1563" s="1">
        <v>12150</v>
      </c>
      <c r="AM1563" t="s">
        <v>8</v>
      </c>
      <c r="AN1563" t="s">
        <v>8</v>
      </c>
      <c r="AO1563" t="s">
        <v>8</v>
      </c>
      <c r="AP1563" s="1">
        <v>494.45</v>
      </c>
      <c r="AQ1563" t="s">
        <v>8</v>
      </c>
      <c r="AR1563" t="s">
        <v>8</v>
      </c>
      <c r="AS1563" t="s">
        <v>8</v>
      </c>
      <c r="AT1563">
        <v>11945.7</v>
      </c>
    </row>
    <row r="1564" spans="34:46" x14ac:dyDescent="0.35">
      <c r="AH1564" t="s">
        <v>204</v>
      </c>
      <c r="AI1564" t="s">
        <v>180</v>
      </c>
      <c r="AJ1564" s="3">
        <v>44196</v>
      </c>
      <c r="AK1564" t="s">
        <v>42</v>
      </c>
      <c r="AL1564" s="1">
        <v>6100</v>
      </c>
      <c r="AM1564" t="s">
        <v>8</v>
      </c>
      <c r="AN1564" t="s">
        <v>8</v>
      </c>
      <c r="AO1564" t="s">
        <v>8</v>
      </c>
      <c r="AP1564" s="1">
        <v>17.7</v>
      </c>
      <c r="AQ1564" t="s">
        <v>8</v>
      </c>
      <c r="AR1564" t="s">
        <v>8</v>
      </c>
      <c r="AS1564" t="s">
        <v>8</v>
      </c>
      <c r="AT1564">
        <v>11945.7</v>
      </c>
    </row>
    <row r="1565" spans="34:46" x14ac:dyDescent="0.35">
      <c r="AH1565" t="s">
        <v>204</v>
      </c>
      <c r="AI1565" t="s">
        <v>180</v>
      </c>
      <c r="AJ1565" s="3">
        <v>43629</v>
      </c>
      <c r="AK1565" t="s">
        <v>42</v>
      </c>
      <c r="AL1565" s="1">
        <v>12350</v>
      </c>
      <c r="AM1565" t="s">
        <v>8</v>
      </c>
      <c r="AN1565" t="s">
        <v>8</v>
      </c>
      <c r="AO1565" t="s">
        <v>8</v>
      </c>
      <c r="AP1565" s="1">
        <v>654.6</v>
      </c>
      <c r="AQ1565" t="s">
        <v>8</v>
      </c>
      <c r="AR1565" t="s">
        <v>8</v>
      </c>
      <c r="AS1565" t="s">
        <v>8</v>
      </c>
      <c r="AT1565">
        <v>11945.7</v>
      </c>
    </row>
    <row r="1566" spans="34:46" x14ac:dyDescent="0.35">
      <c r="AH1566" t="s">
        <v>204</v>
      </c>
      <c r="AI1566" t="s">
        <v>180</v>
      </c>
      <c r="AJ1566" s="3">
        <v>44196</v>
      </c>
      <c r="AK1566" t="s">
        <v>42</v>
      </c>
      <c r="AL1566" s="1">
        <v>6300</v>
      </c>
      <c r="AM1566" t="s">
        <v>8</v>
      </c>
      <c r="AN1566" t="s">
        <v>8</v>
      </c>
      <c r="AO1566" t="s">
        <v>8</v>
      </c>
      <c r="AP1566" s="1">
        <v>23.35</v>
      </c>
      <c r="AQ1566" t="s">
        <v>8</v>
      </c>
      <c r="AR1566" t="s">
        <v>8</v>
      </c>
      <c r="AS1566" t="s">
        <v>8</v>
      </c>
      <c r="AT1566">
        <v>11945.7</v>
      </c>
    </row>
    <row r="1567" spans="34:46" x14ac:dyDescent="0.35">
      <c r="AH1567" t="s">
        <v>204</v>
      </c>
      <c r="AI1567" t="s">
        <v>180</v>
      </c>
      <c r="AJ1567" s="3">
        <v>44371</v>
      </c>
      <c r="AK1567" t="s">
        <v>42</v>
      </c>
      <c r="AL1567" s="1">
        <v>8800</v>
      </c>
      <c r="AM1567" t="s">
        <v>8</v>
      </c>
      <c r="AN1567" t="s">
        <v>8</v>
      </c>
      <c r="AO1567" t="s">
        <v>8</v>
      </c>
      <c r="AP1567" s="1">
        <v>248</v>
      </c>
      <c r="AQ1567" t="s">
        <v>8</v>
      </c>
      <c r="AR1567" t="s">
        <v>8</v>
      </c>
      <c r="AS1567" t="s">
        <v>8</v>
      </c>
      <c r="AT1567">
        <v>11945.7</v>
      </c>
    </row>
    <row r="1568" spans="34:46" x14ac:dyDescent="0.35">
      <c r="AH1568" t="s">
        <v>204</v>
      </c>
      <c r="AI1568" t="s">
        <v>180</v>
      </c>
      <c r="AJ1568" s="3">
        <v>43671</v>
      </c>
      <c r="AK1568" t="s">
        <v>42</v>
      </c>
      <c r="AL1568" s="1">
        <v>9800</v>
      </c>
      <c r="AM1568" t="s">
        <v>8</v>
      </c>
      <c r="AN1568" t="s">
        <v>8</v>
      </c>
      <c r="AO1568" t="s">
        <v>8</v>
      </c>
      <c r="AP1568" s="1">
        <v>1.55</v>
      </c>
      <c r="AQ1568" t="s">
        <v>8</v>
      </c>
      <c r="AR1568" t="s">
        <v>8</v>
      </c>
      <c r="AS1568" t="s">
        <v>8</v>
      </c>
      <c r="AT1568">
        <v>11945.7</v>
      </c>
    </row>
    <row r="1569" spans="34:46" x14ac:dyDescent="0.35">
      <c r="AH1569" t="s">
        <v>204</v>
      </c>
      <c r="AI1569" t="s">
        <v>180</v>
      </c>
      <c r="AJ1569" s="3">
        <v>43622</v>
      </c>
      <c r="AK1569" t="s">
        <v>41</v>
      </c>
      <c r="AL1569" s="1">
        <v>10200</v>
      </c>
      <c r="AM1569" t="s">
        <v>8</v>
      </c>
      <c r="AN1569" t="s">
        <v>8</v>
      </c>
      <c r="AO1569" t="s">
        <v>8</v>
      </c>
      <c r="AP1569" s="1">
        <v>1522.7</v>
      </c>
      <c r="AQ1569" t="s">
        <v>8</v>
      </c>
      <c r="AR1569" t="s">
        <v>8</v>
      </c>
      <c r="AS1569" t="s">
        <v>8</v>
      </c>
      <c r="AT1569">
        <v>11945.7</v>
      </c>
    </row>
    <row r="1570" spans="34:46" x14ac:dyDescent="0.35">
      <c r="AH1570" t="s">
        <v>204</v>
      </c>
      <c r="AI1570" t="s">
        <v>180</v>
      </c>
      <c r="AJ1570" s="3">
        <v>43622</v>
      </c>
      <c r="AK1570" t="s">
        <v>41</v>
      </c>
      <c r="AL1570" s="1">
        <v>10400</v>
      </c>
      <c r="AM1570" t="s">
        <v>8</v>
      </c>
      <c r="AN1570" t="s">
        <v>8</v>
      </c>
      <c r="AO1570" t="s">
        <v>8</v>
      </c>
      <c r="AP1570" s="1">
        <v>1326.45</v>
      </c>
      <c r="AQ1570" t="s">
        <v>8</v>
      </c>
      <c r="AR1570" t="s">
        <v>8</v>
      </c>
      <c r="AS1570" t="s">
        <v>8</v>
      </c>
      <c r="AT1570">
        <v>11945.7</v>
      </c>
    </row>
    <row r="1571" spans="34:46" x14ac:dyDescent="0.35">
      <c r="AH1571" t="s">
        <v>204</v>
      </c>
      <c r="AI1571" t="s">
        <v>180</v>
      </c>
      <c r="AJ1571" s="3">
        <v>45106</v>
      </c>
      <c r="AK1571" t="s">
        <v>42</v>
      </c>
      <c r="AL1571" s="1">
        <v>10100</v>
      </c>
      <c r="AM1571" t="s">
        <v>8</v>
      </c>
      <c r="AN1571" t="s">
        <v>8</v>
      </c>
      <c r="AO1571" t="s">
        <v>8</v>
      </c>
      <c r="AP1571" s="1">
        <v>47.1</v>
      </c>
      <c r="AQ1571" t="s">
        <v>8</v>
      </c>
      <c r="AR1571" t="s">
        <v>8</v>
      </c>
      <c r="AS1571" t="s">
        <v>8</v>
      </c>
      <c r="AT1571">
        <v>11945.7</v>
      </c>
    </row>
    <row r="1572" spans="34:46" x14ac:dyDescent="0.35">
      <c r="AH1572" t="s">
        <v>204</v>
      </c>
      <c r="AI1572" t="s">
        <v>180</v>
      </c>
      <c r="AJ1572" s="3">
        <v>43650</v>
      </c>
      <c r="AK1572" t="s">
        <v>41</v>
      </c>
      <c r="AL1572" s="1">
        <v>9800</v>
      </c>
      <c r="AM1572" t="s">
        <v>8</v>
      </c>
      <c r="AN1572" t="s">
        <v>8</v>
      </c>
      <c r="AO1572" t="s">
        <v>8</v>
      </c>
      <c r="AP1572" s="1">
        <v>1608.85</v>
      </c>
      <c r="AQ1572" t="s">
        <v>8</v>
      </c>
      <c r="AR1572" t="s">
        <v>8</v>
      </c>
      <c r="AS1572" t="s">
        <v>8</v>
      </c>
      <c r="AT1572">
        <v>11945.7</v>
      </c>
    </row>
    <row r="1573" spans="34:46" x14ac:dyDescent="0.35">
      <c r="AH1573" t="s">
        <v>204</v>
      </c>
      <c r="AI1573" t="s">
        <v>180</v>
      </c>
      <c r="AJ1573" s="3">
        <v>43734</v>
      </c>
      <c r="AK1573" t="s">
        <v>42</v>
      </c>
      <c r="AL1573" s="1">
        <v>10600</v>
      </c>
      <c r="AM1573" t="s">
        <v>8</v>
      </c>
      <c r="AN1573" t="s">
        <v>8</v>
      </c>
      <c r="AO1573" t="s">
        <v>8</v>
      </c>
      <c r="AP1573" s="1">
        <v>163.35</v>
      </c>
      <c r="AQ1573" t="s">
        <v>8</v>
      </c>
      <c r="AR1573" t="s">
        <v>8</v>
      </c>
      <c r="AS1573" t="s">
        <v>8</v>
      </c>
      <c r="AT1573">
        <v>11945.7</v>
      </c>
    </row>
    <row r="1574" spans="34:46" x14ac:dyDescent="0.35">
      <c r="AH1574" t="s">
        <v>204</v>
      </c>
      <c r="AI1574" t="s">
        <v>180</v>
      </c>
      <c r="AJ1574" s="3">
        <v>43678</v>
      </c>
      <c r="AK1574" t="s">
        <v>42</v>
      </c>
      <c r="AL1574" s="1">
        <v>12050</v>
      </c>
      <c r="AM1574" t="s">
        <v>8</v>
      </c>
      <c r="AN1574" t="s">
        <v>8</v>
      </c>
      <c r="AO1574" t="s">
        <v>8</v>
      </c>
      <c r="AP1574" s="1">
        <v>559.95000000000005</v>
      </c>
      <c r="AQ1574" t="s">
        <v>8</v>
      </c>
      <c r="AR1574" t="s">
        <v>8</v>
      </c>
      <c r="AS1574" t="s">
        <v>8</v>
      </c>
      <c r="AT1574">
        <v>11945.7</v>
      </c>
    </row>
    <row r="1575" spans="34:46" x14ac:dyDescent="0.35">
      <c r="AH1575" t="s">
        <v>204</v>
      </c>
      <c r="AI1575" t="s">
        <v>180</v>
      </c>
      <c r="AJ1575" s="3">
        <v>44196</v>
      </c>
      <c r="AK1575" t="s">
        <v>42</v>
      </c>
      <c r="AL1575" s="1">
        <v>12500</v>
      </c>
      <c r="AM1575" t="s">
        <v>8</v>
      </c>
      <c r="AN1575" t="s">
        <v>8</v>
      </c>
      <c r="AO1575" t="s">
        <v>8</v>
      </c>
      <c r="AP1575" s="1">
        <v>661.95</v>
      </c>
      <c r="AQ1575" t="s">
        <v>8</v>
      </c>
      <c r="AR1575" t="s">
        <v>8</v>
      </c>
      <c r="AS1575" t="s">
        <v>8</v>
      </c>
      <c r="AT1575">
        <v>11945.7</v>
      </c>
    </row>
    <row r="1576" spans="34:46" x14ac:dyDescent="0.35">
      <c r="AH1576" t="s">
        <v>204</v>
      </c>
      <c r="AI1576" t="s">
        <v>180</v>
      </c>
      <c r="AJ1576" s="3">
        <v>43734</v>
      </c>
      <c r="AK1576" t="s">
        <v>42</v>
      </c>
      <c r="AL1576" s="1">
        <v>10800</v>
      </c>
      <c r="AM1576" t="s">
        <v>8</v>
      </c>
      <c r="AN1576" t="s">
        <v>8</v>
      </c>
      <c r="AO1576" t="s">
        <v>8</v>
      </c>
      <c r="AP1576" s="1">
        <v>273.14999999999998</v>
      </c>
      <c r="AQ1576" t="s">
        <v>8</v>
      </c>
      <c r="AR1576" t="s">
        <v>8</v>
      </c>
      <c r="AS1576" t="s">
        <v>8</v>
      </c>
      <c r="AT1576">
        <v>11945.7</v>
      </c>
    </row>
    <row r="1577" spans="34:46" x14ac:dyDescent="0.35">
      <c r="AH1577" t="s">
        <v>204</v>
      </c>
      <c r="AI1577" t="s">
        <v>180</v>
      </c>
      <c r="AJ1577" s="3">
        <v>43650</v>
      </c>
      <c r="AK1577" t="s">
        <v>42</v>
      </c>
      <c r="AL1577" s="1">
        <v>13150</v>
      </c>
      <c r="AM1577" t="s">
        <v>8</v>
      </c>
      <c r="AN1577" t="s">
        <v>8</v>
      </c>
      <c r="AO1577" t="s">
        <v>8</v>
      </c>
      <c r="AP1577" s="1">
        <v>1272.3499999999999</v>
      </c>
      <c r="AQ1577" t="s">
        <v>8</v>
      </c>
      <c r="AR1577" t="s">
        <v>8</v>
      </c>
      <c r="AS1577" t="s">
        <v>8</v>
      </c>
      <c r="AT1577">
        <v>11945.7</v>
      </c>
    </row>
    <row r="1578" spans="34:46" x14ac:dyDescent="0.35">
      <c r="AH1578" t="s">
        <v>204</v>
      </c>
      <c r="AI1578" t="s">
        <v>180</v>
      </c>
      <c r="AJ1578" s="3">
        <v>43629</v>
      </c>
      <c r="AK1578" t="s">
        <v>41</v>
      </c>
      <c r="AL1578" s="1">
        <v>12950</v>
      </c>
      <c r="AM1578" t="s">
        <v>8</v>
      </c>
      <c r="AN1578" t="s">
        <v>8</v>
      </c>
      <c r="AO1578" t="s">
        <v>8</v>
      </c>
      <c r="AP1578" s="1">
        <v>5.65</v>
      </c>
      <c r="AQ1578" t="s">
        <v>8</v>
      </c>
      <c r="AR1578" t="s">
        <v>8</v>
      </c>
      <c r="AS1578" t="s">
        <v>8</v>
      </c>
      <c r="AT1578">
        <v>11945.7</v>
      </c>
    </row>
    <row r="1579" spans="34:46" x14ac:dyDescent="0.35">
      <c r="AH1579" t="s">
        <v>204</v>
      </c>
      <c r="AI1579" t="s">
        <v>180</v>
      </c>
      <c r="AJ1579" s="3">
        <v>43657</v>
      </c>
      <c r="AK1579" t="s">
        <v>41</v>
      </c>
      <c r="AL1579" s="1">
        <v>10050</v>
      </c>
      <c r="AM1579" t="s">
        <v>8</v>
      </c>
      <c r="AN1579" t="s">
        <v>8</v>
      </c>
      <c r="AO1579" t="s">
        <v>8</v>
      </c>
      <c r="AP1579" s="1">
        <v>1377.45</v>
      </c>
      <c r="AQ1579" t="s">
        <v>8</v>
      </c>
      <c r="AR1579" t="s">
        <v>8</v>
      </c>
      <c r="AS1579" t="s">
        <v>8</v>
      </c>
      <c r="AT1579">
        <v>11945.7</v>
      </c>
    </row>
    <row r="1580" spans="34:46" x14ac:dyDescent="0.35">
      <c r="AH1580" t="s">
        <v>204</v>
      </c>
      <c r="AI1580" t="s">
        <v>180</v>
      </c>
      <c r="AJ1580" s="3">
        <v>43671</v>
      </c>
      <c r="AK1580" t="s">
        <v>42</v>
      </c>
      <c r="AL1580" s="1">
        <v>13450</v>
      </c>
      <c r="AM1580" t="s">
        <v>8</v>
      </c>
      <c r="AN1580" t="s">
        <v>8</v>
      </c>
      <c r="AO1580" t="s">
        <v>8</v>
      </c>
      <c r="AP1580" s="1">
        <v>1417.55</v>
      </c>
      <c r="AQ1580" t="s">
        <v>8</v>
      </c>
      <c r="AR1580" t="s">
        <v>8</v>
      </c>
      <c r="AS1580" t="s">
        <v>8</v>
      </c>
      <c r="AT1580">
        <v>11945.7</v>
      </c>
    </row>
    <row r="1581" spans="34:46" x14ac:dyDescent="0.35">
      <c r="AH1581" t="s">
        <v>204</v>
      </c>
      <c r="AI1581" t="s">
        <v>180</v>
      </c>
      <c r="AJ1581" s="3">
        <v>43636</v>
      </c>
      <c r="AK1581" t="s">
        <v>41</v>
      </c>
      <c r="AL1581" s="1">
        <v>11200</v>
      </c>
      <c r="AM1581" t="s">
        <v>8</v>
      </c>
      <c r="AN1581" t="s">
        <v>8</v>
      </c>
      <c r="AO1581" t="s">
        <v>8</v>
      </c>
      <c r="AP1581">
        <v>707.15</v>
      </c>
      <c r="AQ1581" t="s">
        <v>8</v>
      </c>
      <c r="AR1581" t="s">
        <v>8</v>
      </c>
      <c r="AS1581" t="s">
        <v>8</v>
      </c>
      <c r="AT1581">
        <v>11945.7</v>
      </c>
    </row>
    <row r="1582" spans="34:46" x14ac:dyDescent="0.35">
      <c r="AH1582" t="s">
        <v>204</v>
      </c>
      <c r="AI1582" t="s">
        <v>180</v>
      </c>
      <c r="AJ1582" s="3">
        <v>43657</v>
      </c>
      <c r="AK1582" t="s">
        <v>41</v>
      </c>
      <c r="AL1582" s="1">
        <v>10250</v>
      </c>
      <c r="AM1582" t="s">
        <v>8</v>
      </c>
      <c r="AN1582" t="s">
        <v>8</v>
      </c>
      <c r="AO1582" t="s">
        <v>8</v>
      </c>
      <c r="AP1582" s="1">
        <v>1184.0999999999999</v>
      </c>
      <c r="AQ1582" t="s">
        <v>8</v>
      </c>
      <c r="AR1582" t="s">
        <v>8</v>
      </c>
      <c r="AS1582" t="s">
        <v>8</v>
      </c>
      <c r="AT1582">
        <v>11945.7</v>
      </c>
    </row>
    <row r="1583" spans="34:46" x14ac:dyDescent="0.35">
      <c r="AH1583" t="s">
        <v>204</v>
      </c>
      <c r="AI1583" t="s">
        <v>180</v>
      </c>
      <c r="AJ1583" s="3">
        <v>43636</v>
      </c>
      <c r="AK1583" t="s">
        <v>41</v>
      </c>
      <c r="AL1583" s="1">
        <v>11400</v>
      </c>
      <c r="AM1583" t="s">
        <v>8</v>
      </c>
      <c r="AN1583" t="s">
        <v>8</v>
      </c>
      <c r="AO1583" t="s">
        <v>8</v>
      </c>
      <c r="AP1583" s="1">
        <v>538.54999999999995</v>
      </c>
      <c r="AQ1583" t="s">
        <v>8</v>
      </c>
      <c r="AR1583" t="s">
        <v>8</v>
      </c>
      <c r="AS1583" t="s">
        <v>8</v>
      </c>
      <c r="AT1583">
        <v>11945.7</v>
      </c>
    </row>
    <row r="1584" spans="34:46" x14ac:dyDescent="0.35">
      <c r="AH1584" t="s">
        <v>204</v>
      </c>
      <c r="AI1584" t="s">
        <v>180</v>
      </c>
      <c r="AJ1584" s="3">
        <v>44742</v>
      </c>
      <c r="AK1584" t="s">
        <v>42</v>
      </c>
      <c r="AL1584" s="1">
        <v>7500</v>
      </c>
      <c r="AM1584" t="s">
        <v>8</v>
      </c>
      <c r="AN1584" t="s">
        <v>8</v>
      </c>
      <c r="AO1584" t="s">
        <v>8</v>
      </c>
      <c r="AP1584" s="1">
        <v>0.55000000000000004</v>
      </c>
      <c r="AQ1584" t="s">
        <v>8</v>
      </c>
      <c r="AR1584" t="s">
        <v>8</v>
      </c>
      <c r="AS1584" t="s">
        <v>8</v>
      </c>
      <c r="AT1584">
        <v>11945.7</v>
      </c>
    </row>
    <row r="1585" spans="34:46" x14ac:dyDescent="0.35">
      <c r="AH1585" t="s">
        <v>204</v>
      </c>
      <c r="AI1585" t="s">
        <v>180</v>
      </c>
      <c r="AJ1585" s="3">
        <v>43650</v>
      </c>
      <c r="AK1585" t="s">
        <v>42</v>
      </c>
      <c r="AL1585" s="1">
        <v>11850</v>
      </c>
      <c r="AM1585" t="s">
        <v>8</v>
      </c>
      <c r="AN1585" t="s">
        <v>8</v>
      </c>
      <c r="AO1585" t="s">
        <v>8</v>
      </c>
      <c r="AP1585" s="1">
        <v>245.2</v>
      </c>
      <c r="AQ1585" t="s">
        <v>8</v>
      </c>
      <c r="AR1585" t="s">
        <v>8</v>
      </c>
      <c r="AS1585" t="s">
        <v>8</v>
      </c>
      <c r="AT1585">
        <v>11945.7</v>
      </c>
    </row>
    <row r="1586" spans="34:46" x14ac:dyDescent="0.35">
      <c r="AH1586" t="s">
        <v>204</v>
      </c>
      <c r="AI1586" t="s">
        <v>180</v>
      </c>
      <c r="AJ1586" s="3">
        <v>43636</v>
      </c>
      <c r="AK1586" t="s">
        <v>41</v>
      </c>
      <c r="AL1586" s="1">
        <v>11600</v>
      </c>
      <c r="AM1586" t="s">
        <v>8</v>
      </c>
      <c r="AN1586" t="s">
        <v>8</v>
      </c>
      <c r="AO1586" t="s">
        <v>8</v>
      </c>
      <c r="AP1586" s="1">
        <v>389.95</v>
      </c>
      <c r="AQ1586" t="s">
        <v>8</v>
      </c>
      <c r="AR1586" t="s">
        <v>8</v>
      </c>
      <c r="AS1586" t="s">
        <v>8</v>
      </c>
      <c r="AT1586">
        <v>11945.7</v>
      </c>
    </row>
    <row r="1587" spans="34:46" x14ac:dyDescent="0.35">
      <c r="AH1587" t="s">
        <v>204</v>
      </c>
      <c r="AI1587" t="s">
        <v>180</v>
      </c>
      <c r="AJ1587" s="3">
        <v>44742</v>
      </c>
      <c r="AK1587" t="s">
        <v>42</v>
      </c>
      <c r="AL1587" s="1">
        <v>7700</v>
      </c>
      <c r="AM1587" t="s">
        <v>8</v>
      </c>
      <c r="AN1587" t="s">
        <v>8</v>
      </c>
      <c r="AO1587" t="s">
        <v>8</v>
      </c>
      <c r="AP1587">
        <v>0.9</v>
      </c>
      <c r="AQ1587" t="s">
        <v>8</v>
      </c>
      <c r="AR1587" t="s">
        <v>8</v>
      </c>
      <c r="AS1587" t="s">
        <v>8</v>
      </c>
      <c r="AT1587">
        <v>11945.7</v>
      </c>
    </row>
    <row r="1588" spans="34:46" x14ac:dyDescent="0.35">
      <c r="AH1588" t="s">
        <v>204</v>
      </c>
      <c r="AI1588" t="s">
        <v>180</v>
      </c>
      <c r="AJ1588" s="3">
        <v>44007</v>
      </c>
      <c r="AK1588" t="s">
        <v>41</v>
      </c>
      <c r="AL1588" s="1">
        <v>11000</v>
      </c>
      <c r="AM1588" t="s">
        <v>8</v>
      </c>
      <c r="AN1588" t="s">
        <v>8</v>
      </c>
      <c r="AO1588" t="s">
        <v>8</v>
      </c>
      <c r="AP1588" t="s">
        <v>8</v>
      </c>
      <c r="AQ1588" t="s">
        <v>8</v>
      </c>
      <c r="AR1588" t="s">
        <v>8</v>
      </c>
      <c r="AS1588" t="s">
        <v>8</v>
      </c>
      <c r="AT1588">
        <v>11945.7</v>
      </c>
    </row>
    <row r="1589" spans="34:46" x14ac:dyDescent="0.35">
      <c r="AH1589" t="s">
        <v>204</v>
      </c>
      <c r="AI1589" t="s">
        <v>180</v>
      </c>
      <c r="AJ1589" s="3">
        <v>44007</v>
      </c>
      <c r="AK1589" t="s">
        <v>41</v>
      </c>
      <c r="AL1589" s="1">
        <v>8900</v>
      </c>
      <c r="AM1589" t="s">
        <v>8</v>
      </c>
      <c r="AN1589" t="s">
        <v>8</v>
      </c>
      <c r="AO1589" t="s">
        <v>8</v>
      </c>
      <c r="AP1589" s="1" t="s">
        <v>8</v>
      </c>
      <c r="AQ1589" t="s">
        <v>8</v>
      </c>
      <c r="AR1589" t="s">
        <v>8</v>
      </c>
      <c r="AS1589" t="s">
        <v>8</v>
      </c>
      <c r="AT1589">
        <v>11945.7</v>
      </c>
    </row>
    <row r="1590" spans="34:46" x14ac:dyDescent="0.35">
      <c r="AH1590" t="s">
        <v>204</v>
      </c>
      <c r="AI1590" t="s">
        <v>180</v>
      </c>
      <c r="AJ1590" s="3">
        <v>43734</v>
      </c>
      <c r="AK1590" t="s">
        <v>41</v>
      </c>
      <c r="AL1590" s="1">
        <v>12500</v>
      </c>
      <c r="AM1590" t="s">
        <v>8</v>
      </c>
      <c r="AN1590" t="s">
        <v>8</v>
      </c>
      <c r="AO1590" t="s">
        <v>8</v>
      </c>
      <c r="AP1590" s="1">
        <v>428.75</v>
      </c>
      <c r="AQ1590" t="s">
        <v>8</v>
      </c>
      <c r="AR1590" t="s">
        <v>8</v>
      </c>
      <c r="AS1590" t="s">
        <v>8</v>
      </c>
      <c r="AT1590">
        <v>11945.7</v>
      </c>
    </row>
    <row r="1591" spans="34:46" x14ac:dyDescent="0.35">
      <c r="AH1591" t="s">
        <v>204</v>
      </c>
      <c r="AI1591" t="s">
        <v>180</v>
      </c>
      <c r="AJ1591" s="3">
        <v>44924</v>
      </c>
      <c r="AK1591" t="s">
        <v>42</v>
      </c>
      <c r="AL1591" s="1">
        <v>11100</v>
      </c>
      <c r="AM1591" t="s">
        <v>8</v>
      </c>
      <c r="AN1591" t="s">
        <v>8</v>
      </c>
      <c r="AO1591" t="s">
        <v>8</v>
      </c>
      <c r="AP1591" s="1">
        <v>159.19999999999999</v>
      </c>
      <c r="AQ1591" t="s">
        <v>8</v>
      </c>
      <c r="AR1591" t="s">
        <v>8</v>
      </c>
      <c r="AS1591" t="s">
        <v>8</v>
      </c>
      <c r="AT1591">
        <v>11945.7</v>
      </c>
    </row>
    <row r="1592" spans="34:46" x14ac:dyDescent="0.35">
      <c r="AH1592" t="s">
        <v>204</v>
      </c>
      <c r="AI1592" t="s">
        <v>180</v>
      </c>
      <c r="AJ1592" s="3">
        <v>44924</v>
      </c>
      <c r="AK1592" t="s">
        <v>42</v>
      </c>
      <c r="AL1592" s="1">
        <v>11300</v>
      </c>
      <c r="AM1592" t="s">
        <v>8</v>
      </c>
      <c r="AN1592" t="s">
        <v>8</v>
      </c>
      <c r="AO1592" t="s">
        <v>8</v>
      </c>
      <c r="AP1592">
        <v>184.85</v>
      </c>
      <c r="AQ1592" t="s">
        <v>8</v>
      </c>
      <c r="AR1592" t="s">
        <v>8</v>
      </c>
      <c r="AS1592" t="s">
        <v>8</v>
      </c>
      <c r="AT1592">
        <v>11945.7</v>
      </c>
    </row>
    <row r="1593" spans="34:46" x14ac:dyDescent="0.35">
      <c r="AH1593" t="s">
        <v>204</v>
      </c>
      <c r="AI1593" t="s">
        <v>180</v>
      </c>
      <c r="AJ1593" s="3">
        <v>44007</v>
      </c>
      <c r="AK1593" t="s">
        <v>42</v>
      </c>
      <c r="AL1593" s="1">
        <v>9100</v>
      </c>
      <c r="AM1593" t="s">
        <v>8</v>
      </c>
      <c r="AN1593" t="s">
        <v>8</v>
      </c>
      <c r="AO1593" t="s">
        <v>8</v>
      </c>
      <c r="AP1593" s="1">
        <v>113</v>
      </c>
      <c r="AQ1593" t="s">
        <v>8</v>
      </c>
      <c r="AR1593" t="s">
        <v>8</v>
      </c>
      <c r="AS1593" t="s">
        <v>8</v>
      </c>
      <c r="AT1593">
        <v>11945.7</v>
      </c>
    </row>
    <row r="1594" spans="34:46" x14ac:dyDescent="0.35">
      <c r="AH1594" t="s">
        <v>204</v>
      </c>
      <c r="AI1594" t="s">
        <v>180</v>
      </c>
      <c r="AJ1594" s="3">
        <v>43664</v>
      </c>
      <c r="AK1594" t="s">
        <v>41</v>
      </c>
      <c r="AL1594" s="1">
        <v>11700</v>
      </c>
      <c r="AM1594" t="s">
        <v>8</v>
      </c>
      <c r="AN1594" t="s">
        <v>8</v>
      </c>
      <c r="AO1594" t="s">
        <v>8</v>
      </c>
      <c r="AP1594" s="1">
        <v>144.44999999999999</v>
      </c>
      <c r="AQ1594" t="s">
        <v>8</v>
      </c>
      <c r="AR1594" t="s">
        <v>8</v>
      </c>
      <c r="AS1594" t="s">
        <v>8</v>
      </c>
      <c r="AT1594">
        <v>11945.7</v>
      </c>
    </row>
    <row r="1595" spans="34:46" x14ac:dyDescent="0.35">
      <c r="AH1595" t="s">
        <v>204</v>
      </c>
      <c r="AI1595" t="s">
        <v>180</v>
      </c>
      <c r="AJ1595" s="3">
        <v>44007</v>
      </c>
      <c r="AK1595" t="s">
        <v>42</v>
      </c>
      <c r="AL1595" s="1">
        <v>9300</v>
      </c>
      <c r="AM1595" t="s">
        <v>8</v>
      </c>
      <c r="AN1595" t="s">
        <v>8</v>
      </c>
      <c r="AO1595" t="s">
        <v>8</v>
      </c>
      <c r="AP1595" s="1">
        <v>230</v>
      </c>
      <c r="AQ1595" t="s">
        <v>8</v>
      </c>
      <c r="AR1595" t="s">
        <v>8</v>
      </c>
      <c r="AS1595" t="s">
        <v>8</v>
      </c>
      <c r="AT1595">
        <v>11945.7</v>
      </c>
    </row>
    <row r="1596" spans="34:46" x14ac:dyDescent="0.35">
      <c r="AH1596" t="s">
        <v>204</v>
      </c>
      <c r="AI1596" t="s">
        <v>180</v>
      </c>
      <c r="AJ1596" s="3">
        <v>44371</v>
      </c>
      <c r="AK1596" t="s">
        <v>42</v>
      </c>
      <c r="AL1596" s="1">
        <v>11100</v>
      </c>
      <c r="AM1596" t="s">
        <v>8</v>
      </c>
      <c r="AN1596" t="s">
        <v>8</v>
      </c>
      <c r="AO1596" t="s">
        <v>8</v>
      </c>
      <c r="AP1596" s="1" t="s">
        <v>8</v>
      </c>
      <c r="AQ1596" t="s">
        <v>8</v>
      </c>
      <c r="AR1596" t="s">
        <v>8</v>
      </c>
      <c r="AS1596" t="s">
        <v>8</v>
      </c>
      <c r="AT1596">
        <v>11945.7</v>
      </c>
    </row>
    <row r="1597" spans="34:46" x14ac:dyDescent="0.35">
      <c r="AH1597" t="s">
        <v>204</v>
      </c>
      <c r="AI1597" t="s">
        <v>180</v>
      </c>
      <c r="AJ1597" s="3">
        <v>43643</v>
      </c>
      <c r="AK1597" t="s">
        <v>42</v>
      </c>
      <c r="AL1597" s="1">
        <v>12450</v>
      </c>
      <c r="AM1597" t="s">
        <v>8</v>
      </c>
      <c r="AN1597" t="s">
        <v>8</v>
      </c>
      <c r="AO1597" t="s">
        <v>8</v>
      </c>
      <c r="AP1597" s="1">
        <v>746.75</v>
      </c>
      <c r="AQ1597" t="s">
        <v>8</v>
      </c>
      <c r="AR1597" t="s">
        <v>8</v>
      </c>
      <c r="AS1597" t="s">
        <v>8</v>
      </c>
      <c r="AT1597">
        <v>11945.7</v>
      </c>
    </row>
    <row r="1598" spans="34:46" x14ac:dyDescent="0.35">
      <c r="AH1598" t="s">
        <v>204</v>
      </c>
      <c r="AI1598" t="s">
        <v>180</v>
      </c>
      <c r="AJ1598" s="3">
        <v>43657</v>
      </c>
      <c r="AK1598" t="s">
        <v>41</v>
      </c>
      <c r="AL1598" s="1">
        <v>12200</v>
      </c>
      <c r="AM1598" t="s">
        <v>8</v>
      </c>
      <c r="AN1598" t="s">
        <v>8</v>
      </c>
      <c r="AO1598" t="s">
        <v>8</v>
      </c>
      <c r="AP1598">
        <v>45.9</v>
      </c>
      <c r="AQ1598" t="s">
        <v>8</v>
      </c>
      <c r="AR1598" t="s">
        <v>8</v>
      </c>
      <c r="AS1598" t="s">
        <v>8</v>
      </c>
      <c r="AT1598">
        <v>11945.7</v>
      </c>
    </row>
    <row r="1599" spans="34:46" x14ac:dyDescent="0.35">
      <c r="AH1599" t="s">
        <v>204</v>
      </c>
      <c r="AI1599" t="s">
        <v>180</v>
      </c>
      <c r="AJ1599" s="3">
        <v>43643</v>
      </c>
      <c r="AK1599" t="s">
        <v>42</v>
      </c>
      <c r="AL1599" s="1">
        <v>12650</v>
      </c>
      <c r="AM1599" t="s">
        <v>8</v>
      </c>
      <c r="AN1599" t="s">
        <v>8</v>
      </c>
      <c r="AO1599" t="s">
        <v>8</v>
      </c>
      <c r="AP1599" s="1">
        <v>909.35</v>
      </c>
      <c r="AQ1599" t="s">
        <v>8</v>
      </c>
      <c r="AR1599" t="s">
        <v>8</v>
      </c>
      <c r="AS1599" t="s">
        <v>8</v>
      </c>
      <c r="AT1599">
        <v>11945.7</v>
      </c>
    </row>
    <row r="1600" spans="34:46" x14ac:dyDescent="0.35">
      <c r="AH1600" t="s">
        <v>204</v>
      </c>
      <c r="AI1600" t="s">
        <v>180</v>
      </c>
      <c r="AJ1600" s="3">
        <v>43657</v>
      </c>
      <c r="AK1600" t="s">
        <v>41</v>
      </c>
      <c r="AL1600" s="1">
        <v>12400</v>
      </c>
      <c r="AM1600" t="s">
        <v>8</v>
      </c>
      <c r="AN1600" t="s">
        <v>8</v>
      </c>
      <c r="AO1600" t="s">
        <v>8</v>
      </c>
      <c r="AP1600" s="1">
        <v>25.8</v>
      </c>
      <c r="AQ1600" t="s">
        <v>8</v>
      </c>
      <c r="AR1600" t="s">
        <v>8</v>
      </c>
      <c r="AS1600" t="s">
        <v>8</v>
      </c>
      <c r="AT1600">
        <v>11945.7</v>
      </c>
    </row>
    <row r="1601" spans="34:46" x14ac:dyDescent="0.35">
      <c r="AH1601" t="s">
        <v>204</v>
      </c>
      <c r="AI1601" t="s">
        <v>180</v>
      </c>
      <c r="AJ1601" s="3">
        <v>44924</v>
      </c>
      <c r="AK1601" t="s">
        <v>42</v>
      </c>
      <c r="AL1601" s="1">
        <v>9900</v>
      </c>
      <c r="AM1601" t="s">
        <v>8</v>
      </c>
      <c r="AN1601" t="s">
        <v>8</v>
      </c>
      <c r="AO1601" t="s">
        <v>8</v>
      </c>
      <c r="AP1601">
        <v>55.6</v>
      </c>
      <c r="AQ1601" t="s">
        <v>8</v>
      </c>
      <c r="AR1601" t="s">
        <v>8</v>
      </c>
      <c r="AS1601" t="s">
        <v>8</v>
      </c>
      <c r="AT1601">
        <v>11945.7</v>
      </c>
    </row>
    <row r="1602" spans="34:46" x14ac:dyDescent="0.35">
      <c r="AH1602" t="s">
        <v>204</v>
      </c>
      <c r="AI1602" t="s">
        <v>180</v>
      </c>
      <c r="AJ1602" s="3">
        <v>43643</v>
      </c>
      <c r="AK1602" t="s">
        <v>42</v>
      </c>
      <c r="AL1602" s="1">
        <v>12850</v>
      </c>
      <c r="AM1602" t="s">
        <v>8</v>
      </c>
      <c r="AN1602" t="s">
        <v>8</v>
      </c>
      <c r="AO1602" t="s">
        <v>8</v>
      </c>
      <c r="AP1602" s="1">
        <v>1082.2</v>
      </c>
      <c r="AQ1602" t="s">
        <v>8</v>
      </c>
      <c r="AR1602" t="s">
        <v>8</v>
      </c>
      <c r="AS1602" t="s">
        <v>8</v>
      </c>
      <c r="AT1602">
        <v>11945.7</v>
      </c>
    </row>
    <row r="1603" spans="34:46" x14ac:dyDescent="0.35">
      <c r="AH1603" t="s">
        <v>204</v>
      </c>
      <c r="AI1603" t="s">
        <v>180</v>
      </c>
      <c r="AJ1603" s="3">
        <v>43615</v>
      </c>
      <c r="AK1603" t="s">
        <v>42</v>
      </c>
      <c r="AL1603" s="1">
        <v>13050</v>
      </c>
      <c r="AM1603" t="s">
        <v>8</v>
      </c>
      <c r="AN1603" t="s">
        <v>8</v>
      </c>
      <c r="AO1603" t="s">
        <v>8</v>
      </c>
      <c r="AP1603" s="1">
        <v>1333.6</v>
      </c>
      <c r="AQ1603" t="s">
        <v>8</v>
      </c>
      <c r="AR1603" t="s">
        <v>8</v>
      </c>
      <c r="AS1603" t="s">
        <v>8</v>
      </c>
      <c r="AT1603">
        <v>11945.7</v>
      </c>
    </row>
    <row r="1604" spans="34:46" x14ac:dyDescent="0.35">
      <c r="AH1604" t="s">
        <v>204</v>
      </c>
      <c r="AI1604" t="s">
        <v>180</v>
      </c>
      <c r="AJ1604" s="3">
        <v>43636</v>
      </c>
      <c r="AK1604" t="s">
        <v>42</v>
      </c>
      <c r="AL1604" s="1">
        <v>13150</v>
      </c>
      <c r="AM1604" t="s">
        <v>8</v>
      </c>
      <c r="AN1604" t="s">
        <v>8</v>
      </c>
      <c r="AO1604" t="s">
        <v>8</v>
      </c>
      <c r="AP1604" s="1">
        <v>1250.3499999999999</v>
      </c>
      <c r="AQ1604" t="s">
        <v>8</v>
      </c>
      <c r="AR1604" t="s">
        <v>8</v>
      </c>
      <c r="AS1604" t="s">
        <v>8</v>
      </c>
      <c r="AT1604">
        <v>11945.7</v>
      </c>
    </row>
    <row r="1605" spans="34:46" x14ac:dyDescent="0.35">
      <c r="AH1605" t="s">
        <v>204</v>
      </c>
      <c r="AI1605" t="s">
        <v>180</v>
      </c>
      <c r="AJ1605" s="3">
        <v>43916</v>
      </c>
      <c r="AK1605" t="s">
        <v>42</v>
      </c>
      <c r="AL1605" s="1">
        <v>9100</v>
      </c>
      <c r="AM1605" t="s">
        <v>8</v>
      </c>
      <c r="AN1605" t="s">
        <v>8</v>
      </c>
      <c r="AO1605" t="s">
        <v>8</v>
      </c>
      <c r="AP1605">
        <v>3.95</v>
      </c>
      <c r="AQ1605" t="s">
        <v>8</v>
      </c>
      <c r="AR1605" t="s">
        <v>8</v>
      </c>
      <c r="AS1605" t="s">
        <v>8</v>
      </c>
      <c r="AT1605">
        <v>11945.7</v>
      </c>
    </row>
    <row r="1606" spans="34:46" x14ac:dyDescent="0.35">
      <c r="AH1606" t="s">
        <v>204</v>
      </c>
      <c r="AI1606" t="s">
        <v>180</v>
      </c>
      <c r="AJ1606" s="3">
        <v>44560</v>
      </c>
      <c r="AK1606" t="s">
        <v>42</v>
      </c>
      <c r="AL1606" s="1">
        <v>6400</v>
      </c>
      <c r="AM1606" t="s">
        <v>8</v>
      </c>
      <c r="AN1606" t="s">
        <v>8</v>
      </c>
      <c r="AO1606" t="s">
        <v>8</v>
      </c>
      <c r="AP1606" s="1">
        <v>65.3</v>
      </c>
      <c r="AQ1606" t="s">
        <v>8</v>
      </c>
      <c r="AR1606" t="s">
        <v>8</v>
      </c>
      <c r="AS1606" t="s">
        <v>8</v>
      </c>
      <c r="AT1606">
        <v>11945.7</v>
      </c>
    </row>
    <row r="1607" spans="34:46" x14ac:dyDescent="0.35">
      <c r="AH1607" t="s">
        <v>204</v>
      </c>
      <c r="AI1607" t="s">
        <v>180</v>
      </c>
      <c r="AJ1607" s="3">
        <v>43916</v>
      </c>
      <c r="AK1607" t="s">
        <v>42</v>
      </c>
      <c r="AL1607" s="1">
        <v>9300</v>
      </c>
      <c r="AM1607" t="s">
        <v>8</v>
      </c>
      <c r="AN1607" t="s">
        <v>8</v>
      </c>
      <c r="AO1607" t="s">
        <v>8</v>
      </c>
      <c r="AP1607">
        <v>7.8</v>
      </c>
      <c r="AQ1607" t="s">
        <v>8</v>
      </c>
      <c r="AR1607" t="s">
        <v>8</v>
      </c>
      <c r="AS1607" t="s">
        <v>8</v>
      </c>
      <c r="AT1607">
        <v>11945.7</v>
      </c>
    </row>
    <row r="1608" spans="34:46" x14ac:dyDescent="0.35">
      <c r="AH1608" t="s">
        <v>204</v>
      </c>
      <c r="AI1608" t="s">
        <v>180</v>
      </c>
      <c r="AJ1608" s="3">
        <v>44371</v>
      </c>
      <c r="AK1608" t="s">
        <v>41</v>
      </c>
      <c r="AL1608" s="1">
        <v>11700</v>
      </c>
      <c r="AM1608" t="s">
        <v>8</v>
      </c>
      <c r="AN1608" t="s">
        <v>8</v>
      </c>
      <c r="AO1608" t="s">
        <v>8</v>
      </c>
      <c r="AP1608" s="1">
        <v>2175.25</v>
      </c>
      <c r="AQ1608" t="s">
        <v>8</v>
      </c>
      <c r="AR1608" t="s">
        <v>8</v>
      </c>
      <c r="AS1608" t="s">
        <v>8</v>
      </c>
      <c r="AT1608">
        <v>11945.7</v>
      </c>
    </row>
    <row r="1609" spans="34:46" x14ac:dyDescent="0.35">
      <c r="AH1609" t="s">
        <v>204</v>
      </c>
      <c r="AI1609" t="s">
        <v>180</v>
      </c>
      <c r="AJ1609" s="3">
        <v>43622</v>
      </c>
      <c r="AK1609" t="s">
        <v>41</v>
      </c>
      <c r="AL1609" s="1">
        <v>12750</v>
      </c>
      <c r="AM1609" t="s">
        <v>8</v>
      </c>
      <c r="AN1609" t="s">
        <v>8</v>
      </c>
      <c r="AO1609" t="s">
        <v>8</v>
      </c>
      <c r="AP1609" s="1">
        <v>15.3</v>
      </c>
      <c r="AQ1609" t="s">
        <v>8</v>
      </c>
      <c r="AR1609" t="s">
        <v>8</v>
      </c>
      <c r="AS1609" t="s">
        <v>8</v>
      </c>
      <c r="AT1609">
        <v>11945.7</v>
      </c>
    </row>
    <row r="1610" spans="34:46" x14ac:dyDescent="0.35">
      <c r="AH1610" t="s">
        <v>204</v>
      </c>
      <c r="AI1610" t="s">
        <v>180</v>
      </c>
      <c r="AJ1610" s="3">
        <v>44560</v>
      </c>
      <c r="AK1610" t="s">
        <v>42</v>
      </c>
      <c r="AL1610" s="1">
        <v>6600</v>
      </c>
      <c r="AM1610" t="s">
        <v>8</v>
      </c>
      <c r="AN1610" t="s">
        <v>8</v>
      </c>
      <c r="AO1610" t="s">
        <v>8</v>
      </c>
      <c r="AP1610" s="1">
        <v>79.900000000000006</v>
      </c>
      <c r="AQ1610" t="s">
        <v>8</v>
      </c>
      <c r="AR1610" t="s">
        <v>8</v>
      </c>
      <c r="AS1610" t="s">
        <v>8</v>
      </c>
      <c r="AT1610">
        <v>11945.7</v>
      </c>
    </row>
    <row r="1611" spans="34:46" x14ac:dyDescent="0.35">
      <c r="AH1611" t="s">
        <v>204</v>
      </c>
      <c r="AI1611" t="s">
        <v>180</v>
      </c>
      <c r="AJ1611" s="3">
        <v>43664</v>
      </c>
      <c r="AK1611" t="s">
        <v>42</v>
      </c>
      <c r="AL1611" s="1">
        <v>13250</v>
      </c>
      <c r="AM1611" t="s">
        <v>8</v>
      </c>
      <c r="AN1611" t="s">
        <v>8</v>
      </c>
      <c r="AO1611" t="s">
        <v>8</v>
      </c>
      <c r="AP1611" s="1">
        <v>1342.4</v>
      </c>
      <c r="AQ1611" t="s">
        <v>8</v>
      </c>
      <c r="AR1611" t="s">
        <v>8</v>
      </c>
      <c r="AS1611" t="s">
        <v>8</v>
      </c>
      <c r="AT1611">
        <v>11945.7</v>
      </c>
    </row>
    <row r="1612" spans="34:46" x14ac:dyDescent="0.35">
      <c r="AH1612" t="s">
        <v>204</v>
      </c>
      <c r="AI1612" t="s">
        <v>180</v>
      </c>
      <c r="AJ1612" s="3">
        <v>43629</v>
      </c>
      <c r="AK1612" t="s">
        <v>41</v>
      </c>
      <c r="AL1612" s="1">
        <v>11000</v>
      </c>
      <c r="AM1612" t="s">
        <v>8</v>
      </c>
      <c r="AN1612" t="s">
        <v>8</v>
      </c>
      <c r="AO1612" t="s">
        <v>8</v>
      </c>
      <c r="AP1612" s="1">
        <v>753</v>
      </c>
      <c r="AQ1612" t="s">
        <v>8</v>
      </c>
      <c r="AR1612" t="s">
        <v>8</v>
      </c>
      <c r="AS1612" t="s">
        <v>8</v>
      </c>
      <c r="AT1612">
        <v>11945.7</v>
      </c>
    </row>
    <row r="1613" spans="34:46" x14ac:dyDescent="0.35">
      <c r="AH1613" t="s">
        <v>204</v>
      </c>
      <c r="AI1613" t="s">
        <v>180</v>
      </c>
      <c r="AJ1613" s="3">
        <v>44371</v>
      </c>
      <c r="AK1613" t="s">
        <v>41</v>
      </c>
      <c r="AL1613" s="1">
        <v>11900</v>
      </c>
      <c r="AM1613" t="s">
        <v>8</v>
      </c>
      <c r="AN1613" t="s">
        <v>8</v>
      </c>
      <c r="AO1613" t="s">
        <v>8</v>
      </c>
      <c r="AP1613" s="1">
        <v>2186.9499999999998</v>
      </c>
      <c r="AQ1613" t="s">
        <v>8</v>
      </c>
      <c r="AR1613" t="s">
        <v>8</v>
      </c>
      <c r="AS1613" t="s">
        <v>8</v>
      </c>
      <c r="AT1613">
        <v>11945.7</v>
      </c>
    </row>
    <row r="1614" spans="34:46" x14ac:dyDescent="0.35">
      <c r="AH1614" t="s">
        <v>204</v>
      </c>
      <c r="AI1614" t="s">
        <v>180</v>
      </c>
      <c r="AJ1614" s="3">
        <v>44560</v>
      </c>
      <c r="AK1614" t="s">
        <v>42</v>
      </c>
      <c r="AL1614" s="1">
        <v>6800</v>
      </c>
      <c r="AM1614" t="s">
        <v>8</v>
      </c>
      <c r="AN1614" t="s">
        <v>8</v>
      </c>
      <c r="AO1614" t="s">
        <v>8</v>
      </c>
      <c r="AP1614">
        <v>96.7</v>
      </c>
      <c r="AQ1614" t="s">
        <v>8</v>
      </c>
      <c r="AR1614" t="s">
        <v>8</v>
      </c>
      <c r="AS1614" t="s">
        <v>8</v>
      </c>
      <c r="AT1614">
        <v>11945.7</v>
      </c>
    </row>
    <row r="1615" spans="34:46" x14ac:dyDescent="0.35">
      <c r="AH1615" t="s">
        <v>204</v>
      </c>
      <c r="AI1615" t="s">
        <v>180</v>
      </c>
      <c r="AJ1615" s="3">
        <v>43650</v>
      </c>
      <c r="AK1615" t="s">
        <v>41</v>
      </c>
      <c r="AL1615" s="1">
        <v>10050</v>
      </c>
      <c r="AM1615" t="s">
        <v>8</v>
      </c>
      <c r="AN1615" t="s">
        <v>8</v>
      </c>
      <c r="AO1615" t="s">
        <v>8</v>
      </c>
      <c r="AP1615" s="1">
        <v>1561.55</v>
      </c>
      <c r="AQ1615" t="s">
        <v>8</v>
      </c>
      <c r="AR1615" t="s">
        <v>8</v>
      </c>
      <c r="AS1615" t="s">
        <v>8</v>
      </c>
      <c r="AT1615">
        <v>11945.7</v>
      </c>
    </row>
    <row r="1616" spans="34:46" x14ac:dyDescent="0.35">
      <c r="AH1616" t="s">
        <v>204</v>
      </c>
      <c r="AI1616" t="s">
        <v>180</v>
      </c>
      <c r="AJ1616" s="3">
        <v>43664</v>
      </c>
      <c r="AK1616" t="s">
        <v>42</v>
      </c>
      <c r="AL1616" s="1">
        <v>13450</v>
      </c>
      <c r="AM1616" t="s">
        <v>8</v>
      </c>
      <c r="AN1616" t="s">
        <v>8</v>
      </c>
      <c r="AO1616" t="s">
        <v>8</v>
      </c>
      <c r="AP1616" s="1">
        <v>1423.9</v>
      </c>
      <c r="AQ1616" t="s">
        <v>8</v>
      </c>
      <c r="AR1616" t="s">
        <v>8</v>
      </c>
      <c r="AS1616" t="s">
        <v>8</v>
      </c>
      <c r="AT1616">
        <v>11945.7</v>
      </c>
    </row>
    <row r="1617" spans="34:46" x14ac:dyDescent="0.35">
      <c r="AH1617" t="s">
        <v>204</v>
      </c>
      <c r="AI1617" t="s">
        <v>180</v>
      </c>
      <c r="AJ1617" s="3">
        <v>43629</v>
      </c>
      <c r="AK1617" t="s">
        <v>41</v>
      </c>
      <c r="AL1617" s="1">
        <v>11200</v>
      </c>
      <c r="AM1617" t="s">
        <v>8</v>
      </c>
      <c r="AN1617" t="s">
        <v>8</v>
      </c>
      <c r="AO1617" t="s">
        <v>8</v>
      </c>
      <c r="AP1617" s="1">
        <v>866.8</v>
      </c>
      <c r="AQ1617" t="s">
        <v>8</v>
      </c>
      <c r="AR1617" t="s">
        <v>8</v>
      </c>
      <c r="AS1617" t="s">
        <v>8</v>
      </c>
      <c r="AT1617">
        <v>11945.7</v>
      </c>
    </row>
    <row r="1618" spans="34:46" x14ac:dyDescent="0.35">
      <c r="AH1618" t="s">
        <v>204</v>
      </c>
      <c r="AI1618" t="s">
        <v>180</v>
      </c>
      <c r="AJ1618" s="3">
        <v>43671</v>
      </c>
      <c r="AK1618" t="s">
        <v>41</v>
      </c>
      <c r="AL1618" s="1">
        <v>10350</v>
      </c>
      <c r="AM1618" t="s">
        <v>8</v>
      </c>
      <c r="AN1618" t="s">
        <v>8</v>
      </c>
      <c r="AO1618" t="s">
        <v>8</v>
      </c>
      <c r="AP1618" s="1">
        <v>1479.6</v>
      </c>
      <c r="AQ1618" t="s">
        <v>8</v>
      </c>
      <c r="AR1618" t="s">
        <v>8</v>
      </c>
      <c r="AS1618" t="s">
        <v>8</v>
      </c>
      <c r="AT1618">
        <v>11945.7</v>
      </c>
    </row>
    <row r="1619" spans="34:46" x14ac:dyDescent="0.35">
      <c r="AH1619" t="s">
        <v>204</v>
      </c>
      <c r="AI1619" t="s">
        <v>180</v>
      </c>
      <c r="AJ1619" s="3">
        <v>43671</v>
      </c>
      <c r="AK1619" t="s">
        <v>41</v>
      </c>
      <c r="AL1619" s="1">
        <v>10550</v>
      </c>
      <c r="AM1619" t="s">
        <v>8</v>
      </c>
      <c r="AN1619" t="s">
        <v>8</v>
      </c>
      <c r="AO1619" t="s">
        <v>8</v>
      </c>
      <c r="AP1619" s="1">
        <v>1290.05</v>
      </c>
      <c r="AQ1619" t="s">
        <v>8</v>
      </c>
      <c r="AR1619" t="s">
        <v>8</v>
      </c>
      <c r="AS1619" t="s">
        <v>8</v>
      </c>
      <c r="AT1619">
        <v>11945.7</v>
      </c>
    </row>
    <row r="1620" spans="34:46" x14ac:dyDescent="0.35">
      <c r="AH1620" t="s">
        <v>204</v>
      </c>
      <c r="AI1620" t="s">
        <v>180</v>
      </c>
      <c r="AJ1620" s="3">
        <v>43916</v>
      </c>
      <c r="AK1620" t="s">
        <v>41</v>
      </c>
      <c r="AL1620" s="1">
        <v>12500</v>
      </c>
      <c r="AM1620" t="s">
        <v>8</v>
      </c>
      <c r="AN1620" t="s">
        <v>8</v>
      </c>
      <c r="AO1620" t="s">
        <v>8</v>
      </c>
      <c r="AP1620">
        <v>617.5</v>
      </c>
      <c r="AQ1620" t="s">
        <v>8</v>
      </c>
      <c r="AR1620" t="s">
        <v>8</v>
      </c>
      <c r="AS1620" t="s">
        <v>8</v>
      </c>
      <c r="AT1620">
        <v>11945.7</v>
      </c>
    </row>
    <row r="1621" spans="34:46" x14ac:dyDescent="0.35">
      <c r="AH1621" t="s">
        <v>204</v>
      </c>
      <c r="AI1621" t="s">
        <v>180</v>
      </c>
      <c r="AJ1621" s="3">
        <v>43615</v>
      </c>
      <c r="AK1621" t="s">
        <v>41</v>
      </c>
      <c r="AL1621" s="1">
        <v>9950</v>
      </c>
      <c r="AM1621" t="s">
        <v>8</v>
      </c>
      <c r="AN1621" t="s">
        <v>8</v>
      </c>
      <c r="AO1621" t="s">
        <v>8</v>
      </c>
      <c r="AP1621" s="1">
        <v>1041.3499999999999</v>
      </c>
      <c r="AQ1621" t="s">
        <v>8</v>
      </c>
      <c r="AR1621" t="s">
        <v>8</v>
      </c>
      <c r="AS1621" t="s">
        <v>8</v>
      </c>
      <c r="AT1621">
        <v>11945.7</v>
      </c>
    </row>
    <row r="1622" spans="34:46" x14ac:dyDescent="0.35">
      <c r="AH1622" t="s">
        <v>204</v>
      </c>
      <c r="AI1622" t="s">
        <v>180</v>
      </c>
      <c r="AJ1622" s="3">
        <v>43671</v>
      </c>
      <c r="AK1622" t="s">
        <v>42</v>
      </c>
      <c r="AL1622" s="1">
        <v>10600</v>
      </c>
      <c r="AM1622" t="s">
        <v>8</v>
      </c>
      <c r="AN1622" t="s">
        <v>8</v>
      </c>
      <c r="AO1622" t="s">
        <v>8</v>
      </c>
      <c r="AP1622">
        <v>22.8</v>
      </c>
      <c r="AQ1622" t="s">
        <v>8</v>
      </c>
      <c r="AR1622" t="s">
        <v>8</v>
      </c>
      <c r="AS1622" t="s">
        <v>8</v>
      </c>
      <c r="AT1622">
        <v>11945.7</v>
      </c>
    </row>
    <row r="1623" spans="34:46" x14ac:dyDescent="0.35">
      <c r="AH1623" t="s">
        <v>204</v>
      </c>
      <c r="AI1623" t="s">
        <v>180</v>
      </c>
      <c r="AJ1623" s="3">
        <v>43657</v>
      </c>
      <c r="AK1623" t="s">
        <v>42</v>
      </c>
      <c r="AL1623" s="1">
        <v>12650</v>
      </c>
      <c r="AM1623" t="s">
        <v>8</v>
      </c>
      <c r="AN1623" t="s">
        <v>8</v>
      </c>
      <c r="AO1623" t="s">
        <v>8</v>
      </c>
      <c r="AP1623" s="1">
        <v>1205.2</v>
      </c>
      <c r="AQ1623" t="s">
        <v>8</v>
      </c>
      <c r="AR1623" t="s">
        <v>8</v>
      </c>
      <c r="AS1623" t="s">
        <v>8</v>
      </c>
      <c r="AT1623">
        <v>11945.7</v>
      </c>
    </row>
    <row r="1624" spans="34:46" x14ac:dyDescent="0.35">
      <c r="AH1624" t="s">
        <v>204</v>
      </c>
      <c r="AI1624" t="s">
        <v>180</v>
      </c>
      <c r="AJ1624" s="3">
        <v>43825</v>
      </c>
      <c r="AK1624" t="s">
        <v>41</v>
      </c>
      <c r="AL1624" s="1">
        <v>8900</v>
      </c>
      <c r="AM1624" t="s">
        <v>8</v>
      </c>
      <c r="AN1624" t="s">
        <v>8</v>
      </c>
      <c r="AO1624" t="s">
        <v>8</v>
      </c>
      <c r="AP1624" s="1" t="s">
        <v>8</v>
      </c>
      <c r="AQ1624" t="s">
        <v>8</v>
      </c>
      <c r="AR1624" t="s">
        <v>8</v>
      </c>
      <c r="AS1624" t="s">
        <v>8</v>
      </c>
      <c r="AT1624">
        <v>11945.7</v>
      </c>
    </row>
    <row r="1625" spans="34:46" x14ac:dyDescent="0.35">
      <c r="AH1625" t="s">
        <v>204</v>
      </c>
      <c r="AI1625" t="s">
        <v>180</v>
      </c>
      <c r="AJ1625" s="3">
        <v>43643</v>
      </c>
      <c r="AK1625" t="s">
        <v>41</v>
      </c>
      <c r="AL1625" s="1">
        <v>8800</v>
      </c>
      <c r="AM1625" t="s">
        <v>8</v>
      </c>
      <c r="AN1625" t="s">
        <v>8</v>
      </c>
      <c r="AO1625" t="s">
        <v>8</v>
      </c>
      <c r="AP1625" s="1">
        <v>2136</v>
      </c>
      <c r="AQ1625" t="s">
        <v>8</v>
      </c>
      <c r="AR1625" t="s">
        <v>8</v>
      </c>
      <c r="AS1625" t="s">
        <v>8</v>
      </c>
      <c r="AT1625">
        <v>11945.7</v>
      </c>
    </row>
    <row r="1626" spans="34:46" x14ac:dyDescent="0.35">
      <c r="AH1626" t="s">
        <v>204</v>
      </c>
      <c r="AI1626" t="s">
        <v>180</v>
      </c>
      <c r="AJ1626" s="3">
        <v>43657</v>
      </c>
      <c r="AK1626" t="s">
        <v>42</v>
      </c>
      <c r="AL1626" s="1">
        <v>12850</v>
      </c>
      <c r="AM1626" t="s">
        <v>8</v>
      </c>
      <c r="AN1626" t="s">
        <v>8</v>
      </c>
      <c r="AO1626" t="s">
        <v>8</v>
      </c>
      <c r="AP1626" s="1">
        <v>1318.35</v>
      </c>
      <c r="AQ1626" t="s">
        <v>8</v>
      </c>
      <c r="AR1626" t="s">
        <v>8</v>
      </c>
      <c r="AS1626" t="s">
        <v>8</v>
      </c>
      <c r="AT1626">
        <v>11945.7</v>
      </c>
    </row>
    <row r="1627" spans="34:46" x14ac:dyDescent="0.35">
      <c r="AH1627" t="s">
        <v>204</v>
      </c>
      <c r="AI1627" t="s">
        <v>180</v>
      </c>
      <c r="AJ1627" s="3">
        <v>43825</v>
      </c>
      <c r="AK1627" t="s">
        <v>41</v>
      </c>
      <c r="AL1627" s="1">
        <v>10200</v>
      </c>
      <c r="AM1627" t="s">
        <v>8</v>
      </c>
      <c r="AN1627" t="s">
        <v>8</v>
      </c>
      <c r="AO1627" t="s">
        <v>8</v>
      </c>
      <c r="AP1627" s="1">
        <v>1250</v>
      </c>
      <c r="AQ1627" t="s">
        <v>8</v>
      </c>
      <c r="AR1627" t="s">
        <v>8</v>
      </c>
      <c r="AS1627" t="s">
        <v>8</v>
      </c>
      <c r="AT1627">
        <v>11945.7</v>
      </c>
    </row>
    <row r="1628" spans="34:46" x14ac:dyDescent="0.35">
      <c r="AH1628" t="s">
        <v>204</v>
      </c>
      <c r="AI1628" t="s">
        <v>180</v>
      </c>
      <c r="AJ1628" s="3">
        <v>43650</v>
      </c>
      <c r="AK1628" t="s">
        <v>41</v>
      </c>
      <c r="AL1628" s="1">
        <v>12000</v>
      </c>
      <c r="AM1628" t="s">
        <v>8</v>
      </c>
      <c r="AN1628" t="s">
        <v>8</v>
      </c>
      <c r="AO1628" t="s">
        <v>8</v>
      </c>
      <c r="AP1628" s="1">
        <v>197.35</v>
      </c>
      <c r="AQ1628" t="s">
        <v>8</v>
      </c>
      <c r="AR1628" t="s">
        <v>8</v>
      </c>
      <c r="AS1628" t="s">
        <v>8</v>
      </c>
      <c r="AT1628">
        <v>11945.7</v>
      </c>
    </row>
    <row r="1629" spans="34:46" x14ac:dyDescent="0.35">
      <c r="AH1629" t="s">
        <v>204</v>
      </c>
      <c r="AI1629" t="s">
        <v>180</v>
      </c>
      <c r="AJ1629" s="3">
        <v>43643</v>
      </c>
      <c r="AK1629" t="s">
        <v>42</v>
      </c>
      <c r="AL1629" s="1">
        <v>9200</v>
      </c>
      <c r="AM1629" t="s">
        <v>8</v>
      </c>
      <c r="AN1629" t="s">
        <v>8</v>
      </c>
      <c r="AO1629" t="s">
        <v>8</v>
      </c>
      <c r="AP1629">
        <v>5.5</v>
      </c>
      <c r="AQ1629" t="s">
        <v>8</v>
      </c>
      <c r="AR1629" t="s">
        <v>8</v>
      </c>
      <c r="AS1629" t="s">
        <v>8</v>
      </c>
      <c r="AT1629">
        <v>11945.7</v>
      </c>
    </row>
    <row r="1630" spans="34:46" x14ac:dyDescent="0.35">
      <c r="AH1630" t="s">
        <v>204</v>
      </c>
      <c r="AI1630" t="s">
        <v>180</v>
      </c>
      <c r="AJ1630" s="3">
        <v>43825</v>
      </c>
      <c r="AK1630" t="s">
        <v>42</v>
      </c>
      <c r="AL1630" s="1">
        <v>7600</v>
      </c>
      <c r="AM1630" t="s">
        <v>8</v>
      </c>
      <c r="AN1630" t="s">
        <v>8</v>
      </c>
      <c r="AO1630" t="s">
        <v>8</v>
      </c>
      <c r="AP1630">
        <v>60.5</v>
      </c>
      <c r="AQ1630" t="s">
        <v>8</v>
      </c>
      <c r="AR1630" t="s">
        <v>8</v>
      </c>
      <c r="AS1630" t="s">
        <v>8</v>
      </c>
      <c r="AT1630">
        <v>11945.7</v>
      </c>
    </row>
    <row r="1631" spans="34:46" x14ac:dyDescent="0.35">
      <c r="AH1631" t="s">
        <v>204</v>
      </c>
      <c r="AI1631" t="s">
        <v>180</v>
      </c>
      <c r="AJ1631" s="3">
        <v>43650</v>
      </c>
      <c r="AK1631" t="s">
        <v>41</v>
      </c>
      <c r="AL1631" s="1">
        <v>12200</v>
      </c>
      <c r="AM1631" t="s">
        <v>8</v>
      </c>
      <c r="AN1631" t="s">
        <v>8</v>
      </c>
      <c r="AO1631" t="s">
        <v>8</v>
      </c>
      <c r="AP1631" s="1">
        <v>127.65</v>
      </c>
      <c r="AQ1631" t="s">
        <v>8</v>
      </c>
      <c r="AR1631" t="s">
        <v>8</v>
      </c>
      <c r="AS1631" t="s">
        <v>8</v>
      </c>
      <c r="AT1631">
        <v>11945.7</v>
      </c>
    </row>
    <row r="1632" spans="34:46" x14ac:dyDescent="0.35">
      <c r="AH1632" t="s">
        <v>204</v>
      </c>
      <c r="AI1632" t="s">
        <v>180</v>
      </c>
      <c r="AJ1632" s="3">
        <v>43825</v>
      </c>
      <c r="AK1632" t="s">
        <v>42</v>
      </c>
      <c r="AL1632" s="1">
        <v>7800</v>
      </c>
      <c r="AM1632" t="s">
        <v>8</v>
      </c>
      <c r="AN1632" t="s">
        <v>8</v>
      </c>
      <c r="AO1632" t="s">
        <v>8</v>
      </c>
      <c r="AP1632" s="1">
        <v>20.25</v>
      </c>
      <c r="AQ1632" t="s">
        <v>8</v>
      </c>
      <c r="AR1632" t="s">
        <v>8</v>
      </c>
      <c r="AS1632" t="s">
        <v>8</v>
      </c>
      <c r="AT1632">
        <v>11945.7</v>
      </c>
    </row>
    <row r="1633" spans="34:46" x14ac:dyDescent="0.35">
      <c r="AH1633" t="s">
        <v>204</v>
      </c>
      <c r="AI1633" t="s">
        <v>180</v>
      </c>
      <c r="AJ1633" s="3">
        <v>43643</v>
      </c>
      <c r="AK1633" t="s">
        <v>42</v>
      </c>
      <c r="AL1633" s="1">
        <v>7900</v>
      </c>
      <c r="AM1633" t="s">
        <v>8</v>
      </c>
      <c r="AN1633" t="s">
        <v>8</v>
      </c>
      <c r="AO1633" t="s">
        <v>8</v>
      </c>
      <c r="AP1633" s="1">
        <v>24.3</v>
      </c>
      <c r="AQ1633" t="s">
        <v>8</v>
      </c>
      <c r="AR1633" t="s">
        <v>8</v>
      </c>
      <c r="AS1633" t="s">
        <v>8</v>
      </c>
      <c r="AT1633">
        <v>11945.7</v>
      </c>
    </row>
    <row r="1634" spans="34:46" x14ac:dyDescent="0.35">
      <c r="AH1634" t="s">
        <v>204</v>
      </c>
      <c r="AI1634" t="s">
        <v>180</v>
      </c>
      <c r="AJ1634" s="3">
        <v>43650</v>
      </c>
      <c r="AK1634" t="s">
        <v>41</v>
      </c>
      <c r="AL1634" s="1">
        <v>10900</v>
      </c>
      <c r="AM1634" t="s">
        <v>8</v>
      </c>
      <c r="AN1634" t="s">
        <v>8</v>
      </c>
      <c r="AO1634" t="s">
        <v>8</v>
      </c>
      <c r="AP1634" s="1">
        <v>973.7</v>
      </c>
      <c r="AQ1634" t="s">
        <v>8</v>
      </c>
      <c r="AR1634" t="s">
        <v>8</v>
      </c>
      <c r="AS1634" t="s">
        <v>8</v>
      </c>
      <c r="AT1634">
        <v>11945.7</v>
      </c>
    </row>
    <row r="1635" spans="34:46" x14ac:dyDescent="0.35">
      <c r="AH1635" t="s">
        <v>204</v>
      </c>
      <c r="AI1635" t="s">
        <v>180</v>
      </c>
      <c r="AJ1635" s="3">
        <v>43636</v>
      </c>
      <c r="AK1635" t="s">
        <v>41</v>
      </c>
      <c r="AL1635" s="1">
        <v>10050</v>
      </c>
      <c r="AM1635" t="s">
        <v>8</v>
      </c>
      <c r="AN1635" t="s">
        <v>8</v>
      </c>
      <c r="AO1635" t="s">
        <v>8</v>
      </c>
      <c r="AP1635" s="1">
        <v>1533.95</v>
      </c>
      <c r="AQ1635" t="s">
        <v>8</v>
      </c>
      <c r="AR1635" t="s">
        <v>8</v>
      </c>
      <c r="AS1635" t="s">
        <v>8</v>
      </c>
      <c r="AT1635">
        <v>11945.7</v>
      </c>
    </row>
    <row r="1636" spans="34:46" x14ac:dyDescent="0.35">
      <c r="AH1636" t="s">
        <v>204</v>
      </c>
      <c r="AI1636" t="s">
        <v>180</v>
      </c>
      <c r="AJ1636" s="3">
        <v>44371</v>
      </c>
      <c r="AK1636" t="s">
        <v>42</v>
      </c>
      <c r="AL1636" s="1">
        <v>9400</v>
      </c>
      <c r="AM1636" t="s">
        <v>8</v>
      </c>
      <c r="AN1636" t="s">
        <v>8</v>
      </c>
      <c r="AO1636" t="s">
        <v>8</v>
      </c>
      <c r="AP1636">
        <v>454.6</v>
      </c>
      <c r="AQ1636" t="s">
        <v>8</v>
      </c>
      <c r="AR1636" t="s">
        <v>8</v>
      </c>
      <c r="AS1636" t="s">
        <v>8</v>
      </c>
      <c r="AT1636">
        <v>11945.7</v>
      </c>
    </row>
    <row r="1637" spans="34:46" x14ac:dyDescent="0.35">
      <c r="AH1637" t="s">
        <v>204</v>
      </c>
      <c r="AI1637" t="s">
        <v>180</v>
      </c>
      <c r="AJ1637" s="3">
        <v>43629</v>
      </c>
      <c r="AK1637" t="s">
        <v>42</v>
      </c>
      <c r="AL1637" s="1">
        <v>11650</v>
      </c>
      <c r="AM1637" t="s">
        <v>8</v>
      </c>
      <c r="AN1637" t="s">
        <v>8</v>
      </c>
      <c r="AO1637" t="s">
        <v>8</v>
      </c>
      <c r="AP1637" s="1">
        <v>190.45</v>
      </c>
      <c r="AQ1637" t="s">
        <v>8</v>
      </c>
      <c r="AR1637" t="s">
        <v>8</v>
      </c>
      <c r="AS1637" t="s">
        <v>8</v>
      </c>
      <c r="AT1637">
        <v>11945.7</v>
      </c>
    </row>
    <row r="1638" spans="34:46" x14ac:dyDescent="0.35">
      <c r="AH1638" t="s">
        <v>204</v>
      </c>
      <c r="AI1638" t="s">
        <v>180</v>
      </c>
      <c r="AJ1638" s="3">
        <v>44196</v>
      </c>
      <c r="AK1638" t="s">
        <v>42</v>
      </c>
      <c r="AL1638" s="1">
        <v>5600</v>
      </c>
      <c r="AM1638" t="s">
        <v>8</v>
      </c>
      <c r="AN1638" t="s">
        <v>8</v>
      </c>
      <c r="AO1638" t="s">
        <v>8</v>
      </c>
      <c r="AP1638" s="1">
        <v>8.1999999999999993</v>
      </c>
      <c r="AQ1638" t="s">
        <v>8</v>
      </c>
      <c r="AR1638" t="s">
        <v>8</v>
      </c>
      <c r="AS1638" t="s">
        <v>8</v>
      </c>
      <c r="AT1638">
        <v>11945.7</v>
      </c>
    </row>
    <row r="1639" spans="34:46" x14ac:dyDescent="0.35">
      <c r="AH1639" t="s">
        <v>204</v>
      </c>
      <c r="AI1639" t="s">
        <v>180</v>
      </c>
      <c r="AJ1639" s="3">
        <v>44371</v>
      </c>
      <c r="AK1639" t="s">
        <v>42</v>
      </c>
      <c r="AL1639" s="1">
        <v>9600</v>
      </c>
      <c r="AM1639" t="s">
        <v>8</v>
      </c>
      <c r="AN1639" t="s">
        <v>8</v>
      </c>
      <c r="AO1639" t="s">
        <v>8</v>
      </c>
      <c r="AP1639">
        <v>502.95</v>
      </c>
      <c r="AQ1639" t="s">
        <v>8</v>
      </c>
      <c r="AR1639" t="s">
        <v>8</v>
      </c>
      <c r="AS1639" t="s">
        <v>8</v>
      </c>
      <c r="AT1639">
        <v>11945.7</v>
      </c>
    </row>
    <row r="1640" spans="34:46" x14ac:dyDescent="0.35">
      <c r="AH1640" t="s">
        <v>204</v>
      </c>
      <c r="AI1640" t="s">
        <v>180</v>
      </c>
      <c r="AJ1640" s="3">
        <v>44196</v>
      </c>
      <c r="AK1640" t="s">
        <v>42</v>
      </c>
      <c r="AL1640" s="1">
        <v>5800</v>
      </c>
      <c r="AM1640" t="s">
        <v>8</v>
      </c>
      <c r="AN1640" t="s">
        <v>8</v>
      </c>
      <c r="AO1640" t="s">
        <v>8</v>
      </c>
      <c r="AP1640" s="1">
        <v>11.35</v>
      </c>
      <c r="AQ1640" t="s">
        <v>8</v>
      </c>
      <c r="AR1640" t="s">
        <v>8</v>
      </c>
      <c r="AS1640" t="s">
        <v>8</v>
      </c>
      <c r="AT1640">
        <v>11945.7</v>
      </c>
    </row>
    <row r="1641" spans="34:46" x14ac:dyDescent="0.35">
      <c r="AH1641" t="s">
        <v>204</v>
      </c>
      <c r="AI1641" t="s">
        <v>180</v>
      </c>
      <c r="AJ1641" s="3">
        <v>43636</v>
      </c>
      <c r="AK1641" t="s">
        <v>42</v>
      </c>
      <c r="AL1641" s="1">
        <v>10100</v>
      </c>
      <c r="AM1641" t="s">
        <v>8</v>
      </c>
      <c r="AN1641" t="s">
        <v>8</v>
      </c>
      <c r="AO1641" t="s">
        <v>8</v>
      </c>
      <c r="AP1641" s="1">
        <v>0.35</v>
      </c>
      <c r="AQ1641" t="s">
        <v>8</v>
      </c>
      <c r="AR1641" t="s">
        <v>8</v>
      </c>
      <c r="AS1641" t="s">
        <v>8</v>
      </c>
      <c r="AT1641">
        <v>11945.7</v>
      </c>
    </row>
    <row r="1642" spans="34:46" x14ac:dyDescent="0.35">
      <c r="AH1642" t="s">
        <v>204</v>
      </c>
      <c r="AI1642" t="s">
        <v>180</v>
      </c>
      <c r="AJ1642" s="3">
        <v>44371</v>
      </c>
      <c r="AK1642" t="s">
        <v>42</v>
      </c>
      <c r="AL1642" s="1">
        <v>9800</v>
      </c>
      <c r="AM1642" t="s">
        <v>8</v>
      </c>
      <c r="AN1642" t="s">
        <v>8</v>
      </c>
      <c r="AO1642" t="s">
        <v>8</v>
      </c>
      <c r="AP1642" s="1">
        <v>299</v>
      </c>
      <c r="AQ1642" t="s">
        <v>8</v>
      </c>
      <c r="AR1642" t="s">
        <v>8</v>
      </c>
      <c r="AS1642" t="s">
        <v>8</v>
      </c>
      <c r="AT1642">
        <v>11945.7</v>
      </c>
    </row>
    <row r="1643" spans="34:46" x14ac:dyDescent="0.35">
      <c r="AH1643" t="s">
        <v>204</v>
      </c>
      <c r="AI1643" t="s">
        <v>180</v>
      </c>
      <c r="AJ1643" s="3">
        <v>43636</v>
      </c>
      <c r="AK1643" t="s">
        <v>42</v>
      </c>
      <c r="AL1643" s="1">
        <v>10300</v>
      </c>
      <c r="AM1643" t="s">
        <v>8</v>
      </c>
      <c r="AN1643" t="s">
        <v>8</v>
      </c>
      <c r="AO1643" t="s">
        <v>8</v>
      </c>
      <c r="AP1643">
        <v>0.2</v>
      </c>
      <c r="AQ1643" t="s">
        <v>8</v>
      </c>
      <c r="AR1643" t="s">
        <v>8</v>
      </c>
      <c r="AS1643" t="s">
        <v>8</v>
      </c>
      <c r="AT1643">
        <v>11945.7</v>
      </c>
    </row>
    <row r="1644" spans="34:46" x14ac:dyDescent="0.35">
      <c r="AH1644" t="s">
        <v>204</v>
      </c>
      <c r="AI1644" t="s">
        <v>180</v>
      </c>
      <c r="AJ1644" s="3">
        <v>43664</v>
      </c>
      <c r="AK1644" t="s">
        <v>41</v>
      </c>
      <c r="AL1644" s="1">
        <v>10150</v>
      </c>
      <c r="AM1644" t="s">
        <v>8</v>
      </c>
      <c r="AN1644" t="s">
        <v>8</v>
      </c>
      <c r="AO1644" t="s">
        <v>8</v>
      </c>
      <c r="AP1644" s="1">
        <v>1237.3</v>
      </c>
      <c r="AQ1644" t="s">
        <v>8</v>
      </c>
      <c r="AR1644" t="s">
        <v>8</v>
      </c>
      <c r="AS1644" t="s">
        <v>8</v>
      </c>
      <c r="AT1644">
        <v>11945.7</v>
      </c>
    </row>
    <row r="1645" spans="34:46" x14ac:dyDescent="0.35">
      <c r="AH1645" t="s">
        <v>204</v>
      </c>
      <c r="AI1645" t="s">
        <v>180</v>
      </c>
      <c r="AJ1645" s="3">
        <v>43664</v>
      </c>
      <c r="AK1645" t="s">
        <v>41</v>
      </c>
      <c r="AL1645" s="1">
        <v>10350</v>
      </c>
      <c r="AM1645" t="s">
        <v>8</v>
      </c>
      <c r="AN1645" t="s">
        <v>8</v>
      </c>
      <c r="AO1645" t="s">
        <v>8</v>
      </c>
      <c r="AP1645" s="1">
        <v>1047.45</v>
      </c>
      <c r="AQ1645" t="s">
        <v>8</v>
      </c>
      <c r="AR1645" t="s">
        <v>8</v>
      </c>
      <c r="AS1645" t="s">
        <v>8</v>
      </c>
      <c r="AT1645">
        <v>11945.7</v>
      </c>
    </row>
    <row r="1646" spans="34:46" x14ac:dyDescent="0.35">
      <c r="AH1646" t="s">
        <v>204</v>
      </c>
      <c r="AI1646" t="s">
        <v>180</v>
      </c>
      <c r="AJ1646" s="3">
        <v>43636</v>
      </c>
      <c r="AK1646" t="s">
        <v>41</v>
      </c>
      <c r="AL1646" s="1">
        <v>12000</v>
      </c>
      <c r="AM1646" t="s">
        <v>8</v>
      </c>
      <c r="AN1646" t="s">
        <v>8</v>
      </c>
      <c r="AO1646" t="s">
        <v>8</v>
      </c>
      <c r="AP1646" s="1">
        <v>176.3</v>
      </c>
      <c r="AQ1646" t="s">
        <v>8</v>
      </c>
      <c r="AR1646" t="s">
        <v>8</v>
      </c>
      <c r="AS1646" t="s">
        <v>8</v>
      </c>
      <c r="AT1646">
        <v>11945.7</v>
      </c>
    </row>
    <row r="1647" spans="34:46" x14ac:dyDescent="0.35">
      <c r="AH1647" t="s">
        <v>204</v>
      </c>
      <c r="AI1647" t="s">
        <v>180</v>
      </c>
      <c r="AJ1647" s="3">
        <v>44196</v>
      </c>
      <c r="AK1647" t="s">
        <v>42</v>
      </c>
      <c r="AL1647" s="1">
        <v>11800</v>
      </c>
      <c r="AM1647" t="s">
        <v>8</v>
      </c>
      <c r="AN1647" t="s">
        <v>8</v>
      </c>
      <c r="AO1647" t="s">
        <v>8</v>
      </c>
      <c r="AP1647" s="1">
        <v>890</v>
      </c>
      <c r="AQ1647" t="s">
        <v>8</v>
      </c>
      <c r="AR1647" t="s">
        <v>8</v>
      </c>
      <c r="AS1647" t="s">
        <v>8</v>
      </c>
      <c r="AT1647">
        <v>11945.7</v>
      </c>
    </row>
    <row r="1648" spans="34:46" x14ac:dyDescent="0.35">
      <c r="AH1648" t="s">
        <v>204</v>
      </c>
      <c r="AI1648" t="s">
        <v>180</v>
      </c>
      <c r="AJ1648" s="3">
        <v>44742</v>
      </c>
      <c r="AK1648" t="s">
        <v>42</v>
      </c>
      <c r="AL1648" s="1">
        <v>8100</v>
      </c>
      <c r="AM1648" t="s">
        <v>8</v>
      </c>
      <c r="AN1648" t="s">
        <v>8</v>
      </c>
      <c r="AO1648" t="s">
        <v>8</v>
      </c>
      <c r="AP1648" s="1">
        <v>2.2000000000000002</v>
      </c>
      <c r="AQ1648" t="s">
        <v>8</v>
      </c>
      <c r="AR1648" t="s">
        <v>8</v>
      </c>
      <c r="AS1648" t="s">
        <v>8</v>
      </c>
      <c r="AT1648">
        <v>11945.7</v>
      </c>
    </row>
    <row r="1649" spans="34:46" x14ac:dyDescent="0.35">
      <c r="AH1649" t="s">
        <v>204</v>
      </c>
      <c r="AI1649" t="s">
        <v>180</v>
      </c>
      <c r="AJ1649" s="3">
        <v>43650</v>
      </c>
      <c r="AK1649" t="s">
        <v>42</v>
      </c>
      <c r="AL1649" s="1">
        <v>12450</v>
      </c>
      <c r="AM1649" t="s">
        <v>8</v>
      </c>
      <c r="AN1649" t="s">
        <v>8</v>
      </c>
      <c r="AO1649" t="s">
        <v>8</v>
      </c>
      <c r="AP1649" s="1">
        <v>642</v>
      </c>
      <c r="AQ1649" t="s">
        <v>8</v>
      </c>
      <c r="AR1649" t="s">
        <v>8</v>
      </c>
      <c r="AS1649" t="s">
        <v>8</v>
      </c>
      <c r="AT1649">
        <v>11945.7</v>
      </c>
    </row>
    <row r="1650" spans="34:46" x14ac:dyDescent="0.35">
      <c r="AH1650" t="s">
        <v>204</v>
      </c>
      <c r="AI1650" t="s">
        <v>180</v>
      </c>
      <c r="AJ1650" s="3">
        <v>43636</v>
      </c>
      <c r="AK1650" t="s">
        <v>41</v>
      </c>
      <c r="AL1650" s="1">
        <v>12200</v>
      </c>
      <c r="AM1650" t="s">
        <v>8</v>
      </c>
      <c r="AN1650" t="s">
        <v>8</v>
      </c>
      <c r="AO1650" t="s">
        <v>8</v>
      </c>
      <c r="AP1650" s="1">
        <v>102.75</v>
      </c>
      <c r="AQ1650" t="s">
        <v>8</v>
      </c>
      <c r="AR1650" t="s">
        <v>8</v>
      </c>
      <c r="AS1650" t="s">
        <v>8</v>
      </c>
      <c r="AT1650">
        <v>11945.7</v>
      </c>
    </row>
    <row r="1651" spans="34:46" x14ac:dyDescent="0.35">
      <c r="AH1651" t="s">
        <v>204</v>
      </c>
      <c r="AI1651" t="s">
        <v>180</v>
      </c>
      <c r="AJ1651" s="3">
        <v>43657</v>
      </c>
      <c r="AK1651" t="s">
        <v>41</v>
      </c>
      <c r="AL1651" s="1">
        <v>9850</v>
      </c>
      <c r="AM1651" t="s">
        <v>8</v>
      </c>
      <c r="AN1651" t="s">
        <v>8</v>
      </c>
      <c r="AO1651" t="s">
        <v>8</v>
      </c>
      <c r="AP1651" s="1">
        <v>1573.25</v>
      </c>
      <c r="AQ1651" t="s">
        <v>8</v>
      </c>
      <c r="AR1651" t="s">
        <v>8</v>
      </c>
      <c r="AS1651" t="s">
        <v>8</v>
      </c>
      <c r="AT1651">
        <v>11945.7</v>
      </c>
    </row>
    <row r="1652" spans="34:46" x14ac:dyDescent="0.35">
      <c r="AH1652" t="s">
        <v>204</v>
      </c>
      <c r="AI1652" t="s">
        <v>180</v>
      </c>
      <c r="AJ1652" s="3">
        <v>44742</v>
      </c>
      <c r="AK1652" t="s">
        <v>42</v>
      </c>
      <c r="AL1652" s="1">
        <v>8300</v>
      </c>
      <c r="AM1652" t="s">
        <v>8</v>
      </c>
      <c r="AN1652" t="s">
        <v>8</v>
      </c>
      <c r="AO1652" t="s">
        <v>8</v>
      </c>
      <c r="AP1652" s="1">
        <v>3.3</v>
      </c>
      <c r="AQ1652" t="s">
        <v>8</v>
      </c>
      <c r="AR1652" t="s">
        <v>8</v>
      </c>
      <c r="AS1652" t="s">
        <v>8</v>
      </c>
      <c r="AT1652">
        <v>11945.7</v>
      </c>
    </row>
    <row r="1653" spans="34:46" x14ac:dyDescent="0.35">
      <c r="AH1653" t="s">
        <v>204</v>
      </c>
      <c r="AI1653" t="s">
        <v>180</v>
      </c>
      <c r="AJ1653" s="3">
        <v>43650</v>
      </c>
      <c r="AK1653" t="s">
        <v>42</v>
      </c>
      <c r="AL1653" s="1">
        <v>12650</v>
      </c>
      <c r="AM1653" t="s">
        <v>8</v>
      </c>
      <c r="AN1653" t="s">
        <v>8</v>
      </c>
      <c r="AO1653" t="s">
        <v>8</v>
      </c>
      <c r="AP1653" s="1">
        <v>810.3</v>
      </c>
      <c r="AQ1653" t="s">
        <v>8</v>
      </c>
      <c r="AR1653" t="s">
        <v>8</v>
      </c>
      <c r="AS1653" t="s">
        <v>8</v>
      </c>
      <c r="AT1653">
        <v>11945.7</v>
      </c>
    </row>
    <row r="1654" spans="34:46" x14ac:dyDescent="0.35">
      <c r="AH1654" t="s">
        <v>204</v>
      </c>
      <c r="AI1654" t="s">
        <v>180</v>
      </c>
      <c r="AJ1654" s="3">
        <v>43650</v>
      </c>
      <c r="AK1654" t="s">
        <v>42</v>
      </c>
      <c r="AL1654" s="1">
        <v>12850</v>
      </c>
      <c r="AM1654" t="s">
        <v>8</v>
      </c>
      <c r="AN1654" t="s">
        <v>8</v>
      </c>
      <c r="AO1654" t="s">
        <v>8</v>
      </c>
      <c r="AP1654" s="1">
        <v>989.8</v>
      </c>
      <c r="AQ1654" t="s">
        <v>8</v>
      </c>
      <c r="AR1654" t="s">
        <v>8</v>
      </c>
      <c r="AS1654" t="s">
        <v>8</v>
      </c>
      <c r="AT1654">
        <v>11945.7</v>
      </c>
    </row>
    <row r="1655" spans="34:46" x14ac:dyDescent="0.35">
      <c r="AH1655" t="s">
        <v>204</v>
      </c>
      <c r="AI1655" t="s">
        <v>180</v>
      </c>
      <c r="AJ1655" s="3">
        <v>44007</v>
      </c>
      <c r="AK1655" t="s">
        <v>41</v>
      </c>
      <c r="AL1655" s="1">
        <v>9500</v>
      </c>
      <c r="AM1655" t="s">
        <v>8</v>
      </c>
      <c r="AN1655" t="s">
        <v>8</v>
      </c>
      <c r="AO1655" t="s">
        <v>8</v>
      </c>
      <c r="AP1655" s="1">
        <v>2250</v>
      </c>
      <c r="AQ1655" t="s">
        <v>8</v>
      </c>
      <c r="AR1655" t="s">
        <v>8</v>
      </c>
      <c r="AS1655" t="s">
        <v>8</v>
      </c>
      <c r="AT1655">
        <v>11945.7</v>
      </c>
    </row>
    <row r="1656" spans="34:46" x14ac:dyDescent="0.35">
      <c r="AH1656" t="s">
        <v>204</v>
      </c>
      <c r="AI1656" t="s">
        <v>180</v>
      </c>
      <c r="AJ1656" s="3">
        <v>43636</v>
      </c>
      <c r="AK1656" t="s">
        <v>41</v>
      </c>
      <c r="AL1656" s="1">
        <v>10900</v>
      </c>
      <c r="AM1656" t="s">
        <v>8</v>
      </c>
      <c r="AN1656" t="s">
        <v>8</v>
      </c>
      <c r="AO1656" t="s">
        <v>8</v>
      </c>
      <c r="AP1656" s="1">
        <v>984.2</v>
      </c>
      <c r="AQ1656" t="s">
        <v>8</v>
      </c>
      <c r="AR1656" t="s">
        <v>8</v>
      </c>
      <c r="AS1656" t="s">
        <v>8</v>
      </c>
      <c r="AT1656">
        <v>11945.7</v>
      </c>
    </row>
    <row r="1657" spans="34:46" x14ac:dyDescent="0.35">
      <c r="AH1657" t="s">
        <v>204</v>
      </c>
      <c r="AI1657" t="s">
        <v>180</v>
      </c>
      <c r="AJ1657" s="3">
        <v>44007</v>
      </c>
      <c r="AK1657" t="s">
        <v>41</v>
      </c>
      <c r="AL1657" s="1">
        <v>10300</v>
      </c>
      <c r="AM1657" t="s">
        <v>8</v>
      </c>
      <c r="AN1657" t="s">
        <v>8</v>
      </c>
      <c r="AO1657" t="s">
        <v>8</v>
      </c>
      <c r="AP1657" t="s">
        <v>8</v>
      </c>
      <c r="AQ1657" t="s">
        <v>8</v>
      </c>
      <c r="AR1657" t="s">
        <v>8</v>
      </c>
      <c r="AS1657" t="s">
        <v>8</v>
      </c>
      <c r="AT1657">
        <v>11945.7</v>
      </c>
    </row>
    <row r="1658" spans="34:46" x14ac:dyDescent="0.35">
      <c r="AH1658" t="s">
        <v>204</v>
      </c>
      <c r="AI1658" t="s">
        <v>180</v>
      </c>
      <c r="AJ1658" s="3">
        <v>43734</v>
      </c>
      <c r="AK1658" t="s">
        <v>41</v>
      </c>
      <c r="AL1658" s="1">
        <v>13500</v>
      </c>
      <c r="AM1658" t="s">
        <v>8</v>
      </c>
      <c r="AN1658" t="s">
        <v>8</v>
      </c>
      <c r="AO1658" t="s">
        <v>8</v>
      </c>
      <c r="AP1658" s="1">
        <v>63.6</v>
      </c>
      <c r="AQ1658" t="s">
        <v>8</v>
      </c>
      <c r="AR1658" t="s">
        <v>8</v>
      </c>
      <c r="AS1658" t="s">
        <v>8</v>
      </c>
      <c r="AT1658">
        <v>11945.7</v>
      </c>
    </row>
    <row r="1659" spans="34:46" x14ac:dyDescent="0.35">
      <c r="AH1659" t="s">
        <v>204</v>
      </c>
      <c r="AI1659" t="s">
        <v>180</v>
      </c>
      <c r="AJ1659" s="3">
        <v>44007</v>
      </c>
      <c r="AK1659" t="s">
        <v>41</v>
      </c>
      <c r="AL1659" s="1">
        <v>10500</v>
      </c>
      <c r="AM1659" t="s">
        <v>8</v>
      </c>
      <c r="AN1659" t="s">
        <v>8</v>
      </c>
      <c r="AO1659" t="s">
        <v>8</v>
      </c>
      <c r="AP1659" s="1">
        <v>1940</v>
      </c>
      <c r="AQ1659" t="s">
        <v>8</v>
      </c>
      <c r="AR1659" t="s">
        <v>8</v>
      </c>
      <c r="AS1659" t="s">
        <v>8</v>
      </c>
      <c r="AT1659">
        <v>11945.7</v>
      </c>
    </row>
    <row r="1660" spans="34:46" x14ac:dyDescent="0.35">
      <c r="AH1660" t="s">
        <v>204</v>
      </c>
      <c r="AI1660" t="s">
        <v>180</v>
      </c>
      <c r="AJ1660" s="3">
        <v>44007</v>
      </c>
      <c r="AK1660" t="s">
        <v>41</v>
      </c>
      <c r="AL1660" s="1">
        <v>10700</v>
      </c>
      <c r="AM1660" t="s">
        <v>8</v>
      </c>
      <c r="AN1660" t="s">
        <v>8</v>
      </c>
      <c r="AO1660" t="s">
        <v>8</v>
      </c>
      <c r="AP1660" s="1" t="s">
        <v>8</v>
      </c>
      <c r="AQ1660" t="s">
        <v>8</v>
      </c>
      <c r="AR1660" t="s">
        <v>8</v>
      </c>
      <c r="AS1660" t="s">
        <v>8</v>
      </c>
      <c r="AT1660">
        <v>11945.7</v>
      </c>
    </row>
    <row r="1661" spans="34:46" x14ac:dyDescent="0.35">
      <c r="AH1661" t="s">
        <v>204</v>
      </c>
      <c r="AI1661" t="s">
        <v>180</v>
      </c>
      <c r="AJ1661" s="3">
        <v>43664</v>
      </c>
      <c r="AK1661" t="s">
        <v>41</v>
      </c>
      <c r="AL1661" s="1">
        <v>12500</v>
      </c>
      <c r="AM1661" t="s">
        <v>8</v>
      </c>
      <c r="AN1661" t="s">
        <v>8</v>
      </c>
      <c r="AO1661" t="s">
        <v>8</v>
      </c>
      <c r="AP1661">
        <v>17.45</v>
      </c>
      <c r="AQ1661" t="s">
        <v>8</v>
      </c>
      <c r="AR1661" t="s">
        <v>8</v>
      </c>
      <c r="AS1661" t="s">
        <v>8</v>
      </c>
      <c r="AT1661">
        <v>11945.7</v>
      </c>
    </row>
    <row r="1662" spans="34:46" x14ac:dyDescent="0.35">
      <c r="AH1662" t="s">
        <v>204</v>
      </c>
      <c r="AI1662" t="s">
        <v>180</v>
      </c>
      <c r="AJ1662" s="3">
        <v>44924</v>
      </c>
      <c r="AK1662" t="s">
        <v>42</v>
      </c>
      <c r="AL1662" s="1">
        <v>10600</v>
      </c>
      <c r="AM1662" t="s">
        <v>8</v>
      </c>
      <c r="AN1662" t="s">
        <v>8</v>
      </c>
      <c r="AO1662" t="s">
        <v>8</v>
      </c>
      <c r="AP1662">
        <v>106.3</v>
      </c>
      <c r="AQ1662" t="s">
        <v>8</v>
      </c>
      <c r="AR1662" t="s">
        <v>8</v>
      </c>
      <c r="AS1662" t="s">
        <v>8</v>
      </c>
      <c r="AT1662">
        <v>11945.7</v>
      </c>
    </row>
    <row r="1663" spans="34:46" x14ac:dyDescent="0.35">
      <c r="AH1663" t="s">
        <v>204</v>
      </c>
      <c r="AI1663" t="s">
        <v>180</v>
      </c>
      <c r="AJ1663" s="3">
        <v>43643</v>
      </c>
      <c r="AK1663" t="s">
        <v>42</v>
      </c>
      <c r="AL1663" s="1">
        <v>13050</v>
      </c>
      <c r="AM1663" t="s">
        <v>8</v>
      </c>
      <c r="AN1663" t="s">
        <v>8</v>
      </c>
      <c r="AO1663" t="s">
        <v>8</v>
      </c>
      <c r="AP1663" s="1">
        <v>1262.75</v>
      </c>
      <c r="AQ1663" t="s">
        <v>8</v>
      </c>
      <c r="AR1663" t="s">
        <v>8</v>
      </c>
      <c r="AS1663" t="s">
        <v>8</v>
      </c>
      <c r="AT1663">
        <v>11945.7</v>
      </c>
    </row>
    <row r="1664" spans="34:46" x14ac:dyDescent="0.35">
      <c r="AH1664" t="s">
        <v>204</v>
      </c>
      <c r="AI1664" t="s">
        <v>180</v>
      </c>
      <c r="AJ1664" s="3">
        <v>44924</v>
      </c>
      <c r="AK1664" t="s">
        <v>42</v>
      </c>
      <c r="AL1664" s="1">
        <v>10800</v>
      </c>
      <c r="AM1664" t="s">
        <v>8</v>
      </c>
      <c r="AN1664" t="s">
        <v>8</v>
      </c>
      <c r="AO1664" t="s">
        <v>8</v>
      </c>
      <c r="AP1664">
        <v>125.6</v>
      </c>
      <c r="AQ1664" t="s">
        <v>8</v>
      </c>
      <c r="AR1664" t="s">
        <v>8</v>
      </c>
      <c r="AS1664" t="s">
        <v>8</v>
      </c>
      <c r="AT1664">
        <v>11945.7</v>
      </c>
    </row>
    <row r="1665" spans="34:46" x14ac:dyDescent="0.35">
      <c r="AH1665" t="s">
        <v>204</v>
      </c>
      <c r="AI1665" t="s">
        <v>180</v>
      </c>
      <c r="AJ1665" s="3">
        <v>44007</v>
      </c>
      <c r="AK1665" t="s">
        <v>42</v>
      </c>
      <c r="AL1665" s="1">
        <v>8600</v>
      </c>
      <c r="AM1665" t="s">
        <v>8</v>
      </c>
      <c r="AN1665" t="s">
        <v>8</v>
      </c>
      <c r="AO1665" t="s">
        <v>8</v>
      </c>
      <c r="AP1665" s="1">
        <v>122</v>
      </c>
      <c r="AQ1665" t="s">
        <v>8</v>
      </c>
      <c r="AR1665" t="s">
        <v>8</v>
      </c>
      <c r="AS1665" t="s">
        <v>8</v>
      </c>
      <c r="AT1665">
        <v>11945.7</v>
      </c>
    </row>
    <row r="1666" spans="34:46" x14ac:dyDescent="0.35">
      <c r="AH1666" t="s">
        <v>204</v>
      </c>
      <c r="AI1666" t="s">
        <v>180</v>
      </c>
      <c r="AJ1666" s="3">
        <v>43643</v>
      </c>
      <c r="AK1666" t="s">
        <v>42</v>
      </c>
      <c r="AL1666" s="1">
        <v>13250</v>
      </c>
      <c r="AM1666" t="s">
        <v>8</v>
      </c>
      <c r="AN1666" t="s">
        <v>8</v>
      </c>
      <c r="AO1666" t="s">
        <v>8</v>
      </c>
      <c r="AP1666" s="1">
        <v>1290.2</v>
      </c>
      <c r="AQ1666" t="s">
        <v>8</v>
      </c>
      <c r="AR1666" t="s">
        <v>8</v>
      </c>
      <c r="AS1666" t="s">
        <v>8</v>
      </c>
      <c r="AT1666">
        <v>11945.7</v>
      </c>
    </row>
    <row r="1667" spans="34:46" x14ac:dyDescent="0.35">
      <c r="AH1667" t="s">
        <v>204</v>
      </c>
      <c r="AI1667" t="s">
        <v>180</v>
      </c>
      <c r="AJ1667" s="3">
        <v>43657</v>
      </c>
      <c r="AK1667" t="s">
        <v>41</v>
      </c>
      <c r="AL1667" s="1">
        <v>13000</v>
      </c>
      <c r="AM1667" t="s">
        <v>8</v>
      </c>
      <c r="AN1667" t="s">
        <v>8</v>
      </c>
      <c r="AO1667" t="s">
        <v>8</v>
      </c>
      <c r="AP1667">
        <v>87.55</v>
      </c>
      <c r="AQ1667" t="s">
        <v>8</v>
      </c>
      <c r="AR1667" t="s">
        <v>8</v>
      </c>
      <c r="AS1667" t="s">
        <v>8</v>
      </c>
      <c r="AT1667">
        <v>11945.7</v>
      </c>
    </row>
    <row r="1668" spans="34:46" x14ac:dyDescent="0.35">
      <c r="AH1668" t="s">
        <v>204</v>
      </c>
      <c r="AI1668" t="s">
        <v>180</v>
      </c>
      <c r="AJ1668" s="3">
        <v>44371</v>
      </c>
      <c r="AK1668" t="s">
        <v>42</v>
      </c>
      <c r="AL1668" s="1">
        <v>10400</v>
      </c>
      <c r="AM1668" t="s">
        <v>8</v>
      </c>
      <c r="AN1668" t="s">
        <v>8</v>
      </c>
      <c r="AO1668" t="s">
        <v>8</v>
      </c>
      <c r="AP1668" s="1" t="s">
        <v>8</v>
      </c>
      <c r="AQ1668" t="s">
        <v>8</v>
      </c>
      <c r="AR1668" t="s">
        <v>8</v>
      </c>
      <c r="AS1668" t="s">
        <v>8</v>
      </c>
      <c r="AT1668">
        <v>11945.7</v>
      </c>
    </row>
    <row r="1669" spans="34:46" x14ac:dyDescent="0.35">
      <c r="AH1669" t="s">
        <v>204</v>
      </c>
      <c r="AI1669" t="s">
        <v>180</v>
      </c>
      <c r="AJ1669" s="3">
        <v>44007</v>
      </c>
      <c r="AK1669" t="s">
        <v>42</v>
      </c>
      <c r="AL1669" s="1">
        <v>8800</v>
      </c>
      <c r="AM1669" t="s">
        <v>8</v>
      </c>
      <c r="AN1669" t="s">
        <v>8</v>
      </c>
      <c r="AO1669" t="s">
        <v>8</v>
      </c>
      <c r="AP1669">
        <v>105</v>
      </c>
      <c r="AQ1669" t="s">
        <v>8</v>
      </c>
      <c r="AR1669" t="s">
        <v>8</v>
      </c>
      <c r="AS1669" t="s">
        <v>8</v>
      </c>
      <c r="AT1669">
        <v>11945.7</v>
      </c>
    </row>
    <row r="1670" spans="34:46" x14ac:dyDescent="0.35">
      <c r="AH1670" t="s">
        <v>204</v>
      </c>
      <c r="AI1670" t="s">
        <v>180</v>
      </c>
      <c r="AJ1670" s="3">
        <v>43643</v>
      </c>
      <c r="AK1670" t="s">
        <v>42</v>
      </c>
      <c r="AL1670" s="1">
        <v>13450</v>
      </c>
      <c r="AM1670" t="s">
        <v>8</v>
      </c>
      <c r="AN1670" t="s">
        <v>8</v>
      </c>
      <c r="AO1670" t="s">
        <v>8</v>
      </c>
      <c r="AP1670" s="1">
        <v>1455.9</v>
      </c>
      <c r="AQ1670" t="s">
        <v>8</v>
      </c>
      <c r="AR1670" t="s">
        <v>8</v>
      </c>
      <c r="AS1670" t="s">
        <v>8</v>
      </c>
      <c r="AT1670">
        <v>11945.7</v>
      </c>
    </row>
    <row r="1671" spans="34:46" x14ac:dyDescent="0.35">
      <c r="AH1671" t="s">
        <v>204</v>
      </c>
      <c r="AI1671" t="s">
        <v>180</v>
      </c>
      <c r="AJ1671" s="3">
        <v>44371</v>
      </c>
      <c r="AK1671" t="s">
        <v>42</v>
      </c>
      <c r="AL1671" s="1">
        <v>10600</v>
      </c>
      <c r="AM1671" t="s">
        <v>8</v>
      </c>
      <c r="AN1671" t="s">
        <v>8</v>
      </c>
      <c r="AO1671" t="s">
        <v>8</v>
      </c>
      <c r="AP1671" t="s">
        <v>8</v>
      </c>
      <c r="AQ1671" t="s">
        <v>8</v>
      </c>
      <c r="AR1671" t="s">
        <v>8</v>
      </c>
      <c r="AS1671" t="s">
        <v>8</v>
      </c>
      <c r="AT1671">
        <v>11945.7</v>
      </c>
    </row>
    <row r="1672" spans="34:46" x14ac:dyDescent="0.35">
      <c r="AH1672" t="s">
        <v>204</v>
      </c>
      <c r="AI1672" t="s">
        <v>180</v>
      </c>
      <c r="AJ1672" s="3">
        <v>44371</v>
      </c>
      <c r="AK1672" t="s">
        <v>42</v>
      </c>
      <c r="AL1672" s="1">
        <v>10800</v>
      </c>
      <c r="AM1672" t="s">
        <v>8</v>
      </c>
      <c r="AN1672" t="s">
        <v>8</v>
      </c>
      <c r="AO1672" t="s">
        <v>8</v>
      </c>
      <c r="AP1672" s="1" t="s">
        <v>8</v>
      </c>
      <c r="AQ1672" t="s">
        <v>8</v>
      </c>
      <c r="AR1672" t="s">
        <v>8</v>
      </c>
      <c r="AS1672" t="s">
        <v>8</v>
      </c>
      <c r="AT1672">
        <v>11945.7</v>
      </c>
    </row>
    <row r="1673" spans="34:46" x14ac:dyDescent="0.35">
      <c r="AH1673" t="s">
        <v>204</v>
      </c>
      <c r="AI1673" t="s">
        <v>180</v>
      </c>
      <c r="AJ1673" s="3">
        <v>43657</v>
      </c>
      <c r="AK1673" t="s">
        <v>41</v>
      </c>
      <c r="AL1673" s="1">
        <v>11700</v>
      </c>
      <c r="AM1673" t="s">
        <v>8</v>
      </c>
      <c r="AN1673" t="s">
        <v>8</v>
      </c>
      <c r="AO1673" t="s">
        <v>8</v>
      </c>
      <c r="AP1673">
        <v>156</v>
      </c>
      <c r="AQ1673" t="s">
        <v>8</v>
      </c>
      <c r="AR1673" t="s">
        <v>8</v>
      </c>
      <c r="AS1673" t="s">
        <v>8</v>
      </c>
      <c r="AT1673">
        <v>11945.7</v>
      </c>
    </row>
    <row r="1674" spans="34:46" x14ac:dyDescent="0.35">
      <c r="AH1674" t="s">
        <v>204</v>
      </c>
      <c r="AI1674" t="s">
        <v>180</v>
      </c>
      <c r="AJ1674" s="3">
        <v>43916</v>
      </c>
      <c r="AK1674" t="s">
        <v>42</v>
      </c>
      <c r="AL1674" s="1">
        <v>11000</v>
      </c>
      <c r="AM1674" t="s">
        <v>8</v>
      </c>
      <c r="AN1674" t="s">
        <v>8</v>
      </c>
      <c r="AO1674" t="s">
        <v>8</v>
      </c>
      <c r="AP1674" s="1">
        <v>144.19999999999999</v>
      </c>
      <c r="AQ1674" t="s">
        <v>8</v>
      </c>
      <c r="AR1674" t="s">
        <v>8</v>
      </c>
      <c r="AS1674" t="s">
        <v>8</v>
      </c>
      <c r="AT1674">
        <v>11945.7</v>
      </c>
    </row>
    <row r="1675" spans="34:46" x14ac:dyDescent="0.35">
      <c r="AH1675" t="s">
        <v>204</v>
      </c>
      <c r="AI1675" t="s">
        <v>180</v>
      </c>
      <c r="AJ1675" s="3">
        <v>43657</v>
      </c>
      <c r="AK1675" t="s">
        <v>41</v>
      </c>
      <c r="AL1675" s="1">
        <v>11900</v>
      </c>
      <c r="AM1675" t="s">
        <v>8</v>
      </c>
      <c r="AN1675" t="s">
        <v>8</v>
      </c>
      <c r="AO1675" t="s">
        <v>8</v>
      </c>
      <c r="AP1675" s="1">
        <v>99.65</v>
      </c>
      <c r="AQ1675" t="s">
        <v>8</v>
      </c>
      <c r="AR1675" t="s">
        <v>8</v>
      </c>
      <c r="AS1675" t="s">
        <v>8</v>
      </c>
      <c r="AT1675">
        <v>11945.7</v>
      </c>
    </row>
    <row r="1676" spans="34:46" x14ac:dyDescent="0.35">
      <c r="AH1676" t="s">
        <v>204</v>
      </c>
      <c r="AI1676" t="s">
        <v>180</v>
      </c>
      <c r="AJ1676" s="3">
        <v>43615</v>
      </c>
      <c r="AK1676" t="s">
        <v>42</v>
      </c>
      <c r="AL1676" s="1">
        <v>12350</v>
      </c>
      <c r="AM1676" t="s">
        <v>8</v>
      </c>
      <c r="AN1676" t="s">
        <v>8</v>
      </c>
      <c r="AO1676" t="s">
        <v>8</v>
      </c>
      <c r="AP1676" s="1">
        <v>396.7</v>
      </c>
      <c r="AQ1676" t="s">
        <v>8</v>
      </c>
      <c r="AR1676" t="s">
        <v>8</v>
      </c>
      <c r="AS1676" t="s">
        <v>8</v>
      </c>
      <c r="AT1676">
        <v>11945.7</v>
      </c>
    </row>
    <row r="1677" spans="34:46" x14ac:dyDescent="0.35">
      <c r="AH1677" t="s">
        <v>204</v>
      </c>
      <c r="AI1677" t="s">
        <v>180</v>
      </c>
      <c r="AJ1677" s="3">
        <v>43636</v>
      </c>
      <c r="AK1677" t="s">
        <v>42</v>
      </c>
      <c r="AL1677" s="1">
        <v>12450</v>
      </c>
      <c r="AM1677" t="s">
        <v>8</v>
      </c>
      <c r="AN1677" t="s">
        <v>8</v>
      </c>
      <c r="AO1677" t="s">
        <v>8</v>
      </c>
      <c r="AP1677" s="1">
        <v>604.20000000000005</v>
      </c>
      <c r="AQ1677" t="s">
        <v>8</v>
      </c>
      <c r="AR1677" t="s">
        <v>8</v>
      </c>
      <c r="AS1677" t="s">
        <v>8</v>
      </c>
      <c r="AT1677">
        <v>11945.7</v>
      </c>
    </row>
    <row r="1678" spans="34:46" x14ac:dyDescent="0.35">
      <c r="AH1678" t="s">
        <v>204</v>
      </c>
      <c r="AI1678" t="s">
        <v>180</v>
      </c>
      <c r="AJ1678" s="3">
        <v>43615</v>
      </c>
      <c r="AK1678" t="s">
        <v>42</v>
      </c>
      <c r="AL1678" s="1">
        <v>12550</v>
      </c>
      <c r="AM1678" t="s">
        <v>8</v>
      </c>
      <c r="AN1678" t="s">
        <v>8</v>
      </c>
      <c r="AO1678" t="s">
        <v>8</v>
      </c>
      <c r="AP1678" s="1">
        <v>1292.0999999999999</v>
      </c>
      <c r="AQ1678" t="s">
        <v>8</v>
      </c>
      <c r="AR1678" t="s">
        <v>8</v>
      </c>
      <c r="AS1678" t="s">
        <v>8</v>
      </c>
      <c r="AT1678">
        <v>11945.7</v>
      </c>
    </row>
    <row r="1679" spans="34:46" x14ac:dyDescent="0.35">
      <c r="AH1679" t="s">
        <v>204</v>
      </c>
      <c r="AI1679" t="s">
        <v>180</v>
      </c>
      <c r="AJ1679" s="3">
        <v>44560</v>
      </c>
      <c r="AK1679" t="s">
        <v>42</v>
      </c>
      <c r="AL1679" s="1">
        <v>7000</v>
      </c>
      <c r="AM1679" t="s">
        <v>8</v>
      </c>
      <c r="AN1679" t="s">
        <v>8</v>
      </c>
      <c r="AO1679" t="s">
        <v>8</v>
      </c>
      <c r="AP1679">
        <v>115.85</v>
      </c>
      <c r="AQ1679" t="s">
        <v>8</v>
      </c>
      <c r="AR1679" t="s">
        <v>8</v>
      </c>
      <c r="AS1679" t="s">
        <v>8</v>
      </c>
      <c r="AT1679">
        <v>11945.7</v>
      </c>
    </row>
    <row r="1680" spans="34:46" x14ac:dyDescent="0.35">
      <c r="AH1680" t="s">
        <v>204</v>
      </c>
      <c r="AI1680" t="s">
        <v>180</v>
      </c>
      <c r="AJ1680" s="3">
        <v>43636</v>
      </c>
      <c r="AK1680" t="s">
        <v>42</v>
      </c>
      <c r="AL1680" s="1">
        <v>12650</v>
      </c>
      <c r="AM1680" t="s">
        <v>8</v>
      </c>
      <c r="AN1680" t="s">
        <v>8</v>
      </c>
      <c r="AO1680" t="s">
        <v>8</v>
      </c>
      <c r="AP1680" s="1">
        <v>777.85</v>
      </c>
      <c r="AQ1680" t="s">
        <v>8</v>
      </c>
      <c r="AR1680" t="s">
        <v>8</v>
      </c>
      <c r="AS1680" t="s">
        <v>8</v>
      </c>
      <c r="AT1680">
        <v>11945.7</v>
      </c>
    </row>
    <row r="1681" spans="34:46" x14ac:dyDescent="0.35">
      <c r="AH1681" t="s">
        <v>204</v>
      </c>
      <c r="AI1681" t="s">
        <v>180</v>
      </c>
      <c r="AJ1681" s="3">
        <v>43622</v>
      </c>
      <c r="AK1681" t="s">
        <v>41</v>
      </c>
      <c r="AL1681" s="1">
        <v>13350</v>
      </c>
      <c r="AM1681" t="s">
        <v>8</v>
      </c>
      <c r="AN1681" t="s">
        <v>8</v>
      </c>
      <c r="AO1681" t="s">
        <v>8</v>
      </c>
      <c r="AP1681" s="1">
        <v>1.5</v>
      </c>
      <c r="AQ1681" t="s">
        <v>8</v>
      </c>
      <c r="AR1681" t="s">
        <v>8</v>
      </c>
      <c r="AS1681" t="s">
        <v>8</v>
      </c>
      <c r="AT1681">
        <v>11945.7</v>
      </c>
    </row>
    <row r="1682" spans="34:46" x14ac:dyDescent="0.35">
      <c r="AH1682" t="s">
        <v>204</v>
      </c>
      <c r="AI1682" t="s">
        <v>180</v>
      </c>
      <c r="AJ1682" s="3">
        <v>44560</v>
      </c>
      <c r="AK1682" t="s">
        <v>42</v>
      </c>
      <c r="AL1682" s="1">
        <v>7200</v>
      </c>
      <c r="AM1682" t="s">
        <v>8</v>
      </c>
      <c r="AN1682" t="s">
        <v>8</v>
      </c>
      <c r="AO1682" t="s">
        <v>8</v>
      </c>
      <c r="AP1682" s="1">
        <v>137.5</v>
      </c>
      <c r="AQ1682" t="s">
        <v>8</v>
      </c>
      <c r="AR1682" t="s">
        <v>8</v>
      </c>
      <c r="AS1682" t="s">
        <v>8</v>
      </c>
      <c r="AT1682">
        <v>11945.7</v>
      </c>
    </row>
    <row r="1683" spans="34:46" x14ac:dyDescent="0.35">
      <c r="AH1683" t="s">
        <v>204</v>
      </c>
      <c r="AI1683" t="s">
        <v>180</v>
      </c>
      <c r="AJ1683" s="3">
        <v>43636</v>
      </c>
      <c r="AK1683" t="s">
        <v>42</v>
      </c>
      <c r="AL1683" s="1">
        <v>12850</v>
      </c>
      <c r="AM1683" t="s">
        <v>8</v>
      </c>
      <c r="AN1683" t="s">
        <v>8</v>
      </c>
      <c r="AO1683" t="s">
        <v>8</v>
      </c>
      <c r="AP1683">
        <v>962.35</v>
      </c>
      <c r="AQ1683" t="s">
        <v>8</v>
      </c>
      <c r="AR1683" t="s">
        <v>8</v>
      </c>
      <c r="AS1683" t="s">
        <v>8</v>
      </c>
      <c r="AT1683">
        <v>11945.7</v>
      </c>
    </row>
    <row r="1684" spans="34:46" x14ac:dyDescent="0.35">
      <c r="AH1684" t="s">
        <v>204</v>
      </c>
      <c r="AI1684" t="s">
        <v>180</v>
      </c>
      <c r="AJ1684" s="3">
        <v>44196</v>
      </c>
      <c r="AK1684" t="s">
        <v>41</v>
      </c>
      <c r="AL1684" s="1">
        <v>10000</v>
      </c>
      <c r="AM1684" t="s">
        <v>8</v>
      </c>
      <c r="AN1684" t="s">
        <v>8</v>
      </c>
      <c r="AO1684" t="s">
        <v>8</v>
      </c>
      <c r="AP1684" s="1" t="s">
        <v>8</v>
      </c>
      <c r="AQ1684" t="s">
        <v>8</v>
      </c>
      <c r="AR1684" t="s">
        <v>8</v>
      </c>
      <c r="AS1684" t="s">
        <v>8</v>
      </c>
      <c r="AT1684">
        <v>11945.7</v>
      </c>
    </row>
    <row r="1685" spans="34:46" x14ac:dyDescent="0.35">
      <c r="AH1685" t="s">
        <v>204</v>
      </c>
      <c r="AI1685" t="s">
        <v>180</v>
      </c>
      <c r="AJ1685" s="3">
        <v>44560</v>
      </c>
      <c r="AK1685" t="s">
        <v>42</v>
      </c>
      <c r="AL1685" s="1">
        <v>7400</v>
      </c>
      <c r="AM1685" t="s">
        <v>8</v>
      </c>
      <c r="AN1685" t="s">
        <v>8</v>
      </c>
      <c r="AO1685" t="s">
        <v>8</v>
      </c>
      <c r="AP1685">
        <v>161.75</v>
      </c>
      <c r="AQ1685" t="s">
        <v>8</v>
      </c>
      <c r="AR1685" t="s">
        <v>8</v>
      </c>
      <c r="AS1685" t="s">
        <v>8</v>
      </c>
      <c r="AT1685">
        <v>11945.7</v>
      </c>
    </row>
    <row r="1686" spans="34:46" x14ac:dyDescent="0.35">
      <c r="AH1686" t="s">
        <v>204</v>
      </c>
      <c r="AI1686" t="s">
        <v>180</v>
      </c>
      <c r="AJ1686" s="3">
        <v>45288</v>
      </c>
      <c r="AK1686" t="s">
        <v>42</v>
      </c>
      <c r="AL1686" s="1">
        <v>12600</v>
      </c>
      <c r="AM1686" t="s">
        <v>8</v>
      </c>
      <c r="AN1686" t="s">
        <v>8</v>
      </c>
      <c r="AO1686" t="s">
        <v>8</v>
      </c>
      <c r="AP1686">
        <v>717.95</v>
      </c>
      <c r="AQ1686" t="s">
        <v>8</v>
      </c>
      <c r="AR1686" t="s">
        <v>8</v>
      </c>
      <c r="AS1686" t="s">
        <v>8</v>
      </c>
      <c r="AT1686">
        <v>11945.7</v>
      </c>
    </row>
    <row r="1687" spans="34:46" x14ac:dyDescent="0.35">
      <c r="AH1687" t="s">
        <v>204</v>
      </c>
      <c r="AI1687" t="s">
        <v>180</v>
      </c>
      <c r="AJ1687" s="3">
        <v>43916</v>
      </c>
      <c r="AK1687" t="s">
        <v>42</v>
      </c>
      <c r="AL1687" s="1">
        <v>8800</v>
      </c>
      <c r="AM1687" t="s">
        <v>8</v>
      </c>
      <c r="AN1687" t="s">
        <v>8</v>
      </c>
      <c r="AO1687" t="s">
        <v>8</v>
      </c>
      <c r="AP1687">
        <v>5.45</v>
      </c>
      <c r="AQ1687" t="s">
        <v>8</v>
      </c>
      <c r="AR1687" t="s">
        <v>8</v>
      </c>
      <c r="AS1687" t="s">
        <v>8</v>
      </c>
      <c r="AT1687">
        <v>11945.7</v>
      </c>
    </row>
    <row r="1688" spans="34:46" x14ac:dyDescent="0.35">
      <c r="AH1688" t="s">
        <v>204</v>
      </c>
      <c r="AI1688" t="s">
        <v>180</v>
      </c>
      <c r="AJ1688" s="3">
        <v>43671</v>
      </c>
      <c r="AK1688" t="s">
        <v>41</v>
      </c>
      <c r="AL1688" s="1">
        <v>11150</v>
      </c>
      <c r="AM1688" t="s">
        <v>8</v>
      </c>
      <c r="AN1688" t="s">
        <v>8</v>
      </c>
      <c r="AO1688" t="s">
        <v>8</v>
      </c>
      <c r="AP1688">
        <v>764.9</v>
      </c>
      <c r="AQ1688" t="s">
        <v>8</v>
      </c>
      <c r="AR1688" t="s">
        <v>8</v>
      </c>
      <c r="AS1688" t="s">
        <v>8</v>
      </c>
      <c r="AT1688">
        <v>11945.7</v>
      </c>
    </row>
    <row r="1689" spans="34:46" x14ac:dyDescent="0.35">
      <c r="AH1689" t="s">
        <v>204</v>
      </c>
      <c r="AI1689" t="s">
        <v>180</v>
      </c>
      <c r="AJ1689" s="3">
        <v>43671</v>
      </c>
      <c r="AK1689" t="s">
        <v>41</v>
      </c>
      <c r="AL1689" s="1">
        <v>11350</v>
      </c>
      <c r="AM1689" t="s">
        <v>8</v>
      </c>
      <c r="AN1689" t="s">
        <v>8</v>
      </c>
      <c r="AO1689" t="s">
        <v>8</v>
      </c>
      <c r="AP1689">
        <v>614.54999999999995</v>
      </c>
      <c r="AQ1689" t="s">
        <v>8</v>
      </c>
      <c r="AR1689" t="s">
        <v>8</v>
      </c>
      <c r="AS1689" t="s">
        <v>8</v>
      </c>
      <c r="AT1689">
        <v>11945.7</v>
      </c>
    </row>
    <row r="1690" spans="34:46" x14ac:dyDescent="0.35">
      <c r="AH1690" t="s">
        <v>204</v>
      </c>
      <c r="AI1690" t="s">
        <v>180</v>
      </c>
      <c r="AJ1690" s="3">
        <v>43664</v>
      </c>
      <c r="AK1690" t="s">
        <v>42</v>
      </c>
      <c r="AL1690" s="1">
        <v>12950</v>
      </c>
      <c r="AM1690" t="s">
        <v>8</v>
      </c>
      <c r="AN1690" t="s">
        <v>8</v>
      </c>
      <c r="AO1690" t="s">
        <v>8</v>
      </c>
      <c r="AP1690" s="1">
        <v>1089.5</v>
      </c>
      <c r="AQ1690" t="s">
        <v>8</v>
      </c>
      <c r="AR1690" t="s">
        <v>8</v>
      </c>
      <c r="AS1690" t="s">
        <v>8</v>
      </c>
      <c r="AT1690">
        <v>11945.7</v>
      </c>
    </row>
    <row r="1691" spans="34:46" x14ac:dyDescent="0.35">
      <c r="AH1691" t="s">
        <v>204</v>
      </c>
      <c r="AI1691" t="s">
        <v>180</v>
      </c>
      <c r="AJ1691" s="3">
        <v>43629</v>
      </c>
      <c r="AK1691" t="s">
        <v>41</v>
      </c>
      <c r="AL1691" s="1">
        <v>10700</v>
      </c>
      <c r="AM1691" t="s">
        <v>8</v>
      </c>
      <c r="AN1691" t="s">
        <v>8</v>
      </c>
      <c r="AO1691" t="s">
        <v>8</v>
      </c>
      <c r="AP1691" s="1">
        <v>1030.5999999999999</v>
      </c>
      <c r="AQ1691" t="s">
        <v>8</v>
      </c>
      <c r="AR1691" t="s">
        <v>8</v>
      </c>
      <c r="AS1691" t="s">
        <v>8</v>
      </c>
      <c r="AT1691">
        <v>11945.7</v>
      </c>
    </row>
    <row r="1692" spans="34:46" x14ac:dyDescent="0.35">
      <c r="AH1692" t="s">
        <v>204</v>
      </c>
      <c r="AI1692" t="s">
        <v>180</v>
      </c>
      <c r="AJ1692" s="3">
        <v>43671</v>
      </c>
      <c r="AK1692" t="s">
        <v>42</v>
      </c>
      <c r="AL1692" s="1">
        <v>11200</v>
      </c>
      <c r="AM1692" t="s">
        <v>8</v>
      </c>
      <c r="AN1692" t="s">
        <v>8</v>
      </c>
      <c r="AO1692" t="s">
        <v>8</v>
      </c>
      <c r="AP1692" s="1">
        <v>87.75</v>
      </c>
      <c r="AQ1692" t="s">
        <v>8</v>
      </c>
      <c r="AR1692" t="s">
        <v>8</v>
      </c>
      <c r="AS1692" t="s">
        <v>8</v>
      </c>
      <c r="AT1692">
        <v>11945.7</v>
      </c>
    </row>
    <row r="1693" spans="34:46" x14ac:dyDescent="0.35">
      <c r="AH1693" t="s">
        <v>204</v>
      </c>
      <c r="AI1693" t="s">
        <v>180</v>
      </c>
      <c r="AJ1693" s="3">
        <v>44560</v>
      </c>
      <c r="AK1693" t="s">
        <v>42</v>
      </c>
      <c r="AL1693" s="1">
        <v>10100</v>
      </c>
      <c r="AM1693" t="s">
        <v>8</v>
      </c>
      <c r="AN1693" t="s">
        <v>8</v>
      </c>
      <c r="AO1693" t="s">
        <v>8</v>
      </c>
      <c r="AP1693">
        <v>492</v>
      </c>
      <c r="AQ1693" t="s">
        <v>8</v>
      </c>
      <c r="AR1693" t="s">
        <v>8</v>
      </c>
      <c r="AS1693" t="s">
        <v>8</v>
      </c>
      <c r="AT1693">
        <v>11945.7</v>
      </c>
    </row>
    <row r="1694" spans="34:46" x14ac:dyDescent="0.35">
      <c r="AH1694" t="s">
        <v>204</v>
      </c>
      <c r="AI1694" t="s">
        <v>180</v>
      </c>
      <c r="AJ1694" s="3">
        <v>43629</v>
      </c>
      <c r="AK1694" t="s">
        <v>41</v>
      </c>
      <c r="AL1694" s="1">
        <v>10900</v>
      </c>
      <c r="AM1694" t="s">
        <v>8</v>
      </c>
      <c r="AN1694" t="s">
        <v>8</v>
      </c>
      <c r="AO1694" t="s">
        <v>8</v>
      </c>
      <c r="AP1694" s="1">
        <v>843.2</v>
      </c>
      <c r="AQ1694" t="s">
        <v>8</v>
      </c>
      <c r="AR1694" t="s">
        <v>8</v>
      </c>
      <c r="AS1694" t="s">
        <v>8</v>
      </c>
      <c r="AT1694">
        <v>11945.7</v>
      </c>
    </row>
    <row r="1695" spans="34:46" x14ac:dyDescent="0.35">
      <c r="AH1695" t="s">
        <v>204</v>
      </c>
      <c r="AI1695" t="s">
        <v>180</v>
      </c>
      <c r="AJ1695" s="3">
        <v>43825</v>
      </c>
      <c r="AK1695" t="s">
        <v>41</v>
      </c>
      <c r="AL1695" s="1">
        <v>9500</v>
      </c>
      <c r="AM1695" t="s">
        <v>8</v>
      </c>
      <c r="AN1695" t="s">
        <v>8</v>
      </c>
      <c r="AO1695" t="s">
        <v>8</v>
      </c>
      <c r="AP1695" s="1">
        <v>2592.4499999999998</v>
      </c>
      <c r="AQ1695" t="s">
        <v>8</v>
      </c>
      <c r="AR1695" t="s">
        <v>8</v>
      </c>
      <c r="AS1695" t="s">
        <v>8</v>
      </c>
      <c r="AT1695">
        <v>11945.7</v>
      </c>
    </row>
    <row r="1696" spans="34:46" x14ac:dyDescent="0.35">
      <c r="AH1696" t="s">
        <v>204</v>
      </c>
      <c r="AI1696" t="s">
        <v>180</v>
      </c>
      <c r="AJ1696" s="3">
        <v>43657</v>
      </c>
      <c r="AK1696" t="s">
        <v>42</v>
      </c>
      <c r="AL1696" s="1">
        <v>13450</v>
      </c>
      <c r="AM1696" t="s">
        <v>8</v>
      </c>
      <c r="AN1696" t="s">
        <v>8</v>
      </c>
      <c r="AO1696" t="s">
        <v>8</v>
      </c>
      <c r="AP1696" s="1">
        <v>1431.45</v>
      </c>
      <c r="AQ1696" t="s">
        <v>8</v>
      </c>
      <c r="AR1696" t="s">
        <v>8</v>
      </c>
      <c r="AS1696" t="s">
        <v>8</v>
      </c>
      <c r="AT1696">
        <v>11945.7</v>
      </c>
    </row>
    <row r="1697" spans="34:46" x14ac:dyDescent="0.35">
      <c r="AH1697" t="s">
        <v>204</v>
      </c>
      <c r="AI1697" t="s">
        <v>180</v>
      </c>
      <c r="AJ1697" s="3">
        <v>43825</v>
      </c>
      <c r="AK1697" t="s">
        <v>42</v>
      </c>
      <c r="AL1697" s="1">
        <v>8400</v>
      </c>
      <c r="AM1697" t="s">
        <v>8</v>
      </c>
      <c r="AN1697" t="s">
        <v>8</v>
      </c>
      <c r="AO1697" t="s">
        <v>8</v>
      </c>
      <c r="AP1697" s="1">
        <v>159</v>
      </c>
      <c r="AQ1697" t="s">
        <v>8</v>
      </c>
      <c r="AR1697" t="s">
        <v>8</v>
      </c>
      <c r="AS1697" t="s">
        <v>8</v>
      </c>
      <c r="AT1697">
        <v>11945.7</v>
      </c>
    </row>
    <row r="1698" spans="34:46" x14ac:dyDescent="0.35">
      <c r="AH1698" t="s">
        <v>204</v>
      </c>
      <c r="AI1698" t="s">
        <v>180</v>
      </c>
      <c r="AJ1698" s="3">
        <v>43671</v>
      </c>
      <c r="AK1698" t="s">
        <v>41</v>
      </c>
      <c r="AL1698" s="1">
        <v>13100</v>
      </c>
      <c r="AM1698" t="s">
        <v>8</v>
      </c>
      <c r="AN1698" t="s">
        <v>8</v>
      </c>
      <c r="AO1698" t="s">
        <v>8</v>
      </c>
      <c r="AP1698" s="1">
        <v>141.69999999999999</v>
      </c>
      <c r="AQ1698" t="s">
        <v>8</v>
      </c>
      <c r="AR1698" t="s">
        <v>8</v>
      </c>
      <c r="AS1698" t="s">
        <v>8</v>
      </c>
      <c r="AT1698">
        <v>11945.7</v>
      </c>
    </row>
    <row r="1699" spans="34:46" x14ac:dyDescent="0.35">
      <c r="AH1699" t="s">
        <v>204</v>
      </c>
      <c r="AI1699" t="s">
        <v>180</v>
      </c>
      <c r="AJ1699" s="3">
        <v>43643</v>
      </c>
      <c r="AK1699" t="s">
        <v>41</v>
      </c>
      <c r="AL1699" s="1">
        <v>10150</v>
      </c>
      <c r="AM1699" t="s">
        <v>8</v>
      </c>
      <c r="AN1699" t="s">
        <v>8</v>
      </c>
      <c r="AO1699" t="s">
        <v>8</v>
      </c>
      <c r="AP1699" s="1">
        <v>1612.25</v>
      </c>
      <c r="AQ1699" t="s">
        <v>8</v>
      </c>
      <c r="AR1699" t="s">
        <v>8</v>
      </c>
      <c r="AS1699" t="s">
        <v>8</v>
      </c>
      <c r="AT1699">
        <v>11945.7</v>
      </c>
    </row>
    <row r="1700" spans="34:46" x14ac:dyDescent="0.35">
      <c r="AH1700" t="s">
        <v>204</v>
      </c>
      <c r="AI1700" t="s">
        <v>180</v>
      </c>
      <c r="AJ1700" s="3">
        <v>43615</v>
      </c>
      <c r="AK1700" t="s">
        <v>42</v>
      </c>
      <c r="AL1700" s="1">
        <v>9850</v>
      </c>
      <c r="AM1700" t="s">
        <v>8</v>
      </c>
      <c r="AN1700" t="s">
        <v>8</v>
      </c>
      <c r="AO1700" t="s">
        <v>8</v>
      </c>
      <c r="AP1700" s="1">
        <v>0.6</v>
      </c>
      <c r="AQ1700" t="s">
        <v>8</v>
      </c>
      <c r="AR1700" t="s">
        <v>8</v>
      </c>
      <c r="AS1700" t="s">
        <v>8</v>
      </c>
      <c r="AT1700">
        <v>11945.7</v>
      </c>
    </row>
    <row r="1701" spans="34:46" x14ac:dyDescent="0.35">
      <c r="AH1701" t="s">
        <v>204</v>
      </c>
      <c r="AI1701" t="s">
        <v>180</v>
      </c>
      <c r="AJ1701" s="3">
        <v>43825</v>
      </c>
      <c r="AK1701" t="s">
        <v>42</v>
      </c>
      <c r="AL1701" s="1">
        <v>8600</v>
      </c>
      <c r="AM1701" t="s">
        <v>8</v>
      </c>
      <c r="AN1701" t="s">
        <v>8</v>
      </c>
      <c r="AO1701" t="s">
        <v>8</v>
      </c>
      <c r="AP1701" s="1">
        <v>111</v>
      </c>
      <c r="AQ1701" t="s">
        <v>8</v>
      </c>
      <c r="AR1701" t="s">
        <v>8</v>
      </c>
      <c r="AS1701" t="s">
        <v>8</v>
      </c>
      <c r="AT1701">
        <v>11945.7</v>
      </c>
    </row>
    <row r="1702" spans="34:46" x14ac:dyDescent="0.35">
      <c r="AH1702" t="s">
        <v>204</v>
      </c>
      <c r="AI1702" t="s">
        <v>180</v>
      </c>
      <c r="AJ1702" s="3">
        <v>43643</v>
      </c>
      <c r="AK1702" t="s">
        <v>42</v>
      </c>
      <c r="AL1702" s="1">
        <v>8500</v>
      </c>
      <c r="AM1702" t="s">
        <v>8</v>
      </c>
      <c r="AN1702" t="s">
        <v>8</v>
      </c>
      <c r="AO1702" t="s">
        <v>8</v>
      </c>
      <c r="AP1702" s="1">
        <v>5</v>
      </c>
      <c r="AQ1702" t="s">
        <v>8</v>
      </c>
      <c r="AR1702" t="s">
        <v>8</v>
      </c>
      <c r="AS1702" t="s">
        <v>8</v>
      </c>
      <c r="AT1702">
        <v>11945.7</v>
      </c>
    </row>
    <row r="1703" spans="34:46" x14ac:dyDescent="0.35">
      <c r="AH1703" t="s">
        <v>204</v>
      </c>
      <c r="AI1703" t="s">
        <v>180</v>
      </c>
      <c r="AJ1703" s="3">
        <v>43671</v>
      </c>
      <c r="AK1703" t="s">
        <v>41</v>
      </c>
      <c r="AL1703" s="1">
        <v>13300</v>
      </c>
      <c r="AM1703" t="s">
        <v>8</v>
      </c>
      <c r="AN1703" t="s">
        <v>8</v>
      </c>
      <c r="AO1703" t="s">
        <v>8</v>
      </c>
      <c r="AP1703" s="1">
        <v>82.3</v>
      </c>
      <c r="AQ1703" t="s">
        <v>8</v>
      </c>
      <c r="AR1703" t="s">
        <v>8</v>
      </c>
      <c r="AS1703" t="s">
        <v>8</v>
      </c>
      <c r="AT1703">
        <v>11945.7</v>
      </c>
    </row>
    <row r="1704" spans="34:46" x14ac:dyDescent="0.35">
      <c r="AH1704" t="s">
        <v>204</v>
      </c>
      <c r="AI1704" t="s">
        <v>180</v>
      </c>
      <c r="AJ1704" s="3">
        <v>43650</v>
      </c>
      <c r="AK1704" t="s">
        <v>41</v>
      </c>
      <c r="AL1704" s="1">
        <v>11500</v>
      </c>
      <c r="AM1704" t="s">
        <v>8</v>
      </c>
      <c r="AN1704" t="s">
        <v>8</v>
      </c>
      <c r="AO1704" t="s">
        <v>8</v>
      </c>
      <c r="AP1704" s="1">
        <v>475</v>
      </c>
      <c r="AQ1704" t="s">
        <v>8</v>
      </c>
      <c r="AR1704" t="s">
        <v>8</v>
      </c>
      <c r="AS1704" t="s">
        <v>8</v>
      </c>
      <c r="AT1704">
        <v>11945.7</v>
      </c>
    </row>
    <row r="1705" spans="34:46" x14ac:dyDescent="0.35">
      <c r="AH1705" t="s">
        <v>204</v>
      </c>
      <c r="AI1705" t="s">
        <v>180</v>
      </c>
      <c r="AJ1705" s="3">
        <v>43643</v>
      </c>
      <c r="AK1705" t="s">
        <v>42</v>
      </c>
      <c r="AL1705" s="1">
        <v>8700</v>
      </c>
      <c r="AM1705" t="s">
        <v>8</v>
      </c>
      <c r="AN1705" t="s">
        <v>8</v>
      </c>
      <c r="AO1705" t="s">
        <v>8</v>
      </c>
      <c r="AP1705" s="1">
        <v>10.050000000000001</v>
      </c>
      <c r="AQ1705" t="s">
        <v>8</v>
      </c>
      <c r="AR1705" t="s">
        <v>8</v>
      </c>
      <c r="AS1705" t="s">
        <v>8</v>
      </c>
      <c r="AT1705">
        <v>11945.7</v>
      </c>
    </row>
    <row r="1706" spans="34:46" x14ac:dyDescent="0.35">
      <c r="AH1706" t="s">
        <v>204</v>
      </c>
      <c r="AI1706" t="s">
        <v>180</v>
      </c>
      <c r="AJ1706" s="3">
        <v>44560</v>
      </c>
      <c r="AK1706" t="s">
        <v>41</v>
      </c>
      <c r="AL1706" s="1">
        <v>10700</v>
      </c>
      <c r="AM1706" t="s">
        <v>8</v>
      </c>
      <c r="AN1706" t="s">
        <v>8</v>
      </c>
      <c r="AO1706" t="s">
        <v>8</v>
      </c>
      <c r="AP1706" t="s">
        <v>8</v>
      </c>
      <c r="AQ1706" t="s">
        <v>8</v>
      </c>
      <c r="AR1706" t="s">
        <v>8</v>
      </c>
      <c r="AS1706" t="s">
        <v>8</v>
      </c>
      <c r="AT1706">
        <v>11945.7</v>
      </c>
    </row>
    <row r="1707" spans="34:46" x14ac:dyDescent="0.35">
      <c r="AH1707" t="s">
        <v>204</v>
      </c>
      <c r="AI1707" t="s">
        <v>180</v>
      </c>
      <c r="AJ1707" s="3">
        <v>43650</v>
      </c>
      <c r="AK1707" t="s">
        <v>41</v>
      </c>
      <c r="AL1707" s="1">
        <v>11700</v>
      </c>
      <c r="AM1707" t="s">
        <v>8</v>
      </c>
      <c r="AN1707" t="s">
        <v>8</v>
      </c>
      <c r="AO1707" t="s">
        <v>8</v>
      </c>
      <c r="AP1707" s="1">
        <v>346.05</v>
      </c>
      <c r="AQ1707" t="s">
        <v>8</v>
      </c>
      <c r="AR1707" t="s">
        <v>8</v>
      </c>
      <c r="AS1707" t="s">
        <v>8</v>
      </c>
      <c r="AT1707">
        <v>11945.7</v>
      </c>
    </row>
    <row r="1708" spans="34:46" x14ac:dyDescent="0.35">
      <c r="AH1708" t="s">
        <v>204</v>
      </c>
      <c r="AI1708" t="s">
        <v>180</v>
      </c>
      <c r="AJ1708" s="3">
        <v>43643</v>
      </c>
      <c r="AK1708" t="s">
        <v>42</v>
      </c>
      <c r="AL1708" s="1">
        <v>8900</v>
      </c>
      <c r="AM1708" t="s">
        <v>8</v>
      </c>
      <c r="AN1708" t="s">
        <v>8</v>
      </c>
      <c r="AO1708" t="s">
        <v>8</v>
      </c>
      <c r="AP1708" s="1">
        <v>25.65</v>
      </c>
      <c r="AQ1708" t="s">
        <v>8</v>
      </c>
      <c r="AR1708" t="s">
        <v>8</v>
      </c>
      <c r="AS1708" t="s">
        <v>8</v>
      </c>
      <c r="AT1708">
        <v>11945.7</v>
      </c>
    </row>
    <row r="1709" spans="34:46" x14ac:dyDescent="0.35">
      <c r="AH1709" t="s">
        <v>204</v>
      </c>
      <c r="AI1709" t="s">
        <v>180</v>
      </c>
      <c r="AJ1709" s="3">
        <v>43629</v>
      </c>
      <c r="AK1709" t="s">
        <v>42</v>
      </c>
      <c r="AL1709" s="1">
        <v>12250</v>
      </c>
      <c r="AM1709" t="s">
        <v>8</v>
      </c>
      <c r="AN1709" t="s">
        <v>8</v>
      </c>
      <c r="AO1709" t="s">
        <v>8</v>
      </c>
      <c r="AP1709">
        <v>572.35</v>
      </c>
      <c r="AQ1709" t="s">
        <v>8</v>
      </c>
      <c r="AR1709" t="s">
        <v>8</v>
      </c>
      <c r="AS1709" t="s">
        <v>8</v>
      </c>
      <c r="AT1709">
        <v>11945.7</v>
      </c>
    </row>
    <row r="1710" spans="34:46" x14ac:dyDescent="0.35">
      <c r="AH1710" t="s">
        <v>204</v>
      </c>
      <c r="AI1710" t="s">
        <v>180</v>
      </c>
      <c r="AJ1710" s="3">
        <v>44196</v>
      </c>
      <c r="AK1710" t="s">
        <v>42</v>
      </c>
      <c r="AL1710" s="1">
        <v>6200</v>
      </c>
      <c r="AM1710" t="s">
        <v>8</v>
      </c>
      <c r="AN1710" t="s">
        <v>8</v>
      </c>
      <c r="AO1710" t="s">
        <v>8</v>
      </c>
      <c r="AP1710">
        <v>20.350000000000001</v>
      </c>
      <c r="AQ1710" t="s">
        <v>8</v>
      </c>
      <c r="AR1710" t="s">
        <v>8</v>
      </c>
      <c r="AS1710" t="s">
        <v>8</v>
      </c>
      <c r="AT1710">
        <v>11945.7</v>
      </c>
    </row>
    <row r="1711" spans="34:46" x14ac:dyDescent="0.35">
      <c r="AH1711" t="s">
        <v>204</v>
      </c>
      <c r="AI1711" t="s">
        <v>180</v>
      </c>
      <c r="AJ1711" s="3">
        <v>43629</v>
      </c>
      <c r="AK1711" t="s">
        <v>42</v>
      </c>
      <c r="AL1711" s="1">
        <v>12450</v>
      </c>
      <c r="AM1711" t="s">
        <v>8</v>
      </c>
      <c r="AN1711" t="s">
        <v>8</v>
      </c>
      <c r="AO1711" t="s">
        <v>8</v>
      </c>
      <c r="AP1711">
        <v>740.55</v>
      </c>
      <c r="AQ1711" t="s">
        <v>8</v>
      </c>
      <c r="AR1711" t="s">
        <v>8</v>
      </c>
      <c r="AS1711" t="s">
        <v>8</v>
      </c>
      <c r="AT1711">
        <v>11945.7</v>
      </c>
    </row>
    <row r="1712" spans="34:46" x14ac:dyDescent="0.35">
      <c r="AH1712" t="s">
        <v>204</v>
      </c>
      <c r="AI1712" t="s">
        <v>180</v>
      </c>
      <c r="AJ1712" s="3">
        <v>44196</v>
      </c>
      <c r="AK1712" t="s">
        <v>42</v>
      </c>
      <c r="AL1712" s="1">
        <v>6400</v>
      </c>
      <c r="AM1712" t="s">
        <v>8</v>
      </c>
      <c r="AN1712" t="s">
        <v>8</v>
      </c>
      <c r="AO1712" t="s">
        <v>8</v>
      </c>
      <c r="AP1712" s="1">
        <v>26.6</v>
      </c>
      <c r="AQ1712" t="s">
        <v>8</v>
      </c>
      <c r="AR1712" t="s">
        <v>8</v>
      </c>
      <c r="AS1712" t="s">
        <v>8</v>
      </c>
      <c r="AT1712">
        <v>11945.7</v>
      </c>
    </row>
    <row r="1713" spans="34:46" x14ac:dyDescent="0.35">
      <c r="AH1713" t="s">
        <v>204</v>
      </c>
      <c r="AI1713" t="s">
        <v>180</v>
      </c>
      <c r="AJ1713" s="3">
        <v>43629</v>
      </c>
      <c r="AK1713" t="s">
        <v>42</v>
      </c>
      <c r="AL1713" s="1">
        <v>12650</v>
      </c>
      <c r="AM1713" t="s">
        <v>8</v>
      </c>
      <c r="AN1713" t="s">
        <v>8</v>
      </c>
      <c r="AO1713" t="s">
        <v>8</v>
      </c>
      <c r="AP1713" s="1">
        <v>921</v>
      </c>
      <c r="AQ1713" t="s">
        <v>8</v>
      </c>
      <c r="AR1713" t="s">
        <v>8</v>
      </c>
      <c r="AS1713" t="s">
        <v>8</v>
      </c>
      <c r="AT1713">
        <v>11945.7</v>
      </c>
    </row>
    <row r="1714" spans="34:46" x14ac:dyDescent="0.35">
      <c r="AH1714" t="s">
        <v>204</v>
      </c>
      <c r="AI1714" t="s">
        <v>180</v>
      </c>
      <c r="AJ1714" s="3">
        <v>44196</v>
      </c>
      <c r="AK1714" t="s">
        <v>42</v>
      </c>
      <c r="AL1714" s="1">
        <v>6600</v>
      </c>
      <c r="AM1714" t="s">
        <v>8</v>
      </c>
      <c r="AN1714" t="s">
        <v>8</v>
      </c>
      <c r="AO1714" t="s">
        <v>8</v>
      </c>
      <c r="AP1714" s="1">
        <v>34.200000000000003</v>
      </c>
      <c r="AQ1714" t="s">
        <v>8</v>
      </c>
      <c r="AR1714" t="s">
        <v>8</v>
      </c>
      <c r="AS1714" t="s">
        <v>8</v>
      </c>
      <c r="AT1714">
        <v>11945.7</v>
      </c>
    </row>
    <row r="1715" spans="34:46" x14ac:dyDescent="0.35">
      <c r="AH1715" t="s">
        <v>204</v>
      </c>
      <c r="AI1715" t="s">
        <v>180</v>
      </c>
      <c r="AJ1715" s="3">
        <v>43671</v>
      </c>
      <c r="AK1715" t="s">
        <v>42</v>
      </c>
      <c r="AL1715" s="1">
        <v>9700</v>
      </c>
      <c r="AM1715" t="s">
        <v>8</v>
      </c>
      <c r="AN1715" t="s">
        <v>8</v>
      </c>
      <c r="AO1715" t="s">
        <v>8</v>
      </c>
      <c r="AP1715">
        <v>1.75</v>
      </c>
      <c r="AQ1715" t="s">
        <v>8</v>
      </c>
      <c r="AR1715" t="s">
        <v>8</v>
      </c>
      <c r="AS1715" t="s">
        <v>8</v>
      </c>
      <c r="AT1715">
        <v>11945.7</v>
      </c>
    </row>
    <row r="1716" spans="34:46" x14ac:dyDescent="0.35">
      <c r="AH1716" t="s">
        <v>204</v>
      </c>
      <c r="AI1716" t="s">
        <v>180</v>
      </c>
      <c r="AJ1716" s="3">
        <v>43671</v>
      </c>
      <c r="AK1716" t="s">
        <v>42</v>
      </c>
      <c r="AL1716" s="1">
        <v>9900</v>
      </c>
      <c r="AM1716" t="s">
        <v>8</v>
      </c>
      <c r="AN1716" t="s">
        <v>8</v>
      </c>
      <c r="AO1716" t="s">
        <v>8</v>
      </c>
      <c r="AP1716">
        <v>2.35</v>
      </c>
      <c r="AQ1716" t="s">
        <v>8</v>
      </c>
      <c r="AR1716" t="s">
        <v>8</v>
      </c>
      <c r="AS1716" t="s">
        <v>8</v>
      </c>
      <c r="AT1716">
        <v>11945.7</v>
      </c>
    </row>
    <row r="1717" spans="34:46" x14ac:dyDescent="0.35">
      <c r="AH1717" t="s">
        <v>204</v>
      </c>
      <c r="AI1717" t="s">
        <v>180</v>
      </c>
      <c r="AJ1717" s="3">
        <v>43734</v>
      </c>
      <c r="AK1717" t="s">
        <v>42</v>
      </c>
      <c r="AL1717" s="1">
        <v>12000</v>
      </c>
      <c r="AM1717" t="s">
        <v>8</v>
      </c>
      <c r="AN1717" t="s">
        <v>8</v>
      </c>
      <c r="AO1717" t="s">
        <v>8</v>
      </c>
      <c r="AP1717">
        <v>360</v>
      </c>
      <c r="AQ1717" t="s">
        <v>8</v>
      </c>
      <c r="AR1717" t="s">
        <v>8</v>
      </c>
      <c r="AS1717" t="s">
        <v>8</v>
      </c>
      <c r="AT1717">
        <v>11945.7</v>
      </c>
    </row>
    <row r="1718" spans="34:46" x14ac:dyDescent="0.35">
      <c r="AH1718" t="s">
        <v>204</v>
      </c>
      <c r="AI1718" t="s">
        <v>180</v>
      </c>
      <c r="AJ1718" s="3">
        <v>43629</v>
      </c>
      <c r="AK1718" t="s">
        <v>41</v>
      </c>
      <c r="AL1718" s="1">
        <v>9650</v>
      </c>
      <c r="AM1718" t="s">
        <v>8</v>
      </c>
      <c r="AN1718" t="s">
        <v>8</v>
      </c>
      <c r="AO1718" t="s">
        <v>8</v>
      </c>
      <c r="AP1718" s="1">
        <v>1556.75</v>
      </c>
      <c r="AQ1718" t="s">
        <v>8</v>
      </c>
      <c r="AR1718" t="s">
        <v>8</v>
      </c>
      <c r="AS1718" t="s">
        <v>8</v>
      </c>
      <c r="AT1718">
        <v>11945.7</v>
      </c>
    </row>
    <row r="1719" spans="34:46" x14ac:dyDescent="0.35">
      <c r="AH1719" t="s">
        <v>204</v>
      </c>
      <c r="AI1719" t="s">
        <v>180</v>
      </c>
      <c r="AJ1719" s="3">
        <v>45106</v>
      </c>
      <c r="AK1719" t="s">
        <v>42</v>
      </c>
      <c r="AL1719" s="1">
        <v>10000</v>
      </c>
      <c r="AM1719" t="s">
        <v>8</v>
      </c>
      <c r="AN1719" t="s">
        <v>8</v>
      </c>
      <c r="AO1719" t="s">
        <v>8</v>
      </c>
      <c r="AP1719" s="1">
        <v>42.7</v>
      </c>
      <c r="AQ1719" t="s">
        <v>8</v>
      </c>
      <c r="AR1719" t="s">
        <v>8</v>
      </c>
      <c r="AS1719" t="s">
        <v>8</v>
      </c>
      <c r="AT1719">
        <v>11945.7</v>
      </c>
    </row>
    <row r="1720" spans="34:46" x14ac:dyDescent="0.35">
      <c r="AH1720" t="s">
        <v>204</v>
      </c>
      <c r="AI1720" t="s">
        <v>180</v>
      </c>
      <c r="AJ1720" s="3">
        <v>43650</v>
      </c>
      <c r="AK1720" t="s">
        <v>41</v>
      </c>
      <c r="AL1720" s="1">
        <v>9700</v>
      </c>
      <c r="AM1720" t="s">
        <v>8</v>
      </c>
      <c r="AN1720" t="s">
        <v>8</v>
      </c>
      <c r="AO1720" t="s">
        <v>8</v>
      </c>
      <c r="AP1720" s="1">
        <v>1547.1</v>
      </c>
      <c r="AQ1720" t="s">
        <v>8</v>
      </c>
      <c r="AR1720" t="s">
        <v>8</v>
      </c>
      <c r="AS1720" t="s">
        <v>8</v>
      </c>
      <c r="AT1720">
        <v>11945.7</v>
      </c>
    </row>
    <row r="1721" spans="34:46" x14ac:dyDescent="0.35">
      <c r="AH1721" t="s">
        <v>204</v>
      </c>
      <c r="AI1721" t="s">
        <v>180</v>
      </c>
      <c r="AJ1721" s="3">
        <v>43622</v>
      </c>
      <c r="AK1721" t="s">
        <v>41</v>
      </c>
      <c r="AL1721" s="1">
        <v>10500</v>
      </c>
      <c r="AM1721" t="s">
        <v>8</v>
      </c>
      <c r="AN1721" t="s">
        <v>8</v>
      </c>
      <c r="AO1721" t="s">
        <v>8</v>
      </c>
      <c r="AP1721" s="1">
        <v>1229</v>
      </c>
      <c r="AQ1721" t="s">
        <v>8</v>
      </c>
      <c r="AR1721" t="s">
        <v>8</v>
      </c>
      <c r="AS1721" t="s">
        <v>8</v>
      </c>
      <c r="AT1721">
        <v>11945.7</v>
      </c>
    </row>
    <row r="1722" spans="34:46" x14ac:dyDescent="0.35">
      <c r="AH1722" t="s">
        <v>204</v>
      </c>
      <c r="AI1722" t="s">
        <v>180</v>
      </c>
      <c r="AJ1722" s="3">
        <v>43650</v>
      </c>
      <c r="AK1722" t="s">
        <v>41</v>
      </c>
      <c r="AL1722" s="1">
        <v>9900</v>
      </c>
      <c r="AM1722" t="s">
        <v>8</v>
      </c>
      <c r="AN1722" t="s">
        <v>8</v>
      </c>
      <c r="AO1722" t="s">
        <v>8</v>
      </c>
      <c r="AP1722" s="1">
        <v>1569.65</v>
      </c>
      <c r="AQ1722" t="s">
        <v>8</v>
      </c>
      <c r="AR1722" t="s">
        <v>8</v>
      </c>
      <c r="AS1722" t="s">
        <v>8</v>
      </c>
      <c r="AT1722">
        <v>11945.7</v>
      </c>
    </row>
    <row r="1723" spans="34:46" x14ac:dyDescent="0.35">
      <c r="AH1723" t="s">
        <v>204</v>
      </c>
      <c r="AI1723" t="s">
        <v>180</v>
      </c>
      <c r="AJ1723" s="3">
        <v>43622</v>
      </c>
      <c r="AK1723" t="s">
        <v>41</v>
      </c>
      <c r="AL1723" s="1">
        <v>10700</v>
      </c>
      <c r="AM1723" t="s">
        <v>8</v>
      </c>
      <c r="AN1723" t="s">
        <v>8</v>
      </c>
      <c r="AO1723" t="s">
        <v>8</v>
      </c>
      <c r="AP1723" s="1">
        <v>1036.8</v>
      </c>
      <c r="AQ1723" t="s">
        <v>8</v>
      </c>
      <c r="AR1723" t="s">
        <v>8</v>
      </c>
      <c r="AS1723" t="s">
        <v>8</v>
      </c>
      <c r="AT1723">
        <v>11945.7</v>
      </c>
    </row>
    <row r="1724" spans="34:46" x14ac:dyDescent="0.35">
      <c r="AH1724" t="s">
        <v>204</v>
      </c>
      <c r="AI1724" t="s">
        <v>180</v>
      </c>
      <c r="AJ1724" s="3">
        <v>43650</v>
      </c>
      <c r="AK1724" t="s">
        <v>42</v>
      </c>
      <c r="AL1724" s="1">
        <v>13050</v>
      </c>
      <c r="AM1724" t="s">
        <v>8</v>
      </c>
      <c r="AN1724" t="s">
        <v>8</v>
      </c>
      <c r="AO1724" t="s">
        <v>8</v>
      </c>
      <c r="AP1724" s="1">
        <v>1176.9000000000001</v>
      </c>
      <c r="AQ1724" t="s">
        <v>8</v>
      </c>
      <c r="AR1724" t="s">
        <v>8</v>
      </c>
      <c r="AS1724" t="s">
        <v>8</v>
      </c>
      <c r="AT1724">
        <v>11945.7</v>
      </c>
    </row>
    <row r="1725" spans="34:46" x14ac:dyDescent="0.35">
      <c r="AH1725" t="s">
        <v>204</v>
      </c>
      <c r="AI1725" t="s">
        <v>180</v>
      </c>
      <c r="AJ1725" s="3">
        <v>43734</v>
      </c>
      <c r="AK1725" t="s">
        <v>42</v>
      </c>
      <c r="AL1725" s="1">
        <v>10900</v>
      </c>
      <c r="AM1725" t="s">
        <v>8</v>
      </c>
      <c r="AN1725" t="s">
        <v>8</v>
      </c>
      <c r="AO1725" t="s">
        <v>8</v>
      </c>
      <c r="AP1725">
        <v>301.60000000000002</v>
      </c>
      <c r="AQ1725" t="s">
        <v>8</v>
      </c>
      <c r="AR1725" t="s">
        <v>8</v>
      </c>
      <c r="AS1725" t="s">
        <v>8</v>
      </c>
      <c r="AT1725">
        <v>11945.7</v>
      </c>
    </row>
    <row r="1726" spans="34:46" x14ac:dyDescent="0.35">
      <c r="AH1726" t="s">
        <v>204</v>
      </c>
      <c r="AI1726" t="s">
        <v>180</v>
      </c>
      <c r="AJ1726" s="3">
        <v>43650</v>
      </c>
      <c r="AK1726" t="s">
        <v>42</v>
      </c>
      <c r="AL1726" s="1">
        <v>13250</v>
      </c>
      <c r="AM1726" t="s">
        <v>8</v>
      </c>
      <c r="AN1726" t="s">
        <v>8</v>
      </c>
      <c r="AO1726" t="s">
        <v>8</v>
      </c>
      <c r="AP1726" s="1">
        <v>1347.8</v>
      </c>
      <c r="AQ1726" t="s">
        <v>8</v>
      </c>
      <c r="AR1726" t="s">
        <v>8</v>
      </c>
      <c r="AS1726" t="s">
        <v>8</v>
      </c>
      <c r="AT1726">
        <v>11945.7</v>
      </c>
    </row>
    <row r="1727" spans="34:46" x14ac:dyDescent="0.35">
      <c r="AH1727" t="s">
        <v>204</v>
      </c>
      <c r="AI1727" t="s">
        <v>180</v>
      </c>
      <c r="AJ1727" s="3">
        <v>43657</v>
      </c>
      <c r="AK1727" t="s">
        <v>41</v>
      </c>
      <c r="AL1727" s="1">
        <v>10150</v>
      </c>
      <c r="AM1727" t="s">
        <v>8</v>
      </c>
      <c r="AN1727" t="s">
        <v>8</v>
      </c>
      <c r="AO1727" t="s">
        <v>8</v>
      </c>
      <c r="AP1727" s="1">
        <v>1280.3499999999999</v>
      </c>
      <c r="AQ1727" t="s">
        <v>8</v>
      </c>
      <c r="AR1727" t="s">
        <v>8</v>
      </c>
      <c r="AS1727" t="s">
        <v>8</v>
      </c>
      <c r="AT1727">
        <v>11945.7</v>
      </c>
    </row>
    <row r="1728" spans="34:46" x14ac:dyDescent="0.35">
      <c r="AH1728" t="s">
        <v>204</v>
      </c>
      <c r="AI1728" t="s">
        <v>180</v>
      </c>
      <c r="AJ1728" s="3">
        <v>43650</v>
      </c>
      <c r="AK1728" t="s">
        <v>42</v>
      </c>
      <c r="AL1728" s="1">
        <v>13450</v>
      </c>
      <c r="AM1728" t="s">
        <v>8</v>
      </c>
      <c r="AN1728" t="s">
        <v>8</v>
      </c>
      <c r="AO1728" t="s">
        <v>8</v>
      </c>
      <c r="AP1728" s="1">
        <v>1440.5</v>
      </c>
      <c r="AQ1728" t="s">
        <v>8</v>
      </c>
      <c r="AR1728" t="s">
        <v>8</v>
      </c>
      <c r="AS1728" t="s">
        <v>8</v>
      </c>
      <c r="AT1728">
        <v>11945.7</v>
      </c>
    </row>
    <row r="1729" spans="34:46" x14ac:dyDescent="0.35">
      <c r="AH1729" t="s">
        <v>204</v>
      </c>
      <c r="AI1729" t="s">
        <v>180</v>
      </c>
      <c r="AJ1729" s="3">
        <v>43657</v>
      </c>
      <c r="AK1729" t="s">
        <v>41</v>
      </c>
      <c r="AL1729" s="1">
        <v>10350</v>
      </c>
      <c r="AM1729" t="s">
        <v>8</v>
      </c>
      <c r="AN1729" t="s">
        <v>8</v>
      </c>
      <c r="AO1729" t="s">
        <v>8</v>
      </c>
      <c r="AP1729" s="1">
        <v>1089.05</v>
      </c>
      <c r="AQ1729" t="s">
        <v>8</v>
      </c>
      <c r="AR1729" t="s">
        <v>8</v>
      </c>
      <c r="AS1729" t="s">
        <v>8</v>
      </c>
      <c r="AT1729">
        <v>11945.7</v>
      </c>
    </row>
    <row r="1730" spans="34:46" x14ac:dyDescent="0.35">
      <c r="AH1730" t="s">
        <v>204</v>
      </c>
      <c r="AI1730" t="s">
        <v>180</v>
      </c>
      <c r="AJ1730" s="3">
        <v>43636</v>
      </c>
      <c r="AK1730" t="s">
        <v>41</v>
      </c>
      <c r="AL1730" s="1">
        <v>11500</v>
      </c>
      <c r="AM1730" t="s">
        <v>8</v>
      </c>
      <c r="AN1730" t="s">
        <v>8</v>
      </c>
      <c r="AO1730" t="s">
        <v>8</v>
      </c>
      <c r="AP1730">
        <v>461.4</v>
      </c>
      <c r="AQ1730" t="s">
        <v>8</v>
      </c>
      <c r="AR1730" t="s">
        <v>8</v>
      </c>
      <c r="AS1730" t="s">
        <v>8</v>
      </c>
      <c r="AT1730">
        <v>11945.7</v>
      </c>
    </row>
    <row r="1731" spans="34:46" x14ac:dyDescent="0.35">
      <c r="AH1731" t="s">
        <v>204</v>
      </c>
      <c r="AI1731" t="s">
        <v>180</v>
      </c>
      <c r="AJ1731" s="3">
        <v>44742</v>
      </c>
      <c r="AK1731" t="s">
        <v>42</v>
      </c>
      <c r="AL1731" s="1">
        <v>7600</v>
      </c>
      <c r="AM1731" t="s">
        <v>8</v>
      </c>
      <c r="AN1731" t="s">
        <v>8</v>
      </c>
      <c r="AO1731" t="s">
        <v>8</v>
      </c>
      <c r="AP1731" s="1">
        <v>0.7</v>
      </c>
      <c r="AQ1731" t="s">
        <v>8</v>
      </c>
      <c r="AR1731" t="s">
        <v>8</v>
      </c>
      <c r="AS1731" t="s">
        <v>8</v>
      </c>
      <c r="AT1731">
        <v>11945.7</v>
      </c>
    </row>
    <row r="1732" spans="34:46" x14ac:dyDescent="0.35">
      <c r="AH1732" t="s">
        <v>204</v>
      </c>
      <c r="AI1732" t="s">
        <v>180</v>
      </c>
      <c r="AJ1732" s="3">
        <v>43657</v>
      </c>
      <c r="AK1732" t="s">
        <v>41</v>
      </c>
      <c r="AL1732" s="1">
        <v>10550</v>
      </c>
      <c r="AM1732" t="s">
        <v>8</v>
      </c>
      <c r="AN1732" t="s">
        <v>8</v>
      </c>
      <c r="AO1732" t="s">
        <v>8</v>
      </c>
      <c r="AP1732" s="1">
        <v>904</v>
      </c>
      <c r="AQ1732" t="s">
        <v>8</v>
      </c>
      <c r="AR1732" t="s">
        <v>8</v>
      </c>
      <c r="AS1732" t="s">
        <v>8</v>
      </c>
      <c r="AT1732">
        <v>11945.7</v>
      </c>
    </row>
    <row r="1733" spans="34:46" x14ac:dyDescent="0.35">
      <c r="AH1733" t="s">
        <v>204</v>
      </c>
      <c r="AI1733" t="s">
        <v>180</v>
      </c>
      <c r="AJ1733" s="3">
        <v>44742</v>
      </c>
      <c r="AK1733" t="s">
        <v>42</v>
      </c>
      <c r="AL1733" s="1">
        <v>13400</v>
      </c>
      <c r="AM1733" t="s">
        <v>8</v>
      </c>
      <c r="AN1733" t="s">
        <v>8</v>
      </c>
      <c r="AO1733" t="s">
        <v>8</v>
      </c>
      <c r="AP1733" s="1" t="s">
        <v>8</v>
      </c>
      <c r="AQ1733" t="s">
        <v>8</v>
      </c>
      <c r="AR1733" t="s">
        <v>8</v>
      </c>
      <c r="AS1733" t="s">
        <v>8</v>
      </c>
      <c r="AT1733">
        <v>11945.7</v>
      </c>
    </row>
    <row r="1734" spans="34:46" x14ac:dyDescent="0.35">
      <c r="AH1734" t="s">
        <v>204</v>
      </c>
      <c r="AI1734" t="s">
        <v>180</v>
      </c>
      <c r="AJ1734" s="3">
        <v>43636</v>
      </c>
      <c r="AK1734" t="s">
        <v>41</v>
      </c>
      <c r="AL1734" s="1">
        <v>11700</v>
      </c>
      <c r="AM1734" t="s">
        <v>8</v>
      </c>
      <c r="AN1734" t="s">
        <v>8</v>
      </c>
      <c r="AO1734" t="s">
        <v>8</v>
      </c>
      <c r="AP1734">
        <v>324.89999999999998</v>
      </c>
      <c r="AQ1734" t="s">
        <v>8</v>
      </c>
      <c r="AR1734" t="s">
        <v>8</v>
      </c>
      <c r="AS1734" t="s">
        <v>8</v>
      </c>
      <c r="AT1734">
        <v>11945.7</v>
      </c>
    </row>
    <row r="1735" spans="34:46" x14ac:dyDescent="0.35">
      <c r="AH1735" t="s">
        <v>204</v>
      </c>
      <c r="AI1735" t="s">
        <v>180</v>
      </c>
      <c r="AJ1735" s="3">
        <v>44742</v>
      </c>
      <c r="AK1735" t="s">
        <v>42</v>
      </c>
      <c r="AL1735" s="1">
        <v>7800</v>
      </c>
      <c r="AM1735" t="s">
        <v>8</v>
      </c>
      <c r="AN1735" t="s">
        <v>8</v>
      </c>
      <c r="AO1735" t="s">
        <v>8</v>
      </c>
      <c r="AP1735" s="1">
        <v>1.1499999999999999</v>
      </c>
      <c r="AQ1735" t="s">
        <v>8</v>
      </c>
      <c r="AR1735" t="s">
        <v>8</v>
      </c>
      <c r="AS1735" t="s">
        <v>8</v>
      </c>
      <c r="AT1735">
        <v>11945.7</v>
      </c>
    </row>
    <row r="1736" spans="34:46" x14ac:dyDescent="0.35">
      <c r="AH1736" t="s">
        <v>204</v>
      </c>
      <c r="AI1736" t="s">
        <v>180</v>
      </c>
      <c r="AJ1736" s="3">
        <v>43734</v>
      </c>
      <c r="AK1736" t="s">
        <v>41</v>
      </c>
      <c r="AL1736" s="1">
        <v>14100</v>
      </c>
      <c r="AM1736" t="s">
        <v>8</v>
      </c>
      <c r="AN1736" t="s">
        <v>8</v>
      </c>
      <c r="AO1736" t="s">
        <v>8</v>
      </c>
      <c r="AP1736" s="1">
        <v>24.3</v>
      </c>
      <c r="AQ1736" t="s">
        <v>8</v>
      </c>
      <c r="AR1736" t="s">
        <v>8</v>
      </c>
      <c r="AS1736" t="s">
        <v>8</v>
      </c>
      <c r="AT1736">
        <v>11945.7</v>
      </c>
    </row>
    <row r="1737" spans="34:46" x14ac:dyDescent="0.35">
      <c r="AH1737" t="s">
        <v>204</v>
      </c>
      <c r="AI1737" t="s">
        <v>180</v>
      </c>
      <c r="AJ1737" s="3">
        <v>44007</v>
      </c>
      <c r="AK1737" t="s">
        <v>41</v>
      </c>
      <c r="AL1737" s="1">
        <v>11300</v>
      </c>
      <c r="AM1737" t="s">
        <v>8</v>
      </c>
      <c r="AN1737" t="s">
        <v>8</v>
      </c>
      <c r="AO1737" t="s">
        <v>8</v>
      </c>
      <c r="AP1737" s="1" t="s">
        <v>8</v>
      </c>
      <c r="AQ1737" t="s">
        <v>8</v>
      </c>
      <c r="AR1737" t="s">
        <v>8</v>
      </c>
      <c r="AS1737" t="s">
        <v>8</v>
      </c>
      <c r="AT1737">
        <v>11945.7</v>
      </c>
    </row>
    <row r="1738" spans="34:46" x14ac:dyDescent="0.35">
      <c r="AH1738" t="s">
        <v>204</v>
      </c>
      <c r="AI1738" t="s">
        <v>180</v>
      </c>
      <c r="AJ1738" s="3">
        <v>44924</v>
      </c>
      <c r="AK1738" t="s">
        <v>42</v>
      </c>
      <c r="AL1738" s="1">
        <v>11200</v>
      </c>
      <c r="AM1738" t="s">
        <v>8</v>
      </c>
      <c r="AN1738" t="s">
        <v>8</v>
      </c>
      <c r="AO1738" t="s">
        <v>8</v>
      </c>
      <c r="AP1738">
        <v>171.7</v>
      </c>
      <c r="AQ1738" t="s">
        <v>8</v>
      </c>
      <c r="AR1738" t="s">
        <v>8</v>
      </c>
      <c r="AS1738" t="s">
        <v>8</v>
      </c>
      <c r="AT1738">
        <v>11945.7</v>
      </c>
    </row>
    <row r="1739" spans="34:46" x14ac:dyDescent="0.35">
      <c r="AH1739" t="s">
        <v>204</v>
      </c>
      <c r="AI1739" t="s">
        <v>180</v>
      </c>
      <c r="AJ1739" s="3">
        <v>44924</v>
      </c>
      <c r="AK1739" t="s">
        <v>42</v>
      </c>
      <c r="AL1739" s="1">
        <v>11400</v>
      </c>
      <c r="AM1739" t="s">
        <v>8</v>
      </c>
      <c r="AN1739" t="s">
        <v>8</v>
      </c>
      <c r="AO1739" t="s">
        <v>8</v>
      </c>
      <c r="AP1739" s="1">
        <v>198.75</v>
      </c>
      <c r="AQ1739" t="s">
        <v>8</v>
      </c>
      <c r="AR1739" t="s">
        <v>8</v>
      </c>
      <c r="AS1739" t="s">
        <v>8</v>
      </c>
      <c r="AT1739">
        <v>11945.7</v>
      </c>
    </row>
    <row r="1740" spans="34:46" x14ac:dyDescent="0.35">
      <c r="AH1740" t="s">
        <v>204</v>
      </c>
      <c r="AI1740" t="s">
        <v>180</v>
      </c>
      <c r="AJ1740" s="3">
        <v>44007</v>
      </c>
      <c r="AK1740" t="s">
        <v>42</v>
      </c>
      <c r="AL1740" s="1">
        <v>9200</v>
      </c>
      <c r="AM1740" t="s">
        <v>8</v>
      </c>
      <c r="AN1740" t="s">
        <v>8</v>
      </c>
      <c r="AO1740" t="s">
        <v>8</v>
      </c>
      <c r="AP1740" s="1">
        <v>100</v>
      </c>
      <c r="AQ1740" t="s">
        <v>8</v>
      </c>
      <c r="AR1740" t="s">
        <v>8</v>
      </c>
      <c r="AS1740" t="s">
        <v>8</v>
      </c>
      <c r="AT1740">
        <v>11945.7</v>
      </c>
    </row>
    <row r="1741" spans="34:46" x14ac:dyDescent="0.35">
      <c r="AH1741" t="s">
        <v>204</v>
      </c>
      <c r="AI1741" t="s">
        <v>180</v>
      </c>
      <c r="AJ1741" s="3">
        <v>44371</v>
      </c>
      <c r="AK1741" t="s">
        <v>42</v>
      </c>
      <c r="AL1741" s="1">
        <v>11000</v>
      </c>
      <c r="AM1741" t="s">
        <v>8</v>
      </c>
      <c r="AN1741" t="s">
        <v>8</v>
      </c>
      <c r="AO1741" t="s">
        <v>8</v>
      </c>
      <c r="AP1741">
        <v>434.5</v>
      </c>
      <c r="AQ1741" t="s">
        <v>8</v>
      </c>
      <c r="AR1741" t="s">
        <v>8</v>
      </c>
      <c r="AS1741" t="s">
        <v>8</v>
      </c>
      <c r="AT1741">
        <v>11945.7</v>
      </c>
    </row>
    <row r="1742" spans="34:46" x14ac:dyDescent="0.35">
      <c r="AH1742" t="s">
        <v>204</v>
      </c>
      <c r="AI1742" t="s">
        <v>180</v>
      </c>
      <c r="AJ1742" s="3">
        <v>44007</v>
      </c>
      <c r="AK1742" t="s">
        <v>42</v>
      </c>
      <c r="AL1742" s="1">
        <v>9400</v>
      </c>
      <c r="AM1742" t="s">
        <v>8</v>
      </c>
      <c r="AN1742" t="s">
        <v>8</v>
      </c>
      <c r="AO1742" t="s">
        <v>8</v>
      </c>
      <c r="AP1742">
        <v>204</v>
      </c>
      <c r="AQ1742" t="s">
        <v>8</v>
      </c>
      <c r="AR1742" t="s">
        <v>8</v>
      </c>
      <c r="AS1742" t="s">
        <v>8</v>
      </c>
      <c r="AT1742">
        <v>11945.7</v>
      </c>
    </row>
    <row r="1743" spans="34:46" x14ac:dyDescent="0.35">
      <c r="AH1743" t="s">
        <v>204</v>
      </c>
      <c r="AI1743" t="s">
        <v>180</v>
      </c>
      <c r="AJ1743" s="3">
        <v>44371</v>
      </c>
      <c r="AK1743" t="s">
        <v>42</v>
      </c>
      <c r="AL1743" s="1">
        <v>11200</v>
      </c>
      <c r="AM1743" t="s">
        <v>8</v>
      </c>
      <c r="AN1743" t="s">
        <v>8</v>
      </c>
      <c r="AO1743" t="s">
        <v>8</v>
      </c>
      <c r="AP1743" s="1" t="s">
        <v>8</v>
      </c>
      <c r="AQ1743" t="s">
        <v>8</v>
      </c>
      <c r="AR1743" t="s">
        <v>8</v>
      </c>
      <c r="AS1743" t="s">
        <v>8</v>
      </c>
      <c r="AT1743">
        <v>11945.7</v>
      </c>
    </row>
    <row r="1744" spans="34:46" x14ac:dyDescent="0.35">
      <c r="AH1744" t="s">
        <v>204</v>
      </c>
      <c r="AI1744" t="s">
        <v>180</v>
      </c>
      <c r="AJ1744" s="3">
        <v>43622</v>
      </c>
      <c r="AK1744" t="s">
        <v>42</v>
      </c>
      <c r="AL1744" s="1">
        <v>12250</v>
      </c>
      <c r="AM1744" t="s">
        <v>8</v>
      </c>
      <c r="AN1744" t="s">
        <v>8</v>
      </c>
      <c r="AO1744" t="s">
        <v>8</v>
      </c>
      <c r="AP1744" s="1">
        <v>575.35</v>
      </c>
      <c r="AQ1744" t="s">
        <v>8</v>
      </c>
      <c r="AR1744" t="s">
        <v>8</v>
      </c>
      <c r="AS1744" t="s">
        <v>8</v>
      </c>
      <c r="AT1744">
        <v>11945.7</v>
      </c>
    </row>
    <row r="1745" spans="34:46" x14ac:dyDescent="0.35">
      <c r="AH1745" t="s">
        <v>204</v>
      </c>
      <c r="AI1745" t="s">
        <v>180</v>
      </c>
      <c r="AJ1745" s="3">
        <v>44007</v>
      </c>
      <c r="AK1745" t="s">
        <v>42</v>
      </c>
      <c r="AL1745" s="1">
        <v>9600</v>
      </c>
      <c r="AM1745" t="s">
        <v>8</v>
      </c>
      <c r="AN1745" t="s">
        <v>8</v>
      </c>
      <c r="AO1745" t="s">
        <v>8</v>
      </c>
      <c r="AP1745">
        <v>217</v>
      </c>
      <c r="AQ1745" t="s">
        <v>8</v>
      </c>
      <c r="AR1745" t="s">
        <v>8</v>
      </c>
      <c r="AS1745" t="s">
        <v>8</v>
      </c>
      <c r="AT1745">
        <v>11945.7</v>
      </c>
    </row>
    <row r="1746" spans="34:46" x14ac:dyDescent="0.35">
      <c r="AH1746" t="s">
        <v>204</v>
      </c>
      <c r="AI1746" t="s">
        <v>180</v>
      </c>
      <c r="AJ1746" s="3">
        <v>44371</v>
      </c>
      <c r="AK1746" t="s">
        <v>42</v>
      </c>
      <c r="AL1746" s="1">
        <v>11400</v>
      </c>
      <c r="AM1746" t="s">
        <v>8</v>
      </c>
      <c r="AN1746" t="s">
        <v>8</v>
      </c>
      <c r="AO1746" t="s">
        <v>8</v>
      </c>
      <c r="AP1746" s="1" t="s">
        <v>8</v>
      </c>
      <c r="AQ1746" t="s">
        <v>8</v>
      </c>
      <c r="AR1746" t="s">
        <v>8</v>
      </c>
      <c r="AS1746" t="s">
        <v>8</v>
      </c>
      <c r="AT1746">
        <v>11945.7</v>
      </c>
    </row>
    <row r="1747" spans="34:46" x14ac:dyDescent="0.35">
      <c r="AH1747" t="s">
        <v>204</v>
      </c>
      <c r="AI1747" t="s">
        <v>180</v>
      </c>
      <c r="AJ1747" s="3">
        <v>43622</v>
      </c>
      <c r="AK1747" t="s">
        <v>42</v>
      </c>
      <c r="AL1747" s="1">
        <v>12450</v>
      </c>
      <c r="AM1747" t="s">
        <v>8</v>
      </c>
      <c r="AN1747" t="s">
        <v>8</v>
      </c>
      <c r="AO1747" t="s">
        <v>8</v>
      </c>
      <c r="AP1747" s="1">
        <v>741.25</v>
      </c>
      <c r="AQ1747" t="s">
        <v>8</v>
      </c>
      <c r="AR1747" t="s">
        <v>8</v>
      </c>
      <c r="AS1747" t="s">
        <v>8</v>
      </c>
      <c r="AT1747">
        <v>11945.7</v>
      </c>
    </row>
    <row r="1748" spans="34:46" x14ac:dyDescent="0.35">
      <c r="AH1748" t="s">
        <v>204</v>
      </c>
      <c r="AI1748" t="s">
        <v>180</v>
      </c>
      <c r="AJ1748" s="3">
        <v>43657</v>
      </c>
      <c r="AK1748" t="s">
        <v>41</v>
      </c>
      <c r="AL1748" s="1">
        <v>12300</v>
      </c>
      <c r="AM1748" t="s">
        <v>8</v>
      </c>
      <c r="AN1748" t="s">
        <v>8</v>
      </c>
      <c r="AO1748" t="s">
        <v>8</v>
      </c>
      <c r="AP1748" s="1">
        <v>34.6</v>
      </c>
      <c r="AQ1748" t="s">
        <v>8</v>
      </c>
      <c r="AR1748" t="s">
        <v>8</v>
      </c>
      <c r="AS1748" t="s">
        <v>8</v>
      </c>
      <c r="AT1748">
        <v>11945.7</v>
      </c>
    </row>
    <row r="1749" spans="34:46" x14ac:dyDescent="0.35">
      <c r="AH1749" t="s">
        <v>204</v>
      </c>
      <c r="AI1749" t="s">
        <v>180</v>
      </c>
      <c r="AJ1749" s="3">
        <v>43643</v>
      </c>
      <c r="AK1749" t="s">
        <v>42</v>
      </c>
      <c r="AL1749" s="1">
        <v>12750</v>
      </c>
      <c r="AM1749" t="s">
        <v>8</v>
      </c>
      <c r="AN1749" t="s">
        <v>8</v>
      </c>
      <c r="AO1749" t="s">
        <v>8</v>
      </c>
      <c r="AP1749" s="1">
        <v>994.65</v>
      </c>
      <c r="AQ1749" t="s">
        <v>8</v>
      </c>
      <c r="AR1749" t="s">
        <v>8</v>
      </c>
      <c r="AS1749" t="s">
        <v>8</v>
      </c>
      <c r="AT1749">
        <v>11945.7</v>
      </c>
    </row>
    <row r="1750" spans="34:46" x14ac:dyDescent="0.35">
      <c r="AH1750" t="s">
        <v>204</v>
      </c>
      <c r="AI1750" t="s">
        <v>180</v>
      </c>
      <c r="AJ1750" s="3">
        <v>43657</v>
      </c>
      <c r="AK1750" t="s">
        <v>41</v>
      </c>
      <c r="AL1750" s="1">
        <v>12500</v>
      </c>
      <c r="AM1750" t="s">
        <v>8</v>
      </c>
      <c r="AN1750" t="s">
        <v>8</v>
      </c>
      <c r="AO1750" t="s">
        <v>8</v>
      </c>
      <c r="AP1750">
        <v>19</v>
      </c>
      <c r="AQ1750" t="s">
        <v>8</v>
      </c>
      <c r="AR1750" t="s">
        <v>8</v>
      </c>
      <c r="AS1750" t="s">
        <v>8</v>
      </c>
      <c r="AT1750">
        <v>11945.7</v>
      </c>
    </row>
    <row r="1751" spans="34:46" x14ac:dyDescent="0.35">
      <c r="AH1751" t="s">
        <v>204</v>
      </c>
      <c r="AI1751" t="s">
        <v>180</v>
      </c>
      <c r="AJ1751" s="3">
        <v>43643</v>
      </c>
      <c r="AK1751" t="s">
        <v>42</v>
      </c>
      <c r="AL1751" s="1">
        <v>12950</v>
      </c>
      <c r="AM1751" t="s">
        <v>8</v>
      </c>
      <c r="AN1751" t="s">
        <v>8</v>
      </c>
      <c r="AO1751" t="s">
        <v>8</v>
      </c>
      <c r="AP1751" s="1">
        <v>1171.6500000000001</v>
      </c>
      <c r="AQ1751" t="s">
        <v>8</v>
      </c>
      <c r="AR1751" t="s">
        <v>8</v>
      </c>
      <c r="AS1751" t="s">
        <v>8</v>
      </c>
      <c r="AT1751">
        <v>11945.7</v>
      </c>
    </row>
    <row r="1752" spans="34:46" x14ac:dyDescent="0.35">
      <c r="AH1752" t="s">
        <v>204</v>
      </c>
      <c r="AI1752" t="s">
        <v>180</v>
      </c>
      <c r="AJ1752" s="3">
        <v>43671</v>
      </c>
      <c r="AK1752" t="s">
        <v>42</v>
      </c>
      <c r="AL1752" s="1">
        <v>10050</v>
      </c>
      <c r="AM1752" t="s">
        <v>8</v>
      </c>
      <c r="AN1752" t="s">
        <v>8</v>
      </c>
      <c r="AO1752" t="s">
        <v>8</v>
      </c>
      <c r="AP1752" s="1">
        <v>1.8</v>
      </c>
      <c r="AQ1752" t="s">
        <v>8</v>
      </c>
      <c r="AR1752" t="s">
        <v>8</v>
      </c>
      <c r="AS1752" t="s">
        <v>8</v>
      </c>
      <c r="AT1752">
        <v>11945.7</v>
      </c>
    </row>
    <row r="1753" spans="34:46" x14ac:dyDescent="0.35">
      <c r="AH1753" t="s">
        <v>204</v>
      </c>
      <c r="AI1753" t="s">
        <v>180</v>
      </c>
      <c r="AJ1753" s="3">
        <v>43615</v>
      </c>
      <c r="AK1753" t="s">
        <v>42</v>
      </c>
      <c r="AL1753" s="1">
        <v>13150</v>
      </c>
      <c r="AM1753" t="s">
        <v>8</v>
      </c>
      <c r="AN1753" t="s">
        <v>8</v>
      </c>
      <c r="AO1753" t="s">
        <v>8</v>
      </c>
      <c r="AP1753" s="1">
        <v>1320.95</v>
      </c>
      <c r="AQ1753" t="s">
        <v>8</v>
      </c>
      <c r="AR1753" t="s">
        <v>8</v>
      </c>
      <c r="AS1753" t="s">
        <v>8</v>
      </c>
      <c r="AT1753">
        <v>11945.7</v>
      </c>
    </row>
    <row r="1754" spans="34:46" x14ac:dyDescent="0.35">
      <c r="AH1754" t="s">
        <v>204</v>
      </c>
      <c r="AI1754" t="s">
        <v>180</v>
      </c>
      <c r="AJ1754" s="3">
        <v>43636</v>
      </c>
      <c r="AK1754" t="s">
        <v>42</v>
      </c>
      <c r="AL1754" s="1">
        <v>13250</v>
      </c>
      <c r="AM1754" t="s">
        <v>8</v>
      </c>
      <c r="AN1754" t="s">
        <v>8</v>
      </c>
      <c r="AO1754" t="s">
        <v>8</v>
      </c>
      <c r="AP1754" s="1">
        <v>1348</v>
      </c>
      <c r="AQ1754" t="s">
        <v>8</v>
      </c>
      <c r="AR1754" t="s">
        <v>8</v>
      </c>
      <c r="AS1754" t="s">
        <v>8</v>
      </c>
      <c r="AT1754">
        <v>11945.7</v>
      </c>
    </row>
    <row r="1755" spans="34:46" x14ac:dyDescent="0.35">
      <c r="AH1755" t="s">
        <v>204</v>
      </c>
      <c r="AI1755" t="s">
        <v>180</v>
      </c>
      <c r="AJ1755" s="3">
        <v>43615</v>
      </c>
      <c r="AK1755" t="s">
        <v>42</v>
      </c>
      <c r="AL1755" s="1">
        <v>13350</v>
      </c>
      <c r="AM1755" t="s">
        <v>8</v>
      </c>
      <c r="AN1755" t="s">
        <v>8</v>
      </c>
      <c r="AO1755" t="s">
        <v>8</v>
      </c>
      <c r="AP1755" s="1">
        <v>1497.4</v>
      </c>
      <c r="AQ1755" t="s">
        <v>8</v>
      </c>
      <c r="AR1755" t="s">
        <v>8</v>
      </c>
      <c r="AS1755" t="s">
        <v>8</v>
      </c>
      <c r="AT1755">
        <v>11945.7</v>
      </c>
    </row>
    <row r="1756" spans="34:46" x14ac:dyDescent="0.35">
      <c r="AH1756" t="s">
        <v>204</v>
      </c>
      <c r="AI1756" t="s">
        <v>180</v>
      </c>
      <c r="AJ1756" s="3">
        <v>43916</v>
      </c>
      <c r="AK1756" t="s">
        <v>42</v>
      </c>
      <c r="AL1756" s="1">
        <v>10500</v>
      </c>
      <c r="AM1756" t="s">
        <v>8</v>
      </c>
      <c r="AN1756" t="s">
        <v>8</v>
      </c>
      <c r="AO1756" t="s">
        <v>8</v>
      </c>
      <c r="AP1756" s="1">
        <v>72.150000000000006</v>
      </c>
      <c r="AQ1756" t="s">
        <v>8</v>
      </c>
      <c r="AR1756" t="s">
        <v>8</v>
      </c>
      <c r="AS1756" t="s">
        <v>8</v>
      </c>
      <c r="AT1756">
        <v>11945.7</v>
      </c>
    </row>
    <row r="1757" spans="34:46" x14ac:dyDescent="0.35">
      <c r="AH1757" t="s">
        <v>204</v>
      </c>
      <c r="AI1757" t="s">
        <v>180</v>
      </c>
      <c r="AJ1757" s="3">
        <v>43636</v>
      </c>
      <c r="AK1757" t="s">
        <v>42</v>
      </c>
      <c r="AL1757" s="1">
        <v>13450</v>
      </c>
      <c r="AM1757" t="s">
        <v>8</v>
      </c>
      <c r="AN1757" t="s">
        <v>8</v>
      </c>
      <c r="AO1757" t="s">
        <v>8</v>
      </c>
      <c r="AP1757" s="1">
        <v>1468.15</v>
      </c>
      <c r="AQ1757" t="s">
        <v>8</v>
      </c>
      <c r="AR1757" t="s">
        <v>8</v>
      </c>
      <c r="AS1757" t="s">
        <v>8</v>
      </c>
      <c r="AT1757">
        <v>11945.7</v>
      </c>
    </row>
    <row r="1758" spans="34:46" x14ac:dyDescent="0.35">
      <c r="AH1758" t="s">
        <v>204</v>
      </c>
      <c r="AI1758" t="s">
        <v>180</v>
      </c>
      <c r="AJ1758" s="3">
        <v>44560</v>
      </c>
      <c r="AK1758" t="s">
        <v>42</v>
      </c>
      <c r="AL1758" s="1">
        <v>8000</v>
      </c>
      <c r="AM1758" t="s">
        <v>8</v>
      </c>
      <c r="AN1758" t="s">
        <v>8</v>
      </c>
      <c r="AO1758" t="s">
        <v>8</v>
      </c>
      <c r="AP1758" s="1">
        <v>100</v>
      </c>
      <c r="AQ1758" t="s">
        <v>8</v>
      </c>
      <c r="AR1758" t="s">
        <v>8</v>
      </c>
      <c r="AS1758" t="s">
        <v>8</v>
      </c>
      <c r="AT1758">
        <v>11945.7</v>
      </c>
    </row>
    <row r="1759" spans="34:46" x14ac:dyDescent="0.35">
      <c r="AH1759" t="s">
        <v>204</v>
      </c>
      <c r="AI1759" t="s">
        <v>180</v>
      </c>
      <c r="AJ1759" s="3">
        <v>43916</v>
      </c>
      <c r="AK1759" t="s">
        <v>42</v>
      </c>
      <c r="AL1759" s="1">
        <v>9200</v>
      </c>
      <c r="AM1759" t="s">
        <v>8</v>
      </c>
      <c r="AN1759" t="s">
        <v>8</v>
      </c>
      <c r="AO1759" t="s">
        <v>8</v>
      </c>
      <c r="AP1759" s="1">
        <v>6.2</v>
      </c>
      <c r="AQ1759" t="s">
        <v>8</v>
      </c>
      <c r="AR1759" t="s">
        <v>8</v>
      </c>
      <c r="AS1759" t="s">
        <v>8</v>
      </c>
      <c r="AT1759">
        <v>11945.7</v>
      </c>
    </row>
    <row r="1760" spans="34:46" x14ac:dyDescent="0.35">
      <c r="AH1760" t="s">
        <v>204</v>
      </c>
      <c r="AI1760" t="s">
        <v>180</v>
      </c>
      <c r="AJ1760" s="3">
        <v>43916</v>
      </c>
      <c r="AK1760" t="s">
        <v>42</v>
      </c>
      <c r="AL1760" s="1">
        <v>9400</v>
      </c>
      <c r="AM1760" t="s">
        <v>8</v>
      </c>
      <c r="AN1760" t="s">
        <v>8</v>
      </c>
      <c r="AO1760" t="s">
        <v>8</v>
      </c>
      <c r="AP1760" s="1">
        <v>9.6999999999999993</v>
      </c>
      <c r="AQ1760" t="s">
        <v>8</v>
      </c>
      <c r="AR1760" t="s">
        <v>8</v>
      </c>
      <c r="AS1760" t="s">
        <v>8</v>
      </c>
      <c r="AT1760">
        <v>11945.7</v>
      </c>
    </row>
    <row r="1761" spans="34:46" x14ac:dyDescent="0.35">
      <c r="AH1761" t="s">
        <v>204</v>
      </c>
      <c r="AI1761" t="s">
        <v>180</v>
      </c>
      <c r="AJ1761" s="3">
        <v>44560</v>
      </c>
      <c r="AK1761" t="s">
        <v>42</v>
      </c>
      <c r="AL1761" s="1">
        <v>6700</v>
      </c>
      <c r="AM1761" t="s">
        <v>8</v>
      </c>
      <c r="AN1761" t="s">
        <v>8</v>
      </c>
      <c r="AO1761" t="s">
        <v>8</v>
      </c>
      <c r="AP1761">
        <v>88</v>
      </c>
      <c r="AQ1761" t="s">
        <v>8</v>
      </c>
      <c r="AR1761" t="s">
        <v>8</v>
      </c>
      <c r="AS1761" t="s">
        <v>8</v>
      </c>
      <c r="AT1761">
        <v>11945.7</v>
      </c>
    </row>
    <row r="1762" spans="34:46" x14ac:dyDescent="0.35">
      <c r="AH1762" t="s">
        <v>204</v>
      </c>
      <c r="AI1762" t="s">
        <v>180</v>
      </c>
      <c r="AJ1762" s="3">
        <v>43916</v>
      </c>
      <c r="AK1762" t="s">
        <v>42</v>
      </c>
      <c r="AL1762" s="1">
        <v>9600</v>
      </c>
      <c r="AM1762" t="s">
        <v>8</v>
      </c>
      <c r="AN1762" t="s">
        <v>8</v>
      </c>
      <c r="AO1762" t="s">
        <v>8</v>
      </c>
      <c r="AP1762">
        <v>14.8</v>
      </c>
      <c r="AQ1762" t="s">
        <v>8</v>
      </c>
      <c r="AR1762" t="s">
        <v>8</v>
      </c>
      <c r="AS1762" t="s">
        <v>8</v>
      </c>
      <c r="AT1762">
        <v>11945.7</v>
      </c>
    </row>
    <row r="1763" spans="34:46" x14ac:dyDescent="0.35">
      <c r="AH1763" t="s">
        <v>204</v>
      </c>
      <c r="AI1763" t="s">
        <v>180</v>
      </c>
      <c r="AJ1763" s="3">
        <v>44560</v>
      </c>
      <c r="AK1763" t="s">
        <v>42</v>
      </c>
      <c r="AL1763" s="1">
        <v>6900</v>
      </c>
      <c r="AM1763" t="s">
        <v>8</v>
      </c>
      <c r="AN1763" t="s">
        <v>8</v>
      </c>
      <c r="AO1763" t="s">
        <v>8</v>
      </c>
      <c r="AP1763" s="1">
        <v>106</v>
      </c>
      <c r="AQ1763" t="s">
        <v>8</v>
      </c>
      <c r="AR1763" t="s">
        <v>8</v>
      </c>
      <c r="AS1763" t="s">
        <v>8</v>
      </c>
      <c r="AT1763">
        <v>11945.7</v>
      </c>
    </row>
    <row r="1764" spans="34:46" x14ac:dyDescent="0.35">
      <c r="AH1764" t="s">
        <v>204</v>
      </c>
      <c r="AI1764" t="s">
        <v>180</v>
      </c>
      <c r="AJ1764" s="3">
        <v>43650</v>
      </c>
      <c r="AK1764" t="s">
        <v>41</v>
      </c>
      <c r="AL1764" s="1">
        <v>10150</v>
      </c>
      <c r="AM1764" t="s">
        <v>8</v>
      </c>
      <c r="AN1764" t="s">
        <v>8</v>
      </c>
      <c r="AO1764" t="s">
        <v>8</v>
      </c>
      <c r="AP1764" s="1">
        <v>1565.1</v>
      </c>
      <c r="AQ1764" t="s">
        <v>8</v>
      </c>
      <c r="AR1764" t="s">
        <v>8</v>
      </c>
      <c r="AS1764" t="s">
        <v>8</v>
      </c>
      <c r="AT1764">
        <v>11945.7</v>
      </c>
    </row>
    <row r="1765" spans="34:46" x14ac:dyDescent="0.35">
      <c r="AH1765" t="s">
        <v>204</v>
      </c>
      <c r="AI1765" t="s">
        <v>180</v>
      </c>
      <c r="AJ1765" s="3">
        <v>43629</v>
      </c>
      <c r="AK1765" t="s">
        <v>41</v>
      </c>
      <c r="AL1765" s="1">
        <v>11300</v>
      </c>
      <c r="AM1765" t="s">
        <v>8</v>
      </c>
      <c r="AN1765" t="s">
        <v>8</v>
      </c>
      <c r="AO1765" t="s">
        <v>8</v>
      </c>
      <c r="AP1765" s="1">
        <v>504.45</v>
      </c>
      <c r="AQ1765" t="s">
        <v>8</v>
      </c>
      <c r="AR1765" t="s">
        <v>8</v>
      </c>
      <c r="AS1765" t="s">
        <v>8</v>
      </c>
      <c r="AT1765">
        <v>11945.7</v>
      </c>
    </row>
    <row r="1766" spans="34:46" x14ac:dyDescent="0.35">
      <c r="AH1766" t="s">
        <v>204</v>
      </c>
      <c r="AI1766" t="s">
        <v>180</v>
      </c>
      <c r="AJ1766" s="3">
        <v>43650</v>
      </c>
      <c r="AK1766" t="s">
        <v>41</v>
      </c>
      <c r="AL1766" s="1">
        <v>10350</v>
      </c>
      <c r="AM1766" t="s">
        <v>8</v>
      </c>
      <c r="AN1766" t="s">
        <v>8</v>
      </c>
      <c r="AO1766" t="s">
        <v>8</v>
      </c>
      <c r="AP1766" s="1">
        <v>1502.5</v>
      </c>
      <c r="AQ1766" t="s">
        <v>8</v>
      </c>
      <c r="AR1766" t="s">
        <v>8</v>
      </c>
      <c r="AS1766" t="s">
        <v>8</v>
      </c>
      <c r="AT1766">
        <v>11945.7</v>
      </c>
    </row>
    <row r="1767" spans="34:46" x14ac:dyDescent="0.35">
      <c r="AH1767" t="s">
        <v>204</v>
      </c>
      <c r="AI1767" t="s">
        <v>180</v>
      </c>
      <c r="AJ1767" s="3">
        <v>43671</v>
      </c>
      <c r="AK1767" t="s">
        <v>41</v>
      </c>
      <c r="AL1767" s="1">
        <v>10650</v>
      </c>
      <c r="AM1767" t="s">
        <v>8</v>
      </c>
      <c r="AN1767" t="s">
        <v>8</v>
      </c>
      <c r="AO1767" t="s">
        <v>8</v>
      </c>
      <c r="AP1767" s="1">
        <v>1197.0999999999999</v>
      </c>
      <c r="AQ1767" t="s">
        <v>8</v>
      </c>
      <c r="AR1767" t="s">
        <v>8</v>
      </c>
      <c r="AS1767" t="s">
        <v>8</v>
      </c>
      <c r="AT1767">
        <v>11945.7</v>
      </c>
    </row>
    <row r="1768" spans="34:46" x14ac:dyDescent="0.35">
      <c r="AH1768" t="s">
        <v>204</v>
      </c>
      <c r="AI1768" t="s">
        <v>180</v>
      </c>
      <c r="AJ1768" s="3">
        <v>43671</v>
      </c>
      <c r="AK1768" t="s">
        <v>41</v>
      </c>
      <c r="AL1768" s="1">
        <v>10850</v>
      </c>
      <c r="AM1768" t="s">
        <v>8</v>
      </c>
      <c r="AN1768" t="s">
        <v>8</v>
      </c>
      <c r="AO1768" t="s">
        <v>8</v>
      </c>
      <c r="AP1768" s="1">
        <v>1016.65</v>
      </c>
      <c r="AQ1768" t="s">
        <v>8</v>
      </c>
      <c r="AR1768" t="s">
        <v>8</v>
      </c>
      <c r="AS1768" t="s">
        <v>8</v>
      </c>
      <c r="AT1768">
        <v>11945.7</v>
      </c>
    </row>
    <row r="1769" spans="34:46" x14ac:dyDescent="0.35">
      <c r="AH1769" t="s">
        <v>204</v>
      </c>
      <c r="AI1769" t="s">
        <v>180</v>
      </c>
      <c r="AJ1769" s="3">
        <v>43671</v>
      </c>
      <c r="AK1769" t="s">
        <v>42</v>
      </c>
      <c r="AL1769" s="1">
        <v>10700</v>
      </c>
      <c r="AM1769" t="s">
        <v>8</v>
      </c>
      <c r="AN1769" t="s">
        <v>8</v>
      </c>
      <c r="AO1769" t="s">
        <v>8</v>
      </c>
      <c r="AP1769" s="1">
        <v>22</v>
      </c>
      <c r="AQ1769" t="s">
        <v>8</v>
      </c>
      <c r="AR1769" t="s">
        <v>8</v>
      </c>
      <c r="AS1769" t="s">
        <v>8</v>
      </c>
      <c r="AT1769">
        <v>11945.7</v>
      </c>
    </row>
    <row r="1770" spans="34:46" x14ac:dyDescent="0.35">
      <c r="AH1770" t="s">
        <v>204</v>
      </c>
      <c r="AI1770" t="s">
        <v>180</v>
      </c>
      <c r="AJ1770" s="3">
        <v>43825</v>
      </c>
      <c r="AK1770" t="s">
        <v>41</v>
      </c>
      <c r="AL1770" s="1">
        <v>8800</v>
      </c>
      <c r="AM1770" t="s">
        <v>8</v>
      </c>
      <c r="AN1770" t="s">
        <v>8</v>
      </c>
      <c r="AO1770" t="s">
        <v>8</v>
      </c>
      <c r="AP1770" s="1" t="s">
        <v>8</v>
      </c>
      <c r="AQ1770" t="s">
        <v>8</v>
      </c>
      <c r="AR1770" t="s">
        <v>8</v>
      </c>
      <c r="AS1770" t="s">
        <v>8</v>
      </c>
      <c r="AT1770">
        <v>11945.7</v>
      </c>
    </row>
    <row r="1771" spans="34:46" x14ac:dyDescent="0.35">
      <c r="AH1771" t="s">
        <v>204</v>
      </c>
      <c r="AI1771" t="s">
        <v>180</v>
      </c>
      <c r="AJ1771" s="3">
        <v>43671</v>
      </c>
      <c r="AK1771" t="s">
        <v>42</v>
      </c>
      <c r="AL1771" s="1">
        <v>10900</v>
      </c>
      <c r="AM1771" t="s">
        <v>8</v>
      </c>
      <c r="AN1771" t="s">
        <v>8</v>
      </c>
      <c r="AO1771" t="s">
        <v>8</v>
      </c>
      <c r="AP1771" s="1">
        <v>40.15</v>
      </c>
      <c r="AQ1771" t="s">
        <v>8</v>
      </c>
      <c r="AR1771" t="s">
        <v>8</v>
      </c>
      <c r="AS1771" t="s">
        <v>8</v>
      </c>
      <c r="AT1771">
        <v>11945.7</v>
      </c>
    </row>
    <row r="1772" spans="34:46" x14ac:dyDescent="0.35">
      <c r="AH1772" t="s">
        <v>204</v>
      </c>
      <c r="AI1772" t="s">
        <v>180</v>
      </c>
      <c r="AJ1772" s="3">
        <v>43657</v>
      </c>
      <c r="AK1772" t="s">
        <v>42</v>
      </c>
      <c r="AL1772" s="1">
        <v>12950</v>
      </c>
      <c r="AM1772" t="s">
        <v>8</v>
      </c>
      <c r="AN1772" t="s">
        <v>8</v>
      </c>
      <c r="AO1772" t="s">
        <v>8</v>
      </c>
      <c r="AP1772" s="1">
        <v>1086.25</v>
      </c>
      <c r="AQ1772" t="s">
        <v>8</v>
      </c>
      <c r="AR1772" t="s">
        <v>8</v>
      </c>
      <c r="AS1772" t="s">
        <v>8</v>
      </c>
      <c r="AT1772">
        <v>11945.7</v>
      </c>
    </row>
    <row r="1773" spans="34:46" x14ac:dyDescent="0.35">
      <c r="AH1773" t="s">
        <v>204</v>
      </c>
      <c r="AI1773" t="s">
        <v>180</v>
      </c>
      <c r="AJ1773" s="3">
        <v>43825</v>
      </c>
      <c r="AK1773" t="s">
        <v>42</v>
      </c>
      <c r="AL1773" s="1">
        <v>9000</v>
      </c>
      <c r="AM1773" t="s">
        <v>8</v>
      </c>
      <c r="AN1773" t="s">
        <v>8</v>
      </c>
      <c r="AO1773" t="s">
        <v>8</v>
      </c>
      <c r="AP1773">
        <v>23.4</v>
      </c>
      <c r="AQ1773" t="s">
        <v>8</v>
      </c>
      <c r="AR1773" t="s">
        <v>8</v>
      </c>
      <c r="AS1773" t="s">
        <v>8</v>
      </c>
      <c r="AT1773">
        <v>11945.7</v>
      </c>
    </row>
    <row r="1774" spans="34:46" x14ac:dyDescent="0.35">
      <c r="AH1774" t="s">
        <v>204</v>
      </c>
      <c r="AI1774" t="s">
        <v>180</v>
      </c>
      <c r="AJ1774" s="3">
        <v>43825</v>
      </c>
      <c r="AK1774" t="s">
        <v>42</v>
      </c>
      <c r="AL1774" s="1">
        <v>9200</v>
      </c>
      <c r="AM1774" t="s">
        <v>8</v>
      </c>
      <c r="AN1774" t="s">
        <v>8</v>
      </c>
      <c r="AO1774" t="s">
        <v>8</v>
      </c>
      <c r="AP1774" s="1">
        <v>100</v>
      </c>
      <c r="AQ1774" t="s">
        <v>8</v>
      </c>
      <c r="AR1774" t="s">
        <v>8</v>
      </c>
      <c r="AS1774" t="s">
        <v>8</v>
      </c>
      <c r="AT1774">
        <v>11945.7</v>
      </c>
    </row>
    <row r="1775" spans="34:46" x14ac:dyDescent="0.35">
      <c r="AH1775" t="s">
        <v>204</v>
      </c>
      <c r="AI1775" t="s">
        <v>180</v>
      </c>
      <c r="AJ1775" s="3">
        <v>43643</v>
      </c>
      <c r="AK1775" t="s">
        <v>42</v>
      </c>
      <c r="AL1775" s="1">
        <v>9100</v>
      </c>
      <c r="AM1775" t="s">
        <v>8</v>
      </c>
      <c r="AN1775" t="s">
        <v>8</v>
      </c>
      <c r="AO1775" t="s">
        <v>8</v>
      </c>
      <c r="AP1775">
        <v>4</v>
      </c>
      <c r="AQ1775" t="s">
        <v>8</v>
      </c>
      <c r="AR1775" t="s">
        <v>8</v>
      </c>
      <c r="AS1775" t="s">
        <v>8</v>
      </c>
      <c r="AT1775">
        <v>11945.7</v>
      </c>
    </row>
    <row r="1776" spans="34:46" x14ac:dyDescent="0.35">
      <c r="AH1776" t="s">
        <v>204</v>
      </c>
      <c r="AI1776" t="s">
        <v>180</v>
      </c>
      <c r="AJ1776" s="3">
        <v>43650</v>
      </c>
      <c r="AK1776" t="s">
        <v>41</v>
      </c>
      <c r="AL1776" s="1">
        <v>12100</v>
      </c>
      <c r="AM1776" t="s">
        <v>8</v>
      </c>
      <c r="AN1776" t="s">
        <v>8</v>
      </c>
      <c r="AO1776" t="s">
        <v>8</v>
      </c>
      <c r="AP1776">
        <v>159.75</v>
      </c>
      <c r="AQ1776" t="s">
        <v>8</v>
      </c>
      <c r="AR1776" t="s">
        <v>8</v>
      </c>
      <c r="AS1776" t="s">
        <v>8</v>
      </c>
      <c r="AT1776">
        <v>11945.7</v>
      </c>
    </row>
    <row r="1777" spans="34:46" x14ac:dyDescent="0.35">
      <c r="AH1777" t="s">
        <v>204</v>
      </c>
      <c r="AI1777" t="s">
        <v>180</v>
      </c>
      <c r="AJ1777" s="3">
        <v>43643</v>
      </c>
      <c r="AK1777" t="s">
        <v>42</v>
      </c>
      <c r="AL1777" s="1">
        <v>9300</v>
      </c>
      <c r="AM1777" t="s">
        <v>8</v>
      </c>
      <c r="AN1777" t="s">
        <v>8</v>
      </c>
      <c r="AO1777" t="s">
        <v>8</v>
      </c>
      <c r="AP1777">
        <v>5.5</v>
      </c>
      <c r="AQ1777" t="s">
        <v>8</v>
      </c>
      <c r="AR1777" t="s">
        <v>8</v>
      </c>
      <c r="AS1777" t="s">
        <v>8</v>
      </c>
      <c r="AT1777">
        <v>11945.7</v>
      </c>
    </row>
    <row r="1778" spans="34:46" x14ac:dyDescent="0.35">
      <c r="AH1778" t="s">
        <v>204</v>
      </c>
      <c r="AI1778" t="s">
        <v>180</v>
      </c>
      <c r="AJ1778" s="3">
        <v>43650</v>
      </c>
      <c r="AK1778" t="s">
        <v>41</v>
      </c>
      <c r="AL1778" s="1">
        <v>12300</v>
      </c>
      <c r="AM1778" t="s">
        <v>8</v>
      </c>
      <c r="AN1778" t="s">
        <v>8</v>
      </c>
      <c r="AO1778" t="s">
        <v>8</v>
      </c>
      <c r="AP1778">
        <v>101.25</v>
      </c>
      <c r="AQ1778" t="s">
        <v>8</v>
      </c>
      <c r="AR1778" t="s">
        <v>8</v>
      </c>
      <c r="AS1778" t="s">
        <v>8</v>
      </c>
      <c r="AT1778">
        <v>11945.7</v>
      </c>
    </row>
    <row r="1779" spans="34:46" x14ac:dyDescent="0.35">
      <c r="AH1779" t="s">
        <v>204</v>
      </c>
      <c r="AI1779" t="s">
        <v>180</v>
      </c>
      <c r="AJ1779" s="3">
        <v>43825</v>
      </c>
      <c r="AK1779" t="s">
        <v>42</v>
      </c>
      <c r="AL1779" s="1">
        <v>7900</v>
      </c>
      <c r="AM1779" t="s">
        <v>8</v>
      </c>
      <c r="AN1779" t="s">
        <v>8</v>
      </c>
      <c r="AO1779" t="s">
        <v>8</v>
      </c>
      <c r="AP1779">
        <v>19</v>
      </c>
      <c r="AQ1779" t="s">
        <v>8</v>
      </c>
      <c r="AR1779" t="s">
        <v>8</v>
      </c>
      <c r="AS1779" t="s">
        <v>8</v>
      </c>
      <c r="AT1779">
        <v>11945.7</v>
      </c>
    </row>
    <row r="1780" spans="34:46" x14ac:dyDescent="0.35">
      <c r="AH1780" t="s">
        <v>204</v>
      </c>
      <c r="AI1780" t="s">
        <v>180</v>
      </c>
      <c r="AJ1780" s="3">
        <v>44560</v>
      </c>
      <c r="AK1780" t="s">
        <v>41</v>
      </c>
      <c r="AL1780" s="1">
        <v>11500</v>
      </c>
      <c r="AM1780" t="s">
        <v>8</v>
      </c>
      <c r="AN1780" t="s">
        <v>8</v>
      </c>
      <c r="AO1780" t="s">
        <v>8</v>
      </c>
      <c r="AP1780" s="1" t="s">
        <v>8</v>
      </c>
      <c r="AQ1780" t="s">
        <v>8</v>
      </c>
      <c r="AR1780" t="s">
        <v>8</v>
      </c>
      <c r="AS1780" t="s">
        <v>8</v>
      </c>
      <c r="AT1780">
        <v>11945.7</v>
      </c>
    </row>
    <row r="1781" spans="34:46" x14ac:dyDescent="0.35">
      <c r="AH1781" t="s">
        <v>204</v>
      </c>
      <c r="AI1781" t="s">
        <v>180</v>
      </c>
      <c r="AJ1781" s="3">
        <v>43671</v>
      </c>
      <c r="AK1781" t="s">
        <v>41</v>
      </c>
      <c r="AL1781" s="1">
        <v>12800</v>
      </c>
      <c r="AM1781" t="s">
        <v>8</v>
      </c>
      <c r="AN1781" t="s">
        <v>8</v>
      </c>
      <c r="AO1781" t="s">
        <v>8</v>
      </c>
      <c r="AP1781" s="1">
        <v>24.5</v>
      </c>
      <c r="AQ1781" t="s">
        <v>8</v>
      </c>
      <c r="AR1781" t="s">
        <v>8</v>
      </c>
      <c r="AS1781" t="s">
        <v>8</v>
      </c>
      <c r="AT1781">
        <v>11945.7</v>
      </c>
    </row>
    <row r="1782" spans="34:46" x14ac:dyDescent="0.35">
      <c r="AH1782" t="s">
        <v>204</v>
      </c>
      <c r="AI1782" t="s">
        <v>180</v>
      </c>
      <c r="AJ1782" s="3">
        <v>44560</v>
      </c>
      <c r="AK1782" t="s">
        <v>41</v>
      </c>
      <c r="AL1782" s="1">
        <v>11700</v>
      </c>
      <c r="AM1782" t="s">
        <v>8</v>
      </c>
      <c r="AN1782" t="s">
        <v>8</v>
      </c>
      <c r="AO1782" t="s">
        <v>8</v>
      </c>
      <c r="AP1782" t="s">
        <v>8</v>
      </c>
      <c r="AQ1782" t="s">
        <v>8</v>
      </c>
      <c r="AR1782" t="s">
        <v>8</v>
      </c>
      <c r="AS1782" t="s">
        <v>8</v>
      </c>
      <c r="AT1782">
        <v>11945.7</v>
      </c>
    </row>
    <row r="1783" spans="34:46" x14ac:dyDescent="0.35">
      <c r="AH1783" t="s">
        <v>204</v>
      </c>
      <c r="AI1783" t="s">
        <v>180</v>
      </c>
      <c r="AJ1783" s="3">
        <v>43629</v>
      </c>
      <c r="AK1783" t="s">
        <v>42</v>
      </c>
      <c r="AL1783" s="1">
        <v>13050</v>
      </c>
      <c r="AM1783" t="s">
        <v>8</v>
      </c>
      <c r="AN1783" t="s">
        <v>8</v>
      </c>
      <c r="AO1783" t="s">
        <v>8</v>
      </c>
      <c r="AP1783" s="1">
        <v>1302.3</v>
      </c>
      <c r="AQ1783" t="s">
        <v>8</v>
      </c>
      <c r="AR1783" t="s">
        <v>8</v>
      </c>
      <c r="AS1783" t="s">
        <v>8</v>
      </c>
      <c r="AT1783">
        <v>11945.7</v>
      </c>
    </row>
    <row r="1784" spans="34:46" x14ac:dyDescent="0.35">
      <c r="AH1784" t="s">
        <v>204</v>
      </c>
      <c r="AI1784" t="s">
        <v>180</v>
      </c>
      <c r="AJ1784" s="3">
        <v>44196</v>
      </c>
      <c r="AK1784" t="s">
        <v>42</v>
      </c>
      <c r="AL1784" s="1">
        <v>7000</v>
      </c>
      <c r="AM1784" t="s">
        <v>8</v>
      </c>
      <c r="AN1784" t="s">
        <v>8</v>
      </c>
      <c r="AO1784" t="s">
        <v>8</v>
      </c>
      <c r="AP1784" s="1">
        <v>54.15</v>
      </c>
      <c r="AQ1784" t="s">
        <v>8</v>
      </c>
      <c r="AR1784" t="s">
        <v>8</v>
      </c>
      <c r="AS1784" t="s">
        <v>8</v>
      </c>
      <c r="AT1784">
        <v>11945.7</v>
      </c>
    </row>
    <row r="1785" spans="34:46" x14ac:dyDescent="0.35">
      <c r="AH1785" t="s">
        <v>204</v>
      </c>
      <c r="AI1785" t="s">
        <v>180</v>
      </c>
      <c r="AJ1785" s="3">
        <v>43615</v>
      </c>
      <c r="AK1785" t="s">
        <v>41</v>
      </c>
      <c r="AL1785" s="1">
        <v>10050</v>
      </c>
      <c r="AM1785" t="s">
        <v>8</v>
      </c>
      <c r="AN1785" t="s">
        <v>8</v>
      </c>
      <c r="AO1785" t="s">
        <v>8</v>
      </c>
      <c r="AP1785">
        <v>949.8</v>
      </c>
      <c r="AQ1785" t="s">
        <v>8</v>
      </c>
      <c r="AR1785" t="s">
        <v>8</v>
      </c>
      <c r="AS1785" t="s">
        <v>8</v>
      </c>
      <c r="AT1785">
        <v>11945.7</v>
      </c>
    </row>
    <row r="1786" spans="34:46" x14ac:dyDescent="0.35">
      <c r="AH1786" t="s">
        <v>204</v>
      </c>
      <c r="AI1786" t="s">
        <v>180</v>
      </c>
      <c r="AJ1786" s="3">
        <v>43629</v>
      </c>
      <c r="AK1786" t="s">
        <v>42</v>
      </c>
      <c r="AL1786" s="1">
        <v>13250</v>
      </c>
      <c r="AM1786" t="s">
        <v>8</v>
      </c>
      <c r="AN1786" t="s">
        <v>8</v>
      </c>
      <c r="AO1786" t="s">
        <v>8</v>
      </c>
      <c r="AP1786" s="1">
        <v>1321.65</v>
      </c>
      <c r="AQ1786" t="s">
        <v>8</v>
      </c>
      <c r="AR1786" t="s">
        <v>8</v>
      </c>
      <c r="AS1786" t="s">
        <v>8</v>
      </c>
      <c r="AT1786">
        <v>11945.7</v>
      </c>
    </row>
    <row r="1787" spans="34:46" x14ac:dyDescent="0.35">
      <c r="AH1787" t="s">
        <v>204</v>
      </c>
      <c r="AI1787" t="s">
        <v>180</v>
      </c>
      <c r="AJ1787" s="3">
        <v>44196</v>
      </c>
      <c r="AK1787" t="s">
        <v>42</v>
      </c>
      <c r="AL1787" s="1">
        <v>7200</v>
      </c>
      <c r="AM1787" t="s">
        <v>8</v>
      </c>
      <c r="AN1787" t="s">
        <v>8</v>
      </c>
      <c r="AO1787" t="s">
        <v>8</v>
      </c>
      <c r="AP1787">
        <v>70</v>
      </c>
      <c r="AQ1787" t="s">
        <v>8</v>
      </c>
      <c r="AR1787" t="s">
        <v>8</v>
      </c>
      <c r="AS1787" t="s">
        <v>8</v>
      </c>
      <c r="AT1787">
        <v>11945.7</v>
      </c>
    </row>
    <row r="1788" spans="34:46" x14ac:dyDescent="0.35">
      <c r="AH1788" t="s">
        <v>204</v>
      </c>
      <c r="AI1788" t="s">
        <v>180</v>
      </c>
      <c r="AJ1788" s="3">
        <v>43636</v>
      </c>
      <c r="AK1788" t="s">
        <v>41</v>
      </c>
      <c r="AL1788" s="1">
        <v>10150</v>
      </c>
      <c r="AM1788" t="s">
        <v>8</v>
      </c>
      <c r="AN1788" t="s">
        <v>8</v>
      </c>
      <c r="AO1788" t="s">
        <v>8</v>
      </c>
      <c r="AP1788" s="1">
        <v>1559.45</v>
      </c>
      <c r="AQ1788" t="s">
        <v>8</v>
      </c>
      <c r="AR1788" t="s">
        <v>8</v>
      </c>
      <c r="AS1788" t="s">
        <v>8</v>
      </c>
      <c r="AT1788">
        <v>11945.7</v>
      </c>
    </row>
    <row r="1789" spans="34:46" x14ac:dyDescent="0.35">
      <c r="AH1789" t="s">
        <v>204</v>
      </c>
      <c r="AI1789" t="s">
        <v>180</v>
      </c>
      <c r="AJ1789" s="3">
        <v>43636</v>
      </c>
      <c r="AK1789" t="s">
        <v>41</v>
      </c>
      <c r="AL1789" s="1">
        <v>10350</v>
      </c>
      <c r="AM1789" t="s">
        <v>8</v>
      </c>
      <c r="AN1789" t="s">
        <v>8</v>
      </c>
      <c r="AO1789" t="s">
        <v>8</v>
      </c>
      <c r="AP1789" s="1">
        <v>1521.3</v>
      </c>
      <c r="AQ1789" t="s">
        <v>8</v>
      </c>
      <c r="AR1789" t="s">
        <v>8</v>
      </c>
      <c r="AS1789" t="s">
        <v>8</v>
      </c>
      <c r="AT1789">
        <v>11945.7</v>
      </c>
    </row>
    <row r="1790" spans="34:46" x14ac:dyDescent="0.35">
      <c r="AH1790" t="s">
        <v>204</v>
      </c>
      <c r="AI1790" t="s">
        <v>180</v>
      </c>
      <c r="AJ1790" s="3">
        <v>43643</v>
      </c>
      <c r="AK1790" t="s">
        <v>41</v>
      </c>
      <c r="AL1790" s="1">
        <v>5000</v>
      </c>
      <c r="AM1790" t="s">
        <v>8</v>
      </c>
      <c r="AN1790" t="s">
        <v>8</v>
      </c>
      <c r="AO1790" t="s">
        <v>8</v>
      </c>
      <c r="AP1790" s="1">
        <v>6881.85</v>
      </c>
      <c r="AQ1790" t="s">
        <v>8</v>
      </c>
      <c r="AR1790" t="s">
        <v>8</v>
      </c>
      <c r="AS1790" t="s">
        <v>8</v>
      </c>
      <c r="AT1790">
        <v>11945.7</v>
      </c>
    </row>
    <row r="1791" spans="34:46" x14ac:dyDescent="0.35">
      <c r="AH1791" t="s">
        <v>204</v>
      </c>
      <c r="AI1791" t="s">
        <v>180</v>
      </c>
      <c r="AJ1791" s="3">
        <v>44371</v>
      </c>
      <c r="AK1791" t="s">
        <v>42</v>
      </c>
      <c r="AL1791" s="1">
        <v>9700</v>
      </c>
      <c r="AM1791" t="s">
        <v>8</v>
      </c>
      <c r="AN1791" t="s">
        <v>8</v>
      </c>
      <c r="AO1791" t="s">
        <v>8</v>
      </c>
      <c r="AP1791" s="1">
        <v>214</v>
      </c>
      <c r="AQ1791" t="s">
        <v>8</v>
      </c>
      <c r="AR1791" t="s">
        <v>8</v>
      </c>
      <c r="AS1791" t="s">
        <v>8</v>
      </c>
      <c r="AT1791">
        <v>11945.7</v>
      </c>
    </row>
    <row r="1792" spans="34:46" x14ac:dyDescent="0.35">
      <c r="AH1792" t="s">
        <v>204</v>
      </c>
      <c r="AI1792" t="s">
        <v>180</v>
      </c>
      <c r="AJ1792" s="3">
        <v>44196</v>
      </c>
      <c r="AK1792" t="s">
        <v>42</v>
      </c>
      <c r="AL1792" s="1">
        <v>5900</v>
      </c>
      <c r="AM1792" t="s">
        <v>8</v>
      </c>
      <c r="AN1792" t="s">
        <v>8</v>
      </c>
      <c r="AO1792" t="s">
        <v>8</v>
      </c>
      <c r="AP1792" s="1">
        <v>13.25</v>
      </c>
      <c r="AQ1792" t="s">
        <v>8</v>
      </c>
      <c r="AR1792" t="s">
        <v>8</v>
      </c>
      <c r="AS1792" t="s">
        <v>8</v>
      </c>
      <c r="AT1792">
        <v>11945.7</v>
      </c>
    </row>
    <row r="1793" spans="34:46" x14ac:dyDescent="0.35">
      <c r="AH1793" t="s">
        <v>204</v>
      </c>
      <c r="AI1793" t="s">
        <v>180</v>
      </c>
      <c r="AJ1793" s="3">
        <v>43643</v>
      </c>
      <c r="AK1793" t="s">
        <v>41</v>
      </c>
      <c r="AL1793" s="1">
        <v>5200</v>
      </c>
      <c r="AM1793" t="s">
        <v>8</v>
      </c>
      <c r="AN1793" t="s">
        <v>8</v>
      </c>
      <c r="AO1793" t="s">
        <v>8</v>
      </c>
      <c r="AP1793" s="1">
        <v>4155.1000000000004</v>
      </c>
      <c r="AQ1793" t="s">
        <v>8</v>
      </c>
      <c r="AR1793" t="s">
        <v>8</v>
      </c>
      <c r="AS1793" t="s">
        <v>8</v>
      </c>
      <c r="AT1793">
        <v>11945.7</v>
      </c>
    </row>
    <row r="1794" spans="34:46" x14ac:dyDescent="0.35">
      <c r="AH1794" t="s">
        <v>204</v>
      </c>
      <c r="AI1794" t="s">
        <v>180</v>
      </c>
      <c r="AJ1794" s="3">
        <v>43636</v>
      </c>
      <c r="AK1794" t="s">
        <v>42</v>
      </c>
      <c r="AL1794" s="1">
        <v>10200</v>
      </c>
      <c r="AM1794" t="s">
        <v>8</v>
      </c>
      <c r="AN1794" t="s">
        <v>8</v>
      </c>
      <c r="AO1794" t="s">
        <v>8</v>
      </c>
      <c r="AP1794" s="1">
        <v>0.65</v>
      </c>
      <c r="AQ1794" t="s">
        <v>8</v>
      </c>
      <c r="AR1794" t="s">
        <v>8</v>
      </c>
      <c r="AS1794" t="s">
        <v>8</v>
      </c>
      <c r="AT1794">
        <v>11945.7</v>
      </c>
    </row>
    <row r="1795" spans="34:46" x14ac:dyDescent="0.35">
      <c r="AH1795" t="s">
        <v>204</v>
      </c>
      <c r="AI1795" t="s">
        <v>180</v>
      </c>
      <c r="AJ1795" s="3">
        <v>44371</v>
      </c>
      <c r="AK1795" t="s">
        <v>42</v>
      </c>
      <c r="AL1795" s="1">
        <v>9900</v>
      </c>
      <c r="AM1795" t="s">
        <v>8</v>
      </c>
      <c r="AN1795" t="s">
        <v>8</v>
      </c>
      <c r="AO1795" t="s">
        <v>8</v>
      </c>
      <c r="AP1795">
        <v>580.85</v>
      </c>
      <c r="AQ1795" t="s">
        <v>8</v>
      </c>
      <c r="AR1795" t="s">
        <v>8</v>
      </c>
      <c r="AS1795" t="s">
        <v>8</v>
      </c>
      <c r="AT1795">
        <v>11945.7</v>
      </c>
    </row>
    <row r="1796" spans="34:46" x14ac:dyDescent="0.35">
      <c r="AH1796" t="s">
        <v>204</v>
      </c>
      <c r="AI1796" t="s">
        <v>180</v>
      </c>
      <c r="AJ1796" s="3">
        <v>43636</v>
      </c>
      <c r="AK1796" t="s">
        <v>42</v>
      </c>
      <c r="AL1796" s="1">
        <v>10400</v>
      </c>
      <c r="AM1796" t="s">
        <v>8</v>
      </c>
      <c r="AN1796" t="s">
        <v>8</v>
      </c>
      <c r="AO1796" t="s">
        <v>8</v>
      </c>
      <c r="AP1796">
        <v>0.35</v>
      </c>
      <c r="AQ1796" t="s">
        <v>8</v>
      </c>
      <c r="AR1796" t="s">
        <v>8</v>
      </c>
      <c r="AS1796" t="s">
        <v>8</v>
      </c>
      <c r="AT1796">
        <v>11945.7</v>
      </c>
    </row>
    <row r="1797" spans="34:46" x14ac:dyDescent="0.35">
      <c r="AH1797" t="s">
        <v>204</v>
      </c>
      <c r="AI1797" t="s">
        <v>180</v>
      </c>
      <c r="AJ1797" s="3">
        <v>43622</v>
      </c>
      <c r="AK1797" t="s">
        <v>41</v>
      </c>
      <c r="AL1797" s="1">
        <v>11100</v>
      </c>
      <c r="AM1797" t="s">
        <v>8</v>
      </c>
      <c r="AN1797" t="s">
        <v>8</v>
      </c>
      <c r="AO1797" t="s">
        <v>8</v>
      </c>
      <c r="AP1797" s="1">
        <v>675.3</v>
      </c>
      <c r="AQ1797" t="s">
        <v>8</v>
      </c>
      <c r="AR1797" t="s">
        <v>8</v>
      </c>
      <c r="AS1797" t="s">
        <v>8</v>
      </c>
      <c r="AT1797">
        <v>11945.7</v>
      </c>
    </row>
    <row r="1798" spans="34:46" x14ac:dyDescent="0.35">
      <c r="AH1798" t="s">
        <v>204</v>
      </c>
      <c r="AI1798" t="s">
        <v>180</v>
      </c>
      <c r="AJ1798" s="3">
        <v>43664</v>
      </c>
      <c r="AK1798" t="s">
        <v>41</v>
      </c>
      <c r="AL1798" s="1">
        <v>10450</v>
      </c>
      <c r="AM1798" t="s">
        <v>8</v>
      </c>
      <c r="AN1798" t="s">
        <v>8</v>
      </c>
      <c r="AO1798" t="s">
        <v>8</v>
      </c>
      <c r="AP1798">
        <v>955.05</v>
      </c>
      <c r="AQ1798" t="s">
        <v>8</v>
      </c>
      <c r="AR1798" t="s">
        <v>8</v>
      </c>
      <c r="AS1798" t="s">
        <v>8</v>
      </c>
      <c r="AT1798">
        <v>11945.7</v>
      </c>
    </row>
    <row r="1799" spans="34:46" x14ac:dyDescent="0.35">
      <c r="AH1799" t="s">
        <v>204</v>
      </c>
      <c r="AI1799" t="s">
        <v>180</v>
      </c>
      <c r="AJ1799" s="3">
        <v>44007</v>
      </c>
      <c r="AK1799" t="s">
        <v>42</v>
      </c>
      <c r="AL1799" s="1">
        <v>10000</v>
      </c>
      <c r="AM1799" t="s">
        <v>8</v>
      </c>
      <c r="AN1799" t="s">
        <v>8</v>
      </c>
      <c r="AO1799" t="s">
        <v>8</v>
      </c>
      <c r="AP1799">
        <v>180</v>
      </c>
      <c r="AQ1799" t="s">
        <v>8</v>
      </c>
      <c r="AR1799" t="s">
        <v>8</v>
      </c>
      <c r="AS1799" t="s">
        <v>8</v>
      </c>
      <c r="AT1799">
        <v>11945.7</v>
      </c>
    </row>
    <row r="1800" spans="34:46" x14ac:dyDescent="0.35">
      <c r="AH1800" t="s">
        <v>204</v>
      </c>
      <c r="AI1800" t="s">
        <v>180</v>
      </c>
      <c r="AJ1800" s="3">
        <v>45106</v>
      </c>
      <c r="AK1800" t="s">
        <v>42</v>
      </c>
      <c r="AL1800" s="1">
        <v>11000</v>
      </c>
      <c r="AM1800" t="s">
        <v>8</v>
      </c>
      <c r="AN1800" t="s">
        <v>8</v>
      </c>
      <c r="AO1800" t="s">
        <v>8</v>
      </c>
      <c r="AP1800">
        <v>104.2</v>
      </c>
      <c r="AQ1800" t="s">
        <v>8</v>
      </c>
      <c r="AR1800" t="s">
        <v>8</v>
      </c>
      <c r="AS1800" t="s">
        <v>8</v>
      </c>
      <c r="AT1800">
        <v>11945.7</v>
      </c>
    </row>
    <row r="1801" spans="34:46" x14ac:dyDescent="0.35">
      <c r="AH1801" t="s">
        <v>204</v>
      </c>
      <c r="AI1801" t="s">
        <v>180</v>
      </c>
      <c r="AJ1801" s="3">
        <v>43664</v>
      </c>
      <c r="AK1801" t="s">
        <v>41</v>
      </c>
      <c r="AL1801" s="1">
        <v>10650</v>
      </c>
      <c r="AM1801" t="s">
        <v>8</v>
      </c>
      <c r="AN1801" t="s">
        <v>8</v>
      </c>
      <c r="AO1801" t="s">
        <v>8</v>
      </c>
      <c r="AP1801">
        <v>777.5</v>
      </c>
      <c r="AQ1801" t="s">
        <v>8</v>
      </c>
      <c r="AR1801" t="s">
        <v>8</v>
      </c>
      <c r="AS1801" t="s">
        <v>8</v>
      </c>
      <c r="AT1801">
        <v>11945.7</v>
      </c>
    </row>
    <row r="1802" spans="34:46" x14ac:dyDescent="0.35">
      <c r="AH1802" t="s">
        <v>204</v>
      </c>
      <c r="AI1802" t="s">
        <v>180</v>
      </c>
      <c r="AJ1802" s="3">
        <v>43734</v>
      </c>
      <c r="AK1802" t="s">
        <v>42</v>
      </c>
      <c r="AL1802" s="1">
        <v>11500</v>
      </c>
      <c r="AM1802" t="s">
        <v>8</v>
      </c>
      <c r="AN1802" t="s">
        <v>8</v>
      </c>
      <c r="AO1802" t="s">
        <v>8</v>
      </c>
      <c r="AP1802" s="1">
        <v>463.15</v>
      </c>
      <c r="AQ1802" t="s">
        <v>8</v>
      </c>
      <c r="AR1802" t="s">
        <v>8</v>
      </c>
      <c r="AS1802" t="s">
        <v>8</v>
      </c>
      <c r="AT1802">
        <v>11945.7</v>
      </c>
    </row>
    <row r="1803" spans="34:46" x14ac:dyDescent="0.35">
      <c r="AH1803" t="s">
        <v>204</v>
      </c>
      <c r="AI1803" t="s">
        <v>180</v>
      </c>
      <c r="AJ1803" s="3">
        <v>43636</v>
      </c>
      <c r="AK1803" t="s">
        <v>41</v>
      </c>
      <c r="AL1803" s="1">
        <v>12100</v>
      </c>
      <c r="AM1803" t="s">
        <v>8</v>
      </c>
      <c r="AN1803" t="s">
        <v>8</v>
      </c>
      <c r="AO1803" t="s">
        <v>8</v>
      </c>
      <c r="AP1803">
        <v>133.80000000000001</v>
      </c>
      <c r="AQ1803" t="s">
        <v>8</v>
      </c>
      <c r="AR1803" t="s">
        <v>8</v>
      </c>
      <c r="AS1803" t="s">
        <v>8</v>
      </c>
      <c r="AT1803">
        <v>11945.7</v>
      </c>
    </row>
    <row r="1804" spans="34:46" x14ac:dyDescent="0.35">
      <c r="AH1804" t="s">
        <v>204</v>
      </c>
      <c r="AI1804" t="s">
        <v>180</v>
      </c>
      <c r="AJ1804" s="3">
        <v>43657</v>
      </c>
      <c r="AK1804" t="s">
        <v>41</v>
      </c>
      <c r="AL1804" s="1">
        <v>11150</v>
      </c>
      <c r="AM1804" t="s">
        <v>8</v>
      </c>
      <c r="AN1804" t="s">
        <v>8</v>
      </c>
      <c r="AO1804" t="s">
        <v>8</v>
      </c>
      <c r="AP1804">
        <v>427.25</v>
      </c>
      <c r="AQ1804" t="s">
        <v>8</v>
      </c>
      <c r="AR1804" t="s">
        <v>8</v>
      </c>
      <c r="AS1804" t="s">
        <v>8</v>
      </c>
      <c r="AT1804">
        <v>11945.7</v>
      </c>
    </row>
    <row r="1805" spans="34:46" x14ac:dyDescent="0.35">
      <c r="AH1805" t="s">
        <v>204</v>
      </c>
      <c r="AI1805" t="s">
        <v>180</v>
      </c>
      <c r="AJ1805" s="3">
        <v>43636</v>
      </c>
      <c r="AK1805" t="s">
        <v>41</v>
      </c>
      <c r="AL1805" s="1">
        <v>12300</v>
      </c>
      <c r="AM1805" t="s">
        <v>8</v>
      </c>
      <c r="AN1805" t="s">
        <v>8</v>
      </c>
      <c r="AO1805" t="s">
        <v>8</v>
      </c>
      <c r="AP1805">
        <v>45</v>
      </c>
      <c r="AQ1805" t="s">
        <v>8</v>
      </c>
      <c r="AR1805" t="s">
        <v>8</v>
      </c>
      <c r="AS1805" t="s">
        <v>8</v>
      </c>
      <c r="AT1805">
        <v>11945.7</v>
      </c>
    </row>
    <row r="1806" spans="34:46" x14ac:dyDescent="0.35">
      <c r="AH1806" t="s">
        <v>204</v>
      </c>
      <c r="AI1806" t="s">
        <v>180</v>
      </c>
      <c r="AJ1806" s="3">
        <v>44742</v>
      </c>
      <c r="AK1806" t="s">
        <v>42</v>
      </c>
      <c r="AL1806" s="1">
        <v>8400</v>
      </c>
      <c r="AM1806" t="s">
        <v>8</v>
      </c>
      <c r="AN1806" t="s">
        <v>8</v>
      </c>
      <c r="AO1806" t="s">
        <v>8</v>
      </c>
      <c r="AP1806" s="1">
        <v>4.05</v>
      </c>
      <c r="AQ1806" t="s">
        <v>8</v>
      </c>
      <c r="AR1806" t="s">
        <v>8</v>
      </c>
      <c r="AS1806" t="s">
        <v>8</v>
      </c>
      <c r="AT1806">
        <v>11945.7</v>
      </c>
    </row>
    <row r="1807" spans="34:46" x14ac:dyDescent="0.35">
      <c r="AH1807" t="s">
        <v>204</v>
      </c>
      <c r="AI1807" t="s">
        <v>180</v>
      </c>
      <c r="AJ1807" s="3">
        <v>43650</v>
      </c>
      <c r="AK1807" t="s">
        <v>42</v>
      </c>
      <c r="AL1807" s="1">
        <v>12750</v>
      </c>
      <c r="AM1807" t="s">
        <v>8</v>
      </c>
      <c r="AN1807" t="s">
        <v>8</v>
      </c>
      <c r="AO1807" t="s">
        <v>8</v>
      </c>
      <c r="AP1807" s="1">
        <v>898.9</v>
      </c>
      <c r="AQ1807" t="s">
        <v>8</v>
      </c>
      <c r="AR1807" t="s">
        <v>8</v>
      </c>
      <c r="AS1807" t="s">
        <v>8</v>
      </c>
      <c r="AT1807">
        <v>11945.7</v>
      </c>
    </row>
    <row r="1808" spans="34:46" x14ac:dyDescent="0.35">
      <c r="AH1808" t="s">
        <v>204</v>
      </c>
      <c r="AI1808" t="s">
        <v>180</v>
      </c>
      <c r="AJ1808" s="3">
        <v>44742</v>
      </c>
      <c r="AK1808" t="s">
        <v>42</v>
      </c>
      <c r="AL1808" s="1">
        <v>8600</v>
      </c>
      <c r="AM1808" t="s">
        <v>8</v>
      </c>
      <c r="AN1808" t="s">
        <v>8</v>
      </c>
      <c r="AO1808" t="s">
        <v>8</v>
      </c>
      <c r="AP1808">
        <v>5.9</v>
      </c>
      <c r="AQ1808" t="s">
        <v>8</v>
      </c>
      <c r="AR1808" t="s">
        <v>8</v>
      </c>
      <c r="AS1808" t="s">
        <v>8</v>
      </c>
      <c r="AT1808">
        <v>11945.7</v>
      </c>
    </row>
    <row r="1809" spans="34:46" x14ac:dyDescent="0.35">
      <c r="AH1809" t="s">
        <v>204</v>
      </c>
      <c r="AI1809" t="s">
        <v>180</v>
      </c>
      <c r="AJ1809" s="3">
        <v>43650</v>
      </c>
      <c r="AK1809" t="s">
        <v>42</v>
      </c>
      <c r="AL1809" s="1">
        <v>12950</v>
      </c>
      <c r="AM1809" t="s">
        <v>8</v>
      </c>
      <c r="AN1809" t="s">
        <v>8</v>
      </c>
      <c r="AO1809" t="s">
        <v>8</v>
      </c>
      <c r="AP1809" s="1">
        <v>1082.5999999999999</v>
      </c>
      <c r="AQ1809" t="s">
        <v>8</v>
      </c>
      <c r="AR1809" t="s">
        <v>8</v>
      </c>
      <c r="AS1809" t="s">
        <v>8</v>
      </c>
      <c r="AT1809">
        <v>11945.7</v>
      </c>
    </row>
    <row r="1810" spans="34:46" x14ac:dyDescent="0.35">
      <c r="AH1810" t="s">
        <v>204</v>
      </c>
      <c r="AI1810" t="s">
        <v>180</v>
      </c>
      <c r="AJ1810" s="3">
        <v>44007</v>
      </c>
      <c r="AK1810" t="s">
        <v>41</v>
      </c>
      <c r="AL1810" s="1">
        <v>9800</v>
      </c>
      <c r="AM1810" t="s">
        <v>8</v>
      </c>
      <c r="AN1810" t="s">
        <v>8</v>
      </c>
      <c r="AO1810" t="s">
        <v>8</v>
      </c>
      <c r="AP1810" t="s">
        <v>8</v>
      </c>
      <c r="AQ1810" t="s">
        <v>8</v>
      </c>
      <c r="AR1810" t="s">
        <v>8</v>
      </c>
      <c r="AS1810" t="s">
        <v>8</v>
      </c>
      <c r="AT1810">
        <v>11945.7</v>
      </c>
    </row>
    <row r="1811" spans="34:46" x14ac:dyDescent="0.35">
      <c r="AH1811" t="s">
        <v>204</v>
      </c>
      <c r="AI1811" t="s">
        <v>180</v>
      </c>
      <c r="AJ1811" s="3">
        <v>44924</v>
      </c>
      <c r="AK1811" t="s">
        <v>42</v>
      </c>
      <c r="AL1811" s="1">
        <v>12000</v>
      </c>
      <c r="AM1811" t="s">
        <v>8</v>
      </c>
      <c r="AN1811" t="s">
        <v>8</v>
      </c>
      <c r="AO1811" t="s">
        <v>8</v>
      </c>
      <c r="AP1811" s="1">
        <v>297.8</v>
      </c>
      <c r="AQ1811" t="s">
        <v>8</v>
      </c>
      <c r="AR1811" t="s">
        <v>8</v>
      </c>
      <c r="AS1811" t="s">
        <v>8</v>
      </c>
      <c r="AT1811">
        <v>11945.7</v>
      </c>
    </row>
    <row r="1812" spans="34:46" x14ac:dyDescent="0.35">
      <c r="AH1812" t="s">
        <v>204</v>
      </c>
      <c r="AI1812" t="s">
        <v>180</v>
      </c>
      <c r="AJ1812" s="3">
        <v>45106</v>
      </c>
      <c r="AK1812" t="s">
        <v>42</v>
      </c>
      <c r="AL1812" s="1">
        <v>8000</v>
      </c>
      <c r="AM1812" t="s">
        <v>8</v>
      </c>
      <c r="AN1812" t="s">
        <v>8</v>
      </c>
      <c r="AO1812" t="s">
        <v>8</v>
      </c>
      <c r="AP1812" s="1">
        <v>183.1</v>
      </c>
      <c r="AQ1812" t="s">
        <v>8</v>
      </c>
      <c r="AR1812" t="s">
        <v>8</v>
      </c>
      <c r="AS1812" t="s">
        <v>8</v>
      </c>
      <c r="AT1812">
        <v>11945.7</v>
      </c>
    </row>
    <row r="1813" spans="34:46" x14ac:dyDescent="0.35">
      <c r="AH1813" t="s">
        <v>204</v>
      </c>
      <c r="AI1813" t="s">
        <v>180</v>
      </c>
      <c r="AJ1813" s="3">
        <v>44924</v>
      </c>
      <c r="AK1813" t="s">
        <v>42</v>
      </c>
      <c r="AL1813" s="1">
        <v>12200</v>
      </c>
      <c r="AM1813" t="s">
        <v>8</v>
      </c>
      <c r="AN1813" t="s">
        <v>8</v>
      </c>
      <c r="AO1813" t="s">
        <v>8</v>
      </c>
      <c r="AP1813">
        <v>336.85</v>
      </c>
      <c r="AQ1813" t="s">
        <v>8</v>
      </c>
      <c r="AR1813" t="s">
        <v>8</v>
      </c>
      <c r="AS1813" t="s">
        <v>8</v>
      </c>
      <c r="AT1813">
        <v>11945.7</v>
      </c>
    </row>
    <row r="1814" spans="34:46" x14ac:dyDescent="0.35">
      <c r="AH1814" t="s">
        <v>204</v>
      </c>
      <c r="AI1814" t="s">
        <v>180</v>
      </c>
      <c r="AJ1814" s="3">
        <v>44007</v>
      </c>
      <c r="AK1814" t="s">
        <v>41</v>
      </c>
      <c r="AL1814" s="1">
        <v>10600</v>
      </c>
      <c r="AM1814" t="s">
        <v>8</v>
      </c>
      <c r="AN1814" t="s">
        <v>8</v>
      </c>
      <c r="AO1814" t="s">
        <v>8</v>
      </c>
      <c r="AP1814" t="s">
        <v>8</v>
      </c>
      <c r="AQ1814" t="s">
        <v>8</v>
      </c>
      <c r="AR1814" t="s">
        <v>8</v>
      </c>
      <c r="AS1814" t="s">
        <v>8</v>
      </c>
      <c r="AT1814">
        <v>11945.7</v>
      </c>
    </row>
    <row r="1815" spans="34:46" x14ac:dyDescent="0.35">
      <c r="AH1815" t="s">
        <v>204</v>
      </c>
      <c r="AI1815" t="s">
        <v>180</v>
      </c>
      <c r="AJ1815" s="3">
        <v>44007</v>
      </c>
      <c r="AK1815" t="s">
        <v>41</v>
      </c>
      <c r="AL1815" s="1">
        <v>10800</v>
      </c>
      <c r="AM1815" t="s">
        <v>8</v>
      </c>
      <c r="AN1815" t="s">
        <v>8</v>
      </c>
      <c r="AO1815" t="s">
        <v>8</v>
      </c>
      <c r="AP1815" s="1">
        <v>1740</v>
      </c>
      <c r="AQ1815" t="s">
        <v>8</v>
      </c>
      <c r="AR1815" t="s">
        <v>8</v>
      </c>
      <c r="AS1815" t="s">
        <v>8</v>
      </c>
      <c r="AT1815">
        <v>11945.7</v>
      </c>
    </row>
    <row r="1816" spans="34:46" x14ac:dyDescent="0.35">
      <c r="AH1816" t="s">
        <v>204</v>
      </c>
      <c r="AI1816" t="s">
        <v>180</v>
      </c>
      <c r="AJ1816" s="3">
        <v>43825</v>
      </c>
      <c r="AK1816" t="s">
        <v>42</v>
      </c>
      <c r="AL1816" s="1">
        <v>14000</v>
      </c>
      <c r="AM1816" t="s">
        <v>8</v>
      </c>
      <c r="AN1816" t="s">
        <v>8</v>
      </c>
      <c r="AO1816" t="s">
        <v>8</v>
      </c>
      <c r="AP1816" s="1">
        <v>1331.8</v>
      </c>
      <c r="AQ1816" t="s">
        <v>8</v>
      </c>
      <c r="AR1816" t="s">
        <v>8</v>
      </c>
      <c r="AS1816" t="s">
        <v>8</v>
      </c>
      <c r="AT1816">
        <v>11945.7</v>
      </c>
    </row>
    <row r="1817" spans="34:46" x14ac:dyDescent="0.35">
      <c r="AH1817" t="s">
        <v>204</v>
      </c>
      <c r="AI1817" t="s">
        <v>180</v>
      </c>
      <c r="AJ1817" s="3">
        <v>44924</v>
      </c>
      <c r="AK1817" t="s">
        <v>42</v>
      </c>
      <c r="AL1817" s="1">
        <v>10900</v>
      </c>
      <c r="AM1817" t="s">
        <v>8</v>
      </c>
      <c r="AN1817" t="s">
        <v>8</v>
      </c>
      <c r="AO1817" t="s">
        <v>8</v>
      </c>
      <c r="AP1817">
        <v>136.15</v>
      </c>
      <c r="AQ1817" t="s">
        <v>8</v>
      </c>
      <c r="AR1817" t="s">
        <v>8</v>
      </c>
      <c r="AS1817" t="s">
        <v>8</v>
      </c>
      <c r="AT1817">
        <v>11945.7</v>
      </c>
    </row>
    <row r="1818" spans="34:46" x14ac:dyDescent="0.35">
      <c r="AH1818" t="s">
        <v>204</v>
      </c>
      <c r="AI1818" t="s">
        <v>180</v>
      </c>
      <c r="AJ1818" s="3">
        <v>44371</v>
      </c>
      <c r="AK1818" t="s">
        <v>42</v>
      </c>
      <c r="AL1818" s="1">
        <v>12000</v>
      </c>
      <c r="AM1818" t="s">
        <v>8</v>
      </c>
      <c r="AN1818" t="s">
        <v>8</v>
      </c>
      <c r="AO1818" t="s">
        <v>8</v>
      </c>
      <c r="AP1818">
        <v>744.15</v>
      </c>
      <c r="AQ1818" t="s">
        <v>8</v>
      </c>
      <c r="AR1818" t="s">
        <v>8</v>
      </c>
      <c r="AS1818" t="s">
        <v>8</v>
      </c>
      <c r="AT1818">
        <v>11945.7</v>
      </c>
    </row>
    <row r="1819" spans="34:46" x14ac:dyDescent="0.35">
      <c r="AH1819" t="s">
        <v>204</v>
      </c>
      <c r="AI1819" t="s">
        <v>180</v>
      </c>
      <c r="AJ1819" s="3">
        <v>43622</v>
      </c>
      <c r="AK1819" t="s">
        <v>42</v>
      </c>
      <c r="AL1819" s="1">
        <v>13050</v>
      </c>
      <c r="AM1819" t="s">
        <v>8</v>
      </c>
      <c r="AN1819" t="s">
        <v>8</v>
      </c>
      <c r="AO1819" t="s">
        <v>8</v>
      </c>
      <c r="AP1819" s="1">
        <v>1298.3</v>
      </c>
      <c r="AQ1819" t="s">
        <v>8</v>
      </c>
      <c r="AR1819" t="s">
        <v>8</v>
      </c>
      <c r="AS1819" t="s">
        <v>8</v>
      </c>
      <c r="AT1819">
        <v>11945.7</v>
      </c>
    </row>
    <row r="1820" spans="34:46" x14ac:dyDescent="0.35">
      <c r="AH1820" t="s">
        <v>204</v>
      </c>
      <c r="AI1820" t="s">
        <v>180</v>
      </c>
      <c r="AJ1820" s="3">
        <v>43643</v>
      </c>
      <c r="AK1820" t="s">
        <v>42</v>
      </c>
      <c r="AL1820" s="1">
        <v>13350</v>
      </c>
      <c r="AM1820" t="s">
        <v>8</v>
      </c>
      <c r="AN1820" t="s">
        <v>8</v>
      </c>
      <c r="AO1820" t="s">
        <v>8</v>
      </c>
      <c r="AP1820" s="1">
        <v>1445.7</v>
      </c>
      <c r="AQ1820" t="s">
        <v>8</v>
      </c>
      <c r="AR1820" t="s">
        <v>8</v>
      </c>
      <c r="AS1820" t="s">
        <v>8</v>
      </c>
      <c r="AT1820">
        <v>11945.7</v>
      </c>
    </row>
    <row r="1821" spans="34:46" x14ac:dyDescent="0.35">
      <c r="AH1821" t="s">
        <v>204</v>
      </c>
      <c r="AI1821" t="s">
        <v>180</v>
      </c>
      <c r="AJ1821" s="3">
        <v>43629</v>
      </c>
      <c r="AK1821" t="s">
        <v>41</v>
      </c>
      <c r="AL1821" s="1">
        <v>10150</v>
      </c>
      <c r="AM1821" t="s">
        <v>8</v>
      </c>
      <c r="AN1821" t="s">
        <v>8</v>
      </c>
      <c r="AO1821" t="s">
        <v>8</v>
      </c>
      <c r="AP1821" s="1">
        <v>1567.35</v>
      </c>
      <c r="AQ1821" t="s">
        <v>8</v>
      </c>
      <c r="AR1821" t="s">
        <v>8</v>
      </c>
      <c r="AS1821" t="s">
        <v>8</v>
      </c>
      <c r="AT1821">
        <v>11945.7</v>
      </c>
    </row>
    <row r="1822" spans="34:46" x14ac:dyDescent="0.35">
      <c r="AH1822" t="s">
        <v>204</v>
      </c>
      <c r="AI1822" t="s">
        <v>180</v>
      </c>
      <c r="AJ1822" s="3">
        <v>44007</v>
      </c>
      <c r="AK1822" t="s">
        <v>42</v>
      </c>
      <c r="AL1822" s="1">
        <v>8900</v>
      </c>
      <c r="AM1822" t="s">
        <v>8</v>
      </c>
      <c r="AN1822" t="s">
        <v>8</v>
      </c>
      <c r="AO1822" t="s">
        <v>8</v>
      </c>
      <c r="AP1822">
        <v>45</v>
      </c>
      <c r="AQ1822" t="s">
        <v>8</v>
      </c>
      <c r="AR1822" t="s">
        <v>8</v>
      </c>
      <c r="AS1822" t="s">
        <v>8</v>
      </c>
      <c r="AT1822">
        <v>11945.7</v>
      </c>
    </row>
    <row r="1823" spans="34:46" x14ac:dyDescent="0.35">
      <c r="AH1823" t="s">
        <v>204</v>
      </c>
      <c r="AI1823" t="s">
        <v>180</v>
      </c>
      <c r="AJ1823" s="3">
        <v>44371</v>
      </c>
      <c r="AK1823" t="s">
        <v>42</v>
      </c>
      <c r="AL1823" s="1">
        <v>10700</v>
      </c>
      <c r="AM1823" t="s">
        <v>8</v>
      </c>
      <c r="AN1823" t="s">
        <v>8</v>
      </c>
      <c r="AO1823" t="s">
        <v>8</v>
      </c>
      <c r="AP1823" t="s">
        <v>8</v>
      </c>
      <c r="AQ1823" t="s">
        <v>8</v>
      </c>
      <c r="AR1823" t="s">
        <v>8</v>
      </c>
      <c r="AS1823" t="s">
        <v>8</v>
      </c>
      <c r="AT1823">
        <v>11945.7</v>
      </c>
    </row>
    <row r="1824" spans="34:46" x14ac:dyDescent="0.35">
      <c r="AH1824" t="s">
        <v>204</v>
      </c>
      <c r="AI1824" t="s">
        <v>180</v>
      </c>
      <c r="AJ1824" s="3">
        <v>43629</v>
      </c>
      <c r="AK1824" t="s">
        <v>42</v>
      </c>
      <c r="AL1824" s="1">
        <v>10000</v>
      </c>
      <c r="AM1824" t="s">
        <v>8</v>
      </c>
      <c r="AN1824" t="s">
        <v>8</v>
      </c>
      <c r="AO1824" t="s">
        <v>8</v>
      </c>
      <c r="AP1824">
        <v>0.05</v>
      </c>
      <c r="AQ1824" t="s">
        <v>8</v>
      </c>
      <c r="AR1824" t="s">
        <v>8</v>
      </c>
      <c r="AS1824" t="s">
        <v>8</v>
      </c>
      <c r="AT1824">
        <v>11945.7</v>
      </c>
    </row>
    <row r="1825" spans="34:46" x14ac:dyDescent="0.35">
      <c r="AH1825" t="s">
        <v>204</v>
      </c>
      <c r="AI1825" t="s">
        <v>180</v>
      </c>
      <c r="AJ1825" s="3">
        <v>44371</v>
      </c>
      <c r="AK1825" t="s">
        <v>42</v>
      </c>
      <c r="AL1825" s="1">
        <v>10900</v>
      </c>
      <c r="AM1825" t="s">
        <v>8</v>
      </c>
      <c r="AN1825" t="s">
        <v>8</v>
      </c>
      <c r="AO1825" t="s">
        <v>8</v>
      </c>
      <c r="AP1825">
        <v>620</v>
      </c>
      <c r="AQ1825" t="s">
        <v>8</v>
      </c>
      <c r="AR1825" t="s">
        <v>8</v>
      </c>
      <c r="AS1825" t="s">
        <v>8</v>
      </c>
      <c r="AT1825">
        <v>11945.7</v>
      </c>
    </row>
    <row r="1826" spans="34:46" x14ac:dyDescent="0.35">
      <c r="AH1826" t="s">
        <v>204</v>
      </c>
      <c r="AI1826" t="s">
        <v>180</v>
      </c>
      <c r="AJ1826" s="3">
        <v>43629</v>
      </c>
      <c r="AK1826" t="s">
        <v>42</v>
      </c>
      <c r="AL1826" s="1">
        <v>10200</v>
      </c>
      <c r="AM1826" t="s">
        <v>8</v>
      </c>
      <c r="AN1826" t="s">
        <v>8</v>
      </c>
      <c r="AO1826" t="s">
        <v>8</v>
      </c>
      <c r="AP1826">
        <v>0.4</v>
      </c>
      <c r="AQ1826" t="s">
        <v>8</v>
      </c>
      <c r="AR1826" t="s">
        <v>8</v>
      </c>
      <c r="AS1826" t="s">
        <v>8</v>
      </c>
      <c r="AT1826">
        <v>11945.7</v>
      </c>
    </row>
    <row r="1827" spans="34:46" x14ac:dyDescent="0.35">
      <c r="AH1827" t="s">
        <v>204</v>
      </c>
      <c r="AI1827" t="s">
        <v>180</v>
      </c>
      <c r="AJ1827" s="3">
        <v>43916</v>
      </c>
      <c r="AK1827" t="s">
        <v>42</v>
      </c>
      <c r="AL1827" s="1">
        <v>11300</v>
      </c>
      <c r="AM1827" t="s">
        <v>8</v>
      </c>
      <c r="AN1827" t="s">
        <v>8</v>
      </c>
      <c r="AO1827" t="s">
        <v>8</v>
      </c>
      <c r="AP1827">
        <v>207.6</v>
      </c>
      <c r="AQ1827" t="s">
        <v>8</v>
      </c>
      <c r="AR1827" t="s">
        <v>8</v>
      </c>
      <c r="AS1827" t="s">
        <v>8</v>
      </c>
      <c r="AT1827">
        <v>11945.7</v>
      </c>
    </row>
    <row r="1828" spans="34:46" x14ac:dyDescent="0.35">
      <c r="AH1828" t="s">
        <v>204</v>
      </c>
      <c r="AI1828" t="s">
        <v>180</v>
      </c>
      <c r="AJ1828" s="3">
        <v>43615</v>
      </c>
      <c r="AK1828" t="s">
        <v>42</v>
      </c>
      <c r="AL1828" s="1">
        <v>12650</v>
      </c>
      <c r="AM1828" t="s">
        <v>8</v>
      </c>
      <c r="AN1828" t="s">
        <v>8</v>
      </c>
      <c r="AO1828" t="s">
        <v>8</v>
      </c>
      <c r="AP1828" s="1">
        <v>1286.75</v>
      </c>
      <c r="AQ1828" t="s">
        <v>8</v>
      </c>
      <c r="AR1828" t="s">
        <v>8</v>
      </c>
      <c r="AS1828" t="s">
        <v>8</v>
      </c>
      <c r="AT1828">
        <v>11945.7</v>
      </c>
    </row>
    <row r="1829" spans="34:46" x14ac:dyDescent="0.35">
      <c r="AH1829" t="s">
        <v>204</v>
      </c>
      <c r="AI1829" t="s">
        <v>180</v>
      </c>
      <c r="AJ1829" s="3">
        <v>43916</v>
      </c>
      <c r="AK1829" t="s">
        <v>42</v>
      </c>
      <c r="AL1829" s="1">
        <v>11500</v>
      </c>
      <c r="AM1829" t="s">
        <v>8</v>
      </c>
      <c r="AN1829" t="s">
        <v>8</v>
      </c>
      <c r="AO1829" t="s">
        <v>8</v>
      </c>
      <c r="AP1829" s="1">
        <v>258.5</v>
      </c>
      <c r="AQ1829" t="s">
        <v>8</v>
      </c>
      <c r="AR1829" t="s">
        <v>8</v>
      </c>
      <c r="AS1829" t="s">
        <v>8</v>
      </c>
      <c r="AT1829">
        <v>11945.7</v>
      </c>
    </row>
    <row r="1830" spans="34:46" x14ac:dyDescent="0.35">
      <c r="AH1830" t="s">
        <v>204</v>
      </c>
      <c r="AI1830" t="s">
        <v>180</v>
      </c>
      <c r="AJ1830" s="3">
        <v>43636</v>
      </c>
      <c r="AK1830" t="s">
        <v>42</v>
      </c>
      <c r="AL1830" s="1">
        <v>12750</v>
      </c>
      <c r="AM1830" t="s">
        <v>8</v>
      </c>
      <c r="AN1830" t="s">
        <v>8</v>
      </c>
      <c r="AO1830" t="s">
        <v>8</v>
      </c>
      <c r="AP1830" s="1">
        <v>869</v>
      </c>
      <c r="AQ1830" t="s">
        <v>8</v>
      </c>
      <c r="AR1830" t="s">
        <v>8</v>
      </c>
      <c r="AS1830" t="s">
        <v>8</v>
      </c>
      <c r="AT1830">
        <v>11945.7</v>
      </c>
    </row>
    <row r="1831" spans="34:46" x14ac:dyDescent="0.35">
      <c r="AH1831" t="s">
        <v>204</v>
      </c>
      <c r="AI1831" t="s">
        <v>180</v>
      </c>
      <c r="AJ1831" s="3">
        <v>43615</v>
      </c>
      <c r="AK1831" t="s">
        <v>42</v>
      </c>
      <c r="AL1831" s="1">
        <v>12850</v>
      </c>
      <c r="AM1831" t="s">
        <v>8</v>
      </c>
      <c r="AN1831" t="s">
        <v>8</v>
      </c>
      <c r="AO1831" t="s">
        <v>8</v>
      </c>
      <c r="AP1831" s="1">
        <v>1315.65</v>
      </c>
      <c r="AQ1831" t="s">
        <v>8</v>
      </c>
      <c r="AR1831" t="s">
        <v>8</v>
      </c>
      <c r="AS1831" t="s">
        <v>8</v>
      </c>
      <c r="AT1831">
        <v>11945.7</v>
      </c>
    </row>
    <row r="1832" spans="34:46" x14ac:dyDescent="0.35">
      <c r="AH1832" t="s">
        <v>204</v>
      </c>
      <c r="AI1832" t="s">
        <v>180</v>
      </c>
      <c r="AJ1832" s="3">
        <v>44560</v>
      </c>
      <c r="AK1832" t="s">
        <v>42</v>
      </c>
      <c r="AL1832" s="1">
        <v>7300</v>
      </c>
      <c r="AM1832" t="s">
        <v>8</v>
      </c>
      <c r="AN1832" t="s">
        <v>8</v>
      </c>
      <c r="AO1832" t="s">
        <v>8</v>
      </c>
      <c r="AP1832">
        <v>149.25</v>
      </c>
      <c r="AQ1832" t="s">
        <v>8</v>
      </c>
      <c r="AR1832" t="s">
        <v>8</v>
      </c>
      <c r="AS1832" t="s">
        <v>8</v>
      </c>
      <c r="AT1832">
        <v>11945.7</v>
      </c>
    </row>
    <row r="1833" spans="34:46" x14ac:dyDescent="0.35">
      <c r="AH1833" t="s">
        <v>204</v>
      </c>
      <c r="AI1833" t="s">
        <v>180</v>
      </c>
      <c r="AJ1833" s="3">
        <v>43636</v>
      </c>
      <c r="AK1833" t="s">
        <v>42</v>
      </c>
      <c r="AL1833" s="1">
        <v>12950</v>
      </c>
      <c r="AM1833" t="s">
        <v>8</v>
      </c>
      <c r="AN1833" t="s">
        <v>8</v>
      </c>
      <c r="AO1833" t="s">
        <v>8</v>
      </c>
      <c r="AP1833" s="1">
        <v>1057.25</v>
      </c>
      <c r="AQ1833" t="s">
        <v>8</v>
      </c>
      <c r="AR1833" t="s">
        <v>8</v>
      </c>
      <c r="AS1833" t="s">
        <v>8</v>
      </c>
      <c r="AT1833">
        <v>11945.7</v>
      </c>
    </row>
    <row r="1834" spans="34:46" x14ac:dyDescent="0.35">
      <c r="AH1834" t="s">
        <v>204</v>
      </c>
      <c r="AI1834" t="s">
        <v>180</v>
      </c>
      <c r="AJ1834" s="3">
        <v>44196</v>
      </c>
      <c r="AK1834" t="s">
        <v>41</v>
      </c>
      <c r="AL1834" s="1">
        <v>10100</v>
      </c>
      <c r="AM1834" t="s">
        <v>8</v>
      </c>
      <c r="AN1834" t="s">
        <v>8</v>
      </c>
      <c r="AO1834" t="s">
        <v>8</v>
      </c>
      <c r="AP1834" s="1" t="s">
        <v>8</v>
      </c>
      <c r="AQ1834" t="s">
        <v>8</v>
      </c>
      <c r="AR1834" t="s">
        <v>8</v>
      </c>
      <c r="AS1834" t="s">
        <v>8</v>
      </c>
      <c r="AT1834">
        <v>11945.7</v>
      </c>
    </row>
    <row r="1835" spans="34:46" x14ac:dyDescent="0.35">
      <c r="AH1835" t="s">
        <v>204</v>
      </c>
      <c r="AI1835" t="s">
        <v>180</v>
      </c>
      <c r="AJ1835" s="3">
        <v>44560</v>
      </c>
      <c r="AK1835" t="s">
        <v>42</v>
      </c>
      <c r="AL1835" s="1">
        <v>7500</v>
      </c>
      <c r="AM1835" t="s">
        <v>8</v>
      </c>
      <c r="AN1835" t="s">
        <v>8</v>
      </c>
      <c r="AO1835" t="s">
        <v>8</v>
      </c>
      <c r="AP1835">
        <v>174.85</v>
      </c>
      <c r="AQ1835" t="s">
        <v>8</v>
      </c>
      <c r="AR1835" t="s">
        <v>8</v>
      </c>
      <c r="AS1835" t="s">
        <v>8</v>
      </c>
      <c r="AT1835">
        <v>11945.7</v>
      </c>
    </row>
    <row r="1836" spans="34:46" x14ac:dyDescent="0.35">
      <c r="AH1836" t="s">
        <v>204</v>
      </c>
      <c r="AI1836" t="s">
        <v>180</v>
      </c>
      <c r="AJ1836" s="3">
        <v>44196</v>
      </c>
      <c r="AK1836" t="s">
        <v>41</v>
      </c>
      <c r="AL1836" s="1">
        <v>10300</v>
      </c>
      <c r="AM1836" t="s">
        <v>8</v>
      </c>
      <c r="AN1836" t="s">
        <v>8</v>
      </c>
      <c r="AO1836" t="s">
        <v>8</v>
      </c>
      <c r="AP1836" t="s">
        <v>8</v>
      </c>
      <c r="AQ1836" t="s">
        <v>8</v>
      </c>
      <c r="AR1836" t="s">
        <v>8</v>
      </c>
      <c r="AS1836" t="s">
        <v>8</v>
      </c>
      <c r="AT1836">
        <v>11945.7</v>
      </c>
    </row>
    <row r="1837" spans="34:46" x14ac:dyDescent="0.35">
      <c r="AH1837" t="s">
        <v>204</v>
      </c>
      <c r="AI1837" t="s">
        <v>180</v>
      </c>
      <c r="AJ1837" s="3">
        <v>43916</v>
      </c>
      <c r="AK1837" t="s">
        <v>41</v>
      </c>
      <c r="AL1837" s="1">
        <v>13000</v>
      </c>
      <c r="AM1837" t="s">
        <v>8</v>
      </c>
      <c r="AN1837" t="s">
        <v>8</v>
      </c>
      <c r="AO1837" t="s">
        <v>8</v>
      </c>
      <c r="AP1837" s="1">
        <v>427.55</v>
      </c>
      <c r="AQ1837" t="s">
        <v>8</v>
      </c>
      <c r="AR1837" t="s">
        <v>8</v>
      </c>
      <c r="AS1837" t="s">
        <v>8</v>
      </c>
      <c r="AT1837">
        <v>11945.7</v>
      </c>
    </row>
    <row r="1838" spans="34:46" x14ac:dyDescent="0.35">
      <c r="AH1838" t="s">
        <v>204</v>
      </c>
      <c r="AI1838" t="s">
        <v>180</v>
      </c>
      <c r="AJ1838" s="3">
        <v>43916</v>
      </c>
      <c r="AK1838" t="s">
        <v>42</v>
      </c>
      <c r="AL1838" s="1">
        <v>8900</v>
      </c>
      <c r="AM1838" t="s">
        <v>8</v>
      </c>
      <c r="AN1838" t="s">
        <v>8</v>
      </c>
      <c r="AO1838" t="s">
        <v>8</v>
      </c>
      <c r="AP1838" s="1">
        <v>4.6500000000000004</v>
      </c>
      <c r="AQ1838" t="s">
        <v>8</v>
      </c>
      <c r="AR1838" t="s">
        <v>8</v>
      </c>
      <c r="AS1838" t="s">
        <v>8</v>
      </c>
      <c r="AT1838">
        <v>11945.7</v>
      </c>
    </row>
    <row r="1839" spans="34:46" x14ac:dyDescent="0.35">
      <c r="AH1839" t="s">
        <v>204</v>
      </c>
      <c r="AI1839" t="s">
        <v>180</v>
      </c>
      <c r="AJ1839" s="3">
        <v>43671</v>
      </c>
      <c r="AK1839" t="s">
        <v>41</v>
      </c>
      <c r="AL1839" s="1">
        <v>11250</v>
      </c>
      <c r="AM1839" t="s">
        <v>8</v>
      </c>
      <c r="AN1839" t="s">
        <v>8</v>
      </c>
      <c r="AO1839" t="s">
        <v>8</v>
      </c>
      <c r="AP1839" s="1">
        <v>687.6</v>
      </c>
      <c r="AQ1839" t="s">
        <v>8</v>
      </c>
      <c r="AR1839" t="s">
        <v>8</v>
      </c>
      <c r="AS1839" t="s">
        <v>8</v>
      </c>
      <c r="AT1839">
        <v>11945.7</v>
      </c>
    </row>
    <row r="1840" spans="34:46" x14ac:dyDescent="0.35">
      <c r="AH1840" t="s">
        <v>204</v>
      </c>
      <c r="AI1840" t="s">
        <v>180</v>
      </c>
      <c r="AJ1840" s="3">
        <v>44007</v>
      </c>
      <c r="AK1840" t="s">
        <v>42</v>
      </c>
      <c r="AL1840" s="1">
        <v>5000</v>
      </c>
      <c r="AM1840" t="s">
        <v>8</v>
      </c>
      <c r="AN1840" t="s">
        <v>8</v>
      </c>
      <c r="AO1840" t="s">
        <v>8</v>
      </c>
      <c r="AP1840" s="1">
        <v>18.05</v>
      </c>
      <c r="AQ1840" t="s">
        <v>8</v>
      </c>
      <c r="AR1840" t="s">
        <v>8</v>
      </c>
      <c r="AS1840" t="s">
        <v>8</v>
      </c>
      <c r="AT1840">
        <v>11945.7</v>
      </c>
    </row>
    <row r="1841" spans="34:46" x14ac:dyDescent="0.35">
      <c r="AH1841" t="s">
        <v>204</v>
      </c>
      <c r="AI1841" t="s">
        <v>180</v>
      </c>
      <c r="AJ1841" s="3">
        <v>43671</v>
      </c>
      <c r="AK1841" t="s">
        <v>41</v>
      </c>
      <c r="AL1841" s="1">
        <v>11450</v>
      </c>
      <c r="AM1841" t="s">
        <v>8</v>
      </c>
      <c r="AN1841" t="s">
        <v>8</v>
      </c>
      <c r="AO1841" t="s">
        <v>8</v>
      </c>
      <c r="AP1841" s="1">
        <v>544.95000000000005</v>
      </c>
      <c r="AQ1841" t="s">
        <v>8</v>
      </c>
      <c r="AR1841" t="s">
        <v>8</v>
      </c>
      <c r="AS1841" t="s">
        <v>8</v>
      </c>
      <c r="AT1841">
        <v>11945.7</v>
      </c>
    </row>
    <row r="1842" spans="34:46" x14ac:dyDescent="0.35">
      <c r="AH1842" t="s">
        <v>204</v>
      </c>
      <c r="AI1842" t="s">
        <v>180</v>
      </c>
      <c r="AJ1842" s="3">
        <v>44560</v>
      </c>
      <c r="AK1842" t="s">
        <v>42</v>
      </c>
      <c r="AL1842" s="1">
        <v>10000</v>
      </c>
      <c r="AM1842" t="s">
        <v>8</v>
      </c>
      <c r="AN1842" t="s">
        <v>8</v>
      </c>
      <c r="AO1842" t="s">
        <v>8</v>
      </c>
      <c r="AP1842">
        <v>273.2</v>
      </c>
      <c r="AQ1842" t="s">
        <v>8</v>
      </c>
      <c r="AR1842" t="s">
        <v>8</v>
      </c>
      <c r="AS1842" t="s">
        <v>8</v>
      </c>
      <c r="AT1842">
        <v>11945.7</v>
      </c>
    </row>
    <row r="1843" spans="34:46" x14ac:dyDescent="0.35">
      <c r="AH1843" t="s">
        <v>204</v>
      </c>
      <c r="AI1843" t="s">
        <v>180</v>
      </c>
      <c r="AJ1843" s="3">
        <v>43650</v>
      </c>
      <c r="AK1843" t="s">
        <v>42</v>
      </c>
      <c r="AL1843" s="1">
        <v>11000</v>
      </c>
      <c r="AM1843" t="s">
        <v>8</v>
      </c>
      <c r="AN1843" t="s">
        <v>8</v>
      </c>
      <c r="AO1843" t="s">
        <v>8</v>
      </c>
      <c r="AP1843" s="1">
        <v>22.9</v>
      </c>
      <c r="AQ1843" t="s">
        <v>8</v>
      </c>
      <c r="AR1843" t="s">
        <v>8</v>
      </c>
      <c r="AS1843" t="s">
        <v>8</v>
      </c>
      <c r="AT1843">
        <v>11945.7</v>
      </c>
    </row>
    <row r="1844" spans="34:46" x14ac:dyDescent="0.35">
      <c r="AH1844" t="s">
        <v>204</v>
      </c>
      <c r="AI1844" t="s">
        <v>180</v>
      </c>
      <c r="AJ1844" s="3">
        <v>43629</v>
      </c>
      <c r="AK1844" t="s">
        <v>41</v>
      </c>
      <c r="AL1844" s="1">
        <v>10800</v>
      </c>
      <c r="AM1844" t="s">
        <v>8</v>
      </c>
      <c r="AN1844" t="s">
        <v>8</v>
      </c>
      <c r="AO1844" t="s">
        <v>8</v>
      </c>
      <c r="AP1844" s="1">
        <v>935.95</v>
      </c>
      <c r="AQ1844" t="s">
        <v>8</v>
      </c>
      <c r="AR1844" t="s">
        <v>8</v>
      </c>
      <c r="AS1844" t="s">
        <v>8</v>
      </c>
      <c r="AT1844">
        <v>11945.7</v>
      </c>
    </row>
    <row r="1845" spans="34:46" x14ac:dyDescent="0.35">
      <c r="AH1845" t="s">
        <v>204</v>
      </c>
      <c r="AI1845" t="s">
        <v>180</v>
      </c>
      <c r="AJ1845" s="3">
        <v>44560</v>
      </c>
      <c r="AK1845" t="s">
        <v>42</v>
      </c>
      <c r="AL1845" s="1">
        <v>10200</v>
      </c>
      <c r="AM1845" t="s">
        <v>8</v>
      </c>
      <c r="AN1845" t="s">
        <v>8</v>
      </c>
      <c r="AO1845" t="s">
        <v>8</v>
      </c>
      <c r="AP1845" s="1">
        <v>720</v>
      </c>
      <c r="AQ1845" t="s">
        <v>8</v>
      </c>
      <c r="AR1845" t="s">
        <v>8</v>
      </c>
      <c r="AS1845" t="s">
        <v>8</v>
      </c>
      <c r="AT1845">
        <v>11945.7</v>
      </c>
    </row>
    <row r="1846" spans="34:46" x14ac:dyDescent="0.35">
      <c r="AH1846" t="s">
        <v>204</v>
      </c>
      <c r="AI1846" t="s">
        <v>180</v>
      </c>
      <c r="AJ1846" s="3">
        <v>44560</v>
      </c>
      <c r="AK1846" t="s">
        <v>42</v>
      </c>
      <c r="AL1846" s="1">
        <v>10400</v>
      </c>
      <c r="AM1846" t="s">
        <v>8</v>
      </c>
      <c r="AN1846" t="s">
        <v>8</v>
      </c>
      <c r="AO1846" t="s">
        <v>8</v>
      </c>
      <c r="AP1846">
        <v>716</v>
      </c>
      <c r="AQ1846" t="s">
        <v>8</v>
      </c>
      <c r="AR1846" t="s">
        <v>8</v>
      </c>
      <c r="AS1846" t="s">
        <v>8</v>
      </c>
      <c r="AT1846">
        <v>11945.7</v>
      </c>
    </row>
    <row r="1847" spans="34:46" x14ac:dyDescent="0.35">
      <c r="AH1847" t="s">
        <v>204</v>
      </c>
      <c r="AI1847" t="s">
        <v>180</v>
      </c>
      <c r="AJ1847" s="3">
        <v>43825</v>
      </c>
      <c r="AK1847" t="s">
        <v>41</v>
      </c>
      <c r="AL1847" s="1">
        <v>11100</v>
      </c>
      <c r="AM1847" t="s">
        <v>8</v>
      </c>
      <c r="AN1847" t="s">
        <v>8</v>
      </c>
      <c r="AO1847" t="s">
        <v>8</v>
      </c>
      <c r="AP1847" s="1">
        <v>1218</v>
      </c>
      <c r="AQ1847" t="s">
        <v>8</v>
      </c>
      <c r="AR1847" t="s">
        <v>8</v>
      </c>
      <c r="AS1847" t="s">
        <v>8</v>
      </c>
      <c r="AT1847">
        <v>11945.7</v>
      </c>
    </row>
    <row r="1848" spans="34:46" x14ac:dyDescent="0.35">
      <c r="AH1848" t="s">
        <v>204</v>
      </c>
      <c r="AI1848" t="s">
        <v>180</v>
      </c>
      <c r="AJ1848" s="3">
        <v>43825</v>
      </c>
      <c r="AK1848" t="s">
        <v>42</v>
      </c>
      <c r="AL1848" s="1">
        <v>8500</v>
      </c>
      <c r="AM1848" t="s">
        <v>8</v>
      </c>
      <c r="AN1848" t="s">
        <v>8</v>
      </c>
      <c r="AO1848" t="s">
        <v>8</v>
      </c>
      <c r="AP1848">
        <v>105</v>
      </c>
      <c r="AQ1848" t="s">
        <v>8</v>
      </c>
      <c r="AR1848" t="s">
        <v>8</v>
      </c>
      <c r="AS1848" t="s">
        <v>8</v>
      </c>
      <c r="AT1848">
        <v>11945.7</v>
      </c>
    </row>
    <row r="1849" spans="34:46" x14ac:dyDescent="0.35">
      <c r="AH1849" t="s">
        <v>204</v>
      </c>
      <c r="AI1849" t="s">
        <v>180</v>
      </c>
      <c r="AJ1849" s="3">
        <v>43643</v>
      </c>
      <c r="AK1849" t="s">
        <v>41</v>
      </c>
      <c r="AL1849" s="1">
        <v>10250</v>
      </c>
      <c r="AM1849" t="s">
        <v>8</v>
      </c>
      <c r="AN1849" t="s">
        <v>8</v>
      </c>
      <c r="AO1849" t="s">
        <v>8</v>
      </c>
      <c r="AP1849" s="1">
        <v>1515.95</v>
      </c>
      <c r="AQ1849" t="s">
        <v>8</v>
      </c>
      <c r="AR1849" t="s">
        <v>8</v>
      </c>
      <c r="AS1849" t="s">
        <v>8</v>
      </c>
      <c r="AT1849">
        <v>11945.7</v>
      </c>
    </row>
    <row r="1850" spans="34:46" x14ac:dyDescent="0.35">
      <c r="AH1850" t="s">
        <v>204</v>
      </c>
      <c r="AI1850" t="s">
        <v>180</v>
      </c>
      <c r="AJ1850" s="3">
        <v>43825</v>
      </c>
      <c r="AK1850" t="s">
        <v>42</v>
      </c>
      <c r="AL1850" s="1">
        <v>8700</v>
      </c>
      <c r="AM1850" t="s">
        <v>8</v>
      </c>
      <c r="AN1850" t="s">
        <v>8</v>
      </c>
      <c r="AO1850" t="s">
        <v>8</v>
      </c>
      <c r="AP1850">
        <v>100</v>
      </c>
      <c r="AQ1850" t="s">
        <v>8</v>
      </c>
      <c r="AR1850" t="s">
        <v>8</v>
      </c>
      <c r="AS1850" t="s">
        <v>8</v>
      </c>
      <c r="AT1850">
        <v>11945.7</v>
      </c>
    </row>
    <row r="1851" spans="34:46" x14ac:dyDescent="0.35">
      <c r="AH1851" t="s">
        <v>204</v>
      </c>
      <c r="AI1851" t="s">
        <v>180</v>
      </c>
      <c r="AJ1851" s="3">
        <v>43671</v>
      </c>
      <c r="AK1851" t="s">
        <v>41</v>
      </c>
      <c r="AL1851" s="1">
        <v>13400</v>
      </c>
      <c r="AM1851" t="s">
        <v>8</v>
      </c>
      <c r="AN1851" t="s">
        <v>8</v>
      </c>
      <c r="AO1851" t="s">
        <v>8</v>
      </c>
      <c r="AP1851">
        <v>58.1</v>
      </c>
      <c r="AQ1851" t="s">
        <v>8</v>
      </c>
      <c r="AR1851" t="s">
        <v>8</v>
      </c>
      <c r="AS1851" t="s">
        <v>8</v>
      </c>
      <c r="AT1851">
        <v>11945.7</v>
      </c>
    </row>
    <row r="1852" spans="34:46" x14ac:dyDescent="0.35">
      <c r="AH1852" t="s">
        <v>204</v>
      </c>
      <c r="AI1852" t="s">
        <v>180</v>
      </c>
      <c r="AJ1852" s="3">
        <v>43643</v>
      </c>
      <c r="AK1852" t="s">
        <v>41</v>
      </c>
      <c r="AL1852" s="1">
        <v>10450</v>
      </c>
      <c r="AM1852" t="s">
        <v>8</v>
      </c>
      <c r="AN1852" t="s">
        <v>8</v>
      </c>
      <c r="AO1852" t="s">
        <v>8</v>
      </c>
      <c r="AP1852" s="1">
        <v>1490</v>
      </c>
      <c r="AQ1852" t="s">
        <v>8</v>
      </c>
      <c r="AR1852" t="s">
        <v>8</v>
      </c>
      <c r="AS1852" t="s">
        <v>8</v>
      </c>
      <c r="AT1852">
        <v>11945.7</v>
      </c>
    </row>
    <row r="1853" spans="34:46" x14ac:dyDescent="0.35">
      <c r="AH1853" t="s">
        <v>204</v>
      </c>
      <c r="AI1853" t="s">
        <v>180</v>
      </c>
      <c r="AJ1853" s="3">
        <v>43650</v>
      </c>
      <c r="AK1853" t="s">
        <v>41</v>
      </c>
      <c r="AL1853" s="1">
        <v>11600</v>
      </c>
      <c r="AM1853" t="s">
        <v>8</v>
      </c>
      <c r="AN1853" t="s">
        <v>8</v>
      </c>
      <c r="AO1853" t="s">
        <v>8</v>
      </c>
      <c r="AP1853">
        <v>407.65</v>
      </c>
      <c r="AQ1853" t="s">
        <v>8</v>
      </c>
      <c r="AR1853" t="s">
        <v>8</v>
      </c>
      <c r="AS1853" t="s">
        <v>8</v>
      </c>
      <c r="AT1853">
        <v>11945.7</v>
      </c>
    </row>
    <row r="1854" spans="34:46" x14ac:dyDescent="0.35">
      <c r="AH1854" t="s">
        <v>204</v>
      </c>
      <c r="AI1854" t="s">
        <v>180</v>
      </c>
      <c r="AJ1854" s="3">
        <v>43825</v>
      </c>
      <c r="AK1854" t="s">
        <v>42</v>
      </c>
      <c r="AL1854" s="1">
        <v>8900</v>
      </c>
      <c r="AM1854" t="s">
        <v>8</v>
      </c>
      <c r="AN1854" t="s">
        <v>8</v>
      </c>
      <c r="AO1854" t="s">
        <v>8</v>
      </c>
      <c r="AP1854" s="1">
        <v>145</v>
      </c>
      <c r="AQ1854" t="s">
        <v>8</v>
      </c>
      <c r="AR1854" t="s">
        <v>8</v>
      </c>
      <c r="AS1854" t="s">
        <v>8</v>
      </c>
      <c r="AT1854">
        <v>11945.7</v>
      </c>
    </row>
    <row r="1855" spans="34:46" x14ac:dyDescent="0.35">
      <c r="AH1855" t="s">
        <v>204</v>
      </c>
      <c r="AI1855" t="s">
        <v>180</v>
      </c>
      <c r="AJ1855" s="3">
        <v>43643</v>
      </c>
      <c r="AK1855" t="s">
        <v>42</v>
      </c>
      <c r="AL1855" s="1">
        <v>8800</v>
      </c>
      <c r="AM1855" t="s">
        <v>8</v>
      </c>
      <c r="AN1855" t="s">
        <v>8</v>
      </c>
      <c r="AO1855" t="s">
        <v>8</v>
      </c>
      <c r="AP1855">
        <v>159.85</v>
      </c>
      <c r="AQ1855" t="s">
        <v>8</v>
      </c>
      <c r="AR1855" t="s">
        <v>8</v>
      </c>
      <c r="AS1855" t="s">
        <v>8</v>
      </c>
      <c r="AT1855">
        <v>11945.7</v>
      </c>
    </row>
    <row r="1856" spans="34:46" x14ac:dyDescent="0.35">
      <c r="AH1856" t="s">
        <v>204</v>
      </c>
      <c r="AI1856" t="s">
        <v>180</v>
      </c>
      <c r="AJ1856" s="3">
        <v>43622</v>
      </c>
      <c r="AK1856" t="s">
        <v>42</v>
      </c>
      <c r="AL1856" s="1">
        <v>10000</v>
      </c>
      <c r="AM1856" t="s">
        <v>8</v>
      </c>
      <c r="AN1856" t="s">
        <v>8</v>
      </c>
      <c r="AO1856" t="s">
        <v>8</v>
      </c>
      <c r="AP1856" s="1">
        <v>0.05</v>
      </c>
      <c r="AQ1856" t="s">
        <v>8</v>
      </c>
      <c r="AR1856" t="s">
        <v>8</v>
      </c>
      <c r="AS1856" t="s">
        <v>8</v>
      </c>
      <c r="AT1856">
        <v>11945.7</v>
      </c>
    </row>
    <row r="1857" spans="34:46" x14ac:dyDescent="0.35">
      <c r="AH1857" t="s">
        <v>204</v>
      </c>
      <c r="AI1857" t="s">
        <v>180</v>
      </c>
      <c r="AJ1857" s="3">
        <v>43650</v>
      </c>
      <c r="AK1857" t="s">
        <v>41</v>
      </c>
      <c r="AL1857" s="1">
        <v>11800</v>
      </c>
      <c r="AM1857" t="s">
        <v>8</v>
      </c>
      <c r="AN1857" t="s">
        <v>8</v>
      </c>
      <c r="AO1857" t="s">
        <v>8</v>
      </c>
      <c r="AP1857">
        <v>290.39999999999998</v>
      </c>
      <c r="AQ1857" t="s">
        <v>8</v>
      </c>
      <c r="AR1857" t="s">
        <v>8</v>
      </c>
      <c r="AS1857" t="s">
        <v>8</v>
      </c>
      <c r="AT1857">
        <v>11945.7</v>
      </c>
    </row>
    <row r="1858" spans="34:46" x14ac:dyDescent="0.35">
      <c r="AH1858" t="s">
        <v>204</v>
      </c>
      <c r="AI1858" t="s">
        <v>180</v>
      </c>
      <c r="AJ1858" s="3">
        <v>43629</v>
      </c>
      <c r="AK1858" t="s">
        <v>42</v>
      </c>
      <c r="AL1858" s="1">
        <v>12550</v>
      </c>
      <c r="AM1858" t="s">
        <v>8</v>
      </c>
      <c r="AN1858" t="s">
        <v>8</v>
      </c>
      <c r="AO1858" t="s">
        <v>8</v>
      </c>
      <c r="AP1858" s="1">
        <v>829.55</v>
      </c>
      <c r="AQ1858" t="s">
        <v>8</v>
      </c>
      <c r="AR1858" t="s">
        <v>8</v>
      </c>
      <c r="AS1858" t="s">
        <v>8</v>
      </c>
      <c r="AT1858">
        <v>11945.7</v>
      </c>
    </row>
    <row r="1859" spans="34:46" x14ac:dyDescent="0.35">
      <c r="AH1859" t="s">
        <v>204</v>
      </c>
      <c r="AI1859" t="s">
        <v>180</v>
      </c>
      <c r="AJ1859" s="3">
        <v>44196</v>
      </c>
      <c r="AK1859" t="s">
        <v>42</v>
      </c>
      <c r="AL1859" s="1">
        <v>6500</v>
      </c>
      <c r="AM1859" t="s">
        <v>8</v>
      </c>
      <c r="AN1859" t="s">
        <v>8</v>
      </c>
      <c r="AO1859" t="s">
        <v>8</v>
      </c>
      <c r="AP1859">
        <v>30.2</v>
      </c>
      <c r="AQ1859" t="s">
        <v>8</v>
      </c>
      <c r="AR1859" t="s">
        <v>8</v>
      </c>
      <c r="AS1859" t="s">
        <v>8</v>
      </c>
      <c r="AT1859">
        <v>11945.7</v>
      </c>
    </row>
    <row r="1860" spans="34:46" x14ac:dyDescent="0.35">
      <c r="AH1860" t="s">
        <v>204</v>
      </c>
      <c r="AI1860" t="s">
        <v>180</v>
      </c>
      <c r="AJ1860" s="3">
        <v>43629</v>
      </c>
      <c r="AK1860" t="s">
        <v>42</v>
      </c>
      <c r="AL1860" s="1">
        <v>12750</v>
      </c>
      <c r="AM1860" t="s">
        <v>8</v>
      </c>
      <c r="AN1860" t="s">
        <v>8</v>
      </c>
      <c r="AO1860" t="s">
        <v>8</v>
      </c>
      <c r="AP1860" s="1">
        <v>1014.4</v>
      </c>
      <c r="AQ1860" t="s">
        <v>8</v>
      </c>
      <c r="AR1860" t="s">
        <v>8</v>
      </c>
      <c r="AS1860" t="s">
        <v>8</v>
      </c>
      <c r="AT1860">
        <v>11945.7</v>
      </c>
    </row>
    <row r="1861" spans="34:46" x14ac:dyDescent="0.35">
      <c r="AH1861" t="s">
        <v>204</v>
      </c>
      <c r="AI1861" t="s">
        <v>180</v>
      </c>
      <c r="AJ1861" s="3">
        <v>44196</v>
      </c>
      <c r="AK1861" t="s">
        <v>42</v>
      </c>
      <c r="AL1861" s="1">
        <v>6700</v>
      </c>
      <c r="AM1861" t="s">
        <v>8</v>
      </c>
      <c r="AN1861" t="s">
        <v>8</v>
      </c>
      <c r="AO1861" t="s">
        <v>8</v>
      </c>
      <c r="AP1861">
        <v>46</v>
      </c>
      <c r="AQ1861" t="s">
        <v>8</v>
      </c>
      <c r="AR1861" t="s">
        <v>8</v>
      </c>
      <c r="AS1861" t="s">
        <v>8</v>
      </c>
      <c r="AT1861">
        <v>11945.7</v>
      </c>
    </row>
    <row r="1862" spans="34:46" x14ac:dyDescent="0.35">
      <c r="AH1862" t="s">
        <v>204</v>
      </c>
      <c r="AI1862" t="s">
        <v>180</v>
      </c>
      <c r="AJ1862" s="3">
        <v>43636</v>
      </c>
      <c r="AK1862" t="s">
        <v>42</v>
      </c>
      <c r="AL1862" s="1">
        <v>11000</v>
      </c>
      <c r="AM1862" t="s">
        <v>8</v>
      </c>
      <c r="AN1862" t="s">
        <v>8</v>
      </c>
      <c r="AO1862" t="s">
        <v>8</v>
      </c>
      <c r="AP1862">
        <v>11.1</v>
      </c>
      <c r="AQ1862" t="s">
        <v>8</v>
      </c>
      <c r="AR1862" t="s">
        <v>8</v>
      </c>
      <c r="AS1862" t="s">
        <v>8</v>
      </c>
      <c r="AT1862">
        <v>11945.7</v>
      </c>
    </row>
    <row r="1863" spans="34:46" x14ac:dyDescent="0.35">
      <c r="AH1863" t="s">
        <v>204</v>
      </c>
      <c r="AI1863" t="s">
        <v>180</v>
      </c>
      <c r="AJ1863" s="3">
        <v>43629</v>
      </c>
      <c r="AK1863" t="s">
        <v>42</v>
      </c>
      <c r="AL1863" s="1">
        <v>12950</v>
      </c>
      <c r="AM1863" t="s">
        <v>8</v>
      </c>
      <c r="AN1863" t="s">
        <v>8</v>
      </c>
      <c r="AO1863" t="s">
        <v>8</v>
      </c>
      <c r="AP1863" s="1">
        <v>1205.4000000000001</v>
      </c>
      <c r="AQ1863" t="s">
        <v>8</v>
      </c>
      <c r="AR1863" t="s">
        <v>8</v>
      </c>
      <c r="AS1863" t="s">
        <v>8</v>
      </c>
      <c r="AT1863">
        <v>11945.7</v>
      </c>
    </row>
    <row r="1864" spans="34:46" x14ac:dyDescent="0.35">
      <c r="AH1864" t="s">
        <v>204</v>
      </c>
      <c r="AI1864" t="s">
        <v>180</v>
      </c>
      <c r="AJ1864" s="3">
        <v>43664</v>
      </c>
      <c r="AK1864" t="s">
        <v>41</v>
      </c>
      <c r="AL1864" s="1">
        <v>11050</v>
      </c>
      <c r="AM1864" t="s">
        <v>8</v>
      </c>
      <c r="AN1864" t="s">
        <v>8</v>
      </c>
      <c r="AO1864" t="s">
        <v>8</v>
      </c>
      <c r="AP1864">
        <v>466.8</v>
      </c>
      <c r="AQ1864" t="s">
        <v>8</v>
      </c>
      <c r="AR1864" t="s">
        <v>8</v>
      </c>
      <c r="AS1864" t="s">
        <v>8</v>
      </c>
      <c r="AT1864">
        <v>11945.7</v>
      </c>
    </row>
    <row r="1865" spans="34:46" x14ac:dyDescent="0.35">
      <c r="AH1865" t="s">
        <v>204</v>
      </c>
      <c r="AI1865" t="s">
        <v>180</v>
      </c>
      <c r="AJ1865" s="3">
        <v>43664</v>
      </c>
      <c r="AK1865" t="s">
        <v>41</v>
      </c>
      <c r="AL1865" s="1">
        <v>11250</v>
      </c>
      <c r="AM1865" t="s">
        <v>8</v>
      </c>
      <c r="AN1865" t="s">
        <v>8</v>
      </c>
      <c r="AO1865" t="s">
        <v>8</v>
      </c>
      <c r="AP1865">
        <v>341.65</v>
      </c>
      <c r="AQ1865" t="s">
        <v>8</v>
      </c>
      <c r="AR1865" t="s">
        <v>8</v>
      </c>
      <c r="AS1865" t="s">
        <v>8</v>
      </c>
      <c r="AT1865">
        <v>11945.7</v>
      </c>
    </row>
    <row r="1866" spans="34:46" x14ac:dyDescent="0.35">
      <c r="AH1866" t="s">
        <v>204</v>
      </c>
      <c r="AI1866" t="s">
        <v>180</v>
      </c>
      <c r="AJ1866" s="3">
        <v>43629</v>
      </c>
      <c r="AK1866" t="s">
        <v>41</v>
      </c>
      <c r="AL1866" s="1">
        <v>9750</v>
      </c>
      <c r="AM1866" t="s">
        <v>8</v>
      </c>
      <c r="AN1866" t="s">
        <v>8</v>
      </c>
      <c r="AO1866" t="s">
        <v>8</v>
      </c>
      <c r="AP1866" s="1">
        <v>1457.35</v>
      </c>
      <c r="AQ1866" t="s">
        <v>8</v>
      </c>
      <c r="AR1866" t="s">
        <v>8</v>
      </c>
      <c r="AS1866" t="s">
        <v>8</v>
      </c>
      <c r="AT1866">
        <v>11945.7</v>
      </c>
    </row>
    <row r="1867" spans="34:46" x14ac:dyDescent="0.35">
      <c r="AH1867" t="s">
        <v>204</v>
      </c>
      <c r="AI1867" t="s">
        <v>180</v>
      </c>
      <c r="AJ1867" s="3">
        <v>43643</v>
      </c>
      <c r="AK1867" t="s">
        <v>41</v>
      </c>
      <c r="AL1867" s="1">
        <v>4900</v>
      </c>
      <c r="AM1867" t="s">
        <v>8</v>
      </c>
      <c r="AN1867" t="s">
        <v>8</v>
      </c>
      <c r="AO1867" t="s">
        <v>8</v>
      </c>
      <c r="AP1867" s="1">
        <v>3561.3</v>
      </c>
      <c r="AQ1867" t="s">
        <v>8</v>
      </c>
      <c r="AR1867" t="s">
        <v>8</v>
      </c>
      <c r="AS1867" t="s">
        <v>8</v>
      </c>
      <c r="AT1867">
        <v>11945.7</v>
      </c>
    </row>
    <row r="1868" spans="34:46" x14ac:dyDescent="0.35">
      <c r="AH1868" t="s">
        <v>204</v>
      </c>
      <c r="AI1868" t="s">
        <v>180</v>
      </c>
      <c r="AJ1868" s="3">
        <v>45106</v>
      </c>
      <c r="AK1868" t="s">
        <v>42</v>
      </c>
      <c r="AL1868" s="1">
        <v>10300</v>
      </c>
      <c r="AM1868" t="s">
        <v>8</v>
      </c>
      <c r="AN1868" t="s">
        <v>8</v>
      </c>
      <c r="AO1868" t="s">
        <v>8</v>
      </c>
      <c r="AP1868">
        <v>56.95</v>
      </c>
      <c r="AQ1868" t="s">
        <v>8</v>
      </c>
      <c r="AR1868" t="s">
        <v>8</v>
      </c>
      <c r="AS1868" t="s">
        <v>8</v>
      </c>
      <c r="AT1868">
        <v>11945.7</v>
      </c>
    </row>
    <row r="1869" spans="34:46" x14ac:dyDescent="0.35">
      <c r="AH1869" t="s">
        <v>204</v>
      </c>
      <c r="AI1869" t="s">
        <v>180</v>
      </c>
      <c r="AJ1869" s="3">
        <v>45106</v>
      </c>
      <c r="AK1869" t="s">
        <v>42</v>
      </c>
      <c r="AL1869" s="1">
        <v>10500</v>
      </c>
      <c r="AM1869" t="s">
        <v>8</v>
      </c>
      <c r="AN1869" t="s">
        <v>8</v>
      </c>
      <c r="AO1869" t="s">
        <v>8</v>
      </c>
      <c r="AP1869" s="1">
        <v>68.349999999999994</v>
      </c>
      <c r="AQ1869" t="s">
        <v>8</v>
      </c>
      <c r="AR1869" t="s">
        <v>8</v>
      </c>
      <c r="AS1869" t="s">
        <v>8</v>
      </c>
      <c r="AT1869">
        <v>11945.7</v>
      </c>
    </row>
    <row r="1870" spans="34:46" x14ac:dyDescent="0.35">
      <c r="AH1870" t="s">
        <v>204</v>
      </c>
      <c r="AI1870" t="s">
        <v>180</v>
      </c>
      <c r="AJ1870" s="3">
        <v>44742</v>
      </c>
      <c r="AK1870" t="s">
        <v>42</v>
      </c>
      <c r="AL1870" s="1">
        <v>9000</v>
      </c>
      <c r="AM1870" t="s">
        <v>8</v>
      </c>
      <c r="AN1870" t="s">
        <v>8</v>
      </c>
      <c r="AO1870" t="s">
        <v>8</v>
      </c>
      <c r="AP1870">
        <v>11.8</v>
      </c>
      <c r="AQ1870" t="s">
        <v>8</v>
      </c>
      <c r="AR1870" t="s">
        <v>8</v>
      </c>
      <c r="AS1870" t="s">
        <v>8</v>
      </c>
      <c r="AT1870">
        <v>11945.7</v>
      </c>
    </row>
    <row r="1871" spans="34:46" x14ac:dyDescent="0.35">
      <c r="AH1871" t="s">
        <v>204</v>
      </c>
      <c r="AI1871" t="s">
        <v>180</v>
      </c>
      <c r="AJ1871" s="3">
        <v>43650</v>
      </c>
      <c r="AK1871" t="s">
        <v>42</v>
      </c>
      <c r="AL1871" s="1">
        <v>13350</v>
      </c>
      <c r="AM1871" t="s">
        <v>8</v>
      </c>
      <c r="AN1871" t="s">
        <v>8</v>
      </c>
      <c r="AO1871" t="s">
        <v>8</v>
      </c>
      <c r="AP1871" s="1">
        <v>1439.2</v>
      </c>
      <c r="AQ1871" t="s">
        <v>8</v>
      </c>
      <c r="AR1871" t="s">
        <v>8</v>
      </c>
      <c r="AS1871" t="s">
        <v>8</v>
      </c>
      <c r="AT1871">
        <v>11945.7</v>
      </c>
    </row>
    <row r="1872" spans="34:46" x14ac:dyDescent="0.35">
      <c r="AH1872" t="s">
        <v>204</v>
      </c>
      <c r="AI1872" t="s">
        <v>180</v>
      </c>
      <c r="AJ1872" s="3">
        <v>43664</v>
      </c>
      <c r="AK1872" t="s">
        <v>42</v>
      </c>
      <c r="AL1872" s="1">
        <v>11500</v>
      </c>
      <c r="AM1872" t="s">
        <v>8</v>
      </c>
      <c r="AN1872" t="s">
        <v>8</v>
      </c>
      <c r="AO1872" t="s">
        <v>8</v>
      </c>
      <c r="AP1872" s="1">
        <v>319.89999999999998</v>
      </c>
      <c r="AQ1872" t="s">
        <v>8</v>
      </c>
      <c r="AR1872" t="s">
        <v>8</v>
      </c>
      <c r="AS1872" t="s">
        <v>8</v>
      </c>
      <c r="AT1872">
        <v>11945.7</v>
      </c>
    </row>
    <row r="1873" spans="34:46" x14ac:dyDescent="0.35">
      <c r="AH1873" t="s">
        <v>204</v>
      </c>
      <c r="AI1873" t="s">
        <v>180</v>
      </c>
      <c r="AJ1873" s="3">
        <v>43636</v>
      </c>
      <c r="AK1873" t="s">
        <v>41</v>
      </c>
      <c r="AL1873" s="1">
        <v>13100</v>
      </c>
      <c r="AM1873" t="s">
        <v>8</v>
      </c>
      <c r="AN1873" t="s">
        <v>8</v>
      </c>
      <c r="AO1873" t="s">
        <v>8</v>
      </c>
      <c r="AP1873" s="1">
        <v>4.25</v>
      </c>
      <c r="AQ1873" t="s">
        <v>8</v>
      </c>
      <c r="AR1873" t="s">
        <v>8</v>
      </c>
      <c r="AS1873" t="s">
        <v>8</v>
      </c>
      <c r="AT1873">
        <v>11945.7</v>
      </c>
    </row>
    <row r="1874" spans="34:46" x14ac:dyDescent="0.35">
      <c r="AH1874" t="s">
        <v>204</v>
      </c>
      <c r="AI1874" t="s">
        <v>180</v>
      </c>
      <c r="AJ1874" s="3">
        <v>44742</v>
      </c>
      <c r="AK1874" t="s">
        <v>42</v>
      </c>
      <c r="AL1874" s="1">
        <v>9200</v>
      </c>
      <c r="AM1874" t="s">
        <v>8</v>
      </c>
      <c r="AN1874" t="s">
        <v>8</v>
      </c>
      <c r="AO1874" t="s">
        <v>8</v>
      </c>
      <c r="AP1874" s="1">
        <v>16.25</v>
      </c>
      <c r="AQ1874" t="s">
        <v>8</v>
      </c>
      <c r="AR1874" t="s">
        <v>8</v>
      </c>
      <c r="AS1874" t="s">
        <v>8</v>
      </c>
      <c r="AT1874">
        <v>11945.7</v>
      </c>
    </row>
    <row r="1875" spans="34:46" x14ac:dyDescent="0.35">
      <c r="AH1875" t="s">
        <v>204</v>
      </c>
      <c r="AI1875" t="s">
        <v>180</v>
      </c>
      <c r="AJ1875" s="3">
        <v>43657</v>
      </c>
      <c r="AK1875" t="s">
        <v>41</v>
      </c>
      <c r="AL1875" s="1">
        <v>10450</v>
      </c>
      <c r="AM1875" t="s">
        <v>8</v>
      </c>
      <c r="AN1875" t="s">
        <v>8</v>
      </c>
      <c r="AO1875" t="s">
        <v>8</v>
      </c>
      <c r="AP1875">
        <v>995.5</v>
      </c>
      <c r="AQ1875" t="s">
        <v>8</v>
      </c>
      <c r="AR1875" t="s">
        <v>8</v>
      </c>
      <c r="AS1875" t="s">
        <v>8</v>
      </c>
      <c r="AT1875">
        <v>11945.7</v>
      </c>
    </row>
    <row r="1876" spans="34:46" x14ac:dyDescent="0.35">
      <c r="AH1876" t="s">
        <v>204</v>
      </c>
      <c r="AI1876" t="s">
        <v>180</v>
      </c>
      <c r="AJ1876" s="3">
        <v>43657</v>
      </c>
      <c r="AK1876" t="s">
        <v>41</v>
      </c>
      <c r="AL1876" s="1">
        <v>10650</v>
      </c>
      <c r="AM1876" t="s">
        <v>8</v>
      </c>
      <c r="AN1876" t="s">
        <v>8</v>
      </c>
      <c r="AO1876" t="s">
        <v>8</v>
      </c>
      <c r="AP1876" s="1">
        <v>815</v>
      </c>
      <c r="AQ1876" t="s">
        <v>8</v>
      </c>
      <c r="AR1876" t="s">
        <v>8</v>
      </c>
      <c r="AS1876" t="s">
        <v>8</v>
      </c>
      <c r="AT1876">
        <v>11945.7</v>
      </c>
    </row>
    <row r="1877" spans="34:46" x14ac:dyDescent="0.35">
      <c r="AH1877" t="s">
        <v>204</v>
      </c>
      <c r="AI1877" t="s">
        <v>180</v>
      </c>
      <c r="AJ1877" s="3">
        <v>43734</v>
      </c>
      <c r="AK1877" t="s">
        <v>41</v>
      </c>
      <c r="AL1877" s="1">
        <v>14000</v>
      </c>
      <c r="AM1877" t="s">
        <v>8</v>
      </c>
      <c r="AN1877" t="s">
        <v>8</v>
      </c>
      <c r="AO1877" t="s">
        <v>8</v>
      </c>
      <c r="AP1877" s="1">
        <v>29.15</v>
      </c>
      <c r="AQ1877" t="s">
        <v>8</v>
      </c>
      <c r="AR1877" t="s">
        <v>8</v>
      </c>
      <c r="AS1877" t="s">
        <v>8</v>
      </c>
      <c r="AT1877">
        <v>11945.7</v>
      </c>
    </row>
    <row r="1878" spans="34:46" x14ac:dyDescent="0.35">
      <c r="AH1878" t="s">
        <v>204</v>
      </c>
      <c r="AI1878" t="s">
        <v>180</v>
      </c>
      <c r="AJ1878" s="3">
        <v>43636</v>
      </c>
      <c r="AK1878" t="s">
        <v>41</v>
      </c>
      <c r="AL1878" s="1">
        <v>11800</v>
      </c>
      <c r="AM1878" t="s">
        <v>8</v>
      </c>
      <c r="AN1878" t="s">
        <v>8</v>
      </c>
      <c r="AO1878" t="s">
        <v>8</v>
      </c>
      <c r="AP1878">
        <v>266.7</v>
      </c>
      <c r="AQ1878" t="s">
        <v>8</v>
      </c>
      <c r="AR1878" t="s">
        <v>8</v>
      </c>
      <c r="AS1878" t="s">
        <v>8</v>
      </c>
      <c r="AT1878">
        <v>11945.7</v>
      </c>
    </row>
    <row r="1879" spans="34:46" x14ac:dyDescent="0.35">
      <c r="AH1879" t="s">
        <v>204</v>
      </c>
      <c r="AI1879" t="s">
        <v>180</v>
      </c>
      <c r="AJ1879" s="3">
        <v>44742</v>
      </c>
      <c r="AK1879" t="s">
        <v>42</v>
      </c>
      <c r="AL1879" s="1">
        <v>7900</v>
      </c>
      <c r="AM1879" t="s">
        <v>8</v>
      </c>
      <c r="AN1879" t="s">
        <v>8</v>
      </c>
      <c r="AO1879" t="s">
        <v>8</v>
      </c>
      <c r="AP1879" s="1">
        <v>1.4</v>
      </c>
      <c r="AQ1879" t="s">
        <v>8</v>
      </c>
      <c r="AR1879" t="s">
        <v>8</v>
      </c>
      <c r="AS1879" t="s">
        <v>8</v>
      </c>
      <c r="AT1879">
        <v>11945.7</v>
      </c>
    </row>
    <row r="1880" spans="34:46" x14ac:dyDescent="0.35">
      <c r="AH1880" t="s">
        <v>204</v>
      </c>
      <c r="AI1880" t="s">
        <v>180</v>
      </c>
      <c r="AJ1880" s="3">
        <v>43734</v>
      </c>
      <c r="AK1880" t="s">
        <v>41</v>
      </c>
      <c r="AL1880" s="1">
        <v>14200</v>
      </c>
      <c r="AM1880" t="s">
        <v>8</v>
      </c>
      <c r="AN1880" t="s">
        <v>8</v>
      </c>
      <c r="AO1880" t="s">
        <v>8</v>
      </c>
      <c r="AP1880" s="1">
        <v>9.65</v>
      </c>
      <c r="AQ1880" t="s">
        <v>8</v>
      </c>
      <c r="AR1880" t="s">
        <v>8</v>
      </c>
      <c r="AS1880" t="s">
        <v>8</v>
      </c>
      <c r="AT1880">
        <v>11945.7</v>
      </c>
    </row>
    <row r="1881" spans="34:46" x14ac:dyDescent="0.35">
      <c r="AH1881" t="s">
        <v>204</v>
      </c>
      <c r="AI1881" t="s">
        <v>180</v>
      </c>
      <c r="AJ1881" s="3">
        <v>44007</v>
      </c>
      <c r="AK1881" t="s">
        <v>41</v>
      </c>
      <c r="AL1881" s="1">
        <v>11200</v>
      </c>
      <c r="AM1881" t="s">
        <v>8</v>
      </c>
      <c r="AN1881" t="s">
        <v>8</v>
      </c>
      <c r="AO1881" t="s">
        <v>8</v>
      </c>
      <c r="AP1881" s="1">
        <v>1486</v>
      </c>
      <c r="AQ1881" t="s">
        <v>8</v>
      </c>
      <c r="AR1881" t="s">
        <v>8</v>
      </c>
      <c r="AS1881" t="s">
        <v>8</v>
      </c>
      <c r="AT1881">
        <v>11945.7</v>
      </c>
    </row>
    <row r="1882" spans="34:46" x14ac:dyDescent="0.35">
      <c r="AH1882" t="s">
        <v>204</v>
      </c>
      <c r="AI1882" t="s">
        <v>180</v>
      </c>
      <c r="AJ1882" s="3">
        <v>43664</v>
      </c>
      <c r="AK1882" t="s">
        <v>41</v>
      </c>
      <c r="AL1882" s="1">
        <v>13000</v>
      </c>
      <c r="AM1882" t="s">
        <v>8</v>
      </c>
      <c r="AN1882" t="s">
        <v>8</v>
      </c>
      <c r="AO1882" t="s">
        <v>8</v>
      </c>
      <c r="AP1882">
        <v>107.45</v>
      </c>
      <c r="AQ1882" t="s">
        <v>8</v>
      </c>
      <c r="AR1882" t="s">
        <v>8</v>
      </c>
      <c r="AS1882" t="s">
        <v>8</v>
      </c>
      <c r="AT1882">
        <v>11945.7</v>
      </c>
    </row>
    <row r="1883" spans="34:46" x14ac:dyDescent="0.35">
      <c r="AH1883" t="s">
        <v>204</v>
      </c>
      <c r="AI1883" t="s">
        <v>180</v>
      </c>
      <c r="AJ1883" s="3">
        <v>44371</v>
      </c>
      <c r="AK1883" t="s">
        <v>42</v>
      </c>
      <c r="AL1883" s="1">
        <v>5500</v>
      </c>
      <c r="AM1883" t="s">
        <v>8</v>
      </c>
      <c r="AN1883" t="s">
        <v>8</v>
      </c>
      <c r="AO1883" t="s">
        <v>8</v>
      </c>
      <c r="AP1883" s="1">
        <v>79.849999999999994</v>
      </c>
      <c r="AQ1883" t="s">
        <v>8</v>
      </c>
      <c r="AR1883" t="s">
        <v>8</v>
      </c>
      <c r="AS1883" t="s">
        <v>8</v>
      </c>
      <c r="AT1883">
        <v>11945.7</v>
      </c>
    </row>
    <row r="1884" spans="34:46" x14ac:dyDescent="0.35">
      <c r="AH1884" t="s">
        <v>204</v>
      </c>
      <c r="AI1884" t="s">
        <v>180</v>
      </c>
      <c r="AJ1884" s="3">
        <v>44007</v>
      </c>
      <c r="AK1884" t="s">
        <v>41</v>
      </c>
      <c r="AL1884" s="1">
        <v>11400</v>
      </c>
      <c r="AM1884" t="s">
        <v>8</v>
      </c>
      <c r="AN1884" t="s">
        <v>8</v>
      </c>
      <c r="AO1884" t="s">
        <v>8</v>
      </c>
      <c r="AP1884" s="1">
        <v>1310</v>
      </c>
      <c r="AQ1884" t="s">
        <v>8</v>
      </c>
      <c r="AR1884" t="s">
        <v>8</v>
      </c>
      <c r="AS1884" t="s">
        <v>8</v>
      </c>
      <c r="AT1884">
        <v>11945.7</v>
      </c>
    </row>
    <row r="1885" spans="34:46" x14ac:dyDescent="0.35">
      <c r="AH1885" t="s">
        <v>204</v>
      </c>
      <c r="AI1885" t="s">
        <v>180</v>
      </c>
      <c r="AJ1885" s="3">
        <v>44924</v>
      </c>
      <c r="AK1885" t="s">
        <v>42</v>
      </c>
      <c r="AL1885" s="1">
        <v>11500</v>
      </c>
      <c r="AM1885" t="s">
        <v>8</v>
      </c>
      <c r="AN1885" t="s">
        <v>8</v>
      </c>
      <c r="AO1885" t="s">
        <v>8</v>
      </c>
      <c r="AP1885" s="1">
        <v>213.35</v>
      </c>
      <c r="AQ1885" t="s">
        <v>8</v>
      </c>
      <c r="AR1885" t="s">
        <v>8</v>
      </c>
      <c r="AS1885" t="s">
        <v>8</v>
      </c>
      <c r="AT1885">
        <v>11945.7</v>
      </c>
    </row>
    <row r="1886" spans="34:46" x14ac:dyDescent="0.35">
      <c r="AH1886" t="s">
        <v>204</v>
      </c>
      <c r="AI1886" t="s">
        <v>180</v>
      </c>
      <c r="AJ1886" s="3">
        <v>44924</v>
      </c>
      <c r="AK1886" t="s">
        <v>42</v>
      </c>
      <c r="AL1886" s="1">
        <v>11700</v>
      </c>
      <c r="AM1886" t="s">
        <v>8</v>
      </c>
      <c r="AN1886" t="s">
        <v>8</v>
      </c>
      <c r="AO1886" t="s">
        <v>8</v>
      </c>
      <c r="AP1886">
        <v>244.7</v>
      </c>
      <c r="AQ1886" t="s">
        <v>8</v>
      </c>
      <c r="AR1886" t="s">
        <v>8</v>
      </c>
      <c r="AS1886" t="s">
        <v>8</v>
      </c>
      <c r="AT1886">
        <v>11945.7</v>
      </c>
    </row>
    <row r="1887" spans="34:46" x14ac:dyDescent="0.35">
      <c r="AH1887" t="s">
        <v>204</v>
      </c>
      <c r="AI1887" t="s">
        <v>180</v>
      </c>
      <c r="AJ1887" s="3">
        <v>44007</v>
      </c>
      <c r="AK1887" t="s">
        <v>42</v>
      </c>
      <c r="AL1887" s="1">
        <v>9500</v>
      </c>
      <c r="AM1887" t="s">
        <v>8</v>
      </c>
      <c r="AN1887" t="s">
        <v>8</v>
      </c>
      <c r="AO1887" t="s">
        <v>8</v>
      </c>
      <c r="AP1887" s="1">
        <v>205</v>
      </c>
      <c r="AQ1887" t="s">
        <v>8</v>
      </c>
      <c r="AR1887" t="s">
        <v>8</v>
      </c>
      <c r="AS1887" t="s">
        <v>8</v>
      </c>
      <c r="AT1887">
        <v>11945.7</v>
      </c>
    </row>
    <row r="1888" spans="34:46" x14ac:dyDescent="0.35">
      <c r="AH1888" t="s">
        <v>204</v>
      </c>
      <c r="AI1888" t="s">
        <v>180</v>
      </c>
      <c r="AJ1888" s="3">
        <v>45106</v>
      </c>
      <c r="AK1888" t="s">
        <v>42</v>
      </c>
      <c r="AL1888" s="1">
        <v>7700</v>
      </c>
      <c r="AM1888" t="s">
        <v>8</v>
      </c>
      <c r="AN1888" t="s">
        <v>8</v>
      </c>
      <c r="AO1888" t="s">
        <v>8</v>
      </c>
      <c r="AP1888" s="1">
        <v>189</v>
      </c>
      <c r="AQ1888" t="s">
        <v>8</v>
      </c>
      <c r="AR1888" t="s">
        <v>8</v>
      </c>
      <c r="AS1888" t="s">
        <v>8</v>
      </c>
      <c r="AT1888">
        <v>11945.7</v>
      </c>
    </row>
    <row r="1889" spans="34:46" x14ac:dyDescent="0.35">
      <c r="AH1889" t="s">
        <v>204</v>
      </c>
      <c r="AI1889" t="s">
        <v>180</v>
      </c>
      <c r="AJ1889" s="3">
        <v>43825</v>
      </c>
      <c r="AK1889" t="s">
        <v>42</v>
      </c>
      <c r="AL1889" s="1">
        <v>13500</v>
      </c>
      <c r="AM1889" t="s">
        <v>8</v>
      </c>
      <c r="AN1889" t="s">
        <v>8</v>
      </c>
      <c r="AO1889" t="s">
        <v>8</v>
      </c>
      <c r="AP1889" s="1">
        <v>1300</v>
      </c>
      <c r="AQ1889" t="s">
        <v>8</v>
      </c>
      <c r="AR1889" t="s">
        <v>8</v>
      </c>
      <c r="AS1889" t="s">
        <v>8</v>
      </c>
      <c r="AT1889">
        <v>11945.7</v>
      </c>
    </row>
    <row r="1890" spans="34:46" x14ac:dyDescent="0.35">
      <c r="AH1890" t="s">
        <v>204</v>
      </c>
      <c r="AI1890" t="s">
        <v>180</v>
      </c>
      <c r="AJ1890" s="3">
        <v>44371</v>
      </c>
      <c r="AK1890" t="s">
        <v>42</v>
      </c>
      <c r="AL1890" s="1">
        <v>11300</v>
      </c>
      <c r="AM1890" t="s">
        <v>8</v>
      </c>
      <c r="AN1890" t="s">
        <v>8</v>
      </c>
      <c r="AO1890" t="s">
        <v>8</v>
      </c>
      <c r="AP1890" t="s">
        <v>8</v>
      </c>
      <c r="AQ1890" t="s">
        <v>8</v>
      </c>
      <c r="AR1890" t="s">
        <v>8</v>
      </c>
      <c r="AS1890" t="s">
        <v>8</v>
      </c>
      <c r="AT1890">
        <v>11945.7</v>
      </c>
    </row>
    <row r="1891" spans="34:46" x14ac:dyDescent="0.35">
      <c r="AH1891" t="s">
        <v>204</v>
      </c>
      <c r="AI1891" t="s">
        <v>180</v>
      </c>
      <c r="AJ1891" s="3">
        <v>43622</v>
      </c>
      <c r="AK1891" t="s">
        <v>42</v>
      </c>
      <c r="AL1891" s="1">
        <v>12350</v>
      </c>
      <c r="AM1891" t="s">
        <v>8</v>
      </c>
      <c r="AN1891" t="s">
        <v>8</v>
      </c>
      <c r="AO1891" t="s">
        <v>8</v>
      </c>
      <c r="AP1891" s="1">
        <v>656.45</v>
      </c>
      <c r="AQ1891" t="s">
        <v>8</v>
      </c>
      <c r="AR1891" t="s">
        <v>8</v>
      </c>
      <c r="AS1891" t="s">
        <v>8</v>
      </c>
      <c r="AT1891">
        <v>11945.7</v>
      </c>
    </row>
    <row r="1892" spans="34:46" x14ac:dyDescent="0.35">
      <c r="AH1892" t="s">
        <v>204</v>
      </c>
      <c r="AI1892" t="s">
        <v>180</v>
      </c>
      <c r="AJ1892" s="3">
        <v>44007</v>
      </c>
      <c r="AK1892" t="s">
        <v>42</v>
      </c>
      <c r="AL1892" s="1">
        <v>9700</v>
      </c>
      <c r="AM1892" t="s">
        <v>8</v>
      </c>
      <c r="AN1892" t="s">
        <v>8</v>
      </c>
      <c r="AO1892" t="s">
        <v>8</v>
      </c>
      <c r="AP1892" s="1">
        <v>151.15</v>
      </c>
      <c r="AQ1892" t="s">
        <v>8</v>
      </c>
      <c r="AR1892" t="s">
        <v>8</v>
      </c>
      <c r="AS1892" t="s">
        <v>8</v>
      </c>
      <c r="AT1892">
        <v>11945.7</v>
      </c>
    </row>
    <row r="1893" spans="34:46" x14ac:dyDescent="0.35">
      <c r="AH1893" t="s">
        <v>204</v>
      </c>
      <c r="AI1893" t="s">
        <v>180</v>
      </c>
      <c r="AJ1893" s="3">
        <v>44371</v>
      </c>
      <c r="AK1893" t="s">
        <v>42</v>
      </c>
      <c r="AL1893" s="1">
        <v>11500</v>
      </c>
      <c r="AM1893" t="s">
        <v>8</v>
      </c>
      <c r="AN1893" t="s">
        <v>8</v>
      </c>
      <c r="AO1893" t="s">
        <v>8</v>
      </c>
      <c r="AP1893">
        <v>886</v>
      </c>
      <c r="AQ1893" t="s">
        <v>8</v>
      </c>
      <c r="AR1893" t="s">
        <v>8</v>
      </c>
      <c r="AS1893" t="s">
        <v>8</v>
      </c>
      <c r="AT1893">
        <v>11945.7</v>
      </c>
    </row>
    <row r="1894" spans="34:46" x14ac:dyDescent="0.35">
      <c r="AH1894" t="s">
        <v>204</v>
      </c>
      <c r="AI1894" t="s">
        <v>180</v>
      </c>
      <c r="AJ1894" s="3">
        <v>43622</v>
      </c>
      <c r="AK1894" t="s">
        <v>42</v>
      </c>
      <c r="AL1894" s="1">
        <v>12550</v>
      </c>
      <c r="AM1894" t="s">
        <v>8</v>
      </c>
      <c r="AN1894" t="s">
        <v>8</v>
      </c>
      <c r="AO1894" t="s">
        <v>8</v>
      </c>
      <c r="AP1894">
        <v>829.15</v>
      </c>
      <c r="AQ1894" t="s">
        <v>8</v>
      </c>
      <c r="AR1894" t="s">
        <v>8</v>
      </c>
      <c r="AS1894" t="s">
        <v>8</v>
      </c>
      <c r="AT1894">
        <v>11945.7</v>
      </c>
    </row>
    <row r="1895" spans="34:46" x14ac:dyDescent="0.35">
      <c r="AH1895" t="s">
        <v>204</v>
      </c>
      <c r="AI1895" t="s">
        <v>180</v>
      </c>
      <c r="AJ1895" s="3">
        <v>44371</v>
      </c>
      <c r="AK1895" t="s">
        <v>42</v>
      </c>
      <c r="AL1895" s="1">
        <v>11700</v>
      </c>
      <c r="AM1895" t="s">
        <v>8</v>
      </c>
      <c r="AN1895" t="s">
        <v>8</v>
      </c>
      <c r="AO1895" t="s">
        <v>8</v>
      </c>
      <c r="AP1895">
        <v>855</v>
      </c>
      <c r="AQ1895" t="s">
        <v>8</v>
      </c>
      <c r="AR1895" t="s">
        <v>8</v>
      </c>
      <c r="AS1895" t="s">
        <v>8</v>
      </c>
      <c r="AT1895">
        <v>11945.7</v>
      </c>
    </row>
    <row r="1896" spans="34:46" x14ac:dyDescent="0.35">
      <c r="AH1896" t="s">
        <v>204</v>
      </c>
      <c r="AI1896" t="s">
        <v>180</v>
      </c>
      <c r="AJ1896" s="3">
        <v>43615</v>
      </c>
      <c r="AK1896" t="s">
        <v>42</v>
      </c>
      <c r="AL1896" s="1">
        <v>13250</v>
      </c>
      <c r="AM1896" t="s">
        <v>8</v>
      </c>
      <c r="AN1896" t="s">
        <v>8</v>
      </c>
      <c r="AO1896" t="s">
        <v>8</v>
      </c>
      <c r="AP1896" s="1">
        <v>1354.95</v>
      </c>
      <c r="AQ1896" t="s">
        <v>8</v>
      </c>
      <c r="AR1896" t="s">
        <v>8</v>
      </c>
      <c r="AS1896" t="s">
        <v>8</v>
      </c>
      <c r="AT1896">
        <v>11945.7</v>
      </c>
    </row>
    <row r="1897" spans="34:46" x14ac:dyDescent="0.35">
      <c r="AH1897" t="s">
        <v>204</v>
      </c>
      <c r="AI1897" t="s">
        <v>180</v>
      </c>
      <c r="AJ1897" s="3">
        <v>43636</v>
      </c>
      <c r="AK1897" t="s">
        <v>42</v>
      </c>
      <c r="AL1897" s="1">
        <v>13350</v>
      </c>
      <c r="AM1897" t="s">
        <v>8</v>
      </c>
      <c r="AN1897" t="s">
        <v>8</v>
      </c>
      <c r="AO1897" t="s">
        <v>8</v>
      </c>
      <c r="AP1897" s="1">
        <v>1454.2</v>
      </c>
      <c r="AQ1897" t="s">
        <v>8</v>
      </c>
      <c r="AR1897" t="s">
        <v>8</v>
      </c>
      <c r="AS1897" t="s">
        <v>8</v>
      </c>
      <c r="AT1897">
        <v>11945.7</v>
      </c>
    </row>
    <row r="1898" spans="34:46" x14ac:dyDescent="0.35">
      <c r="AH1898" t="s">
        <v>204</v>
      </c>
      <c r="AI1898" t="s">
        <v>180</v>
      </c>
      <c r="AJ1898" s="3">
        <v>43615</v>
      </c>
      <c r="AK1898" t="s">
        <v>42</v>
      </c>
      <c r="AL1898" s="1">
        <v>13450</v>
      </c>
      <c r="AM1898" t="s">
        <v>8</v>
      </c>
      <c r="AN1898" t="s">
        <v>8</v>
      </c>
      <c r="AO1898" t="s">
        <v>8</v>
      </c>
      <c r="AP1898" s="1">
        <v>1516.4</v>
      </c>
      <c r="AQ1898" t="s">
        <v>8</v>
      </c>
      <c r="AR1898" t="s">
        <v>8</v>
      </c>
      <c r="AS1898" t="s">
        <v>8</v>
      </c>
      <c r="AT1898">
        <v>11945.7</v>
      </c>
    </row>
    <row r="1899" spans="34:46" x14ac:dyDescent="0.35">
      <c r="AH1899" t="s">
        <v>204</v>
      </c>
      <c r="AI1899" t="s">
        <v>180</v>
      </c>
      <c r="AJ1899" s="3">
        <v>44560</v>
      </c>
      <c r="AK1899" t="s">
        <v>42</v>
      </c>
      <c r="AL1899" s="1">
        <v>8100</v>
      </c>
      <c r="AM1899" t="s">
        <v>8</v>
      </c>
      <c r="AN1899" t="s">
        <v>8</v>
      </c>
      <c r="AO1899" t="s">
        <v>8</v>
      </c>
      <c r="AP1899">
        <v>268.64999999999998</v>
      </c>
      <c r="AQ1899" t="s">
        <v>8</v>
      </c>
      <c r="AR1899" t="s">
        <v>8</v>
      </c>
      <c r="AS1899" t="s">
        <v>8</v>
      </c>
      <c r="AT1899">
        <v>11945.7</v>
      </c>
    </row>
    <row r="1900" spans="34:46" x14ac:dyDescent="0.35">
      <c r="AH1900" t="s">
        <v>204</v>
      </c>
      <c r="AI1900" t="s">
        <v>180</v>
      </c>
      <c r="AJ1900" s="3">
        <v>44560</v>
      </c>
      <c r="AK1900" t="s">
        <v>42</v>
      </c>
      <c r="AL1900" s="1">
        <v>8300</v>
      </c>
      <c r="AM1900" t="s">
        <v>8</v>
      </c>
      <c r="AN1900" t="s">
        <v>8</v>
      </c>
      <c r="AO1900" t="s">
        <v>8</v>
      </c>
      <c r="AP1900">
        <v>160</v>
      </c>
      <c r="AQ1900" t="s">
        <v>8</v>
      </c>
      <c r="AR1900" t="s">
        <v>8</v>
      </c>
      <c r="AS1900" t="s">
        <v>8</v>
      </c>
      <c r="AT1900">
        <v>11945.7</v>
      </c>
    </row>
    <row r="1901" spans="34:46" x14ac:dyDescent="0.35">
      <c r="AH1901" t="s">
        <v>204</v>
      </c>
      <c r="AI1901" t="s">
        <v>180</v>
      </c>
      <c r="AJ1901" s="3">
        <v>43916</v>
      </c>
      <c r="AK1901" t="s">
        <v>42</v>
      </c>
      <c r="AL1901" s="1">
        <v>9500</v>
      </c>
      <c r="AM1901" t="s">
        <v>8</v>
      </c>
      <c r="AN1901" t="s">
        <v>8</v>
      </c>
      <c r="AO1901" t="s">
        <v>8</v>
      </c>
      <c r="AP1901">
        <v>12.05</v>
      </c>
      <c r="AQ1901" t="s">
        <v>8</v>
      </c>
      <c r="AR1901" t="s">
        <v>8</v>
      </c>
      <c r="AS1901" t="s">
        <v>8</v>
      </c>
      <c r="AT1901">
        <v>11945.7</v>
      </c>
    </row>
    <row r="1902" spans="34:46" x14ac:dyDescent="0.35">
      <c r="AH1902" t="s">
        <v>204</v>
      </c>
      <c r="AI1902" t="s">
        <v>180</v>
      </c>
      <c r="AJ1902" s="3">
        <v>43916</v>
      </c>
      <c r="AK1902" t="s">
        <v>42</v>
      </c>
      <c r="AL1902" s="1">
        <v>9700</v>
      </c>
      <c r="AM1902" t="s">
        <v>8</v>
      </c>
      <c r="AN1902" t="s">
        <v>8</v>
      </c>
      <c r="AO1902" t="s">
        <v>8</v>
      </c>
      <c r="AP1902">
        <v>18.100000000000001</v>
      </c>
      <c r="AQ1902" t="s">
        <v>8</v>
      </c>
      <c r="AR1902" t="s">
        <v>8</v>
      </c>
      <c r="AS1902" t="s">
        <v>8</v>
      </c>
      <c r="AT1902">
        <v>11945.7</v>
      </c>
    </row>
    <row r="1903" spans="34:46" x14ac:dyDescent="0.35">
      <c r="AH1903" t="s">
        <v>204</v>
      </c>
      <c r="AI1903" t="s">
        <v>180</v>
      </c>
      <c r="AJ1903" s="3">
        <v>43671</v>
      </c>
      <c r="AK1903" t="s">
        <v>41</v>
      </c>
      <c r="AL1903" s="1">
        <v>12050</v>
      </c>
      <c r="AM1903" t="s">
        <v>8</v>
      </c>
      <c r="AN1903" t="s">
        <v>8</v>
      </c>
      <c r="AO1903" t="s">
        <v>8</v>
      </c>
      <c r="AP1903">
        <v>250</v>
      </c>
      <c r="AQ1903" t="s">
        <v>8</v>
      </c>
      <c r="AR1903" t="s">
        <v>8</v>
      </c>
      <c r="AS1903" t="s">
        <v>8</v>
      </c>
      <c r="AT1903">
        <v>11945.7</v>
      </c>
    </row>
    <row r="1904" spans="34:46" x14ac:dyDescent="0.35">
      <c r="AH1904" t="s">
        <v>204</v>
      </c>
      <c r="AI1904" t="s">
        <v>180</v>
      </c>
      <c r="AJ1904" s="3">
        <v>43650</v>
      </c>
      <c r="AK1904" t="s">
        <v>41</v>
      </c>
      <c r="AL1904" s="1">
        <v>10250</v>
      </c>
      <c r="AM1904" t="s">
        <v>8</v>
      </c>
      <c r="AN1904" t="s">
        <v>8</v>
      </c>
      <c r="AO1904" t="s">
        <v>8</v>
      </c>
      <c r="AP1904" s="1">
        <v>1600.8</v>
      </c>
      <c r="AQ1904" t="s">
        <v>8</v>
      </c>
      <c r="AR1904" t="s">
        <v>8</v>
      </c>
      <c r="AS1904" t="s">
        <v>8</v>
      </c>
      <c r="AT1904">
        <v>11945.7</v>
      </c>
    </row>
    <row r="1905" spans="34:46" x14ac:dyDescent="0.35">
      <c r="AH1905" t="s">
        <v>204</v>
      </c>
      <c r="AI1905" t="s">
        <v>180</v>
      </c>
      <c r="AJ1905" s="3">
        <v>43916</v>
      </c>
      <c r="AK1905" t="s">
        <v>41</v>
      </c>
      <c r="AL1905" s="1">
        <v>14000</v>
      </c>
      <c r="AM1905" t="s">
        <v>8</v>
      </c>
      <c r="AN1905" t="s">
        <v>8</v>
      </c>
      <c r="AO1905" t="s">
        <v>8</v>
      </c>
      <c r="AP1905">
        <v>185.4</v>
      </c>
      <c r="AQ1905" t="s">
        <v>8</v>
      </c>
      <c r="AR1905" t="s">
        <v>8</v>
      </c>
      <c r="AS1905" t="s">
        <v>8</v>
      </c>
      <c r="AT1905">
        <v>11945.7</v>
      </c>
    </row>
    <row r="1906" spans="34:46" x14ac:dyDescent="0.35">
      <c r="AH1906" t="s">
        <v>204</v>
      </c>
      <c r="AI1906" t="s">
        <v>180</v>
      </c>
      <c r="AJ1906" s="3">
        <v>43671</v>
      </c>
      <c r="AK1906" t="s">
        <v>41</v>
      </c>
      <c r="AL1906" s="1">
        <v>9750</v>
      </c>
      <c r="AM1906" t="s">
        <v>8</v>
      </c>
      <c r="AN1906" t="s">
        <v>8</v>
      </c>
      <c r="AO1906" t="s">
        <v>8</v>
      </c>
      <c r="AP1906" s="1">
        <v>1539.05</v>
      </c>
      <c r="AQ1906" t="s">
        <v>8</v>
      </c>
      <c r="AR1906" t="s">
        <v>8</v>
      </c>
      <c r="AS1906" t="s">
        <v>8</v>
      </c>
      <c r="AT1906">
        <v>11945.7</v>
      </c>
    </row>
    <row r="1907" spans="34:46" x14ac:dyDescent="0.35">
      <c r="AH1907" t="s">
        <v>204</v>
      </c>
      <c r="AI1907" t="s">
        <v>180</v>
      </c>
      <c r="AJ1907" s="3">
        <v>43650</v>
      </c>
      <c r="AK1907" t="s">
        <v>41</v>
      </c>
      <c r="AL1907" s="1">
        <v>10450</v>
      </c>
      <c r="AM1907" t="s">
        <v>8</v>
      </c>
      <c r="AN1907" t="s">
        <v>8</v>
      </c>
      <c r="AO1907" t="s">
        <v>8</v>
      </c>
      <c r="AP1907" s="1">
        <v>1404.55</v>
      </c>
      <c r="AQ1907" t="s">
        <v>8</v>
      </c>
      <c r="AR1907" t="s">
        <v>8</v>
      </c>
      <c r="AS1907" t="s">
        <v>8</v>
      </c>
      <c r="AT1907">
        <v>11945.7</v>
      </c>
    </row>
    <row r="1908" spans="34:46" x14ac:dyDescent="0.35">
      <c r="AH1908" t="s">
        <v>204</v>
      </c>
      <c r="AI1908" t="s">
        <v>180</v>
      </c>
      <c r="AJ1908" s="3">
        <v>43671</v>
      </c>
      <c r="AK1908" t="s">
        <v>41</v>
      </c>
      <c r="AL1908" s="1">
        <v>10750</v>
      </c>
      <c r="AM1908" t="s">
        <v>8</v>
      </c>
      <c r="AN1908" t="s">
        <v>8</v>
      </c>
      <c r="AO1908" t="s">
        <v>8</v>
      </c>
      <c r="AP1908" s="1">
        <v>1105.9000000000001</v>
      </c>
      <c r="AQ1908" t="s">
        <v>8</v>
      </c>
      <c r="AR1908" t="s">
        <v>8</v>
      </c>
      <c r="AS1908" t="s">
        <v>8</v>
      </c>
      <c r="AT1908">
        <v>11945.7</v>
      </c>
    </row>
    <row r="1909" spans="34:46" x14ac:dyDescent="0.35">
      <c r="AH1909" t="s">
        <v>204</v>
      </c>
      <c r="AI1909" t="s">
        <v>180</v>
      </c>
      <c r="AJ1909" s="3">
        <v>44560</v>
      </c>
      <c r="AK1909" t="s">
        <v>42</v>
      </c>
      <c r="AL1909" s="1">
        <v>11000</v>
      </c>
      <c r="AM1909" t="s">
        <v>8</v>
      </c>
      <c r="AN1909" t="s">
        <v>8</v>
      </c>
      <c r="AO1909" t="s">
        <v>8</v>
      </c>
      <c r="AP1909" s="1">
        <v>725</v>
      </c>
      <c r="AQ1909" t="s">
        <v>8</v>
      </c>
      <c r="AR1909" t="s">
        <v>8</v>
      </c>
      <c r="AS1909" t="s">
        <v>8</v>
      </c>
      <c r="AT1909">
        <v>11945.7</v>
      </c>
    </row>
    <row r="1910" spans="34:46" x14ac:dyDescent="0.35">
      <c r="AH1910" t="s">
        <v>204</v>
      </c>
      <c r="AI1910" t="s">
        <v>180</v>
      </c>
      <c r="AJ1910" s="3">
        <v>43671</v>
      </c>
      <c r="AK1910" t="s">
        <v>41</v>
      </c>
      <c r="AL1910" s="1">
        <v>10950</v>
      </c>
      <c r="AM1910" t="s">
        <v>8</v>
      </c>
      <c r="AN1910" t="s">
        <v>8</v>
      </c>
      <c r="AO1910" t="s">
        <v>8</v>
      </c>
      <c r="AP1910">
        <v>929.85</v>
      </c>
      <c r="AQ1910" t="s">
        <v>8</v>
      </c>
      <c r="AR1910" t="s">
        <v>8</v>
      </c>
      <c r="AS1910" t="s">
        <v>8</v>
      </c>
      <c r="AT1910">
        <v>11945.7</v>
      </c>
    </row>
    <row r="1911" spans="34:46" x14ac:dyDescent="0.35">
      <c r="AH1911" t="s">
        <v>204</v>
      </c>
      <c r="AI1911" t="s">
        <v>180</v>
      </c>
      <c r="AJ1911" s="3">
        <v>44007</v>
      </c>
      <c r="AK1911" t="s">
        <v>42</v>
      </c>
      <c r="AL1911" s="1">
        <v>4700</v>
      </c>
      <c r="AM1911" t="s">
        <v>8</v>
      </c>
      <c r="AN1911" t="s">
        <v>8</v>
      </c>
      <c r="AO1911" t="s">
        <v>8</v>
      </c>
      <c r="AP1911">
        <v>92.05</v>
      </c>
      <c r="AQ1911" t="s">
        <v>8</v>
      </c>
      <c r="AR1911" t="s">
        <v>8</v>
      </c>
      <c r="AS1911" t="s">
        <v>8</v>
      </c>
      <c r="AT1911">
        <v>11945.7</v>
      </c>
    </row>
    <row r="1912" spans="34:46" x14ac:dyDescent="0.35">
      <c r="AH1912" t="s">
        <v>204</v>
      </c>
      <c r="AI1912" t="s">
        <v>180</v>
      </c>
      <c r="AJ1912" s="3">
        <v>43650</v>
      </c>
      <c r="AK1912" t="s">
        <v>42</v>
      </c>
      <c r="AL1912" s="1">
        <v>10500</v>
      </c>
      <c r="AM1912" t="s">
        <v>8</v>
      </c>
      <c r="AN1912" t="s">
        <v>8</v>
      </c>
      <c r="AO1912" t="s">
        <v>8</v>
      </c>
      <c r="AP1912">
        <v>2.6</v>
      </c>
      <c r="AQ1912" t="s">
        <v>8</v>
      </c>
      <c r="AR1912" t="s">
        <v>8</v>
      </c>
      <c r="AS1912" t="s">
        <v>8</v>
      </c>
      <c r="AT1912">
        <v>11945.7</v>
      </c>
    </row>
    <row r="1913" spans="34:46" x14ac:dyDescent="0.35">
      <c r="AH1913" t="s">
        <v>204</v>
      </c>
      <c r="AI1913" t="s">
        <v>180</v>
      </c>
      <c r="AJ1913" s="3">
        <v>43825</v>
      </c>
      <c r="AK1913" t="s">
        <v>42</v>
      </c>
      <c r="AL1913" s="1">
        <v>9100</v>
      </c>
      <c r="AM1913" t="s">
        <v>8</v>
      </c>
      <c r="AN1913" t="s">
        <v>8</v>
      </c>
      <c r="AO1913" t="s">
        <v>8</v>
      </c>
      <c r="AP1913">
        <v>145</v>
      </c>
      <c r="AQ1913" t="s">
        <v>8</v>
      </c>
      <c r="AR1913" t="s">
        <v>8</v>
      </c>
      <c r="AS1913" t="s">
        <v>8</v>
      </c>
      <c r="AT1913">
        <v>11945.7</v>
      </c>
    </row>
    <row r="1914" spans="34:46" x14ac:dyDescent="0.35">
      <c r="AH1914" t="s">
        <v>204</v>
      </c>
      <c r="AI1914" t="s">
        <v>180</v>
      </c>
      <c r="AJ1914" s="3">
        <v>43825</v>
      </c>
      <c r="AK1914" t="s">
        <v>42</v>
      </c>
      <c r="AL1914" s="1">
        <v>9300</v>
      </c>
      <c r="AM1914" t="s">
        <v>8</v>
      </c>
      <c r="AN1914" t="s">
        <v>8</v>
      </c>
      <c r="AO1914" t="s">
        <v>8</v>
      </c>
      <c r="AP1914">
        <v>40</v>
      </c>
      <c r="AQ1914" t="s">
        <v>8</v>
      </c>
      <c r="AR1914" t="s">
        <v>8</v>
      </c>
      <c r="AS1914" t="s">
        <v>8</v>
      </c>
      <c r="AT1914">
        <v>11945.7</v>
      </c>
    </row>
    <row r="1915" spans="34:46" x14ac:dyDescent="0.35">
      <c r="AH1915" t="s">
        <v>204</v>
      </c>
      <c r="AI1915" t="s">
        <v>180</v>
      </c>
      <c r="AJ1915" s="3">
        <v>43643</v>
      </c>
      <c r="AK1915" t="s">
        <v>41</v>
      </c>
      <c r="AL1915" s="1">
        <v>11050</v>
      </c>
      <c r="AM1915" t="s">
        <v>8</v>
      </c>
      <c r="AN1915" t="s">
        <v>8</v>
      </c>
      <c r="AO1915" t="s">
        <v>8</v>
      </c>
      <c r="AP1915">
        <v>795.75</v>
      </c>
      <c r="AQ1915" t="s">
        <v>8</v>
      </c>
      <c r="AR1915" t="s">
        <v>8</v>
      </c>
      <c r="AS1915" t="s">
        <v>8</v>
      </c>
      <c r="AT1915">
        <v>11945.7</v>
      </c>
    </row>
    <row r="1916" spans="34:46" x14ac:dyDescent="0.35">
      <c r="AH1916" t="s">
        <v>204</v>
      </c>
      <c r="AI1916" t="s">
        <v>180</v>
      </c>
      <c r="AJ1916" s="3">
        <v>43650</v>
      </c>
      <c r="AK1916" t="s">
        <v>41</v>
      </c>
      <c r="AL1916" s="1">
        <v>12400</v>
      </c>
      <c r="AM1916" t="s">
        <v>8</v>
      </c>
      <c r="AN1916" t="s">
        <v>8</v>
      </c>
      <c r="AO1916" t="s">
        <v>8</v>
      </c>
      <c r="AP1916">
        <v>78.55</v>
      </c>
      <c r="AQ1916" t="s">
        <v>8</v>
      </c>
      <c r="AR1916" t="s">
        <v>8</v>
      </c>
      <c r="AS1916" t="s">
        <v>8</v>
      </c>
      <c r="AT1916">
        <v>11945.7</v>
      </c>
    </row>
    <row r="1917" spans="34:46" x14ac:dyDescent="0.35">
      <c r="AH1917" t="s">
        <v>204</v>
      </c>
      <c r="AI1917" t="s">
        <v>180</v>
      </c>
      <c r="AJ1917" s="3">
        <v>44560</v>
      </c>
      <c r="AK1917" t="s">
        <v>41</v>
      </c>
      <c r="AL1917" s="1">
        <v>11600</v>
      </c>
      <c r="AM1917" t="s">
        <v>8</v>
      </c>
      <c r="AN1917" t="s">
        <v>8</v>
      </c>
      <c r="AO1917" t="s">
        <v>8</v>
      </c>
      <c r="AP1917" t="s">
        <v>8</v>
      </c>
      <c r="AQ1917" t="s">
        <v>8</v>
      </c>
      <c r="AR1917" t="s">
        <v>8</v>
      </c>
      <c r="AS1917" t="s">
        <v>8</v>
      </c>
      <c r="AT1917">
        <v>11945.7</v>
      </c>
    </row>
    <row r="1918" spans="34:46" x14ac:dyDescent="0.35">
      <c r="AH1918" t="s">
        <v>204</v>
      </c>
      <c r="AI1918" t="s">
        <v>180</v>
      </c>
      <c r="AJ1918" s="3">
        <v>43650</v>
      </c>
      <c r="AK1918" t="s">
        <v>41</v>
      </c>
      <c r="AL1918" s="1">
        <v>12600</v>
      </c>
      <c r="AM1918" t="s">
        <v>8</v>
      </c>
      <c r="AN1918" t="s">
        <v>8</v>
      </c>
      <c r="AO1918" t="s">
        <v>8</v>
      </c>
      <c r="AP1918">
        <v>45.85</v>
      </c>
      <c r="AQ1918" t="s">
        <v>8</v>
      </c>
      <c r="AR1918" t="s">
        <v>8</v>
      </c>
      <c r="AS1918" t="s">
        <v>8</v>
      </c>
      <c r="AT1918">
        <v>11945.7</v>
      </c>
    </row>
    <row r="1919" spans="34:46" x14ac:dyDescent="0.35">
      <c r="AH1919" t="s">
        <v>204</v>
      </c>
      <c r="AI1919" t="s">
        <v>180</v>
      </c>
      <c r="AJ1919" s="3">
        <v>43671</v>
      </c>
      <c r="AK1919" t="s">
        <v>41</v>
      </c>
      <c r="AL1919" s="1">
        <v>12900</v>
      </c>
      <c r="AM1919" t="s">
        <v>8</v>
      </c>
      <c r="AN1919" t="s">
        <v>8</v>
      </c>
      <c r="AO1919" t="s">
        <v>8</v>
      </c>
      <c r="AP1919">
        <v>41.8</v>
      </c>
      <c r="AQ1919" t="s">
        <v>8</v>
      </c>
      <c r="AR1919" t="s">
        <v>8</v>
      </c>
      <c r="AS1919" t="s">
        <v>8</v>
      </c>
      <c r="AT1919">
        <v>11945.7</v>
      </c>
    </row>
    <row r="1920" spans="34:46" x14ac:dyDescent="0.35">
      <c r="AH1920" t="s">
        <v>204</v>
      </c>
      <c r="AI1920" t="s">
        <v>180</v>
      </c>
      <c r="AJ1920" s="3">
        <v>44560</v>
      </c>
      <c r="AK1920" t="s">
        <v>41</v>
      </c>
      <c r="AL1920" s="1">
        <v>11800</v>
      </c>
      <c r="AM1920" t="s">
        <v>8</v>
      </c>
      <c r="AN1920" t="s">
        <v>8</v>
      </c>
      <c r="AO1920" t="s">
        <v>8</v>
      </c>
      <c r="AP1920" t="s">
        <v>8</v>
      </c>
      <c r="AQ1920" t="s">
        <v>8</v>
      </c>
      <c r="AR1920" t="s">
        <v>8</v>
      </c>
      <c r="AS1920" t="s">
        <v>8</v>
      </c>
      <c r="AT1920">
        <v>11945.7</v>
      </c>
    </row>
    <row r="1921" spans="34:46" x14ac:dyDescent="0.35">
      <c r="AH1921" t="s">
        <v>204</v>
      </c>
      <c r="AI1921" t="s">
        <v>180</v>
      </c>
      <c r="AJ1921" s="3">
        <v>43629</v>
      </c>
      <c r="AK1921" t="s">
        <v>42</v>
      </c>
      <c r="AL1921" s="1">
        <v>13150</v>
      </c>
      <c r="AM1921" t="s">
        <v>8</v>
      </c>
      <c r="AN1921" t="s">
        <v>8</v>
      </c>
      <c r="AO1921" t="s">
        <v>8</v>
      </c>
      <c r="AP1921" s="1">
        <v>1360.2</v>
      </c>
      <c r="AQ1921" t="s">
        <v>8</v>
      </c>
      <c r="AR1921" t="s">
        <v>8</v>
      </c>
      <c r="AS1921" t="s">
        <v>8</v>
      </c>
      <c r="AT1921">
        <v>11945.7</v>
      </c>
    </row>
    <row r="1922" spans="34:46" x14ac:dyDescent="0.35">
      <c r="AH1922" t="s">
        <v>204</v>
      </c>
      <c r="AI1922" t="s">
        <v>180</v>
      </c>
      <c r="AJ1922" s="3">
        <v>44196</v>
      </c>
      <c r="AK1922" t="s">
        <v>42</v>
      </c>
      <c r="AL1922" s="1">
        <v>7100</v>
      </c>
      <c r="AM1922" t="s">
        <v>8</v>
      </c>
      <c r="AN1922" t="s">
        <v>8</v>
      </c>
      <c r="AO1922" t="s">
        <v>8</v>
      </c>
      <c r="AP1922">
        <v>60.3</v>
      </c>
      <c r="AQ1922" t="s">
        <v>8</v>
      </c>
      <c r="AR1922" t="s">
        <v>8</v>
      </c>
      <c r="AS1922" t="s">
        <v>8</v>
      </c>
      <c r="AT1922">
        <v>11945.7</v>
      </c>
    </row>
    <row r="1923" spans="34:46" x14ac:dyDescent="0.35">
      <c r="AH1923" t="s">
        <v>204</v>
      </c>
      <c r="AI1923" t="s">
        <v>180</v>
      </c>
      <c r="AJ1923" s="3">
        <v>43615</v>
      </c>
      <c r="AK1923" t="s">
        <v>41</v>
      </c>
      <c r="AL1923" s="1">
        <v>10150</v>
      </c>
      <c r="AM1923" t="s">
        <v>8</v>
      </c>
      <c r="AN1923" t="s">
        <v>8</v>
      </c>
      <c r="AO1923" t="s">
        <v>8</v>
      </c>
      <c r="AP1923">
        <v>860.55</v>
      </c>
      <c r="AQ1923" t="s">
        <v>8</v>
      </c>
      <c r="AR1923" t="s">
        <v>8</v>
      </c>
      <c r="AS1923" t="s">
        <v>8</v>
      </c>
      <c r="AT1923">
        <v>11945.7</v>
      </c>
    </row>
    <row r="1924" spans="34:46" x14ac:dyDescent="0.35">
      <c r="AH1924" t="s">
        <v>204</v>
      </c>
      <c r="AI1924" t="s">
        <v>180</v>
      </c>
      <c r="AJ1924" s="3">
        <v>43636</v>
      </c>
      <c r="AK1924" t="s">
        <v>41</v>
      </c>
      <c r="AL1924" s="1">
        <v>9800</v>
      </c>
      <c r="AM1924" t="s">
        <v>8</v>
      </c>
      <c r="AN1924" t="s">
        <v>8</v>
      </c>
      <c r="AO1924" t="s">
        <v>8</v>
      </c>
      <c r="AP1924" s="1">
        <v>1582</v>
      </c>
      <c r="AQ1924" t="s">
        <v>8</v>
      </c>
      <c r="AR1924" t="s">
        <v>8</v>
      </c>
      <c r="AS1924" t="s">
        <v>8</v>
      </c>
      <c r="AT1924">
        <v>11945.7</v>
      </c>
    </row>
    <row r="1925" spans="34:46" x14ac:dyDescent="0.35">
      <c r="AH1925" t="s">
        <v>204</v>
      </c>
      <c r="AI1925" t="s">
        <v>180</v>
      </c>
      <c r="AJ1925" s="3">
        <v>43629</v>
      </c>
      <c r="AK1925" t="s">
        <v>42</v>
      </c>
      <c r="AL1925" s="1">
        <v>13350</v>
      </c>
      <c r="AM1925" t="s">
        <v>8</v>
      </c>
      <c r="AN1925" t="s">
        <v>8</v>
      </c>
      <c r="AO1925" t="s">
        <v>8</v>
      </c>
      <c r="AP1925" s="1">
        <v>1468.85</v>
      </c>
      <c r="AQ1925" t="s">
        <v>8</v>
      </c>
      <c r="AR1925" t="s">
        <v>8</v>
      </c>
      <c r="AS1925" t="s">
        <v>8</v>
      </c>
      <c r="AT1925">
        <v>11945.7</v>
      </c>
    </row>
    <row r="1926" spans="34:46" x14ac:dyDescent="0.35">
      <c r="AH1926" t="s">
        <v>204</v>
      </c>
      <c r="AI1926" t="s">
        <v>180</v>
      </c>
      <c r="AJ1926" s="3">
        <v>44196</v>
      </c>
      <c r="AK1926" t="s">
        <v>42</v>
      </c>
      <c r="AL1926" s="1">
        <v>7300</v>
      </c>
      <c r="AM1926" t="s">
        <v>8</v>
      </c>
      <c r="AN1926" t="s">
        <v>8</v>
      </c>
      <c r="AO1926" t="s">
        <v>8</v>
      </c>
      <c r="AP1926">
        <v>74.05</v>
      </c>
      <c r="AQ1926" t="s">
        <v>8</v>
      </c>
      <c r="AR1926" t="s">
        <v>8</v>
      </c>
      <c r="AS1926" t="s">
        <v>8</v>
      </c>
      <c r="AT1926">
        <v>11945.7</v>
      </c>
    </row>
    <row r="1927" spans="34:46" x14ac:dyDescent="0.35">
      <c r="AH1927" t="s">
        <v>204</v>
      </c>
      <c r="AI1927" t="s">
        <v>180</v>
      </c>
      <c r="AJ1927" s="3">
        <v>43636</v>
      </c>
      <c r="AK1927" t="s">
        <v>41</v>
      </c>
      <c r="AL1927" s="1">
        <v>10250</v>
      </c>
      <c r="AM1927" t="s">
        <v>8</v>
      </c>
      <c r="AN1927" t="s">
        <v>8</v>
      </c>
      <c r="AO1927" t="s">
        <v>8</v>
      </c>
      <c r="AP1927" s="1">
        <v>1620.05</v>
      </c>
      <c r="AQ1927" t="s">
        <v>8</v>
      </c>
      <c r="AR1927" t="s">
        <v>8</v>
      </c>
      <c r="AS1927" t="s">
        <v>8</v>
      </c>
      <c r="AT1927">
        <v>11945.7</v>
      </c>
    </row>
    <row r="1928" spans="34:46" x14ac:dyDescent="0.35">
      <c r="AH1928" t="s">
        <v>204</v>
      </c>
      <c r="AI1928" t="s">
        <v>180</v>
      </c>
      <c r="AJ1928" s="3">
        <v>43615</v>
      </c>
      <c r="AK1928" t="s">
        <v>41</v>
      </c>
      <c r="AL1928" s="1">
        <v>10350</v>
      </c>
      <c r="AM1928" t="s">
        <v>8</v>
      </c>
      <c r="AN1928" t="s">
        <v>8</v>
      </c>
      <c r="AO1928" t="s">
        <v>8</v>
      </c>
      <c r="AP1928">
        <v>691.05</v>
      </c>
      <c r="AQ1928" t="s">
        <v>8</v>
      </c>
      <c r="AR1928" t="s">
        <v>8</v>
      </c>
      <c r="AS1928" t="s">
        <v>8</v>
      </c>
      <c r="AT1928">
        <v>11945.7</v>
      </c>
    </row>
    <row r="1929" spans="34:46" x14ac:dyDescent="0.35">
      <c r="AH1929" t="s">
        <v>204</v>
      </c>
      <c r="AI1929" t="s">
        <v>180</v>
      </c>
      <c r="AJ1929" s="3">
        <v>43636</v>
      </c>
      <c r="AK1929" t="s">
        <v>41</v>
      </c>
      <c r="AL1929" s="1">
        <v>10450</v>
      </c>
      <c r="AM1929" t="s">
        <v>8</v>
      </c>
      <c r="AN1929" t="s">
        <v>8</v>
      </c>
      <c r="AO1929" t="s">
        <v>8</v>
      </c>
      <c r="AP1929" s="1">
        <v>1422.7</v>
      </c>
      <c r="AQ1929" t="s">
        <v>8</v>
      </c>
      <c r="AR1929" t="s">
        <v>8</v>
      </c>
      <c r="AS1929" t="s">
        <v>8</v>
      </c>
      <c r="AT1929">
        <v>11945.7</v>
      </c>
    </row>
    <row r="1930" spans="34:46" x14ac:dyDescent="0.35">
      <c r="AH1930" t="s">
        <v>204</v>
      </c>
      <c r="AI1930" t="s">
        <v>180</v>
      </c>
      <c r="AJ1930" s="3">
        <v>43643</v>
      </c>
      <c r="AK1930" t="s">
        <v>41</v>
      </c>
      <c r="AL1930" s="1">
        <v>5100</v>
      </c>
      <c r="AM1930" t="s">
        <v>8</v>
      </c>
      <c r="AN1930" t="s">
        <v>8</v>
      </c>
      <c r="AO1930" t="s">
        <v>8</v>
      </c>
      <c r="AP1930" s="1">
        <v>4218.1000000000004</v>
      </c>
      <c r="AQ1930" t="s">
        <v>8</v>
      </c>
      <c r="AR1930" t="s">
        <v>8</v>
      </c>
      <c r="AS1930" t="s">
        <v>8</v>
      </c>
      <c r="AT1930">
        <v>11945.7</v>
      </c>
    </row>
    <row r="1931" spans="34:46" x14ac:dyDescent="0.35">
      <c r="AH1931" t="s">
        <v>204</v>
      </c>
      <c r="AI1931" t="s">
        <v>180</v>
      </c>
      <c r="AJ1931" s="3">
        <v>43636</v>
      </c>
      <c r="AK1931" t="s">
        <v>41</v>
      </c>
      <c r="AL1931" s="1">
        <v>10650</v>
      </c>
      <c r="AM1931" t="s">
        <v>8</v>
      </c>
      <c r="AN1931" t="s">
        <v>8</v>
      </c>
      <c r="AO1931" t="s">
        <v>8</v>
      </c>
      <c r="AP1931" s="1">
        <v>1226.25</v>
      </c>
      <c r="AQ1931" t="s">
        <v>8</v>
      </c>
      <c r="AR1931" t="s">
        <v>8</v>
      </c>
      <c r="AS1931" t="s">
        <v>8</v>
      </c>
      <c r="AT1931">
        <v>11945.7</v>
      </c>
    </row>
    <row r="1932" spans="34:46" x14ac:dyDescent="0.35">
      <c r="AH1932" t="s">
        <v>204</v>
      </c>
      <c r="AI1932" t="s">
        <v>180</v>
      </c>
      <c r="AJ1932" s="3">
        <v>43643</v>
      </c>
      <c r="AK1932" t="s">
        <v>41</v>
      </c>
      <c r="AL1932" s="1">
        <v>5300</v>
      </c>
      <c r="AM1932" t="s">
        <v>8</v>
      </c>
      <c r="AN1932" t="s">
        <v>8</v>
      </c>
      <c r="AO1932" t="s">
        <v>8</v>
      </c>
      <c r="AP1932" s="1">
        <v>4092.3</v>
      </c>
      <c r="AQ1932" t="s">
        <v>8</v>
      </c>
      <c r="AR1932" t="s">
        <v>8</v>
      </c>
      <c r="AS1932" t="s">
        <v>8</v>
      </c>
      <c r="AT1932">
        <v>11945.7</v>
      </c>
    </row>
    <row r="1933" spans="34:46" x14ac:dyDescent="0.35">
      <c r="AH1933" t="s">
        <v>204</v>
      </c>
      <c r="AI1933" t="s">
        <v>180</v>
      </c>
      <c r="AJ1933" s="3">
        <v>43643</v>
      </c>
      <c r="AK1933" t="s">
        <v>41</v>
      </c>
      <c r="AL1933" s="1">
        <v>5500</v>
      </c>
      <c r="AM1933" t="s">
        <v>8</v>
      </c>
      <c r="AN1933" t="s">
        <v>8</v>
      </c>
      <c r="AO1933" t="s">
        <v>8</v>
      </c>
      <c r="AP1933" s="1">
        <v>3967.3</v>
      </c>
      <c r="AQ1933" t="s">
        <v>8</v>
      </c>
      <c r="AR1933" t="s">
        <v>8</v>
      </c>
      <c r="AS1933" t="s">
        <v>8</v>
      </c>
      <c r="AT1933">
        <v>11945.7</v>
      </c>
    </row>
    <row r="1934" spans="34:46" x14ac:dyDescent="0.35">
      <c r="AH1934" t="s">
        <v>204</v>
      </c>
      <c r="AI1934" t="s">
        <v>180</v>
      </c>
      <c r="AJ1934" s="3">
        <v>43636</v>
      </c>
      <c r="AK1934" t="s">
        <v>42</v>
      </c>
      <c r="AL1934" s="1">
        <v>10500</v>
      </c>
      <c r="AM1934" t="s">
        <v>8</v>
      </c>
      <c r="AN1934" t="s">
        <v>8</v>
      </c>
      <c r="AO1934" t="s">
        <v>8</v>
      </c>
      <c r="AP1934">
        <v>0.7</v>
      </c>
      <c r="AQ1934" t="s">
        <v>8</v>
      </c>
      <c r="AR1934" t="s">
        <v>8</v>
      </c>
      <c r="AS1934" t="s">
        <v>8</v>
      </c>
      <c r="AT1934">
        <v>11945.7</v>
      </c>
    </row>
    <row r="1935" spans="34:46" x14ac:dyDescent="0.35">
      <c r="AH1935" t="s">
        <v>204</v>
      </c>
      <c r="AI1935" t="s">
        <v>180</v>
      </c>
      <c r="AJ1935" s="3">
        <v>43636</v>
      </c>
      <c r="AK1935" t="s">
        <v>42</v>
      </c>
      <c r="AL1935" s="1">
        <v>10700</v>
      </c>
      <c r="AM1935" t="s">
        <v>8</v>
      </c>
      <c r="AN1935" t="s">
        <v>8</v>
      </c>
      <c r="AO1935" t="s">
        <v>8</v>
      </c>
      <c r="AP1935">
        <v>2.35</v>
      </c>
      <c r="AQ1935" t="s">
        <v>8</v>
      </c>
      <c r="AR1935" t="s">
        <v>8</v>
      </c>
      <c r="AS1935" t="s">
        <v>8</v>
      </c>
      <c r="AT1935">
        <v>11945.7</v>
      </c>
    </row>
    <row r="1936" spans="34:46" x14ac:dyDescent="0.35">
      <c r="AH1936" t="s">
        <v>204</v>
      </c>
      <c r="AI1936" t="s">
        <v>180</v>
      </c>
      <c r="AJ1936" s="3">
        <v>43664</v>
      </c>
      <c r="AK1936" t="s">
        <v>41</v>
      </c>
      <c r="AL1936" s="1">
        <v>10550</v>
      </c>
      <c r="AM1936" t="s">
        <v>8</v>
      </c>
      <c r="AN1936" t="s">
        <v>8</v>
      </c>
      <c r="AO1936" t="s">
        <v>8</v>
      </c>
      <c r="AP1936">
        <v>864.85</v>
      </c>
      <c r="AQ1936" t="s">
        <v>8</v>
      </c>
      <c r="AR1936" t="s">
        <v>8</v>
      </c>
      <c r="AS1936" t="s">
        <v>8</v>
      </c>
      <c r="AT1936">
        <v>11945.7</v>
      </c>
    </row>
    <row r="1937" spans="34:46" x14ac:dyDescent="0.35">
      <c r="AH1937" t="s">
        <v>204</v>
      </c>
      <c r="AI1937" t="s">
        <v>180</v>
      </c>
      <c r="AJ1937" s="3">
        <v>44007</v>
      </c>
      <c r="AK1937" t="s">
        <v>42</v>
      </c>
      <c r="AL1937" s="1">
        <v>10100</v>
      </c>
      <c r="AM1937" t="s">
        <v>8</v>
      </c>
      <c r="AN1937" t="s">
        <v>8</v>
      </c>
      <c r="AO1937" t="s">
        <v>8</v>
      </c>
      <c r="AP1937" s="1" t="s">
        <v>8</v>
      </c>
      <c r="AQ1937" t="s">
        <v>8</v>
      </c>
      <c r="AR1937" t="s">
        <v>8</v>
      </c>
      <c r="AS1937" t="s">
        <v>8</v>
      </c>
      <c r="AT1937">
        <v>11945.7</v>
      </c>
    </row>
    <row r="1938" spans="34:46" x14ac:dyDescent="0.35">
      <c r="AH1938" t="s">
        <v>204</v>
      </c>
      <c r="AI1938" t="s">
        <v>180</v>
      </c>
      <c r="AJ1938" s="3">
        <v>45106</v>
      </c>
      <c r="AK1938" t="s">
        <v>42</v>
      </c>
      <c r="AL1938" s="1">
        <v>11100</v>
      </c>
      <c r="AM1938" t="s">
        <v>8</v>
      </c>
      <c r="AN1938" t="s">
        <v>8</v>
      </c>
      <c r="AO1938" t="s">
        <v>8</v>
      </c>
      <c r="AP1938">
        <v>112.8</v>
      </c>
      <c r="AQ1938" t="s">
        <v>8</v>
      </c>
      <c r="AR1938" t="s">
        <v>8</v>
      </c>
      <c r="AS1938" t="s">
        <v>8</v>
      </c>
      <c r="AT1938">
        <v>11945.7</v>
      </c>
    </row>
    <row r="1939" spans="34:46" x14ac:dyDescent="0.35">
      <c r="AH1939" t="s">
        <v>204</v>
      </c>
      <c r="AI1939" t="s">
        <v>180</v>
      </c>
      <c r="AJ1939" s="3">
        <v>43664</v>
      </c>
      <c r="AK1939" t="s">
        <v>41</v>
      </c>
      <c r="AL1939" s="1">
        <v>10750</v>
      </c>
      <c r="AM1939" t="s">
        <v>8</v>
      </c>
      <c r="AN1939" t="s">
        <v>8</v>
      </c>
      <c r="AO1939" t="s">
        <v>8</v>
      </c>
      <c r="AP1939">
        <v>693.45</v>
      </c>
      <c r="AQ1939" t="s">
        <v>8</v>
      </c>
      <c r="AR1939" t="s">
        <v>8</v>
      </c>
      <c r="AS1939" t="s">
        <v>8</v>
      </c>
      <c r="AT1939">
        <v>11945.7</v>
      </c>
    </row>
    <row r="1940" spans="34:46" x14ac:dyDescent="0.35">
      <c r="AH1940" t="s">
        <v>204</v>
      </c>
      <c r="AI1940" t="s">
        <v>180</v>
      </c>
      <c r="AJ1940" s="3">
        <v>45106</v>
      </c>
      <c r="AK1940" t="s">
        <v>42</v>
      </c>
      <c r="AL1940" s="1">
        <v>11300</v>
      </c>
      <c r="AM1940" t="s">
        <v>8</v>
      </c>
      <c r="AN1940" t="s">
        <v>8</v>
      </c>
      <c r="AO1940" t="s">
        <v>8</v>
      </c>
      <c r="AP1940" s="1">
        <v>131.5</v>
      </c>
      <c r="AQ1940" t="s">
        <v>8</v>
      </c>
      <c r="AR1940" t="s">
        <v>8</v>
      </c>
      <c r="AS1940" t="s">
        <v>8</v>
      </c>
      <c r="AT1940">
        <v>11945.7</v>
      </c>
    </row>
    <row r="1941" spans="34:46" x14ac:dyDescent="0.35">
      <c r="AH1941" t="s">
        <v>204</v>
      </c>
      <c r="AI1941" t="s">
        <v>180</v>
      </c>
      <c r="AJ1941" s="3">
        <v>43664</v>
      </c>
      <c r="AK1941" t="s">
        <v>41</v>
      </c>
      <c r="AL1941" s="1">
        <v>10950</v>
      </c>
      <c r="AM1941" t="s">
        <v>8</v>
      </c>
      <c r="AN1941" t="s">
        <v>8</v>
      </c>
      <c r="AO1941" t="s">
        <v>8</v>
      </c>
      <c r="AP1941" s="1">
        <v>538.04999999999995</v>
      </c>
      <c r="AQ1941" t="s">
        <v>8</v>
      </c>
      <c r="AR1941" t="s">
        <v>8</v>
      </c>
      <c r="AS1941" t="s">
        <v>8</v>
      </c>
      <c r="AT1941">
        <v>11945.7</v>
      </c>
    </row>
    <row r="1942" spans="34:46" x14ac:dyDescent="0.35">
      <c r="AH1942" t="s">
        <v>204</v>
      </c>
      <c r="AI1942" t="s">
        <v>180</v>
      </c>
      <c r="AJ1942" s="3">
        <v>43657</v>
      </c>
      <c r="AK1942" t="s">
        <v>41</v>
      </c>
      <c r="AL1942" s="1">
        <v>11050</v>
      </c>
      <c r="AM1942" t="s">
        <v>8</v>
      </c>
      <c r="AN1942" t="s">
        <v>8</v>
      </c>
      <c r="AO1942" t="s">
        <v>8</v>
      </c>
      <c r="AP1942" s="1">
        <v>495.35</v>
      </c>
      <c r="AQ1942" t="s">
        <v>8</v>
      </c>
      <c r="AR1942" t="s">
        <v>8</v>
      </c>
      <c r="AS1942" t="s">
        <v>8</v>
      </c>
      <c r="AT1942">
        <v>11945.7</v>
      </c>
    </row>
    <row r="1943" spans="34:46" x14ac:dyDescent="0.35">
      <c r="AH1943" t="s">
        <v>204</v>
      </c>
      <c r="AI1943" t="s">
        <v>180</v>
      </c>
      <c r="AJ1943" s="3">
        <v>43657</v>
      </c>
      <c r="AK1943" t="s">
        <v>41</v>
      </c>
      <c r="AL1943" s="1">
        <v>11250</v>
      </c>
      <c r="AM1943" t="s">
        <v>8</v>
      </c>
      <c r="AN1943" t="s">
        <v>8</v>
      </c>
      <c r="AO1943" t="s">
        <v>8</v>
      </c>
      <c r="AP1943" s="1">
        <v>364.75</v>
      </c>
      <c r="AQ1943" t="s">
        <v>8</v>
      </c>
      <c r="AR1943" t="s">
        <v>8</v>
      </c>
      <c r="AS1943" t="s">
        <v>8</v>
      </c>
      <c r="AT1943">
        <v>11945.7</v>
      </c>
    </row>
    <row r="1944" spans="34:46" x14ac:dyDescent="0.35">
      <c r="AH1944" t="s">
        <v>204</v>
      </c>
      <c r="AI1944" t="s">
        <v>180</v>
      </c>
      <c r="AJ1944" s="3">
        <v>43636</v>
      </c>
      <c r="AK1944" t="s">
        <v>41</v>
      </c>
      <c r="AL1944" s="1">
        <v>12400</v>
      </c>
      <c r="AM1944" t="s">
        <v>8</v>
      </c>
      <c r="AN1944" t="s">
        <v>8</v>
      </c>
      <c r="AO1944" t="s">
        <v>8</v>
      </c>
      <c r="AP1944">
        <v>57.55</v>
      </c>
      <c r="AQ1944" t="s">
        <v>8</v>
      </c>
      <c r="AR1944" t="s">
        <v>8</v>
      </c>
      <c r="AS1944" t="s">
        <v>8</v>
      </c>
      <c r="AT1944">
        <v>11945.7</v>
      </c>
    </row>
    <row r="1945" spans="34:46" x14ac:dyDescent="0.35">
      <c r="AH1945" t="s">
        <v>204</v>
      </c>
      <c r="AI1945" t="s">
        <v>180</v>
      </c>
      <c r="AJ1945" s="3">
        <v>44742</v>
      </c>
      <c r="AK1945" t="s">
        <v>42</v>
      </c>
      <c r="AL1945" s="1">
        <v>8500</v>
      </c>
      <c r="AM1945" t="s">
        <v>8</v>
      </c>
      <c r="AN1945" t="s">
        <v>8</v>
      </c>
      <c r="AO1945" t="s">
        <v>8</v>
      </c>
      <c r="AP1945" s="1">
        <v>4.9000000000000004</v>
      </c>
      <c r="AQ1945" t="s">
        <v>8</v>
      </c>
      <c r="AR1945" t="s">
        <v>8</v>
      </c>
      <c r="AS1945" t="s">
        <v>8</v>
      </c>
      <c r="AT1945">
        <v>11945.7</v>
      </c>
    </row>
    <row r="1946" spans="34:46" x14ac:dyDescent="0.35">
      <c r="AH1946" t="s">
        <v>204</v>
      </c>
      <c r="AI1946" t="s">
        <v>180</v>
      </c>
      <c r="AJ1946" s="3">
        <v>43657</v>
      </c>
      <c r="AK1946" t="s">
        <v>41</v>
      </c>
      <c r="AL1946" s="1">
        <v>11450</v>
      </c>
      <c r="AM1946" t="s">
        <v>8</v>
      </c>
      <c r="AN1946" t="s">
        <v>8</v>
      </c>
      <c r="AO1946" t="s">
        <v>8</v>
      </c>
      <c r="AP1946" s="1">
        <v>257.3</v>
      </c>
      <c r="AQ1946" t="s">
        <v>8</v>
      </c>
      <c r="AR1946" t="s">
        <v>8</v>
      </c>
      <c r="AS1946" t="s">
        <v>8</v>
      </c>
      <c r="AT1946">
        <v>11945.7</v>
      </c>
    </row>
    <row r="1947" spans="34:46" x14ac:dyDescent="0.35">
      <c r="AH1947" t="s">
        <v>204</v>
      </c>
      <c r="AI1947" t="s">
        <v>180</v>
      </c>
      <c r="AJ1947" s="3">
        <v>43678</v>
      </c>
      <c r="AK1947" t="s">
        <v>42</v>
      </c>
      <c r="AL1947" s="1">
        <v>11950</v>
      </c>
      <c r="AM1947" t="s">
        <v>8</v>
      </c>
      <c r="AN1947" t="s">
        <v>8</v>
      </c>
      <c r="AO1947" t="s">
        <v>8</v>
      </c>
      <c r="AP1947" s="1">
        <v>502.35</v>
      </c>
      <c r="AQ1947" t="s">
        <v>8</v>
      </c>
      <c r="AR1947" t="s">
        <v>8</v>
      </c>
      <c r="AS1947" t="s">
        <v>8</v>
      </c>
      <c r="AT1947">
        <v>11945.7</v>
      </c>
    </row>
    <row r="1948" spans="34:46" x14ac:dyDescent="0.35">
      <c r="AH1948" t="s">
        <v>204</v>
      </c>
      <c r="AI1948" t="s">
        <v>180</v>
      </c>
      <c r="AJ1948" s="3">
        <v>43636</v>
      </c>
      <c r="AK1948" t="s">
        <v>41</v>
      </c>
      <c r="AL1948" s="1">
        <v>12600</v>
      </c>
      <c r="AM1948" t="s">
        <v>8</v>
      </c>
      <c r="AN1948" t="s">
        <v>8</v>
      </c>
      <c r="AO1948" t="s">
        <v>8</v>
      </c>
      <c r="AP1948" s="1">
        <v>29.95</v>
      </c>
      <c r="AQ1948" t="s">
        <v>8</v>
      </c>
      <c r="AR1948" t="s">
        <v>8</v>
      </c>
      <c r="AS1948" t="s">
        <v>8</v>
      </c>
      <c r="AT1948">
        <v>11945.7</v>
      </c>
    </row>
    <row r="1949" spans="34:46" x14ac:dyDescent="0.35">
      <c r="AH1949" t="s">
        <v>204</v>
      </c>
      <c r="AI1949" t="s">
        <v>180</v>
      </c>
      <c r="AJ1949" s="3">
        <v>44742</v>
      </c>
      <c r="AK1949" t="s">
        <v>42</v>
      </c>
      <c r="AL1949" s="1">
        <v>8700</v>
      </c>
      <c r="AM1949" t="s">
        <v>8</v>
      </c>
      <c r="AN1949" t="s">
        <v>8</v>
      </c>
      <c r="AO1949" t="s">
        <v>8</v>
      </c>
      <c r="AP1949" s="1">
        <v>7.05</v>
      </c>
      <c r="AQ1949" t="s">
        <v>8</v>
      </c>
      <c r="AR1949" t="s">
        <v>8</v>
      </c>
      <c r="AS1949" t="s">
        <v>8</v>
      </c>
      <c r="AT1949">
        <v>11945.7</v>
      </c>
    </row>
    <row r="1950" spans="34:46" x14ac:dyDescent="0.35">
      <c r="AH1950" t="s">
        <v>204</v>
      </c>
      <c r="AI1950" t="s">
        <v>180</v>
      </c>
      <c r="AJ1950" s="3">
        <v>44371</v>
      </c>
      <c r="AK1950" t="s">
        <v>42</v>
      </c>
      <c r="AL1950" s="1">
        <v>6100</v>
      </c>
      <c r="AM1950" t="s">
        <v>8</v>
      </c>
      <c r="AN1950" t="s">
        <v>8</v>
      </c>
      <c r="AO1950" t="s">
        <v>8</v>
      </c>
      <c r="AP1950">
        <v>34.75</v>
      </c>
      <c r="AQ1950" t="s">
        <v>8</v>
      </c>
      <c r="AR1950" t="s">
        <v>8</v>
      </c>
      <c r="AS1950" t="s">
        <v>8</v>
      </c>
      <c r="AT1950">
        <v>11945.7</v>
      </c>
    </row>
    <row r="1951" spans="34:46" x14ac:dyDescent="0.35">
      <c r="AH1951" t="s">
        <v>204</v>
      </c>
      <c r="AI1951" t="s">
        <v>180</v>
      </c>
      <c r="AJ1951" s="3">
        <v>44007</v>
      </c>
      <c r="AK1951" t="s">
        <v>41</v>
      </c>
      <c r="AL1951" s="1">
        <v>12000</v>
      </c>
      <c r="AM1951" t="s">
        <v>8</v>
      </c>
      <c r="AN1951" t="s">
        <v>8</v>
      </c>
      <c r="AO1951" t="s">
        <v>8</v>
      </c>
      <c r="AP1951" t="s">
        <v>8</v>
      </c>
      <c r="AQ1951" t="s">
        <v>8</v>
      </c>
      <c r="AR1951" t="s">
        <v>8</v>
      </c>
      <c r="AS1951" t="s">
        <v>8</v>
      </c>
      <c r="AT1951">
        <v>11945.7</v>
      </c>
    </row>
    <row r="1952" spans="34:46" x14ac:dyDescent="0.35">
      <c r="AH1952" t="s">
        <v>204</v>
      </c>
      <c r="AI1952" t="s">
        <v>180</v>
      </c>
      <c r="AJ1952" s="3">
        <v>44742</v>
      </c>
      <c r="AK1952" t="s">
        <v>42</v>
      </c>
      <c r="AL1952" s="1">
        <v>8900</v>
      </c>
      <c r="AM1952" t="s">
        <v>8</v>
      </c>
      <c r="AN1952" t="s">
        <v>8</v>
      </c>
      <c r="AO1952" t="s">
        <v>8</v>
      </c>
      <c r="AP1952" s="1">
        <v>10</v>
      </c>
      <c r="AQ1952" t="s">
        <v>8</v>
      </c>
      <c r="AR1952" t="s">
        <v>8</v>
      </c>
      <c r="AS1952" t="s">
        <v>8</v>
      </c>
      <c r="AT1952">
        <v>11945.7</v>
      </c>
    </row>
    <row r="1953" spans="34:46" x14ac:dyDescent="0.35">
      <c r="AH1953" t="s">
        <v>204</v>
      </c>
      <c r="AI1953" t="s">
        <v>180</v>
      </c>
      <c r="AJ1953" s="3">
        <v>44924</v>
      </c>
      <c r="AK1953" t="s">
        <v>42</v>
      </c>
      <c r="AL1953" s="1">
        <v>12100</v>
      </c>
      <c r="AM1953" t="s">
        <v>8</v>
      </c>
      <c r="AN1953" t="s">
        <v>8</v>
      </c>
      <c r="AO1953" t="s">
        <v>8</v>
      </c>
      <c r="AP1953">
        <v>316.89999999999998</v>
      </c>
      <c r="AQ1953" t="s">
        <v>8</v>
      </c>
      <c r="AR1953" t="s">
        <v>8</v>
      </c>
      <c r="AS1953" t="s">
        <v>8</v>
      </c>
      <c r="AT1953">
        <v>11945.7</v>
      </c>
    </row>
    <row r="1954" spans="34:46" x14ac:dyDescent="0.35">
      <c r="AH1954" t="s">
        <v>204</v>
      </c>
      <c r="AI1954" t="s">
        <v>180</v>
      </c>
      <c r="AJ1954" s="3">
        <v>45106</v>
      </c>
      <c r="AK1954" t="s">
        <v>42</v>
      </c>
      <c r="AL1954" s="1">
        <v>8100</v>
      </c>
      <c r="AM1954" t="s">
        <v>8</v>
      </c>
      <c r="AN1954" t="s">
        <v>8</v>
      </c>
      <c r="AO1954" t="s">
        <v>8</v>
      </c>
      <c r="AP1954" s="1">
        <v>194.3</v>
      </c>
      <c r="AQ1954" t="s">
        <v>8</v>
      </c>
      <c r="AR1954" t="s">
        <v>8</v>
      </c>
      <c r="AS1954" t="s">
        <v>8</v>
      </c>
      <c r="AT1954">
        <v>11945.7</v>
      </c>
    </row>
    <row r="1955" spans="34:46" x14ac:dyDescent="0.35">
      <c r="AH1955" t="s">
        <v>204</v>
      </c>
      <c r="AI1955" t="s">
        <v>180</v>
      </c>
      <c r="AJ1955" s="3">
        <v>44924</v>
      </c>
      <c r="AK1955" t="s">
        <v>42</v>
      </c>
      <c r="AL1955" s="1">
        <v>12300</v>
      </c>
      <c r="AM1955" t="s">
        <v>8</v>
      </c>
      <c r="AN1955" t="s">
        <v>8</v>
      </c>
      <c r="AO1955" t="s">
        <v>8</v>
      </c>
      <c r="AP1955" s="1">
        <v>357.55</v>
      </c>
      <c r="AQ1955" t="s">
        <v>8</v>
      </c>
      <c r="AR1955" t="s">
        <v>8</v>
      </c>
      <c r="AS1955" t="s">
        <v>8</v>
      </c>
      <c r="AT1955">
        <v>11945.7</v>
      </c>
    </row>
    <row r="1956" spans="34:46" x14ac:dyDescent="0.35">
      <c r="AH1956" t="s">
        <v>204</v>
      </c>
      <c r="AI1956" t="s">
        <v>180</v>
      </c>
      <c r="AJ1956" s="3">
        <v>45106</v>
      </c>
      <c r="AK1956" t="s">
        <v>42</v>
      </c>
      <c r="AL1956" s="1">
        <v>8300</v>
      </c>
      <c r="AM1956" t="s">
        <v>8</v>
      </c>
      <c r="AN1956" t="s">
        <v>8</v>
      </c>
      <c r="AO1956" t="s">
        <v>8</v>
      </c>
      <c r="AP1956">
        <v>5.4</v>
      </c>
      <c r="AQ1956" t="s">
        <v>8</v>
      </c>
      <c r="AR1956" t="s">
        <v>8</v>
      </c>
      <c r="AS1956" t="s">
        <v>8</v>
      </c>
      <c r="AT1956">
        <v>11945.7</v>
      </c>
    </row>
    <row r="1957" spans="34:46" x14ac:dyDescent="0.35">
      <c r="AH1957" t="s">
        <v>204</v>
      </c>
      <c r="AI1957" t="s">
        <v>180</v>
      </c>
      <c r="AJ1957" s="3">
        <v>43622</v>
      </c>
      <c r="AK1957" t="s">
        <v>42</v>
      </c>
      <c r="AL1957" s="1">
        <v>13150</v>
      </c>
      <c r="AM1957" t="s">
        <v>8</v>
      </c>
      <c r="AN1957" t="s">
        <v>8</v>
      </c>
      <c r="AO1957" t="s">
        <v>8</v>
      </c>
      <c r="AP1957" s="1">
        <v>1338.9</v>
      </c>
      <c r="AQ1957" t="s">
        <v>8</v>
      </c>
      <c r="AR1957" t="s">
        <v>8</v>
      </c>
      <c r="AS1957" t="s">
        <v>8</v>
      </c>
      <c r="AT1957">
        <v>11945.7</v>
      </c>
    </row>
    <row r="1958" spans="34:46" x14ac:dyDescent="0.35">
      <c r="AH1958" t="s">
        <v>204</v>
      </c>
      <c r="AI1958" t="s">
        <v>180</v>
      </c>
      <c r="AJ1958" s="3">
        <v>43629</v>
      </c>
      <c r="AK1958" t="s">
        <v>41</v>
      </c>
      <c r="AL1958" s="1">
        <v>10050</v>
      </c>
      <c r="AM1958" t="s">
        <v>8</v>
      </c>
      <c r="AN1958" t="s">
        <v>8</v>
      </c>
      <c r="AO1958" t="s">
        <v>8</v>
      </c>
      <c r="AP1958" s="1">
        <v>1520.25</v>
      </c>
      <c r="AQ1958" t="s">
        <v>8</v>
      </c>
      <c r="AR1958" t="s">
        <v>8</v>
      </c>
      <c r="AS1958" t="s">
        <v>8</v>
      </c>
      <c r="AT1958">
        <v>11945.7</v>
      </c>
    </row>
    <row r="1959" spans="34:46" x14ac:dyDescent="0.35">
      <c r="AH1959" t="s">
        <v>204</v>
      </c>
      <c r="AI1959" t="s">
        <v>180</v>
      </c>
      <c r="AJ1959" s="3">
        <v>43622</v>
      </c>
      <c r="AK1959" t="s">
        <v>42</v>
      </c>
      <c r="AL1959" s="1">
        <v>13350</v>
      </c>
      <c r="AM1959" t="s">
        <v>8</v>
      </c>
      <c r="AN1959" t="s">
        <v>8</v>
      </c>
      <c r="AO1959" t="s">
        <v>8</v>
      </c>
      <c r="AP1959" s="1">
        <v>1481.7</v>
      </c>
      <c r="AQ1959" t="s">
        <v>8</v>
      </c>
      <c r="AR1959" t="s">
        <v>8</v>
      </c>
      <c r="AS1959" t="s">
        <v>8</v>
      </c>
      <c r="AT1959">
        <v>11945.7</v>
      </c>
    </row>
    <row r="1960" spans="34:46" x14ac:dyDescent="0.35">
      <c r="AH1960" t="s">
        <v>204</v>
      </c>
      <c r="AI1960" t="s">
        <v>180</v>
      </c>
      <c r="AJ1960" s="3">
        <v>43629</v>
      </c>
      <c r="AK1960" t="s">
        <v>41</v>
      </c>
      <c r="AL1960" s="1">
        <v>10250</v>
      </c>
      <c r="AM1960" t="s">
        <v>8</v>
      </c>
      <c r="AN1960" t="s">
        <v>8</v>
      </c>
      <c r="AO1960" t="s">
        <v>8</v>
      </c>
      <c r="AP1960" s="1">
        <v>1468.8</v>
      </c>
      <c r="AQ1960" t="s">
        <v>8</v>
      </c>
      <c r="AR1960" t="s">
        <v>8</v>
      </c>
      <c r="AS1960" t="s">
        <v>8</v>
      </c>
      <c r="AT1960">
        <v>11945.7</v>
      </c>
    </row>
    <row r="1961" spans="34:46" x14ac:dyDescent="0.35">
      <c r="AH1961" t="s">
        <v>204</v>
      </c>
      <c r="AI1961" t="s">
        <v>180</v>
      </c>
      <c r="AJ1961" s="3">
        <v>43629</v>
      </c>
      <c r="AK1961" t="s">
        <v>42</v>
      </c>
      <c r="AL1961" s="1">
        <v>10100</v>
      </c>
      <c r="AM1961" t="s">
        <v>8</v>
      </c>
      <c r="AN1961" t="s">
        <v>8</v>
      </c>
      <c r="AO1961" t="s">
        <v>8</v>
      </c>
      <c r="AP1961" s="1">
        <v>0.2</v>
      </c>
      <c r="AQ1961" t="s">
        <v>8</v>
      </c>
      <c r="AR1961" t="s">
        <v>8</v>
      </c>
      <c r="AS1961" t="s">
        <v>8</v>
      </c>
      <c r="AT1961">
        <v>11945.7</v>
      </c>
    </row>
    <row r="1962" spans="34:46" x14ac:dyDescent="0.35">
      <c r="AH1962" t="s">
        <v>204</v>
      </c>
      <c r="AI1962" t="s">
        <v>180</v>
      </c>
      <c r="AJ1962" s="3">
        <v>43629</v>
      </c>
      <c r="AK1962" t="s">
        <v>42</v>
      </c>
      <c r="AL1962" s="1">
        <v>10300</v>
      </c>
      <c r="AM1962" t="s">
        <v>8</v>
      </c>
      <c r="AN1962" t="s">
        <v>8</v>
      </c>
      <c r="AO1962" t="s">
        <v>8</v>
      </c>
      <c r="AP1962">
        <v>0.8</v>
      </c>
      <c r="AQ1962" t="s">
        <v>8</v>
      </c>
      <c r="AR1962" t="s">
        <v>8</v>
      </c>
      <c r="AS1962" t="s">
        <v>8</v>
      </c>
      <c r="AT1962">
        <v>11945.7</v>
      </c>
    </row>
    <row r="1963" spans="34:46" x14ac:dyDescent="0.35">
      <c r="AH1963" t="s">
        <v>204</v>
      </c>
      <c r="AI1963" t="s">
        <v>180</v>
      </c>
      <c r="AJ1963" s="3">
        <v>43916</v>
      </c>
      <c r="AK1963" t="s">
        <v>42</v>
      </c>
      <c r="AL1963" s="1">
        <v>11400</v>
      </c>
      <c r="AM1963" t="s">
        <v>8</v>
      </c>
      <c r="AN1963" t="s">
        <v>8</v>
      </c>
      <c r="AO1963" t="s">
        <v>8</v>
      </c>
      <c r="AP1963">
        <v>232.3</v>
      </c>
      <c r="AQ1963" t="s">
        <v>8</v>
      </c>
      <c r="AR1963" t="s">
        <v>8</v>
      </c>
      <c r="AS1963" t="s">
        <v>8</v>
      </c>
      <c r="AT1963">
        <v>11945.7</v>
      </c>
    </row>
    <row r="1964" spans="34:46" x14ac:dyDescent="0.35">
      <c r="AH1964" t="s">
        <v>204</v>
      </c>
      <c r="AI1964" t="s">
        <v>180</v>
      </c>
      <c r="AJ1964" s="3">
        <v>43629</v>
      </c>
      <c r="AK1964" t="s">
        <v>42</v>
      </c>
      <c r="AL1964" s="1">
        <v>10500</v>
      </c>
      <c r="AM1964" t="s">
        <v>8</v>
      </c>
      <c r="AN1964" t="s">
        <v>8</v>
      </c>
      <c r="AO1964" t="s">
        <v>8</v>
      </c>
      <c r="AP1964">
        <v>2.5</v>
      </c>
      <c r="AQ1964" t="s">
        <v>8</v>
      </c>
      <c r="AR1964" t="s">
        <v>8</v>
      </c>
      <c r="AS1964" t="s">
        <v>8</v>
      </c>
      <c r="AT1964">
        <v>11945.7</v>
      </c>
    </row>
    <row r="1965" spans="34:46" x14ac:dyDescent="0.35">
      <c r="AH1965" t="s">
        <v>204</v>
      </c>
      <c r="AI1965" t="s">
        <v>180</v>
      </c>
      <c r="AJ1965" s="3">
        <v>43615</v>
      </c>
      <c r="AK1965" t="s">
        <v>42</v>
      </c>
      <c r="AL1965" s="1">
        <v>12750</v>
      </c>
      <c r="AM1965" t="s">
        <v>8</v>
      </c>
      <c r="AN1965" t="s">
        <v>8</v>
      </c>
      <c r="AO1965" t="s">
        <v>8</v>
      </c>
      <c r="AP1965" s="1">
        <v>1260.0999999999999</v>
      </c>
      <c r="AQ1965" t="s">
        <v>8</v>
      </c>
      <c r="AR1965" t="s">
        <v>8</v>
      </c>
      <c r="AS1965" t="s">
        <v>8</v>
      </c>
      <c r="AT1965">
        <v>11945.7</v>
      </c>
    </row>
    <row r="1966" spans="34:46" x14ac:dyDescent="0.35">
      <c r="AH1966" t="s">
        <v>204</v>
      </c>
      <c r="AI1966" t="s">
        <v>180</v>
      </c>
      <c r="AJ1966" s="3">
        <v>43615</v>
      </c>
      <c r="AK1966" t="s">
        <v>42</v>
      </c>
      <c r="AL1966" s="1">
        <v>12950</v>
      </c>
      <c r="AM1966" t="s">
        <v>8</v>
      </c>
      <c r="AN1966" t="s">
        <v>8</v>
      </c>
      <c r="AO1966" t="s">
        <v>8</v>
      </c>
      <c r="AP1966" s="1">
        <v>1336.8</v>
      </c>
      <c r="AQ1966" t="s">
        <v>8</v>
      </c>
      <c r="AR1966" t="s">
        <v>8</v>
      </c>
      <c r="AS1966" t="s">
        <v>8</v>
      </c>
      <c r="AT1966">
        <v>11945.7</v>
      </c>
    </row>
    <row r="1967" spans="34:46" x14ac:dyDescent="0.35">
      <c r="AH1967" t="s">
        <v>204</v>
      </c>
      <c r="AI1967" t="s">
        <v>180</v>
      </c>
      <c r="AJ1967" s="3">
        <v>43916</v>
      </c>
      <c r="AK1967" t="s">
        <v>42</v>
      </c>
      <c r="AL1967" s="1">
        <v>11800</v>
      </c>
      <c r="AM1967" t="s">
        <v>8</v>
      </c>
      <c r="AN1967" t="s">
        <v>8</v>
      </c>
      <c r="AO1967" t="s">
        <v>8</v>
      </c>
      <c r="AP1967">
        <v>351.4</v>
      </c>
      <c r="AQ1967" t="s">
        <v>8</v>
      </c>
      <c r="AR1967" t="s">
        <v>8</v>
      </c>
      <c r="AS1967" t="s">
        <v>8</v>
      </c>
      <c r="AT1967">
        <v>11945.7</v>
      </c>
    </row>
    <row r="1968" spans="34:46" x14ac:dyDescent="0.35">
      <c r="AH1968" t="s">
        <v>204</v>
      </c>
      <c r="AI1968" t="s">
        <v>180</v>
      </c>
      <c r="AJ1968" s="3">
        <v>44196</v>
      </c>
      <c r="AK1968" t="s">
        <v>41</v>
      </c>
      <c r="AL1968" s="1">
        <v>10200</v>
      </c>
      <c r="AM1968" t="s">
        <v>8</v>
      </c>
      <c r="AN1968" t="s">
        <v>8</v>
      </c>
      <c r="AO1968" t="s">
        <v>8</v>
      </c>
      <c r="AP1968" t="s">
        <v>8</v>
      </c>
      <c r="AQ1968" t="s">
        <v>8</v>
      </c>
      <c r="AR1968" t="s">
        <v>8</v>
      </c>
      <c r="AS1968" t="s">
        <v>8</v>
      </c>
      <c r="AT1968">
        <v>11945.7</v>
      </c>
    </row>
    <row r="1969" spans="34:46" x14ac:dyDescent="0.35">
      <c r="AH1969" t="s">
        <v>204</v>
      </c>
      <c r="AI1969" t="s">
        <v>180</v>
      </c>
      <c r="AJ1969" s="3">
        <v>44560</v>
      </c>
      <c r="AK1969" t="s">
        <v>42</v>
      </c>
      <c r="AL1969" s="1">
        <v>7600</v>
      </c>
      <c r="AM1969" t="s">
        <v>8</v>
      </c>
      <c r="AN1969" t="s">
        <v>8</v>
      </c>
      <c r="AO1969" t="s">
        <v>8</v>
      </c>
      <c r="AP1969">
        <v>188.7</v>
      </c>
      <c r="AQ1969" t="s">
        <v>8</v>
      </c>
      <c r="AR1969" t="s">
        <v>8</v>
      </c>
      <c r="AS1969" t="s">
        <v>8</v>
      </c>
      <c r="AT1969">
        <v>11945.7</v>
      </c>
    </row>
    <row r="1970" spans="34:46" x14ac:dyDescent="0.35">
      <c r="AH1970" t="s">
        <v>204</v>
      </c>
      <c r="AI1970" t="s">
        <v>180</v>
      </c>
      <c r="AJ1970" s="3">
        <v>44196</v>
      </c>
      <c r="AK1970" t="s">
        <v>41</v>
      </c>
      <c r="AL1970" s="1">
        <v>10400</v>
      </c>
      <c r="AM1970" t="s">
        <v>8</v>
      </c>
      <c r="AN1970" t="s">
        <v>8</v>
      </c>
      <c r="AO1970" t="s">
        <v>8</v>
      </c>
      <c r="AP1970" t="s">
        <v>8</v>
      </c>
      <c r="AQ1970" t="s">
        <v>8</v>
      </c>
      <c r="AR1970" t="s">
        <v>8</v>
      </c>
      <c r="AS1970" t="s">
        <v>8</v>
      </c>
      <c r="AT1970">
        <v>11945.7</v>
      </c>
    </row>
    <row r="1971" spans="34:46" x14ac:dyDescent="0.35">
      <c r="AH1971" t="s">
        <v>204</v>
      </c>
      <c r="AI1971" t="s">
        <v>180</v>
      </c>
      <c r="AJ1971" s="3">
        <v>44560</v>
      </c>
      <c r="AK1971" t="s">
        <v>42</v>
      </c>
      <c r="AL1971" s="1">
        <v>7800</v>
      </c>
      <c r="AM1971" t="s">
        <v>8</v>
      </c>
      <c r="AN1971" t="s">
        <v>8</v>
      </c>
      <c r="AO1971" t="s">
        <v>8</v>
      </c>
      <c r="AP1971">
        <v>110</v>
      </c>
      <c r="AQ1971" t="s">
        <v>8</v>
      </c>
      <c r="AR1971" t="s">
        <v>8</v>
      </c>
      <c r="AS1971" t="s">
        <v>8</v>
      </c>
      <c r="AT1971">
        <v>11945.7</v>
      </c>
    </row>
    <row r="1972" spans="34:46" x14ac:dyDescent="0.35">
      <c r="AH1972" t="s">
        <v>204</v>
      </c>
      <c r="AI1972" t="s">
        <v>180</v>
      </c>
      <c r="AJ1972" s="3">
        <v>43650</v>
      </c>
      <c r="AK1972" t="s">
        <v>41</v>
      </c>
      <c r="AL1972" s="1">
        <v>11050</v>
      </c>
      <c r="AM1972" t="s">
        <v>8</v>
      </c>
      <c r="AN1972" t="s">
        <v>8</v>
      </c>
      <c r="AO1972" t="s">
        <v>8</v>
      </c>
      <c r="AP1972">
        <v>837.4</v>
      </c>
      <c r="AQ1972" t="s">
        <v>8</v>
      </c>
      <c r="AR1972" t="s">
        <v>8</v>
      </c>
      <c r="AS1972" t="s">
        <v>8</v>
      </c>
      <c r="AT1972">
        <v>11945.7</v>
      </c>
    </row>
    <row r="1973" spans="34:46" x14ac:dyDescent="0.35">
      <c r="AH1973" t="s">
        <v>204</v>
      </c>
      <c r="AI1973" t="s">
        <v>180</v>
      </c>
      <c r="AJ1973" s="3">
        <v>44007</v>
      </c>
      <c r="AK1973" t="s">
        <v>42</v>
      </c>
      <c r="AL1973" s="1">
        <v>5100</v>
      </c>
      <c r="AM1973" t="s">
        <v>8</v>
      </c>
      <c r="AN1973" t="s">
        <v>8</v>
      </c>
      <c r="AO1973" t="s">
        <v>8</v>
      </c>
      <c r="AP1973">
        <v>21.05</v>
      </c>
      <c r="AQ1973" t="s">
        <v>8</v>
      </c>
      <c r="AR1973" t="s">
        <v>8</v>
      </c>
      <c r="AS1973" t="s">
        <v>8</v>
      </c>
      <c r="AT1973">
        <v>11945.7</v>
      </c>
    </row>
    <row r="1974" spans="34:46" x14ac:dyDescent="0.35">
      <c r="AH1974" t="s">
        <v>204</v>
      </c>
      <c r="AI1974" t="s">
        <v>180</v>
      </c>
      <c r="AJ1974" s="3">
        <v>43671</v>
      </c>
      <c r="AK1974" t="s">
        <v>41</v>
      </c>
      <c r="AL1974" s="1">
        <v>11550</v>
      </c>
      <c r="AM1974" t="s">
        <v>8</v>
      </c>
      <c r="AN1974" t="s">
        <v>8</v>
      </c>
      <c r="AO1974" t="s">
        <v>8</v>
      </c>
      <c r="AP1974" s="1">
        <v>480.3</v>
      </c>
      <c r="AQ1974" t="s">
        <v>8</v>
      </c>
      <c r="AR1974" t="s">
        <v>8</v>
      </c>
      <c r="AS1974" t="s">
        <v>8</v>
      </c>
      <c r="AT1974">
        <v>11945.7</v>
      </c>
    </row>
    <row r="1975" spans="34:46" x14ac:dyDescent="0.35">
      <c r="AH1975" t="s">
        <v>204</v>
      </c>
      <c r="AI1975" t="s">
        <v>180</v>
      </c>
      <c r="AJ1975" s="3">
        <v>44007</v>
      </c>
      <c r="AK1975" t="s">
        <v>42</v>
      </c>
      <c r="AL1975" s="1">
        <v>5300</v>
      </c>
      <c r="AM1975" t="s">
        <v>8</v>
      </c>
      <c r="AN1975" t="s">
        <v>8</v>
      </c>
      <c r="AO1975" t="s">
        <v>8</v>
      </c>
      <c r="AP1975">
        <v>231.05</v>
      </c>
      <c r="AQ1975" t="s">
        <v>8</v>
      </c>
      <c r="AR1975" t="s">
        <v>8</v>
      </c>
      <c r="AS1975" t="s">
        <v>8</v>
      </c>
      <c r="AT1975">
        <v>11945.7</v>
      </c>
    </row>
    <row r="1976" spans="34:46" x14ac:dyDescent="0.35">
      <c r="AH1976" t="s">
        <v>204</v>
      </c>
      <c r="AI1976" t="s">
        <v>180</v>
      </c>
      <c r="AJ1976" s="3">
        <v>43916</v>
      </c>
      <c r="AK1976" t="s">
        <v>41</v>
      </c>
      <c r="AL1976" s="1">
        <v>13500</v>
      </c>
      <c r="AM1976" t="s">
        <v>8</v>
      </c>
      <c r="AN1976" t="s">
        <v>8</v>
      </c>
      <c r="AO1976" t="s">
        <v>8</v>
      </c>
      <c r="AP1976" s="1">
        <v>286</v>
      </c>
      <c r="AQ1976" t="s">
        <v>8</v>
      </c>
      <c r="AR1976" t="s">
        <v>8</v>
      </c>
      <c r="AS1976" t="s">
        <v>8</v>
      </c>
      <c r="AT1976">
        <v>11945.7</v>
      </c>
    </row>
    <row r="1977" spans="34:46" x14ac:dyDescent="0.35">
      <c r="AH1977" t="s">
        <v>204</v>
      </c>
      <c r="AI1977" t="s">
        <v>180</v>
      </c>
      <c r="AJ1977" s="3">
        <v>43671</v>
      </c>
      <c r="AK1977" t="s">
        <v>41</v>
      </c>
      <c r="AL1977" s="1">
        <v>11750</v>
      </c>
      <c r="AM1977" t="s">
        <v>8</v>
      </c>
      <c r="AN1977" t="s">
        <v>8</v>
      </c>
      <c r="AO1977" t="s">
        <v>8</v>
      </c>
      <c r="AP1977">
        <v>365.3</v>
      </c>
      <c r="AQ1977" t="s">
        <v>8</v>
      </c>
      <c r="AR1977" t="s">
        <v>8</v>
      </c>
      <c r="AS1977" t="s">
        <v>8</v>
      </c>
      <c r="AT1977">
        <v>11945.7</v>
      </c>
    </row>
    <row r="1978" spans="34:46" x14ac:dyDescent="0.35">
      <c r="AH1978" t="s">
        <v>204</v>
      </c>
      <c r="AI1978" t="s">
        <v>180</v>
      </c>
      <c r="AJ1978" s="3">
        <v>44560</v>
      </c>
      <c r="AK1978" t="s">
        <v>42</v>
      </c>
      <c r="AL1978" s="1">
        <v>10300</v>
      </c>
      <c r="AM1978" t="s">
        <v>8</v>
      </c>
      <c r="AN1978" t="s">
        <v>8</v>
      </c>
      <c r="AO1978" t="s">
        <v>8</v>
      </c>
      <c r="AP1978" s="1">
        <v>709</v>
      </c>
      <c r="AQ1978" t="s">
        <v>8</v>
      </c>
      <c r="AR1978" t="s">
        <v>8</v>
      </c>
      <c r="AS1978" t="s">
        <v>8</v>
      </c>
      <c r="AT1978">
        <v>11945.7</v>
      </c>
    </row>
    <row r="1979" spans="34:46" x14ac:dyDescent="0.35">
      <c r="AH1979" t="s">
        <v>204</v>
      </c>
      <c r="AI1979" t="s">
        <v>180</v>
      </c>
      <c r="AJ1979" s="3">
        <v>44560</v>
      </c>
      <c r="AK1979" t="s">
        <v>42</v>
      </c>
      <c r="AL1979" s="1">
        <v>10500</v>
      </c>
      <c r="AM1979" t="s">
        <v>8</v>
      </c>
      <c r="AN1979" t="s">
        <v>8</v>
      </c>
      <c r="AO1979" t="s">
        <v>8</v>
      </c>
      <c r="AP1979">
        <v>809.95</v>
      </c>
      <c r="AQ1979" t="s">
        <v>8</v>
      </c>
      <c r="AR1979" t="s">
        <v>8</v>
      </c>
      <c r="AS1979" t="s">
        <v>8</v>
      </c>
      <c r="AT1979">
        <v>11945.7</v>
      </c>
    </row>
    <row r="1980" spans="34:46" x14ac:dyDescent="0.35">
      <c r="AH1980" t="s">
        <v>204</v>
      </c>
      <c r="AI1980" t="s">
        <v>180</v>
      </c>
      <c r="AJ1980" s="3">
        <v>43825</v>
      </c>
      <c r="AK1980" t="s">
        <v>41</v>
      </c>
      <c r="AL1980" s="1">
        <v>9700</v>
      </c>
      <c r="AM1980" t="s">
        <v>8</v>
      </c>
      <c r="AN1980" t="s">
        <v>8</v>
      </c>
      <c r="AO1980" t="s">
        <v>8</v>
      </c>
      <c r="AP1980" s="1" t="s">
        <v>8</v>
      </c>
      <c r="AQ1980" t="s">
        <v>8</v>
      </c>
      <c r="AR1980" t="s">
        <v>8</v>
      </c>
      <c r="AS1980" t="s">
        <v>8</v>
      </c>
      <c r="AT1980">
        <v>11945.7</v>
      </c>
    </row>
    <row r="1981" spans="34:46" x14ac:dyDescent="0.35">
      <c r="AH1981" t="s">
        <v>204</v>
      </c>
      <c r="AI1981" t="s">
        <v>180</v>
      </c>
      <c r="AJ1981" s="3">
        <v>43825</v>
      </c>
      <c r="AK1981" t="s">
        <v>41</v>
      </c>
      <c r="AL1981" s="1">
        <v>11200</v>
      </c>
      <c r="AM1981" t="s">
        <v>8</v>
      </c>
      <c r="AN1981" t="s">
        <v>8</v>
      </c>
      <c r="AO1981" t="s">
        <v>8</v>
      </c>
      <c r="AP1981" s="1">
        <v>1499</v>
      </c>
      <c r="AQ1981" t="s">
        <v>8</v>
      </c>
      <c r="AR1981" t="s">
        <v>8</v>
      </c>
      <c r="AS1981" t="s">
        <v>8</v>
      </c>
      <c r="AT1981">
        <v>11945.7</v>
      </c>
    </row>
    <row r="1982" spans="34:46" x14ac:dyDescent="0.35">
      <c r="AH1982" t="s">
        <v>204</v>
      </c>
      <c r="AI1982" t="s">
        <v>180</v>
      </c>
      <c r="AJ1982" s="3">
        <v>43650</v>
      </c>
      <c r="AK1982" t="s">
        <v>41</v>
      </c>
      <c r="AL1982" s="1">
        <v>13000</v>
      </c>
      <c r="AM1982" t="s">
        <v>8</v>
      </c>
      <c r="AN1982" t="s">
        <v>8</v>
      </c>
      <c r="AO1982" t="s">
        <v>8</v>
      </c>
      <c r="AP1982" s="1">
        <v>13.3</v>
      </c>
      <c r="AQ1982" t="s">
        <v>8</v>
      </c>
      <c r="AR1982" t="s">
        <v>8</v>
      </c>
      <c r="AS1982" t="s">
        <v>8</v>
      </c>
      <c r="AT1982">
        <v>11945.7</v>
      </c>
    </row>
    <row r="1983" spans="34:46" x14ac:dyDescent="0.35">
      <c r="AH1983" t="s">
        <v>204</v>
      </c>
      <c r="AI1983" t="s">
        <v>180</v>
      </c>
      <c r="AJ1983" s="3">
        <v>43622</v>
      </c>
      <c r="AK1983" t="s">
        <v>41</v>
      </c>
      <c r="AL1983" s="1">
        <v>10050</v>
      </c>
      <c r="AM1983" t="s">
        <v>8</v>
      </c>
      <c r="AN1983" t="s">
        <v>8</v>
      </c>
      <c r="AO1983" t="s">
        <v>8</v>
      </c>
      <c r="AP1983" s="1">
        <v>1503.8</v>
      </c>
      <c r="AQ1983" t="s">
        <v>8</v>
      </c>
      <c r="AR1983" t="s">
        <v>8</v>
      </c>
      <c r="AS1983" t="s">
        <v>8</v>
      </c>
      <c r="AT1983">
        <v>11945.7</v>
      </c>
    </row>
    <row r="1984" spans="34:46" x14ac:dyDescent="0.35">
      <c r="AH1984" t="s">
        <v>204</v>
      </c>
      <c r="AI1984" t="s">
        <v>180</v>
      </c>
      <c r="AJ1984" s="3">
        <v>43643</v>
      </c>
      <c r="AK1984" t="s">
        <v>41</v>
      </c>
      <c r="AL1984" s="1">
        <v>10350</v>
      </c>
      <c r="AM1984" t="s">
        <v>8</v>
      </c>
      <c r="AN1984" t="s">
        <v>8</v>
      </c>
      <c r="AO1984" t="s">
        <v>8</v>
      </c>
      <c r="AP1984" s="1">
        <v>1420.35</v>
      </c>
      <c r="AQ1984" t="s">
        <v>8</v>
      </c>
      <c r="AR1984" t="s">
        <v>8</v>
      </c>
      <c r="AS1984" t="s">
        <v>8</v>
      </c>
      <c r="AT1984">
        <v>11945.7</v>
      </c>
    </row>
    <row r="1985" spans="34:46" x14ac:dyDescent="0.35">
      <c r="AH1985" t="s">
        <v>204</v>
      </c>
      <c r="AI1985" t="s">
        <v>180</v>
      </c>
      <c r="AJ1985" s="3">
        <v>43825</v>
      </c>
      <c r="AK1985" t="s">
        <v>41</v>
      </c>
      <c r="AL1985" s="1">
        <v>11400</v>
      </c>
      <c r="AM1985" t="s">
        <v>8</v>
      </c>
      <c r="AN1985" t="s">
        <v>8</v>
      </c>
      <c r="AO1985" t="s">
        <v>8</v>
      </c>
      <c r="AP1985" s="1">
        <v>1049</v>
      </c>
      <c r="AQ1985" t="s">
        <v>8</v>
      </c>
      <c r="AR1985" t="s">
        <v>8</v>
      </c>
      <c r="AS1985" t="s">
        <v>8</v>
      </c>
      <c r="AT1985">
        <v>11945.7</v>
      </c>
    </row>
    <row r="1986" spans="34:46" x14ac:dyDescent="0.35">
      <c r="AH1986" t="s">
        <v>204</v>
      </c>
      <c r="AI1986" t="s">
        <v>180</v>
      </c>
      <c r="AJ1986" s="3">
        <v>43825</v>
      </c>
      <c r="AK1986" t="s">
        <v>42</v>
      </c>
      <c r="AL1986" s="1">
        <v>8800</v>
      </c>
      <c r="AM1986" t="s">
        <v>8</v>
      </c>
      <c r="AN1986" t="s">
        <v>8</v>
      </c>
      <c r="AO1986" t="s">
        <v>8</v>
      </c>
      <c r="AP1986" s="1">
        <v>161</v>
      </c>
      <c r="AQ1986" t="s">
        <v>8</v>
      </c>
      <c r="AR1986" t="s">
        <v>8</v>
      </c>
      <c r="AS1986" t="s">
        <v>8</v>
      </c>
      <c r="AT1986">
        <v>11945.7</v>
      </c>
    </row>
    <row r="1987" spans="34:46" x14ac:dyDescent="0.35">
      <c r="AH1987" t="s">
        <v>204</v>
      </c>
      <c r="AI1987" t="s">
        <v>180</v>
      </c>
      <c r="AJ1987" s="3">
        <v>43643</v>
      </c>
      <c r="AK1987" t="s">
        <v>41</v>
      </c>
      <c r="AL1987" s="1">
        <v>10550</v>
      </c>
      <c r="AM1987" t="s">
        <v>8</v>
      </c>
      <c r="AN1987" t="s">
        <v>8</v>
      </c>
      <c r="AO1987" t="s">
        <v>8</v>
      </c>
      <c r="AP1987" s="1">
        <v>1360</v>
      </c>
      <c r="AQ1987" t="s">
        <v>8</v>
      </c>
      <c r="AR1987" t="s">
        <v>8</v>
      </c>
      <c r="AS1987" t="s">
        <v>8</v>
      </c>
      <c r="AT1987">
        <v>11945.7</v>
      </c>
    </row>
    <row r="1988" spans="34:46" x14ac:dyDescent="0.35">
      <c r="AH1988" t="s">
        <v>204</v>
      </c>
      <c r="AI1988" t="s">
        <v>180</v>
      </c>
      <c r="AJ1988" s="3">
        <v>43643</v>
      </c>
      <c r="AK1988" t="s">
        <v>41</v>
      </c>
      <c r="AL1988" s="1">
        <v>10750</v>
      </c>
      <c r="AM1988" t="s">
        <v>8</v>
      </c>
      <c r="AN1988" t="s">
        <v>8</v>
      </c>
      <c r="AO1988" t="s">
        <v>8</v>
      </c>
      <c r="AP1988" s="1">
        <v>1160</v>
      </c>
      <c r="AQ1988" t="s">
        <v>8</v>
      </c>
      <c r="AR1988" t="s">
        <v>8</v>
      </c>
      <c r="AS1988" t="s">
        <v>8</v>
      </c>
      <c r="AT1988">
        <v>11945.7</v>
      </c>
    </row>
    <row r="1989" spans="34:46" x14ac:dyDescent="0.35">
      <c r="AH1989" t="s">
        <v>204</v>
      </c>
      <c r="AI1989" t="s">
        <v>180</v>
      </c>
      <c r="AJ1989" s="3">
        <v>43622</v>
      </c>
      <c r="AK1989" t="s">
        <v>42</v>
      </c>
      <c r="AL1989" s="1">
        <v>10100</v>
      </c>
      <c r="AM1989" t="s">
        <v>8</v>
      </c>
      <c r="AN1989" t="s">
        <v>8</v>
      </c>
      <c r="AO1989" t="s">
        <v>8</v>
      </c>
      <c r="AP1989" s="1">
        <v>0.35</v>
      </c>
      <c r="AQ1989" t="s">
        <v>8</v>
      </c>
      <c r="AR1989" t="s">
        <v>8</v>
      </c>
      <c r="AS1989" t="s">
        <v>8</v>
      </c>
      <c r="AT1989">
        <v>11945.7</v>
      </c>
    </row>
    <row r="1990" spans="34:46" x14ac:dyDescent="0.35">
      <c r="AH1990" t="s">
        <v>204</v>
      </c>
      <c r="AI1990" t="s">
        <v>180</v>
      </c>
      <c r="AJ1990" s="3">
        <v>43650</v>
      </c>
      <c r="AK1990" t="s">
        <v>41</v>
      </c>
      <c r="AL1990" s="1">
        <v>11900</v>
      </c>
      <c r="AM1990" t="s">
        <v>8</v>
      </c>
      <c r="AN1990" t="s">
        <v>8</v>
      </c>
      <c r="AO1990" t="s">
        <v>8</v>
      </c>
      <c r="AP1990" s="1">
        <v>240.85</v>
      </c>
      <c r="AQ1990" t="s">
        <v>8</v>
      </c>
      <c r="AR1990" t="s">
        <v>8</v>
      </c>
      <c r="AS1990" t="s">
        <v>8</v>
      </c>
      <c r="AT1990">
        <v>11945.7</v>
      </c>
    </row>
    <row r="1991" spans="34:46" x14ac:dyDescent="0.35">
      <c r="AH1991" t="s">
        <v>204</v>
      </c>
      <c r="AI1991" t="s">
        <v>180</v>
      </c>
      <c r="AJ1991" s="3">
        <v>43622</v>
      </c>
      <c r="AK1991" t="s">
        <v>42</v>
      </c>
      <c r="AL1991" s="1">
        <v>10300</v>
      </c>
      <c r="AM1991" t="s">
        <v>8</v>
      </c>
      <c r="AN1991" t="s">
        <v>8</v>
      </c>
      <c r="AO1991" t="s">
        <v>8</v>
      </c>
      <c r="AP1991">
        <v>1.1000000000000001</v>
      </c>
      <c r="AQ1991" t="s">
        <v>8</v>
      </c>
      <c r="AR1991" t="s">
        <v>8</v>
      </c>
      <c r="AS1991" t="s">
        <v>8</v>
      </c>
      <c r="AT1991">
        <v>11945.7</v>
      </c>
    </row>
    <row r="1992" spans="34:46" x14ac:dyDescent="0.35">
      <c r="AH1992" t="s">
        <v>204</v>
      </c>
      <c r="AI1992" t="s">
        <v>180</v>
      </c>
      <c r="AJ1992" s="3">
        <v>44196</v>
      </c>
      <c r="AK1992" t="s">
        <v>42</v>
      </c>
      <c r="AL1992" s="1">
        <v>8100</v>
      </c>
      <c r="AM1992" t="s">
        <v>8</v>
      </c>
      <c r="AN1992" t="s">
        <v>8</v>
      </c>
      <c r="AO1992" t="s">
        <v>8</v>
      </c>
      <c r="AP1992" s="1">
        <v>180.5</v>
      </c>
      <c r="AQ1992" t="s">
        <v>8</v>
      </c>
      <c r="AR1992" t="s">
        <v>8</v>
      </c>
      <c r="AS1992" t="s">
        <v>8</v>
      </c>
      <c r="AT1992">
        <v>11945.7</v>
      </c>
    </row>
    <row r="1993" spans="34:46" x14ac:dyDescent="0.35">
      <c r="AH1993" t="s">
        <v>204</v>
      </c>
      <c r="AI1993" t="s">
        <v>180</v>
      </c>
      <c r="AJ1993" s="3">
        <v>43636</v>
      </c>
      <c r="AK1993" t="s">
        <v>41</v>
      </c>
      <c r="AL1993" s="1">
        <v>11050</v>
      </c>
      <c r="AM1993" t="s">
        <v>8</v>
      </c>
      <c r="AN1993" t="s">
        <v>8</v>
      </c>
      <c r="AO1993" t="s">
        <v>8</v>
      </c>
      <c r="AP1993">
        <v>843</v>
      </c>
      <c r="AQ1993" t="s">
        <v>8</v>
      </c>
      <c r="AR1993" t="s">
        <v>8</v>
      </c>
      <c r="AS1993" t="s">
        <v>8</v>
      </c>
      <c r="AT1993">
        <v>11945.7</v>
      </c>
    </row>
    <row r="1994" spans="34:46" x14ac:dyDescent="0.35">
      <c r="AH1994" t="s">
        <v>204</v>
      </c>
      <c r="AI1994" t="s">
        <v>180</v>
      </c>
      <c r="AJ1994" s="3">
        <v>43636</v>
      </c>
      <c r="AK1994" t="s">
        <v>41</v>
      </c>
      <c r="AL1994" s="1">
        <v>11250</v>
      </c>
      <c r="AM1994" t="s">
        <v>8</v>
      </c>
      <c r="AN1994" t="s">
        <v>8</v>
      </c>
      <c r="AO1994" t="s">
        <v>8</v>
      </c>
      <c r="AP1994" s="1">
        <v>663.45</v>
      </c>
      <c r="AQ1994" t="s">
        <v>8</v>
      </c>
      <c r="AR1994" t="s">
        <v>8</v>
      </c>
      <c r="AS1994" t="s">
        <v>8</v>
      </c>
      <c r="AT1994">
        <v>11945.7</v>
      </c>
    </row>
    <row r="1995" spans="34:46" x14ac:dyDescent="0.35">
      <c r="AH1995" t="s">
        <v>204</v>
      </c>
      <c r="AI1995" t="s">
        <v>180</v>
      </c>
      <c r="AJ1995" s="3">
        <v>43587</v>
      </c>
      <c r="AK1995" t="s">
        <v>42</v>
      </c>
      <c r="AL1995" s="1">
        <v>11600</v>
      </c>
      <c r="AM1995" t="s">
        <v>8</v>
      </c>
      <c r="AN1995" t="s">
        <v>8</v>
      </c>
      <c r="AO1995" t="s">
        <v>8</v>
      </c>
      <c r="AP1995">
        <v>704.4</v>
      </c>
      <c r="AQ1995" t="s">
        <v>8</v>
      </c>
      <c r="AR1995" t="s">
        <v>8</v>
      </c>
      <c r="AS1995" t="s">
        <v>8</v>
      </c>
      <c r="AT1995">
        <v>11591.85</v>
      </c>
    </row>
    <row r="1996" spans="34:46" x14ac:dyDescent="0.35">
      <c r="AH1996" t="s">
        <v>204</v>
      </c>
      <c r="AI1996" t="s">
        <v>180</v>
      </c>
      <c r="AJ1996" s="3">
        <v>43580</v>
      </c>
      <c r="AK1996" t="s">
        <v>41</v>
      </c>
      <c r="AL1996" s="1">
        <v>9350</v>
      </c>
      <c r="AM1996" t="s">
        <v>8</v>
      </c>
      <c r="AN1996" t="s">
        <v>8</v>
      </c>
      <c r="AO1996" t="s">
        <v>8</v>
      </c>
      <c r="AP1996" s="1">
        <v>1645.8</v>
      </c>
      <c r="AQ1996" t="s">
        <v>8</v>
      </c>
      <c r="AR1996" t="s">
        <v>8</v>
      </c>
      <c r="AS1996" t="s">
        <v>8</v>
      </c>
      <c r="AT1996">
        <v>11591.85</v>
      </c>
    </row>
    <row r="1997" spans="34:46" x14ac:dyDescent="0.35">
      <c r="AH1997" t="s">
        <v>204</v>
      </c>
      <c r="AI1997" t="s">
        <v>180</v>
      </c>
      <c r="AJ1997" s="3">
        <v>43608</v>
      </c>
      <c r="AK1997" t="s">
        <v>42</v>
      </c>
      <c r="AL1997" s="1">
        <v>11900</v>
      </c>
      <c r="AM1997" t="s">
        <v>8</v>
      </c>
      <c r="AN1997" t="s">
        <v>8</v>
      </c>
      <c r="AO1997" t="s">
        <v>8</v>
      </c>
      <c r="AP1997">
        <v>377.05</v>
      </c>
      <c r="AQ1997" t="s">
        <v>8</v>
      </c>
      <c r="AR1997" t="s">
        <v>8</v>
      </c>
      <c r="AS1997" t="s">
        <v>8</v>
      </c>
      <c r="AT1997">
        <v>11591.85</v>
      </c>
    </row>
    <row r="1998" spans="34:46" x14ac:dyDescent="0.35">
      <c r="AH1998" t="s">
        <v>204</v>
      </c>
      <c r="AI1998" t="s">
        <v>180</v>
      </c>
      <c r="AJ1998" s="3">
        <v>44007</v>
      </c>
      <c r="AK1998" t="s">
        <v>41</v>
      </c>
      <c r="AL1998" s="1">
        <v>9200</v>
      </c>
      <c r="AM1998" t="s">
        <v>8</v>
      </c>
      <c r="AN1998" t="s">
        <v>8</v>
      </c>
      <c r="AO1998" t="s">
        <v>8</v>
      </c>
      <c r="AP1998" t="s">
        <v>8</v>
      </c>
      <c r="AQ1998" t="s">
        <v>8</v>
      </c>
      <c r="AR1998" t="s">
        <v>8</v>
      </c>
      <c r="AS1998" t="s">
        <v>8</v>
      </c>
      <c r="AT1998">
        <v>11591.85</v>
      </c>
    </row>
    <row r="1999" spans="34:46" x14ac:dyDescent="0.35">
      <c r="AH1999" t="s">
        <v>204</v>
      </c>
      <c r="AI1999" t="s">
        <v>180</v>
      </c>
      <c r="AJ1999" s="3">
        <v>43580</v>
      </c>
      <c r="AK1999" t="s">
        <v>41</v>
      </c>
      <c r="AL1999" s="1">
        <v>9550</v>
      </c>
      <c r="AM1999" t="s">
        <v>8</v>
      </c>
      <c r="AN1999" t="s">
        <v>8</v>
      </c>
      <c r="AO1999" t="s">
        <v>8</v>
      </c>
      <c r="AP1999" s="1">
        <v>1452.8</v>
      </c>
      <c r="AQ1999" t="s">
        <v>8</v>
      </c>
      <c r="AR1999" t="s">
        <v>8</v>
      </c>
      <c r="AS1999" t="s">
        <v>8</v>
      </c>
      <c r="AT1999">
        <v>11591.85</v>
      </c>
    </row>
    <row r="2000" spans="34:46" x14ac:dyDescent="0.35">
      <c r="AH2000" t="s">
        <v>204</v>
      </c>
      <c r="AI2000" t="s">
        <v>180</v>
      </c>
      <c r="AJ2000" s="3">
        <v>43594</v>
      </c>
      <c r="AK2000" t="s">
        <v>41</v>
      </c>
      <c r="AL2000" s="1">
        <v>12800</v>
      </c>
      <c r="AM2000" t="s">
        <v>8</v>
      </c>
      <c r="AN2000" t="s">
        <v>8</v>
      </c>
      <c r="AO2000" t="s">
        <v>8</v>
      </c>
      <c r="AP2000">
        <v>5.3</v>
      </c>
      <c r="AQ2000" t="s">
        <v>8</v>
      </c>
      <c r="AR2000" t="s">
        <v>8</v>
      </c>
      <c r="AS2000" t="s">
        <v>8</v>
      </c>
      <c r="AT2000">
        <v>11591.85</v>
      </c>
    </row>
    <row r="2001" spans="34:46" x14ac:dyDescent="0.35">
      <c r="AH2001" t="s">
        <v>204</v>
      </c>
      <c r="AI2001" t="s">
        <v>180</v>
      </c>
      <c r="AJ2001" s="3">
        <v>44007</v>
      </c>
      <c r="AK2001" t="s">
        <v>41</v>
      </c>
      <c r="AL2001" s="1">
        <v>10000</v>
      </c>
      <c r="AM2001" t="s">
        <v>8</v>
      </c>
      <c r="AN2001" t="s">
        <v>8</v>
      </c>
      <c r="AO2001" t="s">
        <v>8</v>
      </c>
      <c r="AP2001" s="1">
        <v>2250.0500000000002</v>
      </c>
      <c r="AQ2001" t="s">
        <v>8</v>
      </c>
      <c r="AR2001" t="s">
        <v>8</v>
      </c>
      <c r="AS2001" t="s">
        <v>8</v>
      </c>
      <c r="AT2001">
        <v>11591.85</v>
      </c>
    </row>
    <row r="2002" spans="34:46" x14ac:dyDescent="0.35">
      <c r="AH2002" t="s">
        <v>204</v>
      </c>
      <c r="AI2002" t="s">
        <v>180</v>
      </c>
      <c r="AJ2002" s="3">
        <v>45106</v>
      </c>
      <c r="AK2002" t="s">
        <v>41</v>
      </c>
      <c r="AL2002" s="1">
        <v>11000</v>
      </c>
      <c r="AM2002" t="s">
        <v>8</v>
      </c>
      <c r="AN2002" t="s">
        <v>8</v>
      </c>
      <c r="AO2002" t="s">
        <v>8</v>
      </c>
      <c r="AP2002" t="s">
        <v>8</v>
      </c>
      <c r="AQ2002" t="s">
        <v>8</v>
      </c>
      <c r="AR2002" t="s">
        <v>8</v>
      </c>
      <c r="AS2002" t="s">
        <v>8</v>
      </c>
      <c r="AT2002">
        <v>11591.85</v>
      </c>
    </row>
    <row r="2003" spans="34:46" x14ac:dyDescent="0.35">
      <c r="AH2003" t="s">
        <v>204</v>
      </c>
      <c r="AI2003" t="s">
        <v>180</v>
      </c>
      <c r="AJ2003" s="3">
        <v>43734</v>
      </c>
      <c r="AK2003" t="s">
        <v>41</v>
      </c>
      <c r="AL2003" s="1">
        <v>11500</v>
      </c>
      <c r="AM2003" t="s">
        <v>8</v>
      </c>
      <c r="AN2003" t="s">
        <v>8</v>
      </c>
      <c r="AO2003" t="s">
        <v>8</v>
      </c>
      <c r="AP2003">
        <v>610.04999999999995</v>
      </c>
      <c r="AQ2003" t="s">
        <v>8</v>
      </c>
      <c r="AR2003" t="s">
        <v>8</v>
      </c>
      <c r="AS2003" t="s">
        <v>8</v>
      </c>
      <c r="AT2003">
        <v>11591.85</v>
      </c>
    </row>
    <row r="2004" spans="34:46" x14ac:dyDescent="0.35">
      <c r="AH2004" t="s">
        <v>204</v>
      </c>
      <c r="AI2004" t="s">
        <v>180</v>
      </c>
      <c r="AJ2004" s="3">
        <v>44924</v>
      </c>
      <c r="AK2004" t="s">
        <v>42</v>
      </c>
      <c r="AL2004" s="1">
        <v>10100</v>
      </c>
      <c r="AM2004" t="s">
        <v>8</v>
      </c>
      <c r="AN2004" t="s">
        <v>8</v>
      </c>
      <c r="AO2004" t="s">
        <v>8</v>
      </c>
      <c r="AP2004">
        <v>67.650000000000006</v>
      </c>
      <c r="AQ2004" t="s">
        <v>8</v>
      </c>
      <c r="AR2004" t="s">
        <v>8</v>
      </c>
      <c r="AS2004" t="s">
        <v>8</v>
      </c>
      <c r="AT2004">
        <v>11591.85</v>
      </c>
    </row>
    <row r="2005" spans="34:46" x14ac:dyDescent="0.35">
      <c r="AH2005" t="s">
        <v>204</v>
      </c>
      <c r="AI2005" t="s">
        <v>180</v>
      </c>
      <c r="AJ2005" s="3">
        <v>44924</v>
      </c>
      <c r="AK2005" t="s">
        <v>42</v>
      </c>
      <c r="AL2005" s="1">
        <v>10300</v>
      </c>
      <c r="AM2005" t="s">
        <v>8</v>
      </c>
      <c r="AN2005" t="s">
        <v>8</v>
      </c>
      <c r="AO2005" t="s">
        <v>8</v>
      </c>
      <c r="AP2005" s="1">
        <v>81.55</v>
      </c>
      <c r="AQ2005" t="s">
        <v>8</v>
      </c>
      <c r="AR2005" t="s">
        <v>8</v>
      </c>
      <c r="AS2005" t="s">
        <v>8</v>
      </c>
      <c r="AT2005">
        <v>11591.85</v>
      </c>
    </row>
    <row r="2006" spans="34:46" x14ac:dyDescent="0.35">
      <c r="AH2006" t="s">
        <v>204</v>
      </c>
      <c r="AI2006" t="s">
        <v>180</v>
      </c>
      <c r="AJ2006" s="3">
        <v>43825</v>
      </c>
      <c r="AK2006" t="s">
        <v>42</v>
      </c>
      <c r="AL2006" s="1">
        <v>12100</v>
      </c>
      <c r="AM2006" t="s">
        <v>8</v>
      </c>
      <c r="AN2006" t="s">
        <v>8</v>
      </c>
      <c r="AO2006" t="s">
        <v>8</v>
      </c>
      <c r="AP2006" s="1">
        <v>1008.3</v>
      </c>
      <c r="AQ2006" t="s">
        <v>8</v>
      </c>
      <c r="AR2006" t="s">
        <v>8</v>
      </c>
      <c r="AS2006" t="s">
        <v>8</v>
      </c>
      <c r="AT2006">
        <v>11591.85</v>
      </c>
    </row>
    <row r="2007" spans="34:46" x14ac:dyDescent="0.35">
      <c r="AH2007" t="s">
        <v>204</v>
      </c>
      <c r="AI2007" t="s">
        <v>180</v>
      </c>
      <c r="AJ2007" s="3">
        <v>43734</v>
      </c>
      <c r="AK2007" t="s">
        <v>42</v>
      </c>
      <c r="AL2007" s="1">
        <v>9300</v>
      </c>
      <c r="AM2007" t="s">
        <v>8</v>
      </c>
      <c r="AN2007" t="s">
        <v>8</v>
      </c>
      <c r="AO2007" t="s">
        <v>8</v>
      </c>
      <c r="AP2007">
        <v>37.5</v>
      </c>
      <c r="AQ2007" t="s">
        <v>8</v>
      </c>
      <c r="AR2007" t="s">
        <v>8</v>
      </c>
      <c r="AS2007" t="s">
        <v>8</v>
      </c>
      <c r="AT2007">
        <v>11591.85</v>
      </c>
    </row>
    <row r="2008" spans="34:46" x14ac:dyDescent="0.35">
      <c r="AH2008" t="s">
        <v>204</v>
      </c>
      <c r="AI2008" t="s">
        <v>180</v>
      </c>
      <c r="AJ2008" s="3">
        <v>44007</v>
      </c>
      <c r="AK2008" t="s">
        <v>42</v>
      </c>
      <c r="AL2008" s="1">
        <v>8300</v>
      </c>
      <c r="AM2008" t="s">
        <v>8</v>
      </c>
      <c r="AN2008" t="s">
        <v>8</v>
      </c>
      <c r="AO2008" t="s">
        <v>8</v>
      </c>
      <c r="AP2008">
        <v>145</v>
      </c>
      <c r="AQ2008" t="s">
        <v>8</v>
      </c>
      <c r="AR2008" t="s">
        <v>8</v>
      </c>
      <c r="AS2008" t="s">
        <v>8</v>
      </c>
      <c r="AT2008">
        <v>11591.85</v>
      </c>
    </row>
    <row r="2009" spans="34:46" x14ac:dyDescent="0.35">
      <c r="AH2009" t="s">
        <v>204</v>
      </c>
      <c r="AI2009" t="s">
        <v>180</v>
      </c>
      <c r="AJ2009" s="3">
        <v>43825</v>
      </c>
      <c r="AK2009" t="s">
        <v>42</v>
      </c>
      <c r="AL2009" s="1">
        <v>12300</v>
      </c>
      <c r="AM2009" t="s">
        <v>8</v>
      </c>
      <c r="AN2009" t="s">
        <v>8</v>
      </c>
      <c r="AO2009" t="s">
        <v>8</v>
      </c>
      <c r="AP2009">
        <v>946.8</v>
      </c>
      <c r="AQ2009" t="s">
        <v>8</v>
      </c>
      <c r="AR2009" t="s">
        <v>8</v>
      </c>
      <c r="AS2009" t="s">
        <v>8</v>
      </c>
      <c r="AT2009">
        <v>11591.85</v>
      </c>
    </row>
    <row r="2010" spans="34:46" x14ac:dyDescent="0.35">
      <c r="AH2010" t="s">
        <v>204</v>
      </c>
      <c r="AI2010" t="s">
        <v>180</v>
      </c>
      <c r="AJ2010" s="3">
        <v>43734</v>
      </c>
      <c r="AK2010" t="s">
        <v>42</v>
      </c>
      <c r="AL2010" s="1">
        <v>9500</v>
      </c>
      <c r="AM2010" t="s">
        <v>8</v>
      </c>
      <c r="AN2010" t="s">
        <v>8</v>
      </c>
      <c r="AO2010" t="s">
        <v>8</v>
      </c>
      <c r="AP2010">
        <v>51.9</v>
      </c>
      <c r="AQ2010" t="s">
        <v>8</v>
      </c>
      <c r="AR2010" t="s">
        <v>8</v>
      </c>
      <c r="AS2010" t="s">
        <v>8</v>
      </c>
      <c r="AT2010">
        <v>11591.85</v>
      </c>
    </row>
    <row r="2011" spans="34:46" x14ac:dyDescent="0.35">
      <c r="AH2011" t="s">
        <v>204</v>
      </c>
      <c r="AI2011" t="s">
        <v>180</v>
      </c>
      <c r="AJ2011" s="3">
        <v>44371</v>
      </c>
      <c r="AK2011" t="s">
        <v>42</v>
      </c>
      <c r="AL2011" s="1">
        <v>10100</v>
      </c>
      <c r="AM2011" t="s">
        <v>8</v>
      </c>
      <c r="AN2011" t="s">
        <v>8</v>
      </c>
      <c r="AO2011" t="s">
        <v>8</v>
      </c>
      <c r="AP2011">
        <v>446</v>
      </c>
      <c r="AQ2011" t="s">
        <v>8</v>
      </c>
      <c r="AR2011" t="s">
        <v>8</v>
      </c>
      <c r="AS2011" t="s">
        <v>8</v>
      </c>
      <c r="AT2011">
        <v>11591.85</v>
      </c>
    </row>
    <row r="2012" spans="34:46" x14ac:dyDescent="0.35">
      <c r="AH2012" t="s">
        <v>204</v>
      </c>
      <c r="AI2012" t="s">
        <v>180</v>
      </c>
      <c r="AJ2012" s="3">
        <v>43573</v>
      </c>
      <c r="AK2012" t="s">
        <v>42</v>
      </c>
      <c r="AL2012" s="1">
        <v>11050</v>
      </c>
      <c r="AM2012" t="s">
        <v>8</v>
      </c>
      <c r="AN2012" t="s">
        <v>8</v>
      </c>
      <c r="AO2012" t="s">
        <v>8</v>
      </c>
      <c r="AP2012">
        <v>334.95</v>
      </c>
      <c r="AQ2012" t="s">
        <v>8</v>
      </c>
      <c r="AR2012" t="s">
        <v>8</v>
      </c>
      <c r="AS2012" t="s">
        <v>8</v>
      </c>
      <c r="AT2012">
        <v>11591.85</v>
      </c>
    </row>
    <row r="2013" spans="34:46" x14ac:dyDescent="0.35">
      <c r="AH2013" t="s">
        <v>204</v>
      </c>
      <c r="AI2013" t="s">
        <v>180</v>
      </c>
      <c r="AJ2013" s="3">
        <v>43643</v>
      </c>
      <c r="AK2013" t="s">
        <v>42</v>
      </c>
      <c r="AL2013" s="1">
        <v>11450</v>
      </c>
      <c r="AM2013" t="s">
        <v>8</v>
      </c>
      <c r="AN2013" t="s">
        <v>8</v>
      </c>
      <c r="AO2013" t="s">
        <v>8</v>
      </c>
      <c r="AP2013" s="1">
        <v>172.3</v>
      </c>
      <c r="AQ2013" t="s">
        <v>8</v>
      </c>
      <c r="AR2013" t="s">
        <v>8</v>
      </c>
      <c r="AS2013" t="s">
        <v>8</v>
      </c>
      <c r="AT2013">
        <v>11591.85</v>
      </c>
    </row>
    <row r="2014" spans="34:46" x14ac:dyDescent="0.35">
      <c r="AH2014" t="s">
        <v>204</v>
      </c>
      <c r="AI2014" t="s">
        <v>180</v>
      </c>
      <c r="AJ2014" s="3">
        <v>43734</v>
      </c>
      <c r="AK2014" t="s">
        <v>42</v>
      </c>
      <c r="AL2014" s="1">
        <v>9700</v>
      </c>
      <c r="AM2014" t="s">
        <v>8</v>
      </c>
      <c r="AN2014" t="s">
        <v>8</v>
      </c>
      <c r="AO2014" t="s">
        <v>8</v>
      </c>
      <c r="AP2014">
        <v>70.349999999999994</v>
      </c>
      <c r="AQ2014" t="s">
        <v>8</v>
      </c>
      <c r="AR2014" t="s">
        <v>8</v>
      </c>
      <c r="AS2014" t="s">
        <v>8</v>
      </c>
      <c r="AT2014">
        <v>11591.85</v>
      </c>
    </row>
    <row r="2015" spans="34:46" x14ac:dyDescent="0.35">
      <c r="AH2015" t="s">
        <v>204</v>
      </c>
      <c r="AI2015" t="s">
        <v>180</v>
      </c>
      <c r="AJ2015" s="3">
        <v>43643</v>
      </c>
      <c r="AK2015" t="s">
        <v>42</v>
      </c>
      <c r="AL2015" s="1">
        <v>11650</v>
      </c>
      <c r="AM2015" t="s">
        <v>8</v>
      </c>
      <c r="AN2015" t="s">
        <v>8</v>
      </c>
      <c r="AO2015" t="s">
        <v>8</v>
      </c>
      <c r="AP2015">
        <v>249.9</v>
      </c>
      <c r="AQ2015" t="s">
        <v>8</v>
      </c>
      <c r="AR2015" t="s">
        <v>8</v>
      </c>
      <c r="AS2015" t="s">
        <v>8</v>
      </c>
      <c r="AT2015">
        <v>11591.85</v>
      </c>
    </row>
    <row r="2016" spans="34:46" x14ac:dyDescent="0.35">
      <c r="AH2016" t="s">
        <v>204</v>
      </c>
      <c r="AI2016" t="s">
        <v>180</v>
      </c>
      <c r="AJ2016" s="3">
        <v>44560</v>
      </c>
      <c r="AK2016" t="s">
        <v>42</v>
      </c>
      <c r="AL2016" s="1">
        <v>13500</v>
      </c>
      <c r="AM2016" t="s">
        <v>8</v>
      </c>
      <c r="AN2016" t="s">
        <v>8</v>
      </c>
      <c r="AO2016" t="s">
        <v>8</v>
      </c>
      <c r="AP2016">
        <v>581.5</v>
      </c>
      <c r="AQ2016" t="s">
        <v>8</v>
      </c>
      <c r="AR2016" t="s">
        <v>8</v>
      </c>
      <c r="AS2016" t="s">
        <v>8</v>
      </c>
      <c r="AT2016">
        <v>11591.85</v>
      </c>
    </row>
    <row r="2017" spans="34:46" x14ac:dyDescent="0.35">
      <c r="AH2017" t="s">
        <v>204</v>
      </c>
      <c r="AI2017" t="s">
        <v>180</v>
      </c>
      <c r="AJ2017" s="3">
        <v>44924</v>
      </c>
      <c r="AK2017" t="s">
        <v>42</v>
      </c>
      <c r="AL2017" s="1">
        <v>8900</v>
      </c>
      <c r="AM2017" t="s">
        <v>8</v>
      </c>
      <c r="AN2017" t="s">
        <v>8</v>
      </c>
      <c r="AO2017" t="s">
        <v>8</v>
      </c>
      <c r="AP2017" s="1">
        <v>17.95</v>
      </c>
      <c r="AQ2017" t="s">
        <v>8</v>
      </c>
      <c r="AR2017" t="s">
        <v>8</v>
      </c>
      <c r="AS2017" t="s">
        <v>8</v>
      </c>
      <c r="AT2017">
        <v>11591.85</v>
      </c>
    </row>
    <row r="2018" spans="34:46" x14ac:dyDescent="0.35">
      <c r="AH2018" t="s">
        <v>204</v>
      </c>
      <c r="AI2018" t="s">
        <v>180</v>
      </c>
      <c r="AJ2018" s="3">
        <v>43615</v>
      </c>
      <c r="AK2018" t="s">
        <v>42</v>
      </c>
      <c r="AL2018" s="1">
        <v>12050</v>
      </c>
      <c r="AM2018" t="s">
        <v>8</v>
      </c>
      <c r="AN2018" t="s">
        <v>8</v>
      </c>
      <c r="AO2018" t="s">
        <v>8</v>
      </c>
      <c r="AP2018" s="1">
        <v>1056.1500000000001</v>
      </c>
      <c r="AQ2018" t="s">
        <v>8</v>
      </c>
      <c r="AR2018" t="s">
        <v>8</v>
      </c>
      <c r="AS2018" t="s">
        <v>8</v>
      </c>
      <c r="AT2018">
        <v>11591.85</v>
      </c>
    </row>
    <row r="2019" spans="34:46" x14ac:dyDescent="0.35">
      <c r="AH2019" t="s">
        <v>204</v>
      </c>
      <c r="AI2019" t="s">
        <v>180</v>
      </c>
      <c r="AJ2019" s="3">
        <v>43825</v>
      </c>
      <c r="AK2019" t="s">
        <v>41</v>
      </c>
      <c r="AL2019" s="1">
        <v>14000</v>
      </c>
      <c r="AM2019" t="s">
        <v>8</v>
      </c>
      <c r="AN2019" t="s">
        <v>8</v>
      </c>
      <c r="AO2019" t="s">
        <v>8</v>
      </c>
      <c r="AP2019" s="1">
        <v>60.1</v>
      </c>
      <c r="AQ2019" t="s">
        <v>8</v>
      </c>
      <c r="AR2019" t="s">
        <v>8</v>
      </c>
      <c r="AS2019" t="s">
        <v>8</v>
      </c>
      <c r="AT2019">
        <v>11591.85</v>
      </c>
    </row>
    <row r="2020" spans="34:46" x14ac:dyDescent="0.35">
      <c r="AH2020" t="s">
        <v>204</v>
      </c>
      <c r="AI2020" t="s">
        <v>180</v>
      </c>
      <c r="AJ2020" s="3">
        <v>43615</v>
      </c>
      <c r="AK2020" t="s">
        <v>42</v>
      </c>
      <c r="AL2020" s="1">
        <v>10750</v>
      </c>
      <c r="AM2020" t="s">
        <v>8</v>
      </c>
      <c r="AN2020" t="s">
        <v>8</v>
      </c>
      <c r="AO2020" t="s">
        <v>8</v>
      </c>
      <c r="AP2020">
        <v>160.80000000000001</v>
      </c>
      <c r="AQ2020" t="s">
        <v>8</v>
      </c>
      <c r="AR2020" t="s">
        <v>8</v>
      </c>
      <c r="AS2020" t="s">
        <v>8</v>
      </c>
      <c r="AT2020">
        <v>11591.85</v>
      </c>
    </row>
    <row r="2021" spans="34:46" x14ac:dyDescent="0.35">
      <c r="AH2021" t="s">
        <v>204</v>
      </c>
      <c r="AI2021" t="s">
        <v>180</v>
      </c>
      <c r="AJ2021" s="3">
        <v>44371</v>
      </c>
      <c r="AK2021" t="s">
        <v>41</v>
      </c>
      <c r="AL2021" s="1">
        <v>12000</v>
      </c>
      <c r="AM2021" t="s">
        <v>8</v>
      </c>
      <c r="AN2021" t="s">
        <v>8</v>
      </c>
      <c r="AO2021" t="s">
        <v>8</v>
      </c>
      <c r="AP2021" t="s">
        <v>8</v>
      </c>
      <c r="AQ2021" t="s">
        <v>8</v>
      </c>
      <c r="AR2021" t="s">
        <v>8</v>
      </c>
      <c r="AS2021" t="s">
        <v>8</v>
      </c>
      <c r="AT2021">
        <v>11591.85</v>
      </c>
    </row>
    <row r="2022" spans="34:46" x14ac:dyDescent="0.35">
      <c r="AH2022" t="s">
        <v>204</v>
      </c>
      <c r="AI2022" t="s">
        <v>180</v>
      </c>
      <c r="AJ2022" s="3">
        <v>43622</v>
      </c>
      <c r="AK2022" t="s">
        <v>41</v>
      </c>
      <c r="AL2022" s="1">
        <v>13050</v>
      </c>
      <c r="AM2022" t="s">
        <v>8</v>
      </c>
      <c r="AN2022" t="s">
        <v>8</v>
      </c>
      <c r="AO2022" t="s">
        <v>8</v>
      </c>
      <c r="AP2022" s="1">
        <v>5.05</v>
      </c>
      <c r="AQ2022" t="s">
        <v>8</v>
      </c>
      <c r="AR2022" t="s">
        <v>8</v>
      </c>
      <c r="AS2022" t="s">
        <v>8</v>
      </c>
      <c r="AT2022">
        <v>11591.85</v>
      </c>
    </row>
    <row r="2023" spans="34:46" x14ac:dyDescent="0.35">
      <c r="AH2023" t="s">
        <v>204</v>
      </c>
      <c r="AI2023" t="s">
        <v>180</v>
      </c>
      <c r="AJ2023" s="3">
        <v>43566</v>
      </c>
      <c r="AK2023" t="s">
        <v>42</v>
      </c>
      <c r="AL2023" s="1">
        <v>10450</v>
      </c>
      <c r="AM2023" t="s">
        <v>8</v>
      </c>
      <c r="AN2023" t="s">
        <v>8</v>
      </c>
      <c r="AO2023" t="s">
        <v>8</v>
      </c>
      <c r="AP2023" s="1">
        <v>0.3</v>
      </c>
      <c r="AQ2023" t="s">
        <v>8</v>
      </c>
      <c r="AR2023" t="s">
        <v>8</v>
      </c>
      <c r="AS2023" t="s">
        <v>8</v>
      </c>
      <c r="AT2023">
        <v>11591.85</v>
      </c>
    </row>
    <row r="2024" spans="34:46" x14ac:dyDescent="0.35">
      <c r="AH2024" t="s">
        <v>204</v>
      </c>
      <c r="AI2024" t="s">
        <v>180</v>
      </c>
      <c r="AJ2024" s="3">
        <v>43615</v>
      </c>
      <c r="AK2024" t="s">
        <v>42</v>
      </c>
      <c r="AL2024" s="1">
        <v>10950</v>
      </c>
      <c r="AM2024" t="s">
        <v>8</v>
      </c>
      <c r="AN2024" t="s">
        <v>8</v>
      </c>
      <c r="AO2024" t="s">
        <v>8</v>
      </c>
      <c r="AP2024">
        <v>244.6</v>
      </c>
      <c r="AQ2024" t="s">
        <v>8</v>
      </c>
      <c r="AR2024" t="s">
        <v>8</v>
      </c>
      <c r="AS2024" t="s">
        <v>8</v>
      </c>
      <c r="AT2024">
        <v>11591.85</v>
      </c>
    </row>
    <row r="2025" spans="34:46" x14ac:dyDescent="0.35">
      <c r="AH2025" t="s">
        <v>204</v>
      </c>
      <c r="AI2025" t="s">
        <v>180</v>
      </c>
      <c r="AJ2025" s="3">
        <v>43573</v>
      </c>
      <c r="AK2025" t="s">
        <v>41</v>
      </c>
      <c r="AL2025" s="1">
        <v>13150</v>
      </c>
      <c r="AM2025" t="s">
        <v>8</v>
      </c>
      <c r="AN2025" t="s">
        <v>8</v>
      </c>
      <c r="AO2025" t="s">
        <v>8</v>
      </c>
      <c r="AP2025" s="1">
        <v>0.05</v>
      </c>
      <c r="AQ2025" t="s">
        <v>8</v>
      </c>
      <c r="AR2025" t="s">
        <v>8</v>
      </c>
      <c r="AS2025" t="s">
        <v>8</v>
      </c>
      <c r="AT2025">
        <v>11591.85</v>
      </c>
    </row>
    <row r="2026" spans="34:46" x14ac:dyDescent="0.35">
      <c r="AH2026" t="s">
        <v>204</v>
      </c>
      <c r="AI2026" t="s">
        <v>180</v>
      </c>
      <c r="AJ2026" s="3">
        <v>43601</v>
      </c>
      <c r="AK2026" t="s">
        <v>41</v>
      </c>
      <c r="AL2026" s="1">
        <v>11650</v>
      </c>
      <c r="AM2026" t="s">
        <v>8</v>
      </c>
      <c r="AN2026" t="s">
        <v>8</v>
      </c>
      <c r="AO2026" t="s">
        <v>8</v>
      </c>
      <c r="AP2026">
        <v>179.55</v>
      </c>
      <c r="AQ2026" t="s">
        <v>8</v>
      </c>
      <c r="AR2026" t="s">
        <v>8</v>
      </c>
      <c r="AS2026" t="s">
        <v>8</v>
      </c>
      <c r="AT2026">
        <v>11591.85</v>
      </c>
    </row>
    <row r="2027" spans="34:46" x14ac:dyDescent="0.35">
      <c r="AH2027" t="s">
        <v>204</v>
      </c>
      <c r="AI2027" t="s">
        <v>180</v>
      </c>
      <c r="AJ2027" s="3">
        <v>43601</v>
      </c>
      <c r="AK2027" t="s">
        <v>42</v>
      </c>
      <c r="AL2027" s="1">
        <v>13000</v>
      </c>
      <c r="AM2027" t="s">
        <v>8</v>
      </c>
      <c r="AN2027" t="s">
        <v>8</v>
      </c>
      <c r="AO2027" t="s">
        <v>8</v>
      </c>
      <c r="AP2027" s="1">
        <v>1317.6</v>
      </c>
      <c r="AQ2027" t="s">
        <v>8</v>
      </c>
      <c r="AR2027" t="s">
        <v>8</v>
      </c>
      <c r="AS2027" t="s">
        <v>8</v>
      </c>
      <c r="AT2027">
        <v>11591.85</v>
      </c>
    </row>
    <row r="2028" spans="34:46" x14ac:dyDescent="0.35">
      <c r="AH2028" t="s">
        <v>204</v>
      </c>
      <c r="AI2028" t="s">
        <v>180</v>
      </c>
      <c r="AJ2028" s="3">
        <v>44371</v>
      </c>
      <c r="AK2028" t="s">
        <v>41</v>
      </c>
      <c r="AL2028" s="1">
        <v>10700</v>
      </c>
      <c r="AM2028" t="s">
        <v>8</v>
      </c>
      <c r="AN2028" t="s">
        <v>8</v>
      </c>
      <c r="AO2028" t="s">
        <v>8</v>
      </c>
      <c r="AP2028" t="s">
        <v>8</v>
      </c>
      <c r="AQ2028" t="s">
        <v>8</v>
      </c>
      <c r="AR2028" t="s">
        <v>8</v>
      </c>
      <c r="AS2028" t="s">
        <v>8</v>
      </c>
      <c r="AT2028">
        <v>11591.85</v>
      </c>
    </row>
    <row r="2029" spans="34:46" x14ac:dyDescent="0.35">
      <c r="AH2029" t="s">
        <v>204</v>
      </c>
      <c r="AI2029" t="s">
        <v>180</v>
      </c>
      <c r="AJ2029" s="3">
        <v>43622</v>
      </c>
      <c r="AK2029" t="s">
        <v>41</v>
      </c>
      <c r="AL2029" s="1">
        <v>11750</v>
      </c>
      <c r="AM2029" t="s">
        <v>8</v>
      </c>
      <c r="AN2029" t="s">
        <v>8</v>
      </c>
      <c r="AO2029" t="s">
        <v>8</v>
      </c>
      <c r="AP2029">
        <v>236.6</v>
      </c>
      <c r="AQ2029" t="s">
        <v>8</v>
      </c>
      <c r="AR2029" t="s">
        <v>8</v>
      </c>
      <c r="AS2029" t="s">
        <v>8</v>
      </c>
      <c r="AT2029">
        <v>11591.85</v>
      </c>
    </row>
    <row r="2030" spans="34:46" x14ac:dyDescent="0.35">
      <c r="AH2030" t="s">
        <v>204</v>
      </c>
      <c r="AI2030" t="s">
        <v>180</v>
      </c>
      <c r="AJ2030" s="3">
        <v>43601</v>
      </c>
      <c r="AK2030" t="s">
        <v>41</v>
      </c>
      <c r="AL2030" s="1">
        <v>11850</v>
      </c>
      <c r="AM2030" t="s">
        <v>8</v>
      </c>
      <c r="AN2030" t="s">
        <v>8</v>
      </c>
      <c r="AO2030" t="s">
        <v>8</v>
      </c>
      <c r="AP2030">
        <v>113.75</v>
      </c>
      <c r="AQ2030" t="s">
        <v>8</v>
      </c>
      <c r="AR2030" t="s">
        <v>8</v>
      </c>
      <c r="AS2030" t="s">
        <v>8</v>
      </c>
      <c r="AT2030">
        <v>11591.85</v>
      </c>
    </row>
    <row r="2031" spans="34:46" x14ac:dyDescent="0.35">
      <c r="AH2031" t="s">
        <v>204</v>
      </c>
      <c r="AI2031" t="s">
        <v>180</v>
      </c>
      <c r="AJ2031" s="3">
        <v>43622</v>
      </c>
      <c r="AK2031" t="s">
        <v>42</v>
      </c>
      <c r="AL2031" s="1">
        <v>13100</v>
      </c>
      <c r="AM2031" t="s">
        <v>8</v>
      </c>
      <c r="AN2031" t="s">
        <v>8</v>
      </c>
      <c r="AO2031" t="s">
        <v>8</v>
      </c>
      <c r="AP2031" s="1">
        <v>1346.8</v>
      </c>
      <c r="AQ2031" t="s">
        <v>8</v>
      </c>
      <c r="AR2031" t="s">
        <v>8</v>
      </c>
      <c r="AS2031" t="s">
        <v>8</v>
      </c>
      <c r="AT2031">
        <v>11591.85</v>
      </c>
    </row>
    <row r="2032" spans="34:46" x14ac:dyDescent="0.35">
      <c r="AH2032" t="s">
        <v>204</v>
      </c>
      <c r="AI2032" t="s">
        <v>180</v>
      </c>
      <c r="AJ2032" s="3">
        <v>43573</v>
      </c>
      <c r="AK2032" t="s">
        <v>42</v>
      </c>
      <c r="AL2032" s="1">
        <v>13000</v>
      </c>
      <c r="AM2032" t="s">
        <v>8</v>
      </c>
      <c r="AN2032" t="s">
        <v>8</v>
      </c>
      <c r="AO2032" t="s">
        <v>8</v>
      </c>
      <c r="AP2032" s="1">
        <v>1390.6</v>
      </c>
      <c r="AQ2032" t="s">
        <v>8</v>
      </c>
      <c r="AR2032" t="s">
        <v>8</v>
      </c>
      <c r="AS2032" t="s">
        <v>8</v>
      </c>
      <c r="AT2032">
        <v>11591.85</v>
      </c>
    </row>
    <row r="2033" spans="34:46" x14ac:dyDescent="0.35">
      <c r="AH2033" t="s">
        <v>204</v>
      </c>
      <c r="AI2033" t="s">
        <v>180</v>
      </c>
      <c r="AJ2033" s="3">
        <v>43608</v>
      </c>
      <c r="AK2033" t="s">
        <v>41</v>
      </c>
      <c r="AL2033" s="1">
        <v>10100</v>
      </c>
      <c r="AM2033" t="s">
        <v>8</v>
      </c>
      <c r="AN2033" t="s">
        <v>8</v>
      </c>
      <c r="AO2033" t="s">
        <v>8</v>
      </c>
      <c r="AP2033" s="1">
        <v>1551.55</v>
      </c>
      <c r="AQ2033" t="s">
        <v>8</v>
      </c>
      <c r="AR2033" t="s">
        <v>8</v>
      </c>
      <c r="AS2033" t="s">
        <v>8</v>
      </c>
      <c r="AT2033">
        <v>11591.85</v>
      </c>
    </row>
    <row r="2034" spans="34:46" x14ac:dyDescent="0.35">
      <c r="AH2034" t="s">
        <v>204</v>
      </c>
      <c r="AI2034" t="s">
        <v>180</v>
      </c>
      <c r="AJ2034" s="3">
        <v>44371</v>
      </c>
      <c r="AK2034" t="s">
        <v>41</v>
      </c>
      <c r="AL2034" s="1">
        <v>10900</v>
      </c>
      <c r="AM2034" t="s">
        <v>8</v>
      </c>
      <c r="AN2034" t="s">
        <v>8</v>
      </c>
      <c r="AO2034" t="s">
        <v>8</v>
      </c>
      <c r="AP2034" t="s">
        <v>8</v>
      </c>
      <c r="AQ2034" t="s">
        <v>8</v>
      </c>
      <c r="AR2034" t="s">
        <v>8</v>
      </c>
      <c r="AS2034" t="s">
        <v>8</v>
      </c>
      <c r="AT2034">
        <v>11591.85</v>
      </c>
    </row>
    <row r="2035" spans="34:46" x14ac:dyDescent="0.35">
      <c r="AH2035" t="s">
        <v>204</v>
      </c>
      <c r="AI2035" t="s">
        <v>180</v>
      </c>
      <c r="AJ2035" s="3">
        <v>43622</v>
      </c>
      <c r="AK2035" t="s">
        <v>41</v>
      </c>
      <c r="AL2035" s="1">
        <v>11950</v>
      </c>
      <c r="AM2035" t="s">
        <v>8</v>
      </c>
      <c r="AN2035" t="s">
        <v>8</v>
      </c>
      <c r="AO2035" t="s">
        <v>8</v>
      </c>
      <c r="AP2035" s="1">
        <v>153.65</v>
      </c>
      <c r="AQ2035" t="s">
        <v>8</v>
      </c>
      <c r="AR2035" t="s">
        <v>8</v>
      </c>
      <c r="AS2035" t="s">
        <v>8</v>
      </c>
      <c r="AT2035">
        <v>11591.85</v>
      </c>
    </row>
    <row r="2036" spans="34:46" x14ac:dyDescent="0.35">
      <c r="AH2036" t="s">
        <v>204</v>
      </c>
      <c r="AI2036" t="s">
        <v>180</v>
      </c>
      <c r="AJ2036" s="3">
        <v>43573</v>
      </c>
      <c r="AK2036" t="s">
        <v>42</v>
      </c>
      <c r="AL2036" s="1">
        <v>13200</v>
      </c>
      <c r="AM2036" t="s">
        <v>8</v>
      </c>
      <c r="AN2036" t="s">
        <v>8</v>
      </c>
      <c r="AO2036" t="s">
        <v>8</v>
      </c>
      <c r="AP2036" s="1">
        <v>1446.7</v>
      </c>
      <c r="AQ2036" t="s">
        <v>8</v>
      </c>
      <c r="AR2036" t="s">
        <v>8</v>
      </c>
      <c r="AS2036" t="s">
        <v>8</v>
      </c>
      <c r="AT2036">
        <v>11591.85</v>
      </c>
    </row>
    <row r="2037" spans="34:46" x14ac:dyDescent="0.35">
      <c r="AH2037" t="s">
        <v>204</v>
      </c>
      <c r="AI2037" t="s">
        <v>180</v>
      </c>
      <c r="AJ2037" s="3">
        <v>43643</v>
      </c>
      <c r="AK2037" t="s">
        <v>42</v>
      </c>
      <c r="AL2037" s="1">
        <v>13600</v>
      </c>
      <c r="AM2037" t="s">
        <v>8</v>
      </c>
      <c r="AN2037" t="s">
        <v>8</v>
      </c>
      <c r="AO2037" t="s">
        <v>8</v>
      </c>
      <c r="AP2037" s="1">
        <v>1601.75</v>
      </c>
      <c r="AQ2037" t="s">
        <v>8</v>
      </c>
      <c r="AR2037" t="s">
        <v>8</v>
      </c>
      <c r="AS2037" t="s">
        <v>8</v>
      </c>
      <c r="AT2037">
        <v>11591.85</v>
      </c>
    </row>
    <row r="2038" spans="34:46" x14ac:dyDescent="0.35">
      <c r="AH2038" t="s">
        <v>204</v>
      </c>
      <c r="AI2038" t="s">
        <v>180</v>
      </c>
      <c r="AJ2038" s="3">
        <v>43601</v>
      </c>
      <c r="AK2038" t="s">
        <v>42</v>
      </c>
      <c r="AL2038" s="1">
        <v>11700</v>
      </c>
      <c r="AM2038" t="s">
        <v>8</v>
      </c>
      <c r="AN2038" t="s">
        <v>8</v>
      </c>
      <c r="AO2038" t="s">
        <v>8</v>
      </c>
      <c r="AP2038" s="1">
        <v>366.85</v>
      </c>
      <c r="AQ2038" t="s">
        <v>8</v>
      </c>
      <c r="AR2038" t="s">
        <v>8</v>
      </c>
      <c r="AS2038" t="s">
        <v>8</v>
      </c>
      <c r="AT2038">
        <v>11591.85</v>
      </c>
    </row>
    <row r="2039" spans="34:46" x14ac:dyDescent="0.35">
      <c r="AH2039" t="s">
        <v>204</v>
      </c>
      <c r="AI2039" t="s">
        <v>180</v>
      </c>
      <c r="AJ2039" s="3">
        <v>43643</v>
      </c>
      <c r="AK2039" t="s">
        <v>42</v>
      </c>
      <c r="AL2039" s="1">
        <v>13800</v>
      </c>
      <c r="AM2039" t="s">
        <v>8</v>
      </c>
      <c r="AN2039" t="s">
        <v>8</v>
      </c>
      <c r="AO2039" t="s">
        <v>8</v>
      </c>
      <c r="AP2039" s="1">
        <v>1615.65</v>
      </c>
      <c r="AQ2039" t="s">
        <v>8</v>
      </c>
      <c r="AR2039" t="s">
        <v>8</v>
      </c>
      <c r="AS2039" t="s">
        <v>8</v>
      </c>
      <c r="AT2039">
        <v>11591.85</v>
      </c>
    </row>
    <row r="2040" spans="34:46" x14ac:dyDescent="0.35">
      <c r="AH2040" t="s">
        <v>204</v>
      </c>
      <c r="AI2040" t="s">
        <v>180</v>
      </c>
      <c r="AJ2040" s="3">
        <v>43601</v>
      </c>
      <c r="AK2040" t="s">
        <v>42</v>
      </c>
      <c r="AL2040" s="1">
        <v>11900</v>
      </c>
      <c r="AM2040" t="s">
        <v>8</v>
      </c>
      <c r="AN2040" t="s">
        <v>8</v>
      </c>
      <c r="AO2040" t="s">
        <v>8</v>
      </c>
      <c r="AP2040">
        <v>504.4</v>
      </c>
      <c r="AQ2040" t="s">
        <v>8</v>
      </c>
      <c r="AR2040" t="s">
        <v>8</v>
      </c>
      <c r="AS2040" t="s">
        <v>8</v>
      </c>
      <c r="AT2040">
        <v>11591.85</v>
      </c>
    </row>
    <row r="2041" spans="34:46" x14ac:dyDescent="0.35">
      <c r="AH2041" t="s">
        <v>204</v>
      </c>
      <c r="AI2041" t="s">
        <v>180</v>
      </c>
      <c r="AJ2041" s="3">
        <v>43615</v>
      </c>
      <c r="AK2041" t="s">
        <v>41</v>
      </c>
      <c r="AL2041" s="1">
        <v>12650</v>
      </c>
      <c r="AM2041" t="s">
        <v>8</v>
      </c>
      <c r="AN2041" t="s">
        <v>8</v>
      </c>
      <c r="AO2041" t="s">
        <v>8</v>
      </c>
      <c r="AP2041">
        <v>11.85</v>
      </c>
      <c r="AQ2041" t="s">
        <v>8</v>
      </c>
      <c r="AR2041" t="s">
        <v>8</v>
      </c>
      <c r="AS2041" t="s">
        <v>8</v>
      </c>
      <c r="AT2041">
        <v>11591.85</v>
      </c>
    </row>
    <row r="2042" spans="34:46" x14ac:dyDescent="0.35">
      <c r="AH2042" t="s">
        <v>204</v>
      </c>
      <c r="AI2042" t="s">
        <v>180</v>
      </c>
      <c r="AJ2042" s="3">
        <v>43566</v>
      </c>
      <c r="AK2042" t="s">
        <v>41</v>
      </c>
      <c r="AL2042" s="1">
        <v>12350</v>
      </c>
      <c r="AM2042" t="s">
        <v>8</v>
      </c>
      <c r="AN2042" t="s">
        <v>8</v>
      </c>
      <c r="AO2042" t="s">
        <v>8</v>
      </c>
      <c r="AP2042">
        <v>9.35</v>
      </c>
      <c r="AQ2042" t="s">
        <v>8</v>
      </c>
      <c r="AR2042" t="s">
        <v>8</v>
      </c>
      <c r="AS2042" t="s">
        <v>8</v>
      </c>
      <c r="AT2042">
        <v>11591.85</v>
      </c>
    </row>
    <row r="2043" spans="34:46" x14ac:dyDescent="0.35">
      <c r="AH2043" t="s">
        <v>204</v>
      </c>
      <c r="AI2043" t="s">
        <v>180</v>
      </c>
      <c r="AJ2043" s="3">
        <v>44196</v>
      </c>
      <c r="AK2043" t="s">
        <v>42</v>
      </c>
      <c r="AL2043" s="1">
        <v>9800</v>
      </c>
      <c r="AM2043" t="s">
        <v>8</v>
      </c>
      <c r="AN2043" t="s">
        <v>8</v>
      </c>
      <c r="AO2043" t="s">
        <v>8</v>
      </c>
      <c r="AP2043">
        <v>175</v>
      </c>
      <c r="AQ2043" t="s">
        <v>8</v>
      </c>
      <c r="AR2043" t="s">
        <v>8</v>
      </c>
      <c r="AS2043" t="s">
        <v>8</v>
      </c>
      <c r="AT2043">
        <v>11591.85</v>
      </c>
    </row>
    <row r="2044" spans="34:46" x14ac:dyDescent="0.35">
      <c r="AH2044" t="s">
        <v>204</v>
      </c>
      <c r="AI2044" t="s">
        <v>180</v>
      </c>
      <c r="AJ2044" s="3">
        <v>43615</v>
      </c>
      <c r="AK2044" t="s">
        <v>41</v>
      </c>
      <c r="AL2044" s="1">
        <v>12850</v>
      </c>
      <c r="AM2044" t="s">
        <v>8</v>
      </c>
      <c r="AN2044" t="s">
        <v>8</v>
      </c>
      <c r="AO2044" t="s">
        <v>8</v>
      </c>
      <c r="AP2044">
        <v>13</v>
      </c>
      <c r="AQ2044" t="s">
        <v>8</v>
      </c>
      <c r="AR2044" t="s">
        <v>8</v>
      </c>
      <c r="AS2044" t="s">
        <v>8</v>
      </c>
      <c r="AT2044">
        <v>11591.85</v>
      </c>
    </row>
    <row r="2045" spans="34:46" x14ac:dyDescent="0.35">
      <c r="AH2045" t="s">
        <v>204</v>
      </c>
      <c r="AI2045" t="s">
        <v>180</v>
      </c>
      <c r="AJ2045" s="3">
        <v>43643</v>
      </c>
      <c r="AK2045" t="s">
        <v>41</v>
      </c>
      <c r="AL2045" s="1">
        <v>9100</v>
      </c>
      <c r="AM2045" t="s">
        <v>8</v>
      </c>
      <c r="AN2045" t="s">
        <v>8</v>
      </c>
      <c r="AO2045" t="s">
        <v>8</v>
      </c>
      <c r="AP2045" s="1">
        <v>2000.4</v>
      </c>
      <c r="AQ2045" t="s">
        <v>8</v>
      </c>
      <c r="AR2045" t="s">
        <v>8</v>
      </c>
      <c r="AS2045" t="s">
        <v>8</v>
      </c>
      <c r="AT2045">
        <v>11591.85</v>
      </c>
    </row>
    <row r="2046" spans="34:46" x14ac:dyDescent="0.35">
      <c r="AH2046" t="s">
        <v>204</v>
      </c>
      <c r="AI2046" t="s">
        <v>180</v>
      </c>
      <c r="AJ2046" s="3">
        <v>43566</v>
      </c>
      <c r="AK2046" t="s">
        <v>41</v>
      </c>
      <c r="AL2046" s="1">
        <v>12550</v>
      </c>
      <c r="AM2046" t="s">
        <v>8</v>
      </c>
      <c r="AN2046" t="s">
        <v>8</v>
      </c>
      <c r="AO2046" t="s">
        <v>8</v>
      </c>
      <c r="AP2046" s="1">
        <v>0.25</v>
      </c>
      <c r="AQ2046" t="s">
        <v>8</v>
      </c>
      <c r="AR2046" t="s">
        <v>8</v>
      </c>
      <c r="AS2046" t="s">
        <v>8</v>
      </c>
      <c r="AT2046">
        <v>11591.85</v>
      </c>
    </row>
    <row r="2047" spans="34:46" x14ac:dyDescent="0.35">
      <c r="AH2047" t="s">
        <v>204</v>
      </c>
      <c r="AI2047" t="s">
        <v>180</v>
      </c>
      <c r="AJ2047" s="3">
        <v>43566</v>
      </c>
      <c r="AK2047" t="s">
        <v>42</v>
      </c>
      <c r="AL2047" s="1">
        <v>12400</v>
      </c>
      <c r="AM2047" t="s">
        <v>8</v>
      </c>
      <c r="AN2047" t="s">
        <v>8</v>
      </c>
      <c r="AO2047" t="s">
        <v>8</v>
      </c>
      <c r="AP2047">
        <v>768.3</v>
      </c>
      <c r="AQ2047" t="s">
        <v>8</v>
      </c>
      <c r="AR2047" t="s">
        <v>8</v>
      </c>
      <c r="AS2047" t="s">
        <v>8</v>
      </c>
      <c r="AT2047">
        <v>11591.85</v>
      </c>
    </row>
    <row r="2048" spans="34:46" x14ac:dyDescent="0.35">
      <c r="AH2048" t="s">
        <v>204</v>
      </c>
      <c r="AI2048" t="s">
        <v>180</v>
      </c>
      <c r="AJ2048" s="3">
        <v>43643</v>
      </c>
      <c r="AK2048" t="s">
        <v>41</v>
      </c>
      <c r="AL2048" s="1">
        <v>7800</v>
      </c>
      <c r="AM2048" t="s">
        <v>8</v>
      </c>
      <c r="AN2048" t="s">
        <v>8</v>
      </c>
      <c r="AO2048" t="s">
        <v>8</v>
      </c>
      <c r="AP2048" t="s">
        <v>8</v>
      </c>
      <c r="AQ2048" t="s">
        <v>8</v>
      </c>
      <c r="AR2048" t="s">
        <v>8</v>
      </c>
      <c r="AS2048" t="s">
        <v>8</v>
      </c>
      <c r="AT2048">
        <v>11591.85</v>
      </c>
    </row>
    <row r="2049" spans="34:46" x14ac:dyDescent="0.35">
      <c r="AH2049" t="s">
        <v>204</v>
      </c>
      <c r="AI2049" t="s">
        <v>180</v>
      </c>
      <c r="AJ2049" s="3">
        <v>43615</v>
      </c>
      <c r="AK2049" t="s">
        <v>42</v>
      </c>
      <c r="AL2049" s="1">
        <v>12900</v>
      </c>
      <c r="AM2049" t="s">
        <v>8</v>
      </c>
      <c r="AN2049" t="s">
        <v>8</v>
      </c>
      <c r="AO2049" t="s">
        <v>8</v>
      </c>
      <c r="AP2049" s="1">
        <v>1289.2</v>
      </c>
      <c r="AQ2049" t="s">
        <v>8</v>
      </c>
      <c r="AR2049" t="s">
        <v>8</v>
      </c>
      <c r="AS2049" t="s">
        <v>8</v>
      </c>
      <c r="AT2049">
        <v>11591.85</v>
      </c>
    </row>
    <row r="2050" spans="34:46" x14ac:dyDescent="0.35">
      <c r="AH2050" t="s">
        <v>204</v>
      </c>
      <c r="AI2050" t="s">
        <v>180</v>
      </c>
      <c r="AJ2050" s="3">
        <v>43566</v>
      </c>
      <c r="AK2050" t="s">
        <v>42</v>
      </c>
      <c r="AL2050" s="1">
        <v>12600</v>
      </c>
      <c r="AM2050" t="s">
        <v>8</v>
      </c>
      <c r="AN2050" t="s">
        <v>8</v>
      </c>
      <c r="AO2050" t="s">
        <v>8</v>
      </c>
      <c r="AP2050" s="1">
        <v>1351.85</v>
      </c>
      <c r="AQ2050" t="s">
        <v>8</v>
      </c>
      <c r="AR2050" t="s">
        <v>8</v>
      </c>
      <c r="AS2050" t="s">
        <v>8</v>
      </c>
      <c r="AT2050">
        <v>11591.85</v>
      </c>
    </row>
    <row r="2051" spans="34:46" x14ac:dyDescent="0.35">
      <c r="AH2051" t="s">
        <v>204</v>
      </c>
      <c r="AI2051" t="s">
        <v>180</v>
      </c>
      <c r="AJ2051" s="3">
        <v>43615</v>
      </c>
      <c r="AK2051" t="s">
        <v>42</v>
      </c>
      <c r="AL2051" s="1">
        <v>9350</v>
      </c>
      <c r="AM2051" t="s">
        <v>8</v>
      </c>
      <c r="AN2051" t="s">
        <v>8</v>
      </c>
      <c r="AO2051" t="s">
        <v>8</v>
      </c>
      <c r="AP2051">
        <v>0.9</v>
      </c>
      <c r="AQ2051" t="s">
        <v>8</v>
      </c>
      <c r="AR2051" t="s">
        <v>8</v>
      </c>
      <c r="AS2051" t="s">
        <v>8</v>
      </c>
      <c r="AT2051">
        <v>11591.85</v>
      </c>
    </row>
    <row r="2052" spans="34:46" x14ac:dyDescent="0.35">
      <c r="AH2052" t="s">
        <v>204</v>
      </c>
      <c r="AI2052" t="s">
        <v>180</v>
      </c>
      <c r="AJ2052" s="3">
        <v>43566</v>
      </c>
      <c r="AK2052" t="s">
        <v>42</v>
      </c>
      <c r="AL2052" s="1">
        <v>12800</v>
      </c>
      <c r="AM2052" t="s">
        <v>8</v>
      </c>
      <c r="AN2052" t="s">
        <v>8</v>
      </c>
      <c r="AO2052" t="s">
        <v>8</v>
      </c>
      <c r="AP2052" s="1">
        <v>1423.4</v>
      </c>
      <c r="AQ2052" t="s">
        <v>8</v>
      </c>
      <c r="AR2052" t="s">
        <v>8</v>
      </c>
      <c r="AS2052" t="s">
        <v>8</v>
      </c>
      <c r="AT2052">
        <v>11591.85</v>
      </c>
    </row>
    <row r="2053" spans="34:46" x14ac:dyDescent="0.35">
      <c r="AH2053" t="s">
        <v>204</v>
      </c>
      <c r="AI2053" t="s">
        <v>180</v>
      </c>
      <c r="AJ2053" s="3">
        <v>43643</v>
      </c>
      <c r="AK2053" t="s">
        <v>42</v>
      </c>
      <c r="AL2053" s="1">
        <v>8000</v>
      </c>
      <c r="AM2053" t="s">
        <v>8</v>
      </c>
      <c r="AN2053" t="s">
        <v>8</v>
      </c>
      <c r="AO2053" t="s">
        <v>8</v>
      </c>
      <c r="AP2053">
        <v>8.85</v>
      </c>
      <c r="AQ2053" t="s">
        <v>8</v>
      </c>
      <c r="AR2053" t="s">
        <v>8</v>
      </c>
      <c r="AS2053" t="s">
        <v>8</v>
      </c>
      <c r="AT2053">
        <v>11591.85</v>
      </c>
    </row>
    <row r="2054" spans="34:46" x14ac:dyDescent="0.35">
      <c r="AH2054" t="s">
        <v>204</v>
      </c>
      <c r="AI2054" t="s">
        <v>180</v>
      </c>
      <c r="AJ2054" s="3">
        <v>43825</v>
      </c>
      <c r="AK2054" t="s">
        <v>42</v>
      </c>
      <c r="AL2054" s="1">
        <v>8100</v>
      </c>
      <c r="AM2054" t="s">
        <v>8</v>
      </c>
      <c r="AN2054" t="s">
        <v>8</v>
      </c>
      <c r="AO2054" t="s">
        <v>8</v>
      </c>
      <c r="AP2054">
        <v>50</v>
      </c>
      <c r="AQ2054" t="s">
        <v>8</v>
      </c>
      <c r="AR2054" t="s">
        <v>8</v>
      </c>
      <c r="AS2054" t="s">
        <v>8</v>
      </c>
      <c r="AT2054">
        <v>11591.85</v>
      </c>
    </row>
    <row r="2055" spans="34:46" x14ac:dyDescent="0.35">
      <c r="AH2055" t="s">
        <v>204</v>
      </c>
      <c r="AI2055" t="s">
        <v>180</v>
      </c>
      <c r="AJ2055" s="3">
        <v>43615</v>
      </c>
      <c r="AK2055" t="s">
        <v>42</v>
      </c>
      <c r="AL2055" s="1">
        <v>9550</v>
      </c>
      <c r="AM2055" t="s">
        <v>8</v>
      </c>
      <c r="AN2055" t="s">
        <v>8</v>
      </c>
      <c r="AO2055" t="s">
        <v>8</v>
      </c>
      <c r="AP2055">
        <v>2.5</v>
      </c>
      <c r="AQ2055" t="s">
        <v>8</v>
      </c>
      <c r="AR2055" t="s">
        <v>8</v>
      </c>
      <c r="AS2055" t="s">
        <v>8</v>
      </c>
      <c r="AT2055">
        <v>11591.85</v>
      </c>
    </row>
    <row r="2056" spans="34:46" x14ac:dyDescent="0.35">
      <c r="AH2056" t="s">
        <v>204</v>
      </c>
      <c r="AI2056" t="s">
        <v>180</v>
      </c>
      <c r="AJ2056" s="3">
        <v>43643</v>
      </c>
      <c r="AK2056" t="s">
        <v>42</v>
      </c>
      <c r="AL2056" s="1">
        <v>8200</v>
      </c>
      <c r="AM2056" t="s">
        <v>8</v>
      </c>
      <c r="AN2056" t="s">
        <v>8</v>
      </c>
      <c r="AO2056" t="s">
        <v>8</v>
      </c>
      <c r="AP2056">
        <v>36</v>
      </c>
      <c r="AQ2056" t="s">
        <v>8</v>
      </c>
      <c r="AR2056" t="s">
        <v>8</v>
      </c>
      <c r="AS2056" t="s">
        <v>8</v>
      </c>
      <c r="AT2056">
        <v>11591.85</v>
      </c>
    </row>
    <row r="2057" spans="34:46" x14ac:dyDescent="0.35">
      <c r="AH2057" t="s">
        <v>204</v>
      </c>
      <c r="AI2057" t="s">
        <v>180</v>
      </c>
      <c r="AJ2057" s="3">
        <v>44007</v>
      </c>
      <c r="AK2057" t="s">
        <v>42</v>
      </c>
      <c r="AL2057" s="1">
        <v>12600</v>
      </c>
      <c r="AM2057" t="s">
        <v>8</v>
      </c>
      <c r="AN2057" t="s">
        <v>8</v>
      </c>
      <c r="AO2057" t="s">
        <v>8</v>
      </c>
      <c r="AP2057">
        <v>990.05</v>
      </c>
      <c r="AQ2057" t="s">
        <v>8</v>
      </c>
      <c r="AR2057" t="s">
        <v>8</v>
      </c>
      <c r="AS2057" t="s">
        <v>8</v>
      </c>
      <c r="AT2057">
        <v>11591.85</v>
      </c>
    </row>
    <row r="2058" spans="34:46" x14ac:dyDescent="0.35">
      <c r="AH2058" t="s">
        <v>204</v>
      </c>
      <c r="AI2058" t="s">
        <v>180</v>
      </c>
      <c r="AJ2058" s="3">
        <v>43825</v>
      </c>
      <c r="AK2058" t="s">
        <v>42</v>
      </c>
      <c r="AL2058" s="1">
        <v>6800</v>
      </c>
      <c r="AM2058" t="s">
        <v>8</v>
      </c>
      <c r="AN2058" t="s">
        <v>8</v>
      </c>
      <c r="AO2058" t="s">
        <v>8</v>
      </c>
      <c r="AP2058">
        <v>36.5</v>
      </c>
      <c r="AQ2058" t="s">
        <v>8</v>
      </c>
      <c r="AR2058" t="s">
        <v>8</v>
      </c>
      <c r="AS2058" t="s">
        <v>8</v>
      </c>
      <c r="AT2058">
        <v>11591.85</v>
      </c>
    </row>
    <row r="2059" spans="34:46" x14ac:dyDescent="0.35">
      <c r="AH2059" t="s">
        <v>204</v>
      </c>
      <c r="AI2059" t="s">
        <v>180</v>
      </c>
      <c r="AJ2059" s="3">
        <v>43643</v>
      </c>
      <c r="AK2059" t="s">
        <v>42</v>
      </c>
      <c r="AL2059" s="1">
        <v>6900</v>
      </c>
      <c r="AM2059" t="s">
        <v>8</v>
      </c>
      <c r="AN2059" t="s">
        <v>8</v>
      </c>
      <c r="AO2059" t="s">
        <v>8</v>
      </c>
      <c r="AP2059">
        <v>74.150000000000006</v>
      </c>
      <c r="AQ2059" t="s">
        <v>8</v>
      </c>
      <c r="AR2059" t="s">
        <v>8</v>
      </c>
      <c r="AS2059" t="s">
        <v>8</v>
      </c>
      <c r="AT2059">
        <v>11591.85</v>
      </c>
    </row>
    <row r="2060" spans="34:46" x14ac:dyDescent="0.35">
      <c r="AH2060" t="s">
        <v>204</v>
      </c>
      <c r="AI2060" t="s">
        <v>180</v>
      </c>
      <c r="AJ2060" s="3">
        <v>43580</v>
      </c>
      <c r="AK2060" t="s">
        <v>42</v>
      </c>
      <c r="AL2060" s="1">
        <v>12050</v>
      </c>
      <c r="AM2060" t="s">
        <v>8</v>
      </c>
      <c r="AN2060" t="s">
        <v>8</v>
      </c>
      <c r="AO2060" t="s">
        <v>8</v>
      </c>
      <c r="AP2060" s="1">
        <v>1052.25</v>
      </c>
      <c r="AQ2060" t="s">
        <v>8</v>
      </c>
      <c r="AR2060" t="s">
        <v>8</v>
      </c>
      <c r="AS2060" t="s">
        <v>8</v>
      </c>
      <c r="AT2060">
        <v>11591.85</v>
      </c>
    </row>
    <row r="2061" spans="34:46" x14ac:dyDescent="0.35">
      <c r="AH2061" t="s">
        <v>204</v>
      </c>
      <c r="AI2061" t="s">
        <v>180</v>
      </c>
      <c r="AJ2061" s="3">
        <v>43608</v>
      </c>
      <c r="AK2061" t="s">
        <v>42</v>
      </c>
      <c r="AL2061" s="1">
        <v>10550</v>
      </c>
      <c r="AM2061" t="s">
        <v>8</v>
      </c>
      <c r="AN2061" t="s">
        <v>8</v>
      </c>
      <c r="AO2061" t="s">
        <v>8</v>
      </c>
      <c r="AP2061">
        <v>6.7</v>
      </c>
      <c r="AQ2061" t="s">
        <v>8</v>
      </c>
      <c r="AR2061" t="s">
        <v>8</v>
      </c>
      <c r="AS2061" t="s">
        <v>8</v>
      </c>
      <c r="AT2061">
        <v>11591.85</v>
      </c>
    </row>
    <row r="2062" spans="34:46" x14ac:dyDescent="0.35">
      <c r="AH2062" t="s">
        <v>204</v>
      </c>
      <c r="AI2062" t="s">
        <v>180</v>
      </c>
      <c r="AJ2062" s="3">
        <v>44371</v>
      </c>
      <c r="AK2062" t="s">
        <v>42</v>
      </c>
      <c r="AL2062" s="1">
        <v>8400</v>
      </c>
      <c r="AM2062" t="s">
        <v>8</v>
      </c>
      <c r="AN2062" t="s">
        <v>8</v>
      </c>
      <c r="AO2062" t="s">
        <v>8</v>
      </c>
      <c r="AP2062" s="1">
        <v>200</v>
      </c>
      <c r="AQ2062" t="s">
        <v>8</v>
      </c>
      <c r="AR2062" t="s">
        <v>8</v>
      </c>
      <c r="AS2062" t="s">
        <v>8</v>
      </c>
      <c r="AT2062">
        <v>11591.85</v>
      </c>
    </row>
    <row r="2063" spans="34:46" x14ac:dyDescent="0.35">
      <c r="AH2063" t="s">
        <v>204</v>
      </c>
      <c r="AI2063" t="s">
        <v>180</v>
      </c>
      <c r="AJ2063" s="3">
        <v>44196</v>
      </c>
      <c r="AK2063" t="s">
        <v>42</v>
      </c>
      <c r="AL2063" s="1">
        <v>4600</v>
      </c>
      <c r="AM2063" t="s">
        <v>8</v>
      </c>
      <c r="AN2063" t="s">
        <v>8</v>
      </c>
      <c r="AO2063" t="s">
        <v>8</v>
      </c>
      <c r="AP2063">
        <v>86.9</v>
      </c>
      <c r="AQ2063" t="s">
        <v>8</v>
      </c>
      <c r="AR2063" t="s">
        <v>8</v>
      </c>
      <c r="AS2063" t="s">
        <v>8</v>
      </c>
      <c r="AT2063">
        <v>11591.85</v>
      </c>
    </row>
    <row r="2064" spans="34:46" x14ac:dyDescent="0.35">
      <c r="AH2064" t="s">
        <v>204</v>
      </c>
      <c r="AI2064" t="s">
        <v>180</v>
      </c>
      <c r="AJ2064" s="3">
        <v>43608</v>
      </c>
      <c r="AK2064" t="s">
        <v>42</v>
      </c>
      <c r="AL2064" s="1">
        <v>10750</v>
      </c>
      <c r="AM2064" t="s">
        <v>8</v>
      </c>
      <c r="AN2064" t="s">
        <v>8</v>
      </c>
      <c r="AO2064" t="s">
        <v>8</v>
      </c>
      <c r="AP2064" s="1">
        <v>15.95</v>
      </c>
      <c r="AQ2064" t="s">
        <v>8</v>
      </c>
      <c r="AR2064" t="s">
        <v>8</v>
      </c>
      <c r="AS2064" t="s">
        <v>8</v>
      </c>
      <c r="AT2064">
        <v>11591.85</v>
      </c>
    </row>
    <row r="2065" spans="34:46" x14ac:dyDescent="0.35">
      <c r="AH2065" t="s">
        <v>204</v>
      </c>
      <c r="AI2065" t="s">
        <v>180</v>
      </c>
      <c r="AJ2065" s="3">
        <v>44371</v>
      </c>
      <c r="AK2065" t="s">
        <v>42</v>
      </c>
      <c r="AL2065" s="1">
        <v>8600</v>
      </c>
      <c r="AM2065" t="s">
        <v>8</v>
      </c>
      <c r="AN2065" t="s">
        <v>8</v>
      </c>
      <c r="AO2065" t="s">
        <v>8</v>
      </c>
      <c r="AP2065">
        <v>225</v>
      </c>
      <c r="AQ2065" t="s">
        <v>8</v>
      </c>
      <c r="AR2065" t="s">
        <v>8</v>
      </c>
      <c r="AS2065" t="s">
        <v>8</v>
      </c>
      <c r="AT2065">
        <v>11591.85</v>
      </c>
    </row>
    <row r="2066" spans="34:46" x14ac:dyDescent="0.35">
      <c r="AH2066" t="s">
        <v>204</v>
      </c>
      <c r="AI2066" t="s">
        <v>180</v>
      </c>
      <c r="AJ2066" s="3">
        <v>43580</v>
      </c>
      <c r="AK2066" t="s">
        <v>42</v>
      </c>
      <c r="AL2066" s="1">
        <v>10750</v>
      </c>
      <c r="AM2066" t="s">
        <v>8</v>
      </c>
      <c r="AN2066" t="s">
        <v>8</v>
      </c>
      <c r="AO2066" t="s">
        <v>8</v>
      </c>
      <c r="AP2066" s="1">
        <v>6.55</v>
      </c>
      <c r="AQ2066" t="s">
        <v>8</v>
      </c>
      <c r="AR2066" t="s">
        <v>8</v>
      </c>
      <c r="AS2066" t="s">
        <v>8</v>
      </c>
      <c r="AT2066">
        <v>11591.85</v>
      </c>
    </row>
    <row r="2067" spans="34:46" x14ac:dyDescent="0.35">
      <c r="AH2067" t="s">
        <v>204</v>
      </c>
      <c r="AI2067" t="s">
        <v>180</v>
      </c>
      <c r="AJ2067" s="3">
        <v>43594</v>
      </c>
      <c r="AK2067" t="s">
        <v>41</v>
      </c>
      <c r="AL2067" s="1">
        <v>11450</v>
      </c>
      <c r="AM2067" t="s">
        <v>8</v>
      </c>
      <c r="AN2067" t="s">
        <v>8</v>
      </c>
      <c r="AO2067" t="s">
        <v>8</v>
      </c>
      <c r="AP2067" s="1">
        <v>132.69999999999999</v>
      </c>
      <c r="AQ2067" t="s">
        <v>8</v>
      </c>
      <c r="AR2067" t="s">
        <v>8</v>
      </c>
      <c r="AS2067" t="s">
        <v>8</v>
      </c>
      <c r="AT2067">
        <v>11591.85</v>
      </c>
    </row>
    <row r="2068" spans="34:46" x14ac:dyDescent="0.35">
      <c r="AH2068" t="s">
        <v>204</v>
      </c>
      <c r="AI2068" t="s">
        <v>180</v>
      </c>
      <c r="AJ2068" s="3">
        <v>44371</v>
      </c>
      <c r="AK2068" t="s">
        <v>42</v>
      </c>
      <c r="AL2068" s="1">
        <v>8800</v>
      </c>
      <c r="AM2068" t="s">
        <v>8</v>
      </c>
      <c r="AN2068" t="s">
        <v>8</v>
      </c>
      <c r="AO2068" t="s">
        <v>8</v>
      </c>
      <c r="AP2068">
        <v>248</v>
      </c>
      <c r="AQ2068" t="s">
        <v>8</v>
      </c>
      <c r="AR2068" t="s">
        <v>8</v>
      </c>
      <c r="AS2068" t="s">
        <v>8</v>
      </c>
      <c r="AT2068">
        <v>11591.85</v>
      </c>
    </row>
    <row r="2069" spans="34:46" x14ac:dyDescent="0.35">
      <c r="AH2069" t="s">
        <v>204</v>
      </c>
      <c r="AI2069" t="s">
        <v>180</v>
      </c>
      <c r="AJ2069" s="3">
        <v>43594</v>
      </c>
      <c r="AK2069" t="s">
        <v>41</v>
      </c>
      <c r="AL2069" s="1">
        <v>11650</v>
      </c>
      <c r="AM2069" t="s">
        <v>8</v>
      </c>
      <c r="AN2069" t="s">
        <v>8</v>
      </c>
      <c r="AO2069" t="s">
        <v>8</v>
      </c>
      <c r="AP2069">
        <v>78.900000000000006</v>
      </c>
      <c r="AQ2069" t="s">
        <v>8</v>
      </c>
      <c r="AR2069" t="s">
        <v>8</v>
      </c>
      <c r="AS2069" t="s">
        <v>8</v>
      </c>
      <c r="AT2069">
        <v>11591.85</v>
      </c>
    </row>
    <row r="2070" spans="34:46" x14ac:dyDescent="0.35">
      <c r="AH2070" t="s">
        <v>204</v>
      </c>
      <c r="AI2070" t="s">
        <v>180</v>
      </c>
      <c r="AJ2070" s="3">
        <v>43594</v>
      </c>
      <c r="AK2070" t="s">
        <v>42</v>
      </c>
      <c r="AL2070" s="1">
        <v>11500</v>
      </c>
      <c r="AM2070" t="s">
        <v>8</v>
      </c>
      <c r="AN2070" t="s">
        <v>8</v>
      </c>
      <c r="AO2070" t="s">
        <v>8</v>
      </c>
      <c r="AP2070" s="1">
        <v>410.85</v>
      </c>
      <c r="AQ2070" t="s">
        <v>8</v>
      </c>
      <c r="AR2070" t="s">
        <v>8</v>
      </c>
      <c r="AS2070" t="s">
        <v>8</v>
      </c>
      <c r="AT2070">
        <v>11591.85</v>
      </c>
    </row>
    <row r="2071" spans="34:46" x14ac:dyDescent="0.35">
      <c r="AH2071" t="s">
        <v>204</v>
      </c>
      <c r="AI2071" t="s">
        <v>180</v>
      </c>
      <c r="AJ2071" s="3">
        <v>43573</v>
      </c>
      <c r="AK2071" t="s">
        <v>41</v>
      </c>
      <c r="AL2071" s="1">
        <v>10100</v>
      </c>
      <c r="AM2071" t="s">
        <v>8</v>
      </c>
      <c r="AN2071" t="s">
        <v>8</v>
      </c>
      <c r="AO2071" t="s">
        <v>8</v>
      </c>
      <c r="AP2071">
        <v>800.05</v>
      </c>
      <c r="AQ2071" t="s">
        <v>8</v>
      </c>
      <c r="AR2071" t="s">
        <v>8</v>
      </c>
      <c r="AS2071" t="s">
        <v>8</v>
      </c>
      <c r="AT2071">
        <v>11591.85</v>
      </c>
    </row>
    <row r="2072" spans="34:46" x14ac:dyDescent="0.35">
      <c r="AH2072" t="s">
        <v>204</v>
      </c>
      <c r="AI2072" t="s">
        <v>180</v>
      </c>
      <c r="AJ2072" s="3">
        <v>43587</v>
      </c>
      <c r="AK2072" t="s">
        <v>41</v>
      </c>
      <c r="AL2072" s="1">
        <v>12150</v>
      </c>
      <c r="AM2072" t="s">
        <v>8</v>
      </c>
      <c r="AN2072" t="s">
        <v>8</v>
      </c>
      <c r="AO2072" t="s">
        <v>8</v>
      </c>
      <c r="AP2072">
        <v>11.25</v>
      </c>
      <c r="AQ2072" t="s">
        <v>8</v>
      </c>
      <c r="AR2072" t="s">
        <v>8</v>
      </c>
      <c r="AS2072" t="s">
        <v>8</v>
      </c>
      <c r="AT2072">
        <v>11591.85</v>
      </c>
    </row>
    <row r="2073" spans="34:46" x14ac:dyDescent="0.35">
      <c r="AH2073" t="s">
        <v>204</v>
      </c>
      <c r="AI2073" t="s">
        <v>180</v>
      </c>
      <c r="AJ2073" s="3">
        <v>43734</v>
      </c>
      <c r="AK2073" t="s">
        <v>42</v>
      </c>
      <c r="AL2073" s="1">
        <v>10200</v>
      </c>
      <c r="AM2073" t="s">
        <v>8</v>
      </c>
      <c r="AN2073" t="s">
        <v>8</v>
      </c>
      <c r="AO2073" t="s">
        <v>8</v>
      </c>
      <c r="AP2073">
        <v>138.55000000000001</v>
      </c>
      <c r="AQ2073" t="s">
        <v>8</v>
      </c>
      <c r="AR2073" t="s">
        <v>8</v>
      </c>
      <c r="AS2073" t="s">
        <v>8</v>
      </c>
      <c r="AT2073">
        <v>11591.85</v>
      </c>
    </row>
    <row r="2074" spans="34:46" x14ac:dyDescent="0.35">
      <c r="AH2074" t="s">
        <v>204</v>
      </c>
      <c r="AI2074" t="s">
        <v>180</v>
      </c>
      <c r="AJ2074" s="3">
        <v>43594</v>
      </c>
      <c r="AK2074" t="s">
        <v>42</v>
      </c>
      <c r="AL2074" s="1">
        <v>11700</v>
      </c>
      <c r="AM2074" t="s">
        <v>8</v>
      </c>
      <c r="AN2074" t="s">
        <v>8</v>
      </c>
      <c r="AO2074" t="s">
        <v>8</v>
      </c>
      <c r="AP2074">
        <v>559.70000000000005</v>
      </c>
      <c r="AQ2074" t="s">
        <v>8</v>
      </c>
      <c r="AR2074" t="s">
        <v>8</v>
      </c>
      <c r="AS2074" t="s">
        <v>8</v>
      </c>
      <c r="AT2074">
        <v>11591.85</v>
      </c>
    </row>
    <row r="2075" spans="34:46" x14ac:dyDescent="0.35">
      <c r="AH2075" t="s">
        <v>204</v>
      </c>
      <c r="AI2075" t="s">
        <v>180</v>
      </c>
      <c r="AJ2075" s="3">
        <v>43608</v>
      </c>
      <c r="AK2075" t="s">
        <v>41</v>
      </c>
      <c r="AL2075" s="1">
        <v>12450</v>
      </c>
      <c r="AM2075" t="s">
        <v>8</v>
      </c>
      <c r="AN2075" t="s">
        <v>8</v>
      </c>
      <c r="AO2075" t="s">
        <v>8</v>
      </c>
      <c r="AP2075">
        <v>35.1</v>
      </c>
      <c r="AQ2075" t="s">
        <v>8</v>
      </c>
      <c r="AR2075" t="s">
        <v>8</v>
      </c>
      <c r="AS2075" t="s">
        <v>8</v>
      </c>
      <c r="AT2075">
        <v>11591.85</v>
      </c>
    </row>
    <row r="2076" spans="34:46" x14ac:dyDescent="0.35">
      <c r="AH2076" t="s">
        <v>204</v>
      </c>
      <c r="AI2076" t="s">
        <v>180</v>
      </c>
      <c r="AJ2076" s="3">
        <v>44196</v>
      </c>
      <c r="AK2076" t="s">
        <v>42</v>
      </c>
      <c r="AL2076" s="1">
        <v>12100</v>
      </c>
      <c r="AM2076" t="s">
        <v>8</v>
      </c>
      <c r="AN2076" t="s">
        <v>8</v>
      </c>
      <c r="AO2076" t="s">
        <v>8</v>
      </c>
      <c r="AP2076" s="1">
        <v>738.75</v>
      </c>
      <c r="AQ2076" t="s">
        <v>8</v>
      </c>
      <c r="AR2076" t="s">
        <v>8</v>
      </c>
      <c r="AS2076" t="s">
        <v>8</v>
      </c>
      <c r="AT2076">
        <v>11591.85</v>
      </c>
    </row>
    <row r="2077" spans="34:46" x14ac:dyDescent="0.35">
      <c r="AH2077" t="s">
        <v>204</v>
      </c>
      <c r="AI2077" t="s">
        <v>180</v>
      </c>
      <c r="AJ2077" s="3">
        <v>43573</v>
      </c>
      <c r="AK2077" t="s">
        <v>41</v>
      </c>
      <c r="AL2077" s="1">
        <v>9200</v>
      </c>
      <c r="AM2077" t="s">
        <v>8</v>
      </c>
      <c r="AN2077" t="s">
        <v>8</v>
      </c>
      <c r="AO2077" t="s">
        <v>8</v>
      </c>
      <c r="AP2077" s="1">
        <v>1635.95</v>
      </c>
      <c r="AQ2077" t="s">
        <v>8</v>
      </c>
      <c r="AR2077" t="s">
        <v>8</v>
      </c>
      <c r="AS2077" t="s">
        <v>8</v>
      </c>
      <c r="AT2077">
        <v>11591.85</v>
      </c>
    </row>
    <row r="2078" spans="34:46" x14ac:dyDescent="0.35">
      <c r="AH2078" t="s">
        <v>204</v>
      </c>
      <c r="AI2078" t="s">
        <v>180</v>
      </c>
      <c r="AJ2078" s="3">
        <v>43734</v>
      </c>
      <c r="AK2078" t="s">
        <v>42</v>
      </c>
      <c r="AL2078" s="1">
        <v>10400</v>
      </c>
      <c r="AM2078" t="s">
        <v>8</v>
      </c>
      <c r="AN2078" t="s">
        <v>8</v>
      </c>
      <c r="AO2078" t="s">
        <v>8</v>
      </c>
      <c r="AP2078" s="1">
        <v>176.35</v>
      </c>
      <c r="AQ2078" t="s">
        <v>8</v>
      </c>
      <c r="AR2078" t="s">
        <v>8</v>
      </c>
      <c r="AS2078" t="s">
        <v>8</v>
      </c>
      <c r="AT2078">
        <v>11591.85</v>
      </c>
    </row>
    <row r="2079" spans="34:46" x14ac:dyDescent="0.35">
      <c r="AH2079" t="s">
        <v>204</v>
      </c>
      <c r="AI2079" t="s">
        <v>180</v>
      </c>
      <c r="AJ2079" s="3">
        <v>43594</v>
      </c>
      <c r="AK2079" t="s">
        <v>42</v>
      </c>
      <c r="AL2079" s="1">
        <v>11900</v>
      </c>
      <c r="AM2079" t="s">
        <v>8</v>
      </c>
      <c r="AN2079" t="s">
        <v>8</v>
      </c>
      <c r="AO2079" t="s">
        <v>8</v>
      </c>
      <c r="AP2079">
        <v>726.2</v>
      </c>
      <c r="AQ2079" t="s">
        <v>8</v>
      </c>
      <c r="AR2079" t="s">
        <v>8</v>
      </c>
      <c r="AS2079" t="s">
        <v>8</v>
      </c>
      <c r="AT2079">
        <v>11591.85</v>
      </c>
    </row>
    <row r="2080" spans="34:46" x14ac:dyDescent="0.35">
      <c r="AH2080" t="s">
        <v>204</v>
      </c>
      <c r="AI2080" t="s">
        <v>180</v>
      </c>
      <c r="AJ2080" s="3">
        <v>43643</v>
      </c>
      <c r="AK2080" t="s">
        <v>41</v>
      </c>
      <c r="AL2080" s="1">
        <v>10700</v>
      </c>
      <c r="AM2080" t="s">
        <v>8</v>
      </c>
      <c r="AN2080" t="s">
        <v>8</v>
      </c>
      <c r="AO2080" t="s">
        <v>8</v>
      </c>
      <c r="AP2080" s="1">
        <v>1842.15</v>
      </c>
      <c r="AQ2080" t="s">
        <v>8</v>
      </c>
      <c r="AR2080" t="s">
        <v>8</v>
      </c>
      <c r="AS2080" t="s">
        <v>8</v>
      </c>
      <c r="AT2080">
        <v>11591.85</v>
      </c>
    </row>
    <row r="2081" spans="34:46" x14ac:dyDescent="0.35">
      <c r="AH2081" t="s">
        <v>204</v>
      </c>
      <c r="AI2081" t="s">
        <v>180</v>
      </c>
      <c r="AJ2081" s="3">
        <v>43608</v>
      </c>
      <c r="AK2081" t="s">
        <v>41</v>
      </c>
      <c r="AL2081" s="1">
        <v>12650</v>
      </c>
      <c r="AM2081" t="s">
        <v>8</v>
      </c>
      <c r="AN2081" t="s">
        <v>8</v>
      </c>
      <c r="AO2081" t="s">
        <v>8</v>
      </c>
      <c r="AP2081">
        <v>18.55</v>
      </c>
      <c r="AQ2081" t="s">
        <v>8</v>
      </c>
      <c r="AR2081" t="s">
        <v>8</v>
      </c>
      <c r="AS2081" t="s">
        <v>8</v>
      </c>
      <c r="AT2081">
        <v>11591.85</v>
      </c>
    </row>
    <row r="2082" spans="34:46" x14ac:dyDescent="0.35">
      <c r="AH2082" t="s">
        <v>204</v>
      </c>
      <c r="AI2082" t="s">
        <v>180</v>
      </c>
      <c r="AJ2082" s="3">
        <v>43587</v>
      </c>
      <c r="AK2082" t="s">
        <v>42</v>
      </c>
      <c r="AL2082" s="1">
        <v>12000</v>
      </c>
      <c r="AM2082" t="s">
        <v>8</v>
      </c>
      <c r="AN2082" t="s">
        <v>8</v>
      </c>
      <c r="AO2082" t="s">
        <v>8</v>
      </c>
      <c r="AP2082" s="1">
        <v>1058.25</v>
      </c>
      <c r="AQ2082" t="s">
        <v>8</v>
      </c>
      <c r="AR2082" t="s">
        <v>8</v>
      </c>
      <c r="AS2082" t="s">
        <v>8</v>
      </c>
      <c r="AT2082">
        <v>11591.85</v>
      </c>
    </row>
    <row r="2083" spans="34:46" x14ac:dyDescent="0.35">
      <c r="AH2083" t="s">
        <v>204</v>
      </c>
      <c r="AI2083" t="s">
        <v>180</v>
      </c>
      <c r="AJ2083" s="3">
        <v>43573</v>
      </c>
      <c r="AK2083" t="s">
        <v>41</v>
      </c>
      <c r="AL2083" s="1">
        <v>9400</v>
      </c>
      <c r="AM2083" t="s">
        <v>8</v>
      </c>
      <c r="AN2083" t="s">
        <v>8</v>
      </c>
      <c r="AO2083" t="s">
        <v>8</v>
      </c>
      <c r="AP2083" s="1">
        <v>1466.4</v>
      </c>
      <c r="AQ2083" t="s">
        <v>8</v>
      </c>
      <c r="AR2083" t="s">
        <v>8</v>
      </c>
      <c r="AS2083" t="s">
        <v>8</v>
      </c>
      <c r="AT2083">
        <v>11591.85</v>
      </c>
    </row>
    <row r="2084" spans="34:46" x14ac:dyDescent="0.35">
      <c r="AH2084" t="s">
        <v>204</v>
      </c>
      <c r="AI2084" t="s">
        <v>180</v>
      </c>
      <c r="AJ2084" s="3">
        <v>43580</v>
      </c>
      <c r="AK2084" t="s">
        <v>41</v>
      </c>
      <c r="AL2084" s="1">
        <v>12650</v>
      </c>
      <c r="AM2084" t="s">
        <v>8</v>
      </c>
      <c r="AN2084" t="s">
        <v>8</v>
      </c>
      <c r="AO2084" t="s">
        <v>8</v>
      </c>
      <c r="AP2084">
        <v>1.1499999999999999</v>
      </c>
      <c r="AQ2084" t="s">
        <v>8</v>
      </c>
      <c r="AR2084" t="s">
        <v>8</v>
      </c>
      <c r="AS2084" t="s">
        <v>8</v>
      </c>
      <c r="AT2084">
        <v>11591.85</v>
      </c>
    </row>
    <row r="2085" spans="34:46" x14ac:dyDescent="0.35">
      <c r="AH2085" t="s">
        <v>204</v>
      </c>
      <c r="AI2085" t="s">
        <v>180</v>
      </c>
      <c r="AJ2085" s="3">
        <v>43587</v>
      </c>
      <c r="AK2085" t="s">
        <v>41</v>
      </c>
      <c r="AL2085" s="1">
        <v>10850</v>
      </c>
      <c r="AM2085" t="s">
        <v>8</v>
      </c>
      <c r="AN2085" t="s">
        <v>8</v>
      </c>
      <c r="AO2085" t="s">
        <v>8</v>
      </c>
      <c r="AP2085">
        <v>306.35000000000002</v>
      </c>
      <c r="AQ2085" t="s">
        <v>8</v>
      </c>
      <c r="AR2085" t="s">
        <v>8</v>
      </c>
      <c r="AS2085" t="s">
        <v>8</v>
      </c>
      <c r="AT2085">
        <v>11591.85</v>
      </c>
    </row>
    <row r="2086" spans="34:46" x14ac:dyDescent="0.35">
      <c r="AH2086" t="s">
        <v>204</v>
      </c>
      <c r="AI2086" t="s">
        <v>180</v>
      </c>
      <c r="AJ2086" s="3">
        <v>43587</v>
      </c>
      <c r="AK2086" t="s">
        <v>42</v>
      </c>
      <c r="AL2086" s="1">
        <v>12200</v>
      </c>
      <c r="AM2086" t="s">
        <v>8</v>
      </c>
      <c r="AN2086" t="s">
        <v>8</v>
      </c>
      <c r="AO2086" t="s">
        <v>8</v>
      </c>
      <c r="AP2086" s="1">
        <v>1246.5999999999999</v>
      </c>
      <c r="AQ2086" t="s">
        <v>8</v>
      </c>
      <c r="AR2086" t="s">
        <v>8</v>
      </c>
      <c r="AS2086" t="s">
        <v>8</v>
      </c>
      <c r="AT2086">
        <v>11591.85</v>
      </c>
    </row>
    <row r="2087" spans="34:46" x14ac:dyDescent="0.35">
      <c r="AH2087" t="s">
        <v>204</v>
      </c>
      <c r="AI2087" t="s">
        <v>180</v>
      </c>
      <c r="AJ2087" s="3">
        <v>44196</v>
      </c>
      <c r="AK2087" t="s">
        <v>42</v>
      </c>
      <c r="AL2087" s="1">
        <v>10800</v>
      </c>
      <c r="AM2087" t="s">
        <v>8</v>
      </c>
      <c r="AN2087" t="s">
        <v>8</v>
      </c>
      <c r="AO2087" t="s">
        <v>8</v>
      </c>
      <c r="AP2087">
        <v>434.25</v>
      </c>
      <c r="AQ2087" t="s">
        <v>8</v>
      </c>
      <c r="AR2087" t="s">
        <v>8</v>
      </c>
      <c r="AS2087" t="s">
        <v>8</v>
      </c>
      <c r="AT2087">
        <v>11591.85</v>
      </c>
    </row>
    <row r="2088" spans="34:46" x14ac:dyDescent="0.35">
      <c r="AH2088" t="s">
        <v>204</v>
      </c>
      <c r="AI2088" t="s">
        <v>180</v>
      </c>
      <c r="AJ2088" s="3">
        <v>44742</v>
      </c>
      <c r="AK2088" t="s">
        <v>42</v>
      </c>
      <c r="AL2088" s="1">
        <v>7100</v>
      </c>
      <c r="AM2088" t="s">
        <v>8</v>
      </c>
      <c r="AN2088" t="s">
        <v>8</v>
      </c>
      <c r="AO2088" t="s">
        <v>8</v>
      </c>
      <c r="AP2088">
        <v>0.2</v>
      </c>
      <c r="AQ2088" t="s">
        <v>8</v>
      </c>
      <c r="AR2088" t="s">
        <v>8</v>
      </c>
      <c r="AS2088" t="s">
        <v>8</v>
      </c>
      <c r="AT2088">
        <v>11591.85</v>
      </c>
    </row>
    <row r="2089" spans="34:46" x14ac:dyDescent="0.35">
      <c r="AH2089" t="s">
        <v>204</v>
      </c>
      <c r="AI2089" t="s">
        <v>180</v>
      </c>
      <c r="AJ2089" s="3">
        <v>43608</v>
      </c>
      <c r="AK2089" t="s">
        <v>42</v>
      </c>
      <c r="AL2089" s="1">
        <v>12500</v>
      </c>
      <c r="AM2089" t="s">
        <v>8</v>
      </c>
      <c r="AN2089" t="s">
        <v>8</v>
      </c>
      <c r="AO2089" t="s">
        <v>8</v>
      </c>
      <c r="AP2089">
        <v>848.3</v>
      </c>
      <c r="AQ2089" t="s">
        <v>8</v>
      </c>
      <c r="AR2089" t="s">
        <v>8</v>
      </c>
      <c r="AS2089" t="s">
        <v>8</v>
      </c>
      <c r="AT2089">
        <v>11591.85</v>
      </c>
    </row>
    <row r="2090" spans="34:46" x14ac:dyDescent="0.35">
      <c r="AH2090" t="s">
        <v>204</v>
      </c>
      <c r="AI2090" t="s">
        <v>180</v>
      </c>
      <c r="AJ2090" s="3">
        <v>43580</v>
      </c>
      <c r="AK2090" t="s">
        <v>41</v>
      </c>
      <c r="AL2090" s="1">
        <v>12850</v>
      </c>
      <c r="AM2090" t="s">
        <v>8</v>
      </c>
      <c r="AN2090" t="s">
        <v>8</v>
      </c>
      <c r="AO2090" t="s">
        <v>8</v>
      </c>
      <c r="AP2090">
        <v>1.2</v>
      </c>
      <c r="AQ2090" t="s">
        <v>8</v>
      </c>
      <c r="AR2090" t="s">
        <v>8</v>
      </c>
      <c r="AS2090" t="s">
        <v>8</v>
      </c>
      <c r="AT2090">
        <v>11591.85</v>
      </c>
    </row>
    <row r="2091" spans="34:46" x14ac:dyDescent="0.35">
      <c r="AH2091" t="s">
        <v>204</v>
      </c>
      <c r="AI2091" t="s">
        <v>180</v>
      </c>
      <c r="AJ2091" s="3">
        <v>44742</v>
      </c>
      <c r="AK2091" t="s">
        <v>42</v>
      </c>
      <c r="AL2091" s="1">
        <v>7300</v>
      </c>
      <c r="AM2091" t="s">
        <v>8</v>
      </c>
      <c r="AN2091" t="s">
        <v>8</v>
      </c>
      <c r="AO2091" t="s">
        <v>8</v>
      </c>
      <c r="AP2091">
        <v>0.35</v>
      </c>
      <c r="AQ2091" t="s">
        <v>8</v>
      </c>
      <c r="AR2091" t="s">
        <v>8</v>
      </c>
      <c r="AS2091" t="s">
        <v>8</v>
      </c>
      <c r="AT2091">
        <v>11591.85</v>
      </c>
    </row>
    <row r="2092" spans="34:46" x14ac:dyDescent="0.35">
      <c r="AH2092" t="s">
        <v>204</v>
      </c>
      <c r="AI2092" t="s">
        <v>180</v>
      </c>
      <c r="AJ2092" s="3">
        <v>43608</v>
      </c>
      <c r="AK2092" t="s">
        <v>42</v>
      </c>
      <c r="AL2092" s="1">
        <v>12700</v>
      </c>
      <c r="AM2092" t="s">
        <v>8</v>
      </c>
      <c r="AN2092" t="s">
        <v>8</v>
      </c>
      <c r="AO2092" t="s">
        <v>8</v>
      </c>
      <c r="AP2092" s="1">
        <v>1031.3</v>
      </c>
      <c r="AQ2092" t="s">
        <v>8</v>
      </c>
      <c r="AR2092" t="s">
        <v>8</v>
      </c>
      <c r="AS2092" t="s">
        <v>8</v>
      </c>
      <c r="AT2092">
        <v>11591.85</v>
      </c>
    </row>
    <row r="2093" spans="34:46" x14ac:dyDescent="0.35">
      <c r="AH2093" t="s">
        <v>204</v>
      </c>
      <c r="AI2093" t="s">
        <v>180</v>
      </c>
      <c r="AJ2093" s="3">
        <v>43587</v>
      </c>
      <c r="AK2093" t="s">
        <v>42</v>
      </c>
      <c r="AL2093" s="1">
        <v>10900</v>
      </c>
      <c r="AM2093" t="s">
        <v>8</v>
      </c>
      <c r="AN2093" t="s">
        <v>8</v>
      </c>
      <c r="AO2093" t="s">
        <v>8</v>
      </c>
      <c r="AP2093">
        <v>235.7</v>
      </c>
      <c r="AQ2093" t="s">
        <v>8</v>
      </c>
      <c r="AR2093" t="s">
        <v>8</v>
      </c>
      <c r="AS2093" t="s">
        <v>8</v>
      </c>
      <c r="AT2093">
        <v>11591.85</v>
      </c>
    </row>
    <row r="2094" spans="34:46" x14ac:dyDescent="0.35">
      <c r="AH2094" t="s">
        <v>204</v>
      </c>
      <c r="AI2094" t="s">
        <v>180</v>
      </c>
      <c r="AJ2094" s="3">
        <v>43608</v>
      </c>
      <c r="AK2094" t="s">
        <v>42</v>
      </c>
      <c r="AL2094" s="1">
        <v>12900</v>
      </c>
      <c r="AM2094" t="s">
        <v>8</v>
      </c>
      <c r="AN2094" t="s">
        <v>8</v>
      </c>
      <c r="AO2094" t="s">
        <v>8</v>
      </c>
      <c r="AP2094" s="1">
        <v>1220.75</v>
      </c>
      <c r="AQ2094" t="s">
        <v>8</v>
      </c>
      <c r="AR2094" t="s">
        <v>8</v>
      </c>
      <c r="AS2094" t="s">
        <v>8</v>
      </c>
      <c r="AT2094">
        <v>11591.85</v>
      </c>
    </row>
    <row r="2095" spans="34:46" x14ac:dyDescent="0.35">
      <c r="AH2095" t="s">
        <v>204</v>
      </c>
      <c r="AI2095" t="s">
        <v>180</v>
      </c>
      <c r="AJ2095" s="3">
        <v>43734</v>
      </c>
      <c r="AK2095" t="s">
        <v>41</v>
      </c>
      <c r="AL2095" s="1">
        <v>12100</v>
      </c>
      <c r="AM2095" t="s">
        <v>8</v>
      </c>
      <c r="AN2095" t="s">
        <v>8</v>
      </c>
      <c r="AO2095" t="s">
        <v>8</v>
      </c>
      <c r="AP2095">
        <v>430</v>
      </c>
      <c r="AQ2095" t="s">
        <v>8</v>
      </c>
      <c r="AR2095" t="s">
        <v>8</v>
      </c>
      <c r="AS2095" t="s">
        <v>8</v>
      </c>
      <c r="AT2095">
        <v>11591.85</v>
      </c>
    </row>
    <row r="2096" spans="34:46" x14ac:dyDescent="0.35">
      <c r="AH2096" t="s">
        <v>204</v>
      </c>
      <c r="AI2096" t="s">
        <v>180</v>
      </c>
      <c r="AJ2096" s="3">
        <v>43580</v>
      </c>
      <c r="AK2096" t="s">
        <v>42</v>
      </c>
      <c r="AL2096" s="1">
        <v>12900</v>
      </c>
      <c r="AM2096" t="s">
        <v>8</v>
      </c>
      <c r="AN2096" t="s">
        <v>8</v>
      </c>
      <c r="AO2096" t="s">
        <v>8</v>
      </c>
      <c r="AP2096" s="1">
        <v>1370.8</v>
      </c>
      <c r="AQ2096" t="s">
        <v>8</v>
      </c>
      <c r="AR2096" t="s">
        <v>8</v>
      </c>
      <c r="AS2096" t="s">
        <v>8</v>
      </c>
      <c r="AT2096">
        <v>11591.85</v>
      </c>
    </row>
    <row r="2097" spans="34:46" x14ac:dyDescent="0.35">
      <c r="AH2097" t="s">
        <v>204</v>
      </c>
      <c r="AI2097" t="s">
        <v>180</v>
      </c>
      <c r="AJ2097" s="3">
        <v>43734</v>
      </c>
      <c r="AK2097" t="s">
        <v>41</v>
      </c>
      <c r="AL2097" s="1">
        <v>12500</v>
      </c>
      <c r="AM2097" t="s">
        <v>8</v>
      </c>
      <c r="AN2097" t="s">
        <v>8</v>
      </c>
      <c r="AO2097" t="s">
        <v>8</v>
      </c>
      <c r="AP2097">
        <v>428.75</v>
      </c>
      <c r="AQ2097" t="s">
        <v>8</v>
      </c>
      <c r="AR2097" t="s">
        <v>8</v>
      </c>
      <c r="AS2097" t="s">
        <v>8</v>
      </c>
      <c r="AT2097">
        <v>11591.85</v>
      </c>
    </row>
    <row r="2098" spans="34:46" x14ac:dyDescent="0.35">
      <c r="AH2098" t="s">
        <v>204</v>
      </c>
      <c r="AI2098" t="s">
        <v>180</v>
      </c>
      <c r="AJ2098" s="3">
        <v>43580</v>
      </c>
      <c r="AK2098" t="s">
        <v>42</v>
      </c>
      <c r="AL2098" s="1">
        <v>9250</v>
      </c>
      <c r="AM2098" t="s">
        <v>8</v>
      </c>
      <c r="AN2098" t="s">
        <v>8</v>
      </c>
      <c r="AO2098" t="s">
        <v>8</v>
      </c>
      <c r="AP2098">
        <v>0.55000000000000004</v>
      </c>
      <c r="AQ2098" t="s">
        <v>8</v>
      </c>
      <c r="AR2098" t="s">
        <v>8</v>
      </c>
      <c r="AS2098" t="s">
        <v>8</v>
      </c>
      <c r="AT2098">
        <v>11591.85</v>
      </c>
    </row>
    <row r="2099" spans="34:46" x14ac:dyDescent="0.35">
      <c r="AH2099" t="s">
        <v>204</v>
      </c>
      <c r="AI2099" t="s">
        <v>180</v>
      </c>
      <c r="AJ2099" s="3">
        <v>43643</v>
      </c>
      <c r="AK2099" t="s">
        <v>42</v>
      </c>
      <c r="AL2099" s="1">
        <v>12050</v>
      </c>
      <c r="AM2099" t="s">
        <v>8</v>
      </c>
      <c r="AN2099" t="s">
        <v>8</v>
      </c>
      <c r="AO2099" t="s">
        <v>8</v>
      </c>
      <c r="AP2099">
        <v>463.05</v>
      </c>
      <c r="AQ2099" t="s">
        <v>8</v>
      </c>
      <c r="AR2099" t="s">
        <v>8</v>
      </c>
      <c r="AS2099" t="s">
        <v>8</v>
      </c>
      <c r="AT2099">
        <v>11591.85</v>
      </c>
    </row>
    <row r="2100" spans="34:46" x14ac:dyDescent="0.35">
      <c r="AH2100" t="s">
        <v>204</v>
      </c>
      <c r="AI2100" t="s">
        <v>180</v>
      </c>
      <c r="AJ2100" s="3">
        <v>43580</v>
      </c>
      <c r="AK2100" t="s">
        <v>42</v>
      </c>
      <c r="AL2100" s="1">
        <v>9450</v>
      </c>
      <c r="AM2100" t="s">
        <v>8</v>
      </c>
      <c r="AN2100" t="s">
        <v>8</v>
      </c>
      <c r="AO2100" t="s">
        <v>8</v>
      </c>
      <c r="AP2100">
        <v>4.2</v>
      </c>
      <c r="AQ2100" t="s">
        <v>8</v>
      </c>
      <c r="AR2100" t="s">
        <v>8</v>
      </c>
      <c r="AS2100" t="s">
        <v>8</v>
      </c>
      <c r="AT2100">
        <v>11591.85</v>
      </c>
    </row>
    <row r="2101" spans="34:46" x14ac:dyDescent="0.35">
      <c r="AH2101" t="s">
        <v>204</v>
      </c>
      <c r="AI2101" t="s">
        <v>180</v>
      </c>
      <c r="AJ2101" s="3">
        <v>43587</v>
      </c>
      <c r="AK2101" t="s">
        <v>41</v>
      </c>
      <c r="AL2101" s="1">
        <v>12800</v>
      </c>
      <c r="AM2101" t="s">
        <v>8</v>
      </c>
      <c r="AN2101" t="s">
        <v>8</v>
      </c>
      <c r="AO2101" t="s">
        <v>8</v>
      </c>
      <c r="AP2101">
        <v>3.2</v>
      </c>
      <c r="AQ2101" t="s">
        <v>8</v>
      </c>
      <c r="AR2101" t="s">
        <v>8</v>
      </c>
      <c r="AS2101" t="s">
        <v>8</v>
      </c>
      <c r="AT2101">
        <v>11591.85</v>
      </c>
    </row>
    <row r="2102" spans="34:46" x14ac:dyDescent="0.35">
      <c r="AH2102" t="s">
        <v>204</v>
      </c>
      <c r="AI2102" t="s">
        <v>180</v>
      </c>
      <c r="AJ2102" s="3">
        <v>44007</v>
      </c>
      <c r="AK2102" t="s">
        <v>42</v>
      </c>
      <c r="AL2102" s="1">
        <v>7600</v>
      </c>
      <c r="AM2102" t="s">
        <v>8</v>
      </c>
      <c r="AN2102" t="s">
        <v>8</v>
      </c>
      <c r="AO2102" t="s">
        <v>8</v>
      </c>
      <c r="AP2102">
        <v>50</v>
      </c>
      <c r="AQ2102" t="s">
        <v>8</v>
      </c>
      <c r="AR2102" t="s">
        <v>8</v>
      </c>
      <c r="AS2102" t="s">
        <v>8</v>
      </c>
      <c r="AT2102">
        <v>11591.85</v>
      </c>
    </row>
    <row r="2103" spans="34:46" x14ac:dyDescent="0.35">
      <c r="AH2103" t="s">
        <v>204</v>
      </c>
      <c r="AI2103" t="s">
        <v>180</v>
      </c>
      <c r="AJ2103" s="3">
        <v>43643</v>
      </c>
      <c r="AK2103" t="s">
        <v>42</v>
      </c>
      <c r="AL2103" s="1">
        <v>12250</v>
      </c>
      <c r="AM2103" t="s">
        <v>8</v>
      </c>
      <c r="AN2103" t="s">
        <v>8</v>
      </c>
      <c r="AO2103" t="s">
        <v>8</v>
      </c>
      <c r="AP2103">
        <v>597</v>
      </c>
      <c r="AQ2103" t="s">
        <v>8</v>
      </c>
      <c r="AR2103" t="s">
        <v>8</v>
      </c>
      <c r="AS2103" t="s">
        <v>8</v>
      </c>
      <c r="AT2103">
        <v>11591.85</v>
      </c>
    </row>
    <row r="2104" spans="34:46" x14ac:dyDescent="0.35">
      <c r="AH2104" t="s">
        <v>204</v>
      </c>
      <c r="AI2104" t="s">
        <v>180</v>
      </c>
      <c r="AJ2104" s="3">
        <v>44924</v>
      </c>
      <c r="AK2104" t="s">
        <v>42</v>
      </c>
      <c r="AL2104" s="1">
        <v>9500</v>
      </c>
      <c r="AM2104" t="s">
        <v>8</v>
      </c>
      <c r="AN2104" t="s">
        <v>8</v>
      </c>
      <c r="AO2104" t="s">
        <v>8</v>
      </c>
      <c r="AP2104">
        <v>36.5</v>
      </c>
      <c r="AQ2104" t="s">
        <v>8</v>
      </c>
      <c r="AR2104" t="s">
        <v>8</v>
      </c>
      <c r="AS2104" t="s">
        <v>8</v>
      </c>
      <c r="AT2104">
        <v>11591.85</v>
      </c>
    </row>
    <row r="2105" spans="34:46" x14ac:dyDescent="0.35">
      <c r="AH2105" t="s">
        <v>204</v>
      </c>
      <c r="AI2105" t="s">
        <v>180</v>
      </c>
      <c r="AJ2105" s="3">
        <v>44007</v>
      </c>
      <c r="AK2105" t="s">
        <v>42</v>
      </c>
      <c r="AL2105" s="1">
        <v>7800</v>
      </c>
      <c r="AM2105" t="s">
        <v>8</v>
      </c>
      <c r="AN2105" t="s">
        <v>8</v>
      </c>
      <c r="AO2105" t="s">
        <v>8</v>
      </c>
      <c r="AP2105">
        <v>125</v>
      </c>
      <c r="AQ2105" t="s">
        <v>8</v>
      </c>
      <c r="AR2105" t="s">
        <v>8</v>
      </c>
      <c r="AS2105" t="s">
        <v>8</v>
      </c>
      <c r="AT2105">
        <v>11591.85</v>
      </c>
    </row>
    <row r="2106" spans="34:46" x14ac:dyDescent="0.35">
      <c r="AH2106" t="s">
        <v>204</v>
      </c>
      <c r="AI2106" t="s">
        <v>180</v>
      </c>
      <c r="AJ2106" s="3">
        <v>43643</v>
      </c>
      <c r="AK2106" t="s">
        <v>42</v>
      </c>
      <c r="AL2106" s="1">
        <v>12450</v>
      </c>
      <c r="AM2106" t="s">
        <v>8</v>
      </c>
      <c r="AN2106" t="s">
        <v>8</v>
      </c>
      <c r="AO2106" t="s">
        <v>8</v>
      </c>
      <c r="AP2106">
        <v>746.75</v>
      </c>
      <c r="AQ2106" t="s">
        <v>8</v>
      </c>
      <c r="AR2106" t="s">
        <v>8</v>
      </c>
      <c r="AS2106" t="s">
        <v>8</v>
      </c>
      <c r="AT2106">
        <v>11591.85</v>
      </c>
    </row>
    <row r="2107" spans="34:46" x14ac:dyDescent="0.35">
      <c r="AH2107" t="s">
        <v>204</v>
      </c>
      <c r="AI2107" t="s">
        <v>180</v>
      </c>
      <c r="AJ2107" s="3">
        <v>43825</v>
      </c>
      <c r="AK2107" t="s">
        <v>42</v>
      </c>
      <c r="AL2107" s="1">
        <v>11800</v>
      </c>
      <c r="AM2107" t="s">
        <v>8</v>
      </c>
      <c r="AN2107" t="s">
        <v>8</v>
      </c>
      <c r="AO2107" t="s">
        <v>8</v>
      </c>
      <c r="AP2107">
        <v>848</v>
      </c>
      <c r="AQ2107" t="s">
        <v>8</v>
      </c>
      <c r="AR2107" t="s">
        <v>8</v>
      </c>
      <c r="AS2107" t="s">
        <v>8</v>
      </c>
      <c r="AT2107">
        <v>11591.85</v>
      </c>
    </row>
    <row r="2108" spans="34:46" x14ac:dyDescent="0.35">
      <c r="AH2108" t="s">
        <v>204</v>
      </c>
      <c r="AI2108" t="s">
        <v>180</v>
      </c>
      <c r="AJ2108" s="3">
        <v>44924</v>
      </c>
      <c r="AK2108" t="s">
        <v>42</v>
      </c>
      <c r="AL2108" s="1">
        <v>9700</v>
      </c>
      <c r="AM2108" t="s">
        <v>8</v>
      </c>
      <c r="AN2108" t="s">
        <v>8</v>
      </c>
      <c r="AO2108" t="s">
        <v>8</v>
      </c>
      <c r="AP2108" s="1">
        <v>45.3</v>
      </c>
      <c r="AQ2108" t="s">
        <v>8</v>
      </c>
      <c r="AR2108" t="s">
        <v>8</v>
      </c>
      <c r="AS2108" t="s">
        <v>8</v>
      </c>
      <c r="AT2108">
        <v>11591.85</v>
      </c>
    </row>
    <row r="2109" spans="34:46" x14ac:dyDescent="0.35">
      <c r="AH2109" t="s">
        <v>204</v>
      </c>
      <c r="AI2109" t="s">
        <v>180</v>
      </c>
      <c r="AJ2109" s="3">
        <v>43573</v>
      </c>
      <c r="AK2109" t="s">
        <v>42</v>
      </c>
      <c r="AL2109" s="1">
        <v>10750</v>
      </c>
      <c r="AM2109" t="s">
        <v>8</v>
      </c>
      <c r="AN2109" t="s">
        <v>8</v>
      </c>
      <c r="AO2109" t="s">
        <v>8</v>
      </c>
      <c r="AP2109">
        <v>180.7</v>
      </c>
      <c r="AQ2109" t="s">
        <v>8</v>
      </c>
      <c r="AR2109" t="s">
        <v>8</v>
      </c>
      <c r="AS2109" t="s">
        <v>8</v>
      </c>
      <c r="AT2109">
        <v>11591.85</v>
      </c>
    </row>
    <row r="2110" spans="34:46" x14ac:dyDescent="0.35">
      <c r="AH2110" t="s">
        <v>204</v>
      </c>
      <c r="AI2110" t="s">
        <v>180</v>
      </c>
      <c r="AJ2110" s="3">
        <v>44924</v>
      </c>
      <c r="AK2110" t="s">
        <v>42</v>
      </c>
      <c r="AL2110" s="1">
        <v>9900</v>
      </c>
      <c r="AM2110" t="s">
        <v>8</v>
      </c>
      <c r="AN2110" t="s">
        <v>8</v>
      </c>
      <c r="AO2110" t="s">
        <v>8</v>
      </c>
      <c r="AP2110">
        <v>55.6</v>
      </c>
      <c r="AQ2110" t="s">
        <v>8</v>
      </c>
      <c r="AR2110" t="s">
        <v>8</v>
      </c>
      <c r="AS2110" t="s">
        <v>8</v>
      </c>
      <c r="AT2110">
        <v>11591.85</v>
      </c>
    </row>
    <row r="2111" spans="34:46" x14ac:dyDescent="0.35">
      <c r="AH2111" t="s">
        <v>204</v>
      </c>
      <c r="AI2111" t="s">
        <v>180</v>
      </c>
      <c r="AJ2111" s="3">
        <v>43916</v>
      </c>
      <c r="AK2111" t="s">
        <v>42</v>
      </c>
      <c r="AL2111" s="1">
        <v>10000</v>
      </c>
      <c r="AM2111" t="s">
        <v>8</v>
      </c>
      <c r="AN2111" t="s">
        <v>8</v>
      </c>
      <c r="AO2111" t="s">
        <v>8</v>
      </c>
      <c r="AP2111" s="1">
        <v>31.75</v>
      </c>
      <c r="AQ2111" t="s">
        <v>8</v>
      </c>
      <c r="AR2111" t="s">
        <v>8</v>
      </c>
      <c r="AS2111" t="s">
        <v>8</v>
      </c>
      <c r="AT2111">
        <v>11591.85</v>
      </c>
    </row>
    <row r="2112" spans="34:46" x14ac:dyDescent="0.35">
      <c r="AH2112" t="s">
        <v>204</v>
      </c>
      <c r="AI2112" t="s">
        <v>180</v>
      </c>
      <c r="AJ2112" s="3">
        <v>43615</v>
      </c>
      <c r="AK2112" t="s">
        <v>42</v>
      </c>
      <c r="AL2112" s="1">
        <v>11350</v>
      </c>
      <c r="AM2112" t="s">
        <v>8</v>
      </c>
      <c r="AN2112" t="s">
        <v>8</v>
      </c>
      <c r="AO2112" t="s">
        <v>8</v>
      </c>
      <c r="AP2112">
        <v>479.7</v>
      </c>
      <c r="AQ2112" t="s">
        <v>8</v>
      </c>
      <c r="AR2112" t="s">
        <v>8</v>
      </c>
      <c r="AS2112" t="s">
        <v>8</v>
      </c>
      <c r="AT2112">
        <v>11591.85</v>
      </c>
    </row>
    <row r="2113" spans="34:46" x14ac:dyDescent="0.35">
      <c r="AH2113" t="s">
        <v>204</v>
      </c>
      <c r="AI2113" t="s">
        <v>180</v>
      </c>
      <c r="AJ2113" s="3">
        <v>43916</v>
      </c>
      <c r="AK2113" t="s">
        <v>42</v>
      </c>
      <c r="AL2113" s="1">
        <v>10200</v>
      </c>
      <c r="AM2113" t="s">
        <v>8</v>
      </c>
      <c r="AN2113" t="s">
        <v>8</v>
      </c>
      <c r="AO2113" t="s">
        <v>8</v>
      </c>
      <c r="AP2113" s="1">
        <v>44.85</v>
      </c>
      <c r="AQ2113" t="s">
        <v>8</v>
      </c>
      <c r="AR2113" t="s">
        <v>8</v>
      </c>
      <c r="AS2113" t="s">
        <v>8</v>
      </c>
      <c r="AT2113">
        <v>11591.85</v>
      </c>
    </row>
    <row r="2114" spans="34:46" x14ac:dyDescent="0.35">
      <c r="AH2114" t="s">
        <v>204</v>
      </c>
      <c r="AI2114" t="s">
        <v>180</v>
      </c>
      <c r="AJ2114" s="3">
        <v>43566</v>
      </c>
      <c r="AK2114" t="s">
        <v>42</v>
      </c>
      <c r="AL2114" s="1">
        <v>11050</v>
      </c>
      <c r="AM2114" t="s">
        <v>8</v>
      </c>
      <c r="AN2114" t="s">
        <v>8</v>
      </c>
      <c r="AO2114" t="s">
        <v>8</v>
      </c>
      <c r="AP2114" s="1">
        <v>0.35</v>
      </c>
      <c r="AQ2114" t="s">
        <v>8</v>
      </c>
      <c r="AR2114" t="s">
        <v>8</v>
      </c>
      <c r="AS2114" t="s">
        <v>8</v>
      </c>
      <c r="AT2114">
        <v>11591.85</v>
      </c>
    </row>
    <row r="2115" spans="34:46" x14ac:dyDescent="0.35">
      <c r="AH2115" t="s">
        <v>204</v>
      </c>
      <c r="AI2115" t="s">
        <v>180</v>
      </c>
      <c r="AJ2115" s="3">
        <v>43615</v>
      </c>
      <c r="AK2115" t="s">
        <v>42</v>
      </c>
      <c r="AL2115" s="1">
        <v>11550</v>
      </c>
      <c r="AM2115" t="s">
        <v>8</v>
      </c>
      <c r="AN2115" t="s">
        <v>8</v>
      </c>
      <c r="AO2115" t="s">
        <v>8</v>
      </c>
      <c r="AP2115" s="1">
        <v>627.4</v>
      </c>
      <c r="AQ2115" t="s">
        <v>8</v>
      </c>
      <c r="AR2115" t="s">
        <v>8</v>
      </c>
      <c r="AS2115" t="s">
        <v>8</v>
      </c>
      <c r="AT2115">
        <v>11591.85</v>
      </c>
    </row>
    <row r="2116" spans="34:46" x14ac:dyDescent="0.35">
      <c r="AH2116" t="s">
        <v>204</v>
      </c>
      <c r="AI2116" t="s">
        <v>180</v>
      </c>
      <c r="AJ2116" s="3">
        <v>44560</v>
      </c>
      <c r="AK2116" t="s">
        <v>42</v>
      </c>
      <c r="AL2116" s="1">
        <v>6000</v>
      </c>
      <c r="AM2116" t="s">
        <v>8</v>
      </c>
      <c r="AN2116" t="s">
        <v>8</v>
      </c>
      <c r="AO2116" t="s">
        <v>8</v>
      </c>
      <c r="AP2116" s="1">
        <v>42</v>
      </c>
      <c r="AQ2116" t="s">
        <v>8</v>
      </c>
      <c r="AR2116" t="s">
        <v>8</v>
      </c>
      <c r="AS2116" t="s">
        <v>8</v>
      </c>
      <c r="AT2116">
        <v>11591.85</v>
      </c>
    </row>
    <row r="2117" spans="34:46" x14ac:dyDescent="0.35">
      <c r="AH2117" t="s">
        <v>204</v>
      </c>
      <c r="AI2117" t="s">
        <v>180</v>
      </c>
      <c r="AJ2117" s="3">
        <v>43825</v>
      </c>
      <c r="AK2117" t="s">
        <v>41</v>
      </c>
      <c r="AL2117" s="1">
        <v>13700</v>
      </c>
      <c r="AM2117" t="s">
        <v>8</v>
      </c>
      <c r="AN2117" t="s">
        <v>8</v>
      </c>
      <c r="AO2117" t="s">
        <v>8</v>
      </c>
      <c r="AP2117" s="1">
        <v>222.05</v>
      </c>
      <c r="AQ2117" t="s">
        <v>8</v>
      </c>
      <c r="AR2117" t="s">
        <v>8</v>
      </c>
      <c r="AS2117" t="s">
        <v>8</v>
      </c>
      <c r="AT2117">
        <v>11591.85</v>
      </c>
    </row>
    <row r="2118" spans="34:46" x14ac:dyDescent="0.35">
      <c r="AH2118" t="s">
        <v>204</v>
      </c>
      <c r="AI2118" t="s">
        <v>180</v>
      </c>
      <c r="AJ2118" s="3">
        <v>44371</v>
      </c>
      <c r="AK2118" t="s">
        <v>41</v>
      </c>
      <c r="AL2118" s="1">
        <v>11500</v>
      </c>
      <c r="AM2118" t="s">
        <v>8</v>
      </c>
      <c r="AN2118" t="s">
        <v>8</v>
      </c>
      <c r="AO2118" t="s">
        <v>8</v>
      </c>
      <c r="AP2118" s="1" t="s">
        <v>8</v>
      </c>
      <c r="AQ2118" t="s">
        <v>8</v>
      </c>
      <c r="AR2118" t="s">
        <v>8</v>
      </c>
      <c r="AS2118" t="s">
        <v>8</v>
      </c>
      <c r="AT2118">
        <v>11591.85</v>
      </c>
    </row>
    <row r="2119" spans="34:46" x14ac:dyDescent="0.35">
      <c r="AH2119" t="s">
        <v>204</v>
      </c>
      <c r="AI2119" t="s">
        <v>180</v>
      </c>
      <c r="AJ2119" s="3">
        <v>43573</v>
      </c>
      <c r="AK2119" t="s">
        <v>41</v>
      </c>
      <c r="AL2119" s="1">
        <v>12450</v>
      </c>
      <c r="AM2119" t="s">
        <v>8</v>
      </c>
      <c r="AN2119" t="s">
        <v>8</v>
      </c>
      <c r="AO2119" t="s">
        <v>8</v>
      </c>
      <c r="AP2119">
        <v>1</v>
      </c>
      <c r="AQ2119" t="s">
        <v>8</v>
      </c>
      <c r="AR2119" t="s">
        <v>8</v>
      </c>
      <c r="AS2119" t="s">
        <v>8</v>
      </c>
      <c r="AT2119">
        <v>11591.85</v>
      </c>
    </row>
    <row r="2120" spans="34:46" x14ac:dyDescent="0.35">
      <c r="AH2120" t="s">
        <v>204</v>
      </c>
      <c r="AI2120" t="s">
        <v>180</v>
      </c>
      <c r="AJ2120" s="3">
        <v>43825</v>
      </c>
      <c r="AK2120" t="s">
        <v>41</v>
      </c>
      <c r="AL2120" s="1">
        <v>13900</v>
      </c>
      <c r="AM2120" t="s">
        <v>8</v>
      </c>
      <c r="AN2120" t="s">
        <v>8</v>
      </c>
      <c r="AO2120" t="s">
        <v>8</v>
      </c>
      <c r="AP2120" s="1">
        <v>160</v>
      </c>
      <c r="AQ2120" t="s">
        <v>8</v>
      </c>
      <c r="AR2120" t="s">
        <v>8</v>
      </c>
      <c r="AS2120" t="s">
        <v>8</v>
      </c>
      <c r="AT2120">
        <v>11591.85</v>
      </c>
    </row>
    <row r="2121" spans="34:46" x14ac:dyDescent="0.35">
      <c r="AH2121" t="s">
        <v>204</v>
      </c>
      <c r="AI2121" t="s">
        <v>180</v>
      </c>
      <c r="AJ2121" s="3">
        <v>44371</v>
      </c>
      <c r="AK2121" t="s">
        <v>41</v>
      </c>
      <c r="AL2121" s="1">
        <v>11700</v>
      </c>
      <c r="AM2121" t="s">
        <v>8</v>
      </c>
      <c r="AN2121" t="s">
        <v>8</v>
      </c>
      <c r="AO2121" t="s">
        <v>8</v>
      </c>
      <c r="AP2121" s="1" t="s">
        <v>8</v>
      </c>
      <c r="AQ2121" t="s">
        <v>8</v>
      </c>
      <c r="AR2121" t="s">
        <v>8</v>
      </c>
      <c r="AS2121" t="s">
        <v>8</v>
      </c>
      <c r="AT2121">
        <v>11591.85</v>
      </c>
    </row>
    <row r="2122" spans="34:46" x14ac:dyDescent="0.35">
      <c r="AH2122" t="s">
        <v>204</v>
      </c>
      <c r="AI2122" t="s">
        <v>180</v>
      </c>
      <c r="AJ2122" s="3">
        <v>43601</v>
      </c>
      <c r="AK2122" t="s">
        <v>42</v>
      </c>
      <c r="AL2122" s="1">
        <v>12300</v>
      </c>
      <c r="AM2122" t="s">
        <v>8</v>
      </c>
      <c r="AN2122" t="s">
        <v>8</v>
      </c>
      <c r="AO2122" t="s">
        <v>8</v>
      </c>
      <c r="AP2122" s="1">
        <v>831.6</v>
      </c>
      <c r="AQ2122" t="s">
        <v>8</v>
      </c>
      <c r="AR2122" t="s">
        <v>8</v>
      </c>
      <c r="AS2122" t="s">
        <v>8</v>
      </c>
      <c r="AT2122">
        <v>11591.85</v>
      </c>
    </row>
    <row r="2123" spans="34:46" x14ac:dyDescent="0.35">
      <c r="AH2123" t="s">
        <v>204</v>
      </c>
      <c r="AI2123" t="s">
        <v>180</v>
      </c>
      <c r="AJ2123" s="3">
        <v>43573</v>
      </c>
      <c r="AK2123" t="s">
        <v>41</v>
      </c>
      <c r="AL2123" s="1">
        <v>12650</v>
      </c>
      <c r="AM2123" t="s">
        <v>8</v>
      </c>
      <c r="AN2123" t="s">
        <v>8</v>
      </c>
      <c r="AO2123" t="s">
        <v>8</v>
      </c>
      <c r="AP2123" s="1">
        <v>0.5</v>
      </c>
      <c r="AQ2123" t="s">
        <v>8</v>
      </c>
      <c r="AR2123" t="s">
        <v>8</v>
      </c>
      <c r="AS2123" t="s">
        <v>8</v>
      </c>
      <c r="AT2123">
        <v>11591.85</v>
      </c>
    </row>
    <row r="2124" spans="34:46" x14ac:dyDescent="0.35">
      <c r="AH2124" t="s">
        <v>204</v>
      </c>
      <c r="AI2124" t="s">
        <v>180</v>
      </c>
      <c r="AJ2124" s="3">
        <v>43601</v>
      </c>
      <c r="AK2124" t="s">
        <v>42</v>
      </c>
      <c r="AL2124" s="1">
        <v>12500</v>
      </c>
      <c r="AM2124" t="s">
        <v>8</v>
      </c>
      <c r="AN2124" t="s">
        <v>8</v>
      </c>
      <c r="AO2124" t="s">
        <v>8</v>
      </c>
      <c r="AP2124" s="1">
        <v>1013.3</v>
      </c>
      <c r="AQ2124" t="s">
        <v>8</v>
      </c>
      <c r="AR2124" t="s">
        <v>8</v>
      </c>
      <c r="AS2124" t="s">
        <v>8</v>
      </c>
      <c r="AT2124">
        <v>11591.85</v>
      </c>
    </row>
    <row r="2125" spans="34:46" x14ac:dyDescent="0.35">
      <c r="AH2125" t="s">
        <v>204</v>
      </c>
      <c r="AI2125" t="s">
        <v>180</v>
      </c>
      <c r="AJ2125" s="3">
        <v>43573</v>
      </c>
      <c r="AK2125" t="s">
        <v>41</v>
      </c>
      <c r="AL2125" s="1">
        <v>12850</v>
      </c>
      <c r="AM2125" t="s">
        <v>8</v>
      </c>
      <c r="AN2125" t="s">
        <v>8</v>
      </c>
      <c r="AO2125" t="s">
        <v>8</v>
      </c>
      <c r="AP2125">
        <v>0.5</v>
      </c>
      <c r="AQ2125" t="s">
        <v>8</v>
      </c>
      <c r="AR2125" t="s">
        <v>8</v>
      </c>
      <c r="AS2125" t="s">
        <v>8</v>
      </c>
      <c r="AT2125">
        <v>11591.85</v>
      </c>
    </row>
    <row r="2126" spans="34:46" x14ac:dyDescent="0.35">
      <c r="AH2126" t="s">
        <v>204</v>
      </c>
      <c r="AI2126" t="s">
        <v>180</v>
      </c>
      <c r="AJ2126" s="3">
        <v>43622</v>
      </c>
      <c r="AK2126" t="s">
        <v>42</v>
      </c>
      <c r="AL2126" s="1">
        <v>12600</v>
      </c>
      <c r="AM2126" t="s">
        <v>8</v>
      </c>
      <c r="AN2126" t="s">
        <v>8</v>
      </c>
      <c r="AO2126" t="s">
        <v>8</v>
      </c>
      <c r="AP2126">
        <v>874.15</v>
      </c>
      <c r="AQ2126" t="s">
        <v>8</v>
      </c>
      <c r="AR2126" t="s">
        <v>8</v>
      </c>
      <c r="AS2126" t="s">
        <v>8</v>
      </c>
      <c r="AT2126">
        <v>11591.85</v>
      </c>
    </row>
    <row r="2127" spans="34:46" x14ac:dyDescent="0.35">
      <c r="AH2127" t="s">
        <v>204</v>
      </c>
      <c r="AI2127" t="s">
        <v>180</v>
      </c>
      <c r="AJ2127" s="3">
        <v>43601</v>
      </c>
      <c r="AK2127" t="s">
        <v>42</v>
      </c>
      <c r="AL2127" s="1">
        <v>12700</v>
      </c>
      <c r="AM2127" t="s">
        <v>8</v>
      </c>
      <c r="AN2127" t="s">
        <v>8</v>
      </c>
      <c r="AO2127" t="s">
        <v>8</v>
      </c>
      <c r="AP2127" s="1">
        <v>1201.8499999999999</v>
      </c>
      <c r="AQ2127" t="s">
        <v>8</v>
      </c>
      <c r="AR2127" t="s">
        <v>8</v>
      </c>
      <c r="AS2127" t="s">
        <v>8</v>
      </c>
      <c r="AT2127">
        <v>11591.85</v>
      </c>
    </row>
    <row r="2128" spans="34:46" x14ac:dyDescent="0.35">
      <c r="AH2128" t="s">
        <v>204</v>
      </c>
      <c r="AI2128" t="s">
        <v>180</v>
      </c>
      <c r="AJ2128" s="3">
        <v>43566</v>
      </c>
      <c r="AK2128" t="s">
        <v>41</v>
      </c>
      <c r="AL2128" s="1">
        <v>13150</v>
      </c>
      <c r="AM2128" t="s">
        <v>8</v>
      </c>
      <c r="AN2128" t="s">
        <v>8</v>
      </c>
      <c r="AO2128" t="s">
        <v>8</v>
      </c>
      <c r="AP2128">
        <v>0.1</v>
      </c>
      <c r="AQ2128" t="s">
        <v>8</v>
      </c>
      <c r="AR2128" t="s">
        <v>8</v>
      </c>
      <c r="AS2128" t="s">
        <v>8</v>
      </c>
      <c r="AT2128">
        <v>11591.85</v>
      </c>
    </row>
    <row r="2129" spans="34:46" x14ac:dyDescent="0.35">
      <c r="AH2129" t="s">
        <v>204</v>
      </c>
      <c r="AI2129" t="s">
        <v>180</v>
      </c>
      <c r="AJ2129" s="3">
        <v>43622</v>
      </c>
      <c r="AK2129" t="s">
        <v>42</v>
      </c>
      <c r="AL2129" s="1">
        <v>12800</v>
      </c>
      <c r="AM2129" t="s">
        <v>8</v>
      </c>
      <c r="AN2129" t="s">
        <v>8</v>
      </c>
      <c r="AO2129" t="s">
        <v>8</v>
      </c>
      <c r="AP2129" s="1">
        <v>1059.1500000000001</v>
      </c>
      <c r="AQ2129" t="s">
        <v>8</v>
      </c>
      <c r="AR2129" t="s">
        <v>8</v>
      </c>
      <c r="AS2129" t="s">
        <v>8</v>
      </c>
      <c r="AT2129">
        <v>11591.85</v>
      </c>
    </row>
    <row r="2130" spans="34:46" x14ac:dyDescent="0.35">
      <c r="AH2130" t="s">
        <v>204</v>
      </c>
      <c r="AI2130" t="s">
        <v>180</v>
      </c>
      <c r="AJ2130" s="3">
        <v>43573</v>
      </c>
      <c r="AK2130" t="s">
        <v>42</v>
      </c>
      <c r="AL2130" s="1">
        <v>12700</v>
      </c>
      <c r="AM2130" t="s">
        <v>8</v>
      </c>
      <c r="AN2130" t="s">
        <v>8</v>
      </c>
      <c r="AO2130" t="s">
        <v>8</v>
      </c>
      <c r="AP2130" s="1">
        <v>1303.3499999999999</v>
      </c>
      <c r="AQ2130" t="s">
        <v>8</v>
      </c>
      <c r="AR2130" t="s">
        <v>8</v>
      </c>
      <c r="AS2130" t="s">
        <v>8</v>
      </c>
      <c r="AT2130">
        <v>11591.85</v>
      </c>
    </row>
    <row r="2131" spans="34:46" x14ac:dyDescent="0.35">
      <c r="AH2131" t="s">
        <v>204</v>
      </c>
      <c r="AI2131" t="s">
        <v>180</v>
      </c>
      <c r="AJ2131" s="3">
        <v>43573</v>
      </c>
      <c r="AK2131" t="s">
        <v>42</v>
      </c>
      <c r="AL2131" s="1">
        <v>12900</v>
      </c>
      <c r="AM2131" t="s">
        <v>8</v>
      </c>
      <c r="AN2131" t="s">
        <v>8</v>
      </c>
      <c r="AO2131" t="s">
        <v>8</v>
      </c>
      <c r="AP2131" s="1">
        <v>1388.75</v>
      </c>
      <c r="AQ2131" t="s">
        <v>8</v>
      </c>
      <c r="AR2131" t="s">
        <v>8</v>
      </c>
      <c r="AS2131" t="s">
        <v>8</v>
      </c>
      <c r="AT2131">
        <v>11591.85</v>
      </c>
    </row>
    <row r="2132" spans="34:46" x14ac:dyDescent="0.35">
      <c r="AH2132" t="s">
        <v>204</v>
      </c>
      <c r="AI2132" t="s">
        <v>180</v>
      </c>
      <c r="AJ2132" s="3">
        <v>43615</v>
      </c>
      <c r="AK2132" t="s">
        <v>41</v>
      </c>
      <c r="AL2132" s="1">
        <v>9750</v>
      </c>
      <c r="AM2132" t="s">
        <v>8</v>
      </c>
      <c r="AN2132" t="s">
        <v>8</v>
      </c>
      <c r="AO2132" t="s">
        <v>8</v>
      </c>
      <c r="AP2132" s="1">
        <v>1229.5</v>
      </c>
      <c r="AQ2132" t="s">
        <v>8</v>
      </c>
      <c r="AR2132" t="s">
        <v>8</v>
      </c>
      <c r="AS2132" t="s">
        <v>8</v>
      </c>
      <c r="AT2132">
        <v>11591.85</v>
      </c>
    </row>
    <row r="2133" spans="34:46" x14ac:dyDescent="0.35">
      <c r="AH2133" t="s">
        <v>204</v>
      </c>
      <c r="AI2133" t="s">
        <v>180</v>
      </c>
      <c r="AJ2133" s="3">
        <v>43566</v>
      </c>
      <c r="AK2133" t="s">
        <v>42</v>
      </c>
      <c r="AL2133" s="1">
        <v>13000</v>
      </c>
      <c r="AM2133" t="s">
        <v>8</v>
      </c>
      <c r="AN2133" t="s">
        <v>8</v>
      </c>
      <c r="AO2133" t="s">
        <v>8</v>
      </c>
      <c r="AP2133" s="1">
        <v>1408.45</v>
      </c>
      <c r="AQ2133" t="s">
        <v>8</v>
      </c>
      <c r="AR2133" t="s">
        <v>8</v>
      </c>
      <c r="AS2133" t="s">
        <v>8</v>
      </c>
      <c r="AT2133">
        <v>11591.85</v>
      </c>
    </row>
    <row r="2134" spans="34:46" x14ac:dyDescent="0.35">
      <c r="AH2134" t="s">
        <v>204</v>
      </c>
      <c r="AI2134" t="s">
        <v>180</v>
      </c>
      <c r="AJ2134" s="3">
        <v>43643</v>
      </c>
      <c r="AK2134" t="s">
        <v>41</v>
      </c>
      <c r="AL2134" s="1">
        <v>8400</v>
      </c>
      <c r="AM2134" t="s">
        <v>8</v>
      </c>
      <c r="AN2134" t="s">
        <v>8</v>
      </c>
      <c r="AO2134" t="s">
        <v>8</v>
      </c>
      <c r="AP2134" s="1">
        <v>2325.85</v>
      </c>
      <c r="AQ2134" t="s">
        <v>8</v>
      </c>
      <c r="AR2134" t="s">
        <v>8</v>
      </c>
      <c r="AS2134" t="s">
        <v>8</v>
      </c>
      <c r="AT2134">
        <v>11591.85</v>
      </c>
    </row>
    <row r="2135" spans="34:46" x14ac:dyDescent="0.35">
      <c r="AH2135" t="s">
        <v>204</v>
      </c>
      <c r="AI2135" t="s">
        <v>180</v>
      </c>
      <c r="AJ2135" s="3">
        <v>43825</v>
      </c>
      <c r="AK2135" t="s">
        <v>41</v>
      </c>
      <c r="AL2135" s="1">
        <v>8500</v>
      </c>
      <c r="AM2135" t="s">
        <v>8</v>
      </c>
      <c r="AN2135" t="s">
        <v>8</v>
      </c>
      <c r="AO2135" t="s">
        <v>8</v>
      </c>
      <c r="AP2135" t="s">
        <v>8</v>
      </c>
      <c r="AQ2135" t="s">
        <v>8</v>
      </c>
      <c r="AR2135" t="s">
        <v>8</v>
      </c>
      <c r="AS2135" t="s">
        <v>8</v>
      </c>
      <c r="AT2135">
        <v>11591.85</v>
      </c>
    </row>
    <row r="2136" spans="34:46" x14ac:dyDescent="0.35">
      <c r="AH2136" t="s">
        <v>204</v>
      </c>
      <c r="AI2136" t="s">
        <v>180</v>
      </c>
      <c r="AJ2136" s="3">
        <v>43615</v>
      </c>
      <c r="AK2136" t="s">
        <v>41</v>
      </c>
      <c r="AL2136" s="1">
        <v>9950</v>
      </c>
      <c r="AM2136" t="s">
        <v>8</v>
      </c>
      <c r="AN2136" t="s">
        <v>8</v>
      </c>
      <c r="AO2136" t="s">
        <v>8</v>
      </c>
      <c r="AP2136" s="1">
        <v>1041.3499999999999</v>
      </c>
      <c r="AQ2136" t="s">
        <v>8</v>
      </c>
      <c r="AR2136" t="s">
        <v>8</v>
      </c>
      <c r="AS2136" t="s">
        <v>8</v>
      </c>
      <c r="AT2136">
        <v>11591.85</v>
      </c>
    </row>
    <row r="2137" spans="34:46" x14ac:dyDescent="0.35">
      <c r="AH2137" t="s">
        <v>204</v>
      </c>
      <c r="AI2137" t="s">
        <v>180</v>
      </c>
      <c r="AJ2137" s="3">
        <v>43566</v>
      </c>
      <c r="AK2137" t="s">
        <v>42</v>
      </c>
      <c r="AL2137" s="1">
        <v>13200</v>
      </c>
      <c r="AM2137" t="s">
        <v>8</v>
      </c>
      <c r="AN2137" t="s">
        <v>8</v>
      </c>
      <c r="AO2137" t="s">
        <v>8</v>
      </c>
      <c r="AP2137" s="1">
        <v>1464.25</v>
      </c>
      <c r="AQ2137" t="s">
        <v>8</v>
      </c>
      <c r="AR2137" t="s">
        <v>8</v>
      </c>
      <c r="AS2137" t="s">
        <v>8</v>
      </c>
      <c r="AT2137">
        <v>11591.85</v>
      </c>
    </row>
    <row r="2138" spans="34:46" x14ac:dyDescent="0.35">
      <c r="AH2138" t="s">
        <v>204</v>
      </c>
      <c r="AI2138" t="s">
        <v>180</v>
      </c>
      <c r="AJ2138" s="3">
        <v>43643</v>
      </c>
      <c r="AK2138" t="s">
        <v>41</v>
      </c>
      <c r="AL2138" s="1">
        <v>8600</v>
      </c>
      <c r="AM2138" t="s">
        <v>8</v>
      </c>
      <c r="AN2138" t="s">
        <v>8</v>
      </c>
      <c r="AO2138" t="s">
        <v>8</v>
      </c>
      <c r="AP2138" s="1">
        <v>2460</v>
      </c>
      <c r="AQ2138" t="s">
        <v>8</v>
      </c>
      <c r="AR2138" t="s">
        <v>8</v>
      </c>
      <c r="AS2138" t="s">
        <v>8</v>
      </c>
      <c r="AT2138">
        <v>11591.85</v>
      </c>
    </row>
    <row r="2139" spans="34:46" x14ac:dyDescent="0.35">
      <c r="AH2139" t="s">
        <v>204</v>
      </c>
      <c r="AI2139" t="s">
        <v>180</v>
      </c>
      <c r="AJ2139" s="3">
        <v>43601</v>
      </c>
      <c r="AK2139" t="s">
        <v>41</v>
      </c>
      <c r="AL2139" s="1">
        <v>9950</v>
      </c>
      <c r="AM2139" t="s">
        <v>8</v>
      </c>
      <c r="AN2139" t="s">
        <v>8</v>
      </c>
      <c r="AO2139" t="s">
        <v>8</v>
      </c>
      <c r="AP2139" s="1">
        <v>1522.35</v>
      </c>
      <c r="AQ2139" t="s">
        <v>8</v>
      </c>
      <c r="AR2139" t="s">
        <v>8</v>
      </c>
      <c r="AS2139" t="s">
        <v>8</v>
      </c>
      <c r="AT2139">
        <v>11591.85</v>
      </c>
    </row>
    <row r="2140" spans="34:46" x14ac:dyDescent="0.35">
      <c r="AH2140" t="s">
        <v>204</v>
      </c>
      <c r="AI2140" t="s">
        <v>180</v>
      </c>
      <c r="AJ2140" s="3">
        <v>43825</v>
      </c>
      <c r="AK2140" t="s">
        <v>42</v>
      </c>
      <c r="AL2140" s="1">
        <v>7400</v>
      </c>
      <c r="AM2140" t="s">
        <v>8</v>
      </c>
      <c r="AN2140" t="s">
        <v>8</v>
      </c>
      <c r="AO2140" t="s">
        <v>8</v>
      </c>
      <c r="AP2140">
        <v>84</v>
      </c>
      <c r="AQ2140" t="s">
        <v>8</v>
      </c>
      <c r="AR2140" t="s">
        <v>8</v>
      </c>
      <c r="AS2140" t="s">
        <v>8</v>
      </c>
      <c r="AT2140">
        <v>11591.85</v>
      </c>
    </row>
    <row r="2141" spans="34:46" x14ac:dyDescent="0.35">
      <c r="AH2141" t="s">
        <v>204</v>
      </c>
      <c r="AI2141" t="s">
        <v>180</v>
      </c>
      <c r="AJ2141" s="3">
        <v>43825</v>
      </c>
      <c r="AK2141" t="s">
        <v>42</v>
      </c>
      <c r="AL2141" s="1">
        <v>7600</v>
      </c>
      <c r="AM2141" t="s">
        <v>8</v>
      </c>
      <c r="AN2141" t="s">
        <v>8</v>
      </c>
      <c r="AO2141" t="s">
        <v>8</v>
      </c>
      <c r="AP2141">
        <v>60.5</v>
      </c>
      <c r="AQ2141" t="s">
        <v>8</v>
      </c>
      <c r="AR2141" t="s">
        <v>8</v>
      </c>
      <c r="AS2141" t="s">
        <v>8</v>
      </c>
      <c r="AT2141">
        <v>11591.85</v>
      </c>
    </row>
    <row r="2142" spans="34:46" x14ac:dyDescent="0.35">
      <c r="AH2142" t="s">
        <v>204</v>
      </c>
      <c r="AI2142" t="s">
        <v>180</v>
      </c>
      <c r="AJ2142" s="3">
        <v>43643</v>
      </c>
      <c r="AK2142" t="s">
        <v>42</v>
      </c>
      <c r="AL2142" s="1">
        <v>7500</v>
      </c>
      <c r="AM2142" t="s">
        <v>8</v>
      </c>
      <c r="AN2142" t="s">
        <v>8</v>
      </c>
      <c r="AO2142" t="s">
        <v>8</v>
      </c>
      <c r="AP2142">
        <v>6.1</v>
      </c>
      <c r="AQ2142" t="s">
        <v>8</v>
      </c>
      <c r="AR2142" t="s">
        <v>8</v>
      </c>
      <c r="AS2142" t="s">
        <v>8</v>
      </c>
      <c r="AT2142">
        <v>11591.85</v>
      </c>
    </row>
    <row r="2143" spans="34:46" x14ac:dyDescent="0.35">
      <c r="AH2143" t="s">
        <v>204</v>
      </c>
      <c r="AI2143" t="s">
        <v>180</v>
      </c>
      <c r="AJ2143" s="3">
        <v>43643</v>
      </c>
      <c r="AK2143" t="s">
        <v>42</v>
      </c>
      <c r="AL2143" s="1">
        <v>7700</v>
      </c>
      <c r="AM2143" t="s">
        <v>8</v>
      </c>
      <c r="AN2143" t="s">
        <v>8</v>
      </c>
      <c r="AO2143" t="s">
        <v>8</v>
      </c>
      <c r="AP2143">
        <v>43</v>
      </c>
      <c r="AQ2143" t="s">
        <v>8</v>
      </c>
      <c r="AR2143" t="s">
        <v>8</v>
      </c>
      <c r="AS2143" t="s">
        <v>8</v>
      </c>
      <c r="AT2143">
        <v>11591.85</v>
      </c>
    </row>
    <row r="2144" spans="34:46" x14ac:dyDescent="0.35">
      <c r="AH2144" t="s">
        <v>204</v>
      </c>
      <c r="AI2144" t="s">
        <v>180</v>
      </c>
      <c r="AJ2144" s="3">
        <v>43608</v>
      </c>
      <c r="AK2144" t="s">
        <v>42</v>
      </c>
      <c r="AL2144" s="1">
        <v>11150</v>
      </c>
      <c r="AM2144" t="s">
        <v>8</v>
      </c>
      <c r="AN2144" t="s">
        <v>8</v>
      </c>
      <c r="AO2144" t="s">
        <v>8</v>
      </c>
      <c r="AP2144">
        <v>65.7</v>
      </c>
      <c r="AQ2144" t="s">
        <v>8</v>
      </c>
      <c r="AR2144" t="s">
        <v>8</v>
      </c>
      <c r="AS2144" t="s">
        <v>8</v>
      </c>
      <c r="AT2144">
        <v>11591.85</v>
      </c>
    </row>
    <row r="2145" spans="34:46" x14ac:dyDescent="0.35">
      <c r="AH2145" t="s">
        <v>204</v>
      </c>
      <c r="AI2145" t="s">
        <v>180</v>
      </c>
      <c r="AJ2145" s="3">
        <v>43643</v>
      </c>
      <c r="AK2145" t="s">
        <v>42</v>
      </c>
      <c r="AL2145" s="1">
        <v>7900</v>
      </c>
      <c r="AM2145" t="s">
        <v>8</v>
      </c>
      <c r="AN2145" t="s">
        <v>8</v>
      </c>
      <c r="AO2145" t="s">
        <v>8</v>
      </c>
      <c r="AP2145">
        <v>24.3</v>
      </c>
      <c r="AQ2145" t="s">
        <v>8</v>
      </c>
      <c r="AR2145" t="s">
        <v>8</v>
      </c>
      <c r="AS2145" t="s">
        <v>8</v>
      </c>
      <c r="AT2145">
        <v>11591.85</v>
      </c>
    </row>
    <row r="2146" spans="34:46" x14ac:dyDescent="0.35">
      <c r="AH2146" t="s">
        <v>204</v>
      </c>
      <c r="AI2146" t="s">
        <v>180</v>
      </c>
      <c r="AJ2146" s="3">
        <v>44371</v>
      </c>
      <c r="AK2146" t="s">
        <v>42</v>
      </c>
      <c r="AL2146" s="1">
        <v>9000</v>
      </c>
      <c r="AM2146" t="s">
        <v>8</v>
      </c>
      <c r="AN2146" t="s">
        <v>8</v>
      </c>
      <c r="AO2146" t="s">
        <v>8</v>
      </c>
      <c r="AP2146">
        <v>269.85000000000002</v>
      </c>
      <c r="AQ2146" t="s">
        <v>8</v>
      </c>
      <c r="AR2146" t="s">
        <v>8</v>
      </c>
      <c r="AS2146" t="s">
        <v>8</v>
      </c>
      <c r="AT2146">
        <v>11591.85</v>
      </c>
    </row>
    <row r="2147" spans="34:46" x14ac:dyDescent="0.35">
      <c r="AH2147" t="s">
        <v>204</v>
      </c>
      <c r="AI2147" t="s">
        <v>180</v>
      </c>
      <c r="AJ2147" s="3">
        <v>43608</v>
      </c>
      <c r="AK2147" t="s">
        <v>42</v>
      </c>
      <c r="AL2147" s="1">
        <v>11350</v>
      </c>
      <c r="AM2147" t="s">
        <v>8</v>
      </c>
      <c r="AN2147" t="s">
        <v>8</v>
      </c>
      <c r="AO2147" t="s">
        <v>8</v>
      </c>
      <c r="AP2147">
        <v>115.95</v>
      </c>
      <c r="AQ2147" t="s">
        <v>8</v>
      </c>
      <c r="AR2147" t="s">
        <v>8</v>
      </c>
      <c r="AS2147" t="s">
        <v>8</v>
      </c>
      <c r="AT2147">
        <v>11591.85</v>
      </c>
    </row>
    <row r="2148" spans="34:46" x14ac:dyDescent="0.35">
      <c r="AH2148" t="s">
        <v>204</v>
      </c>
      <c r="AI2148" t="s">
        <v>180</v>
      </c>
      <c r="AJ2148" s="3">
        <v>44371</v>
      </c>
      <c r="AK2148" t="s">
        <v>42</v>
      </c>
      <c r="AL2148" s="1">
        <v>9200</v>
      </c>
      <c r="AM2148" t="s">
        <v>8</v>
      </c>
      <c r="AN2148" t="s">
        <v>8</v>
      </c>
      <c r="AO2148" t="s">
        <v>8</v>
      </c>
      <c r="AP2148">
        <v>226</v>
      </c>
      <c r="AQ2148" t="s">
        <v>8</v>
      </c>
      <c r="AR2148" t="s">
        <v>8</v>
      </c>
      <c r="AS2148" t="s">
        <v>8</v>
      </c>
      <c r="AT2148">
        <v>11591.85</v>
      </c>
    </row>
    <row r="2149" spans="34:46" x14ac:dyDescent="0.35">
      <c r="AH2149" t="s">
        <v>204</v>
      </c>
      <c r="AI2149" t="s">
        <v>180</v>
      </c>
      <c r="AJ2149" s="3">
        <v>44371</v>
      </c>
      <c r="AK2149" t="s">
        <v>42</v>
      </c>
      <c r="AL2149" s="1">
        <v>9400</v>
      </c>
      <c r="AM2149" t="s">
        <v>8</v>
      </c>
      <c r="AN2149" t="s">
        <v>8</v>
      </c>
      <c r="AO2149" t="s">
        <v>8</v>
      </c>
      <c r="AP2149">
        <v>454.6</v>
      </c>
      <c r="AQ2149" t="s">
        <v>8</v>
      </c>
      <c r="AR2149" t="s">
        <v>8</v>
      </c>
      <c r="AS2149" t="s">
        <v>8</v>
      </c>
      <c r="AT2149">
        <v>11591.85</v>
      </c>
    </row>
  </sheetData>
  <customSheetViews>
    <customSheetView guid="{D12DFD61-4B7F-43F1-B07E-A848E00A354C}" state="hidden" topLeftCell="C5">
      <selection activeCell="U5" sqref="U5"/>
      <pageMargins left="0.7" right="0.7" top="0.75" bottom="0.75" header="0.3" footer="0.3"/>
      <pageSetup paperSize="9" orientation="portrait" horizontalDpi="300" verticalDpi="300" r:id="rId1"/>
    </customSheetView>
  </customSheetViews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C107"/>
  <sheetViews>
    <sheetView workbookViewId="0">
      <selection activeCell="G6" sqref="G6"/>
    </sheetView>
  </sheetViews>
  <sheetFormatPr defaultColWidth="16.26953125" defaultRowHeight="18.75" customHeight="1" x14ac:dyDescent="0.35"/>
  <cols>
    <col min="1" max="1" width="15.81640625" customWidth="1"/>
    <col min="5" max="5" width="15.1796875" customWidth="1"/>
    <col min="6" max="6" width="14.453125" customWidth="1"/>
    <col min="7" max="7" width="16.26953125" customWidth="1"/>
    <col min="12" max="20" width="16.26953125" style="16"/>
  </cols>
  <sheetData>
    <row r="1" spans="1:20" ht="18.75" customHeight="1" thickTop="1" thickBot="1" x14ac:dyDescent="0.4">
      <c r="A1" s="20"/>
      <c r="B1" s="21"/>
      <c r="C1" s="21"/>
      <c r="D1" s="759" t="str">
        <f>Sheet51!G1</f>
        <v>-</v>
      </c>
      <c r="E1" s="759"/>
      <c r="F1" s="759"/>
      <c r="G1" s="759"/>
      <c r="H1" s="759"/>
      <c r="I1" s="127" t="s">
        <v>29</v>
      </c>
      <c r="J1" s="224">
        <f ca="1">NOW()</f>
        <v>43615.786170601852</v>
      </c>
      <c r="K1" s="180">
        <f ca="1">NOW()</f>
        <v>43615.786170601852</v>
      </c>
      <c r="L1" s="134"/>
      <c r="M1" s="134"/>
      <c r="N1" s="134"/>
      <c r="O1" s="120"/>
      <c r="P1" s="120"/>
      <c r="Q1" s="120"/>
      <c r="R1" s="120"/>
      <c r="S1" s="120"/>
      <c r="T1" s="120"/>
    </row>
    <row r="2" spans="1:20" ht="18.75" customHeight="1" thickTop="1" x14ac:dyDescent="0.5">
      <c r="A2" s="22" t="s">
        <v>30</v>
      </c>
      <c r="B2" s="23">
        <f>Sheet51!B1</f>
        <v>11945.9</v>
      </c>
      <c r="C2" s="24"/>
      <c r="D2" s="760"/>
      <c r="E2" s="760"/>
      <c r="F2" s="760"/>
      <c r="G2" s="760"/>
      <c r="H2" s="760"/>
      <c r="I2" s="763" t="s">
        <v>31</v>
      </c>
      <c r="J2" s="763"/>
      <c r="K2" s="78">
        <f ca="1">Sheet51!G71</f>
        <v>11900</v>
      </c>
      <c r="L2" s="134"/>
      <c r="M2" s="134"/>
      <c r="N2" s="134"/>
      <c r="O2" s="123"/>
      <c r="P2" s="124"/>
      <c r="Q2" s="120"/>
      <c r="R2" s="120"/>
      <c r="S2" s="120"/>
      <c r="T2" s="120"/>
    </row>
    <row r="3" spans="1:20" ht="18.75" customHeight="1" x14ac:dyDescent="0.5">
      <c r="A3" s="28" t="s">
        <v>54</v>
      </c>
      <c r="B3" s="28" t="s">
        <v>14</v>
      </c>
      <c r="C3" s="28" t="s">
        <v>142</v>
      </c>
      <c r="D3" s="28" t="s">
        <v>32</v>
      </c>
      <c r="E3" s="148"/>
      <c r="F3" s="148"/>
      <c r="G3" s="148"/>
      <c r="H3" s="155" t="s">
        <v>54</v>
      </c>
      <c r="I3" s="155" t="s">
        <v>14</v>
      </c>
      <c r="J3" s="155" t="s">
        <v>141</v>
      </c>
      <c r="K3" s="28" t="s">
        <v>143</v>
      </c>
      <c r="L3" s="122"/>
      <c r="M3" s="122"/>
      <c r="N3" s="122"/>
      <c r="O3" s="123"/>
      <c r="P3" s="124"/>
      <c r="Q3" s="128"/>
      <c r="R3" s="128"/>
      <c r="S3" s="129"/>
      <c r="T3" s="120"/>
    </row>
    <row r="4" spans="1:20" ht="18.75" customHeight="1" x14ac:dyDescent="0.5">
      <c r="A4" s="149" t="s">
        <v>139</v>
      </c>
      <c r="B4" s="150">
        <f ca="1">MAIN!C5</f>
        <v>11900</v>
      </c>
      <c r="C4" s="151">
        <f ca="1">MAIN!E5</f>
        <v>-2377800</v>
      </c>
      <c r="D4" s="150" t="s">
        <v>144</v>
      </c>
      <c r="E4" s="765" t="str">
        <f ca="1">MAIN!H3</f>
        <v>WEAK BULL</v>
      </c>
      <c r="F4" s="766"/>
      <c r="G4" s="767"/>
      <c r="H4" s="152" t="s">
        <v>139</v>
      </c>
      <c r="I4" s="152">
        <f ca="1">MAIN!L5</f>
        <v>12000</v>
      </c>
      <c r="J4" s="153">
        <f ca="1">MAIN!N5</f>
        <v>3645450</v>
      </c>
      <c r="K4" s="154" t="s">
        <v>144</v>
      </c>
      <c r="L4" s="122"/>
      <c r="M4" s="122"/>
      <c r="N4" s="122"/>
      <c r="O4" s="123"/>
      <c r="P4" s="124"/>
      <c r="Q4" s="128"/>
      <c r="R4" s="128"/>
      <c r="S4" s="129"/>
      <c r="T4" s="120"/>
    </row>
    <row r="5" spans="1:20" ht="18.75" customHeight="1" x14ac:dyDescent="0.5">
      <c r="A5" s="140" t="s">
        <v>140</v>
      </c>
      <c r="B5" s="135">
        <f ca="1">MAIN!C6</f>
        <v>11900</v>
      </c>
      <c r="C5" s="136">
        <f ca="1">MAIN!E6</f>
        <v>1984500</v>
      </c>
      <c r="D5" s="139" t="str">
        <f ca="1">MAIN!E7</f>
        <v>SELL</v>
      </c>
      <c r="E5" s="765"/>
      <c r="F5" s="766"/>
      <c r="G5" s="767"/>
      <c r="H5" s="137" t="s">
        <v>140</v>
      </c>
      <c r="I5" s="137">
        <f ca="1">MAIN!L6</f>
        <v>11000</v>
      </c>
      <c r="J5" s="138">
        <f ca="1">MAIN!N6</f>
        <v>3292500</v>
      </c>
      <c r="K5" s="141" t="str">
        <f ca="1">MAIN!N7</f>
        <v>SELL</v>
      </c>
      <c r="L5" s="122"/>
      <c r="M5" s="122"/>
      <c r="N5" s="122"/>
      <c r="O5" s="123"/>
      <c r="P5" s="124"/>
      <c r="Q5" s="128"/>
      <c r="R5" s="128"/>
      <c r="S5" s="129"/>
      <c r="T5" s="120"/>
    </row>
    <row r="6" spans="1:20" ht="18.75" customHeight="1" x14ac:dyDescent="0.5">
      <c r="A6" s="143"/>
      <c r="B6" s="144"/>
      <c r="C6" s="145"/>
      <c r="D6" s="146"/>
      <c r="E6" s="146"/>
      <c r="F6" s="146"/>
      <c r="G6" s="146"/>
      <c r="H6" s="146"/>
      <c r="I6" s="146"/>
      <c r="J6" s="146"/>
      <c r="K6" s="147"/>
      <c r="L6" s="122"/>
      <c r="M6" s="122"/>
      <c r="N6" s="122"/>
      <c r="O6" s="123"/>
      <c r="P6" s="124"/>
      <c r="Q6" s="128"/>
      <c r="R6" s="128"/>
      <c r="S6" s="129"/>
      <c r="T6" s="120"/>
    </row>
    <row r="7" spans="1:20" ht="18.75" customHeight="1" x14ac:dyDescent="0.35">
      <c r="A7" s="158" t="s">
        <v>46</v>
      </c>
      <c r="B7" s="159" t="s">
        <v>47</v>
      </c>
      <c r="C7" s="159" t="s">
        <v>48</v>
      </c>
      <c r="D7" s="159" t="s">
        <v>138</v>
      </c>
      <c r="E7" s="159" t="s">
        <v>135</v>
      </c>
      <c r="F7" s="741" t="s">
        <v>45</v>
      </c>
      <c r="G7" s="159" t="s">
        <v>50</v>
      </c>
      <c r="H7" s="159" t="s">
        <v>136</v>
      </c>
      <c r="I7" s="159" t="s">
        <v>2</v>
      </c>
      <c r="J7" s="159" t="s">
        <v>137</v>
      </c>
      <c r="K7" s="181" t="s">
        <v>53</v>
      </c>
      <c r="L7" s="130"/>
      <c r="M7" s="743"/>
      <c r="N7" s="743"/>
      <c r="O7" s="743"/>
      <c r="P7" s="743"/>
      <c r="Q7" s="743"/>
      <c r="R7" s="743"/>
      <c r="S7" s="131"/>
      <c r="T7" s="120"/>
    </row>
    <row r="8" spans="1:20" ht="18.75" customHeight="1" x14ac:dyDescent="0.35">
      <c r="A8" s="160" t="str">
        <f>MAIN!C10</f>
        <v/>
      </c>
      <c r="B8" s="161" t="str">
        <f>MAIN!D10</f>
        <v/>
      </c>
      <c r="C8" s="162" t="str">
        <f>MAIN!E10</f>
        <v/>
      </c>
      <c r="D8" s="162" t="str">
        <f>MAIN!F10</f>
        <v/>
      </c>
      <c r="E8" s="162" t="e">
        <f>D8-G8</f>
        <v>#VALUE!</v>
      </c>
      <c r="F8" s="741"/>
      <c r="G8" s="161" t="str">
        <f>MAIN!L10</f>
        <v/>
      </c>
      <c r="H8" s="159" t="str">
        <f>MAIN!M10</f>
        <v/>
      </c>
      <c r="I8" s="182" t="str">
        <f>MAIN!O10</f>
        <v/>
      </c>
      <c r="J8" s="161" t="str">
        <f>MAIN!Q10</f>
        <v/>
      </c>
      <c r="K8" s="183" t="str">
        <f>MAIN!S10</f>
        <v/>
      </c>
      <c r="L8" s="132"/>
      <c r="M8" s="743"/>
      <c r="N8" s="743"/>
      <c r="O8" s="744"/>
      <c r="P8" s="744"/>
      <c r="Q8" s="742"/>
      <c r="R8" s="742"/>
      <c r="S8" s="133"/>
      <c r="T8" s="120"/>
    </row>
    <row r="9" spans="1:20" ht="18.75" customHeight="1" x14ac:dyDescent="0.35">
      <c r="A9" s="35"/>
      <c r="B9" s="36"/>
      <c r="C9" s="36"/>
      <c r="D9" s="36"/>
      <c r="E9" s="38"/>
      <c r="F9" s="36"/>
      <c r="G9" s="36"/>
      <c r="H9" s="36"/>
      <c r="I9" s="36"/>
      <c r="J9" s="36"/>
      <c r="K9" s="142"/>
      <c r="L9" s="125"/>
      <c r="M9" s="125"/>
      <c r="N9" s="125"/>
      <c r="O9" s="125"/>
      <c r="P9" s="125"/>
      <c r="Q9" s="125"/>
      <c r="R9" s="125"/>
      <c r="S9" s="125"/>
      <c r="T9" s="120"/>
    </row>
    <row r="10" spans="1:20" ht="18.75" customHeight="1" x14ac:dyDescent="0.35">
      <c r="A10" s="184"/>
      <c r="B10" s="185"/>
      <c r="C10" s="185"/>
      <c r="D10" s="185"/>
      <c r="E10" s="764" t="s">
        <v>134</v>
      </c>
      <c r="F10" s="764"/>
      <c r="G10" s="764"/>
      <c r="H10" s="185"/>
      <c r="I10" s="185"/>
      <c r="J10" s="185"/>
      <c r="K10" s="186"/>
      <c r="L10" s="115"/>
      <c r="M10" s="115"/>
      <c r="N10" s="115"/>
      <c r="O10" s="115"/>
      <c r="P10" s="115"/>
      <c r="Q10" s="115"/>
      <c r="R10" s="115"/>
      <c r="S10" s="115"/>
    </row>
    <row r="11" spans="1:20" ht="18.75" customHeight="1" x14ac:dyDescent="0.35">
      <c r="A11" s="184"/>
      <c r="B11" s="185"/>
      <c r="C11" s="185"/>
      <c r="D11" s="185"/>
      <c r="E11" s="764"/>
      <c r="F11" s="764"/>
      <c r="G11" s="764"/>
      <c r="H11" s="185"/>
      <c r="I11" s="185"/>
      <c r="J11" s="185"/>
      <c r="K11" s="186"/>
      <c r="L11" s="115"/>
      <c r="M11" s="115"/>
      <c r="N11" s="115"/>
      <c r="O11" s="115"/>
      <c r="P11" s="115"/>
      <c r="Q11" s="115"/>
      <c r="R11" s="115"/>
      <c r="S11" s="115"/>
    </row>
    <row r="12" spans="1:20" ht="18.75" customHeight="1" x14ac:dyDescent="0.35">
      <c r="A12" s="187" t="s">
        <v>112</v>
      </c>
      <c r="B12" s="188" t="s">
        <v>111</v>
      </c>
      <c r="C12" s="189" t="s">
        <v>110</v>
      </c>
      <c r="D12" s="188" t="s">
        <v>109</v>
      </c>
      <c r="E12" s="188" t="s">
        <v>108</v>
      </c>
      <c r="F12" s="190" t="s">
        <v>45</v>
      </c>
      <c r="G12" s="189" t="s">
        <v>118</v>
      </c>
      <c r="H12" s="188" t="s">
        <v>119</v>
      </c>
      <c r="I12" s="188" t="s">
        <v>120</v>
      </c>
      <c r="J12" s="188" t="s">
        <v>121</v>
      </c>
      <c r="K12" s="191" t="s">
        <v>122</v>
      </c>
      <c r="L12" s="120"/>
      <c r="M12" s="120"/>
      <c r="N12" s="117"/>
      <c r="O12" s="120"/>
      <c r="P12" s="117"/>
      <c r="Q12" s="120"/>
      <c r="R12" s="117"/>
      <c r="S12" s="120"/>
    </row>
    <row r="13" spans="1:20" ht="18.75" customHeight="1" x14ac:dyDescent="0.35">
      <c r="A13" s="192">
        <f>F13+2.618*AA105</f>
        <v>11840.8477</v>
      </c>
      <c r="B13" s="193">
        <f>F13+1.618*AA105</f>
        <v>11768.197700000001</v>
      </c>
      <c r="C13" s="194">
        <f>F13+AA105</f>
        <v>11723.300000000001</v>
      </c>
      <c r="D13" s="193">
        <f>F13+0.618*AA105</f>
        <v>11695.547700000001</v>
      </c>
      <c r="E13" s="193">
        <f>(F13+AA105/2)-AA107</f>
        <v>11678.983500000002</v>
      </c>
      <c r="F13" s="761">
        <f>(E100+G100+I100)/3</f>
        <v>11650.650000000001</v>
      </c>
      <c r="G13" s="194">
        <f>(F13-AA105/2)+AA107</f>
        <v>11622.316500000001</v>
      </c>
      <c r="H13" s="193">
        <f>F13-0.618*AA105</f>
        <v>11605.752300000002</v>
      </c>
      <c r="I13" s="193">
        <f>F13-AA105</f>
        <v>11578.000000000002</v>
      </c>
      <c r="J13" s="193">
        <f>F13-1.618*AA105</f>
        <v>11533.102300000002</v>
      </c>
      <c r="K13" s="195">
        <f>F13-2.618*AA105</f>
        <v>11460.452300000003</v>
      </c>
      <c r="L13" s="120"/>
      <c r="M13" s="120"/>
      <c r="N13" s="118"/>
      <c r="O13" s="120"/>
      <c r="P13" s="118"/>
      <c r="Q13" s="120"/>
      <c r="R13" s="118"/>
      <c r="S13" s="120"/>
    </row>
    <row r="14" spans="1:20" ht="18.75" customHeight="1" x14ac:dyDescent="0.35">
      <c r="A14" s="196">
        <f>(A13+B13)/2</f>
        <v>11804.522700000001</v>
      </c>
      <c r="B14" s="197">
        <f>(B13+C13)/2</f>
        <v>11745.74885</v>
      </c>
      <c r="C14" s="30">
        <f>(C13+D13)/2</f>
        <v>11709.423850000001</v>
      </c>
      <c r="D14" s="197">
        <f>(D13+E13)/2</f>
        <v>11687.265600000002</v>
      </c>
      <c r="E14" s="197">
        <f>(E13+F13)/2</f>
        <v>11664.816750000002</v>
      </c>
      <c r="F14" s="762"/>
      <c r="G14" s="30">
        <f>(F13+G13)/2</f>
        <v>11636.483250000001</v>
      </c>
      <c r="H14" s="197">
        <f>(G13+H13)/2</f>
        <v>11614.0344</v>
      </c>
      <c r="I14" s="197">
        <f>(H13+I13)/2</f>
        <v>11591.876150000002</v>
      </c>
      <c r="J14" s="197">
        <f>(I13+J13)/2</f>
        <v>11555.551150000003</v>
      </c>
      <c r="K14" s="198">
        <f>(J13+K13)/2</f>
        <v>11496.777300000002</v>
      </c>
      <c r="L14" s="120"/>
      <c r="M14" s="120"/>
      <c r="N14" s="119"/>
      <c r="O14" s="120"/>
      <c r="P14" s="119"/>
      <c r="Q14" s="120"/>
      <c r="R14" s="119"/>
      <c r="S14" s="120"/>
    </row>
    <row r="15" spans="1:20" ht="18.75" customHeight="1" x14ac:dyDescent="0.35">
      <c r="A15" s="199" t="s">
        <v>117</v>
      </c>
      <c r="B15" s="200" t="s">
        <v>116</v>
      </c>
      <c r="C15" s="201" t="s">
        <v>115</v>
      </c>
      <c r="D15" s="200" t="s">
        <v>114</v>
      </c>
      <c r="E15" s="200" t="s">
        <v>113</v>
      </c>
      <c r="F15" s="190" t="s">
        <v>107</v>
      </c>
      <c r="G15" s="201" t="s">
        <v>123</v>
      </c>
      <c r="H15" s="200" t="s">
        <v>124</v>
      </c>
      <c r="I15" s="200" t="s">
        <v>125</v>
      </c>
      <c r="J15" s="200" t="s">
        <v>126</v>
      </c>
      <c r="K15" s="202" t="s">
        <v>127</v>
      </c>
      <c r="L15" s="115"/>
      <c r="M15" s="115"/>
      <c r="N15" s="115"/>
      <c r="O15" s="115"/>
      <c r="P15" s="115"/>
      <c r="Q15" s="115"/>
      <c r="R15" s="115"/>
      <c r="S15" s="115"/>
    </row>
    <row r="16" spans="1:20" ht="18.75" customHeight="1" x14ac:dyDescent="0.35">
      <c r="A16" s="203"/>
      <c r="B16" s="203"/>
      <c r="C16" s="203"/>
      <c r="D16" s="203"/>
      <c r="E16" s="203"/>
      <c r="F16" s="203"/>
      <c r="G16" s="203"/>
      <c r="H16" s="203"/>
      <c r="I16" s="203"/>
      <c r="J16" s="203"/>
      <c r="K16" s="203"/>
      <c r="L16" s="120"/>
      <c r="M16" s="120"/>
      <c r="N16" s="116"/>
      <c r="O16" s="120"/>
      <c r="P16" s="116"/>
      <c r="Q16" s="120"/>
      <c r="R16" s="116"/>
      <c r="S16" s="120"/>
    </row>
    <row r="17" spans="1:19" ht="18.75" customHeight="1" x14ac:dyDescent="0.35">
      <c r="A17" s="187" t="s">
        <v>112</v>
      </c>
      <c r="B17" s="188" t="s">
        <v>111</v>
      </c>
      <c r="C17" s="189" t="s">
        <v>110</v>
      </c>
      <c r="D17" s="188" t="s">
        <v>109</v>
      </c>
      <c r="E17" s="188" t="s">
        <v>108</v>
      </c>
      <c r="F17" s="190" t="s">
        <v>89</v>
      </c>
      <c r="G17" s="189" t="s">
        <v>118</v>
      </c>
      <c r="H17" s="188" t="s">
        <v>119</v>
      </c>
      <c r="I17" s="188" t="s">
        <v>120</v>
      </c>
      <c r="J17" s="188" t="s">
        <v>121</v>
      </c>
      <c r="K17" s="191" t="s">
        <v>122</v>
      </c>
      <c r="L17" s="120"/>
      <c r="M17" s="120"/>
      <c r="N17" s="117"/>
      <c r="O17" s="120"/>
      <c r="P17" s="117"/>
      <c r="Q17" s="120"/>
      <c r="R17" s="117"/>
      <c r="S17" s="120"/>
    </row>
    <row r="18" spans="1:19" ht="18.75" customHeight="1" x14ac:dyDescent="0.35">
      <c r="A18" s="192">
        <f>F18+2.618*AA104</f>
        <v>11832.177233333337</v>
      </c>
      <c r="B18" s="193">
        <f>F18+1.618*AA104</f>
        <v>11753.627233333336</v>
      </c>
      <c r="C18" s="194">
        <f>F18+AA104</f>
        <v>11705.083333333336</v>
      </c>
      <c r="D18" s="193">
        <f>F18+0.618*AA104</f>
        <v>11675.077233333335</v>
      </c>
      <c r="E18" s="193">
        <f>(F18+AA104/2)-AA106</f>
        <v>11657.167833333335</v>
      </c>
      <c r="F18" s="761">
        <f>(E102+G102+I102)/3</f>
        <v>11626.533333333335</v>
      </c>
      <c r="G18" s="194">
        <f>(F18-AA104/2)+AA106</f>
        <v>11595.898833333335</v>
      </c>
      <c r="H18" s="193">
        <f>F18-0.618*AA104</f>
        <v>11577.989433333334</v>
      </c>
      <c r="I18" s="193">
        <f>F18-AA104</f>
        <v>11547.983333333334</v>
      </c>
      <c r="J18" s="193">
        <f>F18-1.618*AA104</f>
        <v>11499.439433333333</v>
      </c>
      <c r="K18" s="195">
        <f>F18-2.618*AA104</f>
        <v>11420.889433333332</v>
      </c>
      <c r="L18" s="120"/>
      <c r="M18" s="120"/>
      <c r="N18" s="118"/>
      <c r="O18" s="120"/>
      <c r="P18" s="118"/>
      <c r="Q18" s="120"/>
      <c r="R18" s="118"/>
      <c r="S18" s="120"/>
    </row>
    <row r="19" spans="1:19" ht="18.75" customHeight="1" x14ac:dyDescent="0.35">
      <c r="A19" s="196">
        <f>(A18+B18)/2</f>
        <v>11792.902233333338</v>
      </c>
      <c r="B19" s="197">
        <f>(B18+C18)/2</f>
        <v>11729.355283333336</v>
      </c>
      <c r="C19" s="30">
        <f>(C18+D18)/2</f>
        <v>11690.080283333336</v>
      </c>
      <c r="D19" s="197">
        <f>(D18+E18)/2</f>
        <v>11666.122533333335</v>
      </c>
      <c r="E19" s="197">
        <f>(E18+F18)/2</f>
        <v>11641.850583333335</v>
      </c>
      <c r="F19" s="762"/>
      <c r="G19" s="30">
        <f>(F18+G18)/2</f>
        <v>11611.216083333335</v>
      </c>
      <c r="H19" s="197">
        <f>(G18+H18)/2</f>
        <v>11586.944133333334</v>
      </c>
      <c r="I19" s="197">
        <f>(H18+I18)/2</f>
        <v>11562.986383333333</v>
      </c>
      <c r="J19" s="197">
        <f>(I18+J18)/2</f>
        <v>11523.711383333333</v>
      </c>
      <c r="K19" s="198">
        <f>(J18+K18)/2</f>
        <v>11460.164433333332</v>
      </c>
      <c r="L19" s="120"/>
      <c r="M19" s="120"/>
      <c r="N19" s="119"/>
      <c r="O19" s="120"/>
      <c r="P19" s="119"/>
      <c r="Q19" s="120"/>
      <c r="R19" s="119"/>
      <c r="S19" s="120"/>
    </row>
    <row r="20" spans="1:19" ht="18.75" customHeight="1" x14ac:dyDescent="0.35">
      <c r="A20" s="199" t="s">
        <v>117</v>
      </c>
      <c r="B20" s="200" t="s">
        <v>116</v>
      </c>
      <c r="C20" s="201" t="s">
        <v>115</v>
      </c>
      <c r="D20" s="200" t="s">
        <v>114</v>
      </c>
      <c r="E20" s="200" t="s">
        <v>113</v>
      </c>
      <c r="F20" s="190" t="s">
        <v>107</v>
      </c>
      <c r="G20" s="201" t="s">
        <v>123</v>
      </c>
      <c r="H20" s="200" t="s">
        <v>124</v>
      </c>
      <c r="I20" s="200" t="s">
        <v>125</v>
      </c>
      <c r="J20" s="200" t="s">
        <v>126</v>
      </c>
      <c r="K20" s="202" t="s">
        <v>127</v>
      </c>
      <c r="L20" s="115"/>
      <c r="M20" s="115"/>
      <c r="N20" s="115"/>
      <c r="O20" s="115"/>
      <c r="P20" s="115"/>
      <c r="Q20" s="115"/>
      <c r="R20" s="115"/>
      <c r="S20" s="115"/>
    </row>
    <row r="21" spans="1:19" ht="18.75" customHeight="1" x14ac:dyDescent="0.35">
      <c r="A21" s="203"/>
      <c r="B21" s="203"/>
      <c r="C21" s="203"/>
      <c r="D21" s="203"/>
      <c r="E21" s="203"/>
      <c r="F21" s="203"/>
      <c r="G21" s="203"/>
      <c r="H21" s="203"/>
      <c r="I21" s="203"/>
      <c r="J21" s="203"/>
      <c r="K21" s="203"/>
      <c r="L21" s="115"/>
      <c r="M21" s="115"/>
      <c r="N21" s="115"/>
      <c r="O21" s="115"/>
      <c r="P21" s="115"/>
      <c r="Q21" s="115"/>
      <c r="R21" s="115"/>
      <c r="S21" s="115"/>
    </row>
    <row r="22" spans="1:19" ht="18.75" customHeight="1" x14ac:dyDescent="0.35">
      <c r="A22" s="203"/>
      <c r="B22" s="203"/>
      <c r="C22" s="203"/>
      <c r="D22" s="203"/>
      <c r="E22" s="203"/>
      <c r="F22" s="203"/>
      <c r="G22" s="203"/>
      <c r="H22" s="203"/>
      <c r="I22" s="203"/>
      <c r="J22" s="203"/>
      <c r="K22" s="203"/>
      <c r="L22" s="115"/>
      <c r="M22" s="115"/>
      <c r="N22" s="115"/>
      <c r="O22" s="115"/>
      <c r="P22" s="115"/>
      <c r="Q22" s="115"/>
      <c r="R22" s="115"/>
      <c r="S22" s="115"/>
    </row>
    <row r="23" spans="1:19" ht="18.75" customHeight="1" x14ac:dyDescent="0.35">
      <c r="A23" s="203"/>
      <c r="B23" s="203"/>
      <c r="C23" s="203"/>
      <c r="D23" s="203"/>
      <c r="E23" s="203"/>
      <c r="F23" s="203"/>
      <c r="G23" s="203"/>
      <c r="H23" s="203"/>
      <c r="I23" s="203"/>
      <c r="J23" s="203"/>
      <c r="K23" s="203"/>
      <c r="L23" s="115"/>
      <c r="M23" s="115"/>
      <c r="N23" s="115"/>
      <c r="O23" s="115"/>
      <c r="P23" s="115"/>
      <c r="Q23" s="115"/>
      <c r="R23" s="115"/>
      <c r="S23" s="115"/>
    </row>
    <row r="24" spans="1:19" ht="18.75" customHeight="1" x14ac:dyDescent="0.35">
      <c r="A24" s="203"/>
      <c r="B24" s="203"/>
      <c r="C24" s="203"/>
      <c r="D24" s="203"/>
      <c r="E24" s="203"/>
      <c r="F24" s="203"/>
      <c r="G24" s="203"/>
      <c r="H24" s="203"/>
      <c r="I24" s="203"/>
      <c r="J24" s="203"/>
      <c r="K24" s="203"/>
      <c r="L24" s="115"/>
      <c r="M24" s="115"/>
      <c r="N24" s="115"/>
      <c r="O24" s="115"/>
      <c r="P24" s="115"/>
      <c r="Q24" s="115"/>
      <c r="R24" s="115"/>
      <c r="S24" s="115"/>
    </row>
    <row r="25" spans="1:19" ht="18.75" customHeight="1" x14ac:dyDescent="0.35">
      <c r="A25" s="203"/>
      <c r="B25" s="203"/>
      <c r="C25" s="203"/>
      <c r="D25" s="203"/>
      <c r="E25" s="203"/>
      <c r="F25" s="203"/>
      <c r="G25" s="203"/>
      <c r="H25" s="203"/>
      <c r="I25" s="203"/>
      <c r="J25" s="203"/>
      <c r="K25" s="203"/>
      <c r="L25" s="115"/>
      <c r="M25" s="115"/>
      <c r="N25" s="115"/>
      <c r="O25" s="115"/>
      <c r="P25" s="115"/>
      <c r="Q25" s="115"/>
      <c r="R25" s="115"/>
      <c r="S25" s="115"/>
    </row>
    <row r="26" spans="1:19" ht="18.75" customHeight="1" x14ac:dyDescent="0.35">
      <c r="A26" s="203"/>
      <c r="B26" s="203"/>
      <c r="C26" s="203"/>
      <c r="D26" s="203"/>
      <c r="E26" s="203"/>
      <c r="F26" s="203"/>
      <c r="G26" s="203"/>
      <c r="H26" s="203"/>
      <c r="I26" s="203"/>
      <c r="J26" s="203"/>
      <c r="K26" s="203"/>
      <c r="L26" s="115"/>
      <c r="M26" s="115"/>
      <c r="N26" s="115"/>
      <c r="O26" s="115"/>
      <c r="P26" s="115"/>
      <c r="Q26" s="115"/>
      <c r="R26" s="115"/>
      <c r="S26" s="115"/>
    </row>
    <row r="27" spans="1:19" ht="18.75" customHeight="1" x14ac:dyDescent="0.35">
      <c r="A27" s="203"/>
      <c r="B27" s="203"/>
      <c r="C27" s="203"/>
      <c r="D27" s="203"/>
      <c r="E27" s="203"/>
      <c r="F27" s="203"/>
      <c r="G27" s="203"/>
      <c r="H27" s="203"/>
      <c r="I27" s="203"/>
      <c r="J27" s="203"/>
      <c r="K27" s="203"/>
      <c r="L27" s="115"/>
      <c r="M27" s="115"/>
      <c r="N27" s="115"/>
      <c r="O27" s="115"/>
      <c r="P27" s="115"/>
      <c r="Q27" s="115"/>
      <c r="R27" s="115"/>
      <c r="S27" s="115"/>
    </row>
    <row r="28" spans="1:19" ht="18.75" customHeight="1" x14ac:dyDescent="0.35">
      <c r="A28" s="203"/>
      <c r="B28" s="203"/>
      <c r="C28" s="203"/>
      <c r="D28" s="203"/>
      <c r="E28" s="203"/>
      <c r="F28" s="203"/>
      <c r="G28" s="203"/>
      <c r="H28" s="203"/>
      <c r="I28" s="203"/>
      <c r="J28" s="203"/>
      <c r="K28" s="203"/>
      <c r="L28" s="115"/>
      <c r="M28" s="115"/>
      <c r="N28" s="115"/>
      <c r="O28" s="115"/>
      <c r="P28" s="115"/>
      <c r="Q28" s="115"/>
      <c r="R28" s="115"/>
      <c r="S28" s="115"/>
    </row>
    <row r="29" spans="1:19" ht="18.75" customHeight="1" x14ac:dyDescent="0.35">
      <c r="A29" s="203"/>
      <c r="B29" s="203"/>
      <c r="C29" s="203"/>
      <c r="D29" s="203"/>
      <c r="E29" s="203"/>
      <c r="F29" s="203"/>
      <c r="G29" s="203"/>
      <c r="H29" s="203"/>
      <c r="I29" s="203"/>
      <c r="J29" s="203"/>
      <c r="K29" s="203"/>
      <c r="L29" s="115"/>
      <c r="M29" s="115"/>
      <c r="N29" s="115"/>
      <c r="O29" s="115"/>
      <c r="P29" s="115"/>
      <c r="Q29" s="115"/>
      <c r="R29" s="115"/>
      <c r="S29" s="115"/>
    </row>
    <row r="30" spans="1:19" ht="18.75" customHeight="1" x14ac:dyDescent="0.35">
      <c r="A30" s="203"/>
      <c r="B30" s="203"/>
      <c r="C30" s="203"/>
      <c r="D30" s="203"/>
      <c r="E30" s="203"/>
      <c r="F30" s="203"/>
      <c r="G30" s="203"/>
      <c r="H30" s="203"/>
      <c r="I30" s="203"/>
      <c r="J30" s="203"/>
      <c r="K30" s="203"/>
      <c r="L30" s="115"/>
      <c r="M30" s="115"/>
      <c r="N30" s="115"/>
      <c r="O30" s="115"/>
      <c r="P30" s="115"/>
      <c r="Q30" s="115"/>
      <c r="R30" s="115"/>
      <c r="S30" s="115"/>
    </row>
    <row r="31" spans="1:19" ht="18.75" customHeight="1" x14ac:dyDescent="0.35">
      <c r="A31" s="203"/>
      <c r="B31" s="203"/>
      <c r="C31" s="203"/>
      <c r="D31" s="203"/>
      <c r="E31" s="203"/>
      <c r="F31" s="203"/>
      <c r="G31" s="203"/>
      <c r="H31" s="203"/>
      <c r="I31" s="203"/>
      <c r="J31" s="203"/>
      <c r="K31" s="203"/>
      <c r="L31" s="115"/>
      <c r="M31" s="115"/>
      <c r="N31" s="115"/>
      <c r="O31" s="115"/>
      <c r="P31" s="115"/>
      <c r="Q31" s="115"/>
      <c r="R31" s="115"/>
      <c r="S31" s="115"/>
    </row>
    <row r="32" spans="1:19" ht="18.75" customHeight="1" x14ac:dyDescent="0.35">
      <c r="A32" s="203"/>
      <c r="B32" s="203"/>
      <c r="C32" s="203"/>
      <c r="D32" s="203"/>
      <c r="E32" s="203"/>
      <c r="F32" s="203"/>
      <c r="G32" s="203"/>
      <c r="H32" s="203"/>
      <c r="I32" s="203"/>
      <c r="J32" s="203"/>
      <c r="K32" s="203"/>
      <c r="L32" s="115"/>
      <c r="M32" s="115"/>
      <c r="N32" s="115"/>
      <c r="O32" s="115"/>
      <c r="P32" s="115"/>
      <c r="Q32" s="115"/>
      <c r="R32" s="115"/>
      <c r="S32" s="115"/>
    </row>
    <row r="33" spans="1:19" ht="18.75" customHeight="1" x14ac:dyDescent="0.35">
      <c r="A33" s="203"/>
      <c r="B33" s="203"/>
      <c r="C33" s="203"/>
      <c r="D33" s="203"/>
      <c r="E33" s="203"/>
      <c r="F33" s="203"/>
      <c r="G33" s="203"/>
      <c r="H33" s="203"/>
      <c r="I33" s="203"/>
      <c r="J33" s="203"/>
      <c r="K33" s="203"/>
      <c r="L33" s="115"/>
      <c r="M33" s="115"/>
      <c r="N33" s="115"/>
      <c r="O33" s="115"/>
      <c r="P33" s="115"/>
      <c r="Q33" s="115"/>
      <c r="R33" s="115"/>
      <c r="S33" s="115"/>
    </row>
    <row r="34" spans="1:19" ht="18.75" customHeight="1" x14ac:dyDescent="0.35">
      <c r="A34" s="203"/>
      <c r="B34" s="203"/>
      <c r="C34" s="203"/>
      <c r="D34" s="203"/>
      <c r="E34" s="203"/>
      <c r="F34" s="203"/>
      <c r="G34" s="203"/>
      <c r="H34" s="203"/>
      <c r="I34" s="203"/>
      <c r="J34" s="203"/>
      <c r="K34" s="203"/>
      <c r="L34" s="115"/>
      <c r="M34" s="115"/>
      <c r="N34" s="115"/>
      <c r="O34" s="115"/>
      <c r="P34" s="115"/>
      <c r="Q34" s="115"/>
      <c r="R34" s="115"/>
      <c r="S34" s="115"/>
    </row>
    <row r="35" spans="1:19" ht="18.75" customHeight="1" x14ac:dyDescent="0.35">
      <c r="A35" s="203"/>
      <c r="B35" s="203"/>
      <c r="C35" s="203"/>
      <c r="D35" s="203"/>
      <c r="E35" s="203"/>
      <c r="F35" s="203"/>
      <c r="G35" s="203"/>
      <c r="H35" s="203"/>
      <c r="I35" s="203"/>
      <c r="J35" s="203"/>
      <c r="K35" s="203"/>
      <c r="L35" s="115"/>
      <c r="M35" s="115"/>
      <c r="N35" s="115"/>
      <c r="O35" s="115"/>
      <c r="P35" s="115"/>
      <c r="Q35" s="115"/>
      <c r="R35" s="115"/>
      <c r="S35" s="115"/>
    </row>
    <row r="36" spans="1:19" ht="18.75" customHeight="1" x14ac:dyDescent="0.35">
      <c r="A36" s="203"/>
      <c r="B36" s="203"/>
      <c r="C36" s="203"/>
      <c r="D36" s="203"/>
      <c r="E36" s="203"/>
      <c r="F36" s="203"/>
      <c r="G36" s="203"/>
      <c r="H36" s="203"/>
      <c r="I36" s="203"/>
      <c r="J36" s="203"/>
      <c r="K36" s="203"/>
      <c r="L36" s="115"/>
      <c r="M36" s="115"/>
      <c r="N36" s="115"/>
      <c r="O36" s="115"/>
      <c r="P36" s="115"/>
      <c r="Q36" s="115"/>
      <c r="R36" s="115"/>
      <c r="S36" s="115"/>
    </row>
    <row r="37" spans="1:19" ht="18.75" customHeight="1" x14ac:dyDescent="0.35">
      <c r="A37" s="203"/>
      <c r="B37" s="203"/>
      <c r="C37" s="203"/>
      <c r="D37" s="203"/>
      <c r="E37" s="203"/>
      <c r="F37" s="203"/>
      <c r="G37" s="203"/>
      <c r="H37" s="203"/>
      <c r="I37" s="203"/>
      <c r="J37" s="203"/>
      <c r="K37" s="203"/>
      <c r="L37" s="115"/>
      <c r="M37" s="115"/>
      <c r="N37" s="115"/>
      <c r="O37" s="115"/>
      <c r="P37" s="115"/>
      <c r="Q37" s="115"/>
      <c r="R37" s="115"/>
      <c r="S37" s="115"/>
    </row>
    <row r="38" spans="1:19" ht="18.75" customHeight="1" x14ac:dyDescent="0.35">
      <c r="A38" s="203"/>
      <c r="B38" s="203"/>
      <c r="C38" s="203"/>
      <c r="D38" s="203"/>
      <c r="E38" s="203"/>
      <c r="F38" s="203"/>
      <c r="G38" s="203"/>
      <c r="H38" s="203"/>
      <c r="I38" s="203"/>
      <c r="J38" s="203"/>
      <c r="K38" s="203"/>
      <c r="L38" s="115"/>
      <c r="M38" s="115"/>
      <c r="N38" s="115"/>
      <c r="O38" s="115"/>
      <c r="P38" s="115"/>
      <c r="Q38" s="115"/>
      <c r="R38" s="115"/>
      <c r="S38" s="115"/>
    </row>
    <row r="39" spans="1:19" ht="18.75" customHeight="1" x14ac:dyDescent="0.35">
      <c r="A39" s="203"/>
      <c r="B39" s="203"/>
      <c r="C39" s="203"/>
      <c r="D39" s="203"/>
      <c r="E39" s="203"/>
      <c r="F39" s="203"/>
      <c r="G39" s="203"/>
      <c r="H39" s="203"/>
      <c r="I39" s="203"/>
      <c r="J39" s="203"/>
      <c r="K39" s="203"/>
      <c r="L39" s="115"/>
      <c r="M39" s="115"/>
      <c r="N39" s="115"/>
      <c r="O39" s="115"/>
      <c r="P39" s="115"/>
      <c r="Q39" s="115"/>
      <c r="R39" s="115"/>
      <c r="S39" s="115"/>
    </row>
    <row r="40" spans="1:19" ht="18.75" customHeight="1" x14ac:dyDescent="0.35">
      <c r="A40" s="203"/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115"/>
      <c r="M40" s="115"/>
      <c r="N40" s="115"/>
      <c r="O40" s="115"/>
      <c r="P40" s="115"/>
      <c r="Q40" s="115"/>
      <c r="R40" s="115"/>
      <c r="S40" s="115"/>
    </row>
    <row r="41" spans="1:19" ht="18.75" customHeight="1" x14ac:dyDescent="0.35">
      <c r="A41" s="203"/>
      <c r="B41" s="203"/>
      <c r="C41" s="203"/>
      <c r="D41" s="203"/>
      <c r="E41" s="203"/>
      <c r="F41" s="203"/>
      <c r="G41" s="203"/>
      <c r="H41" s="203"/>
      <c r="I41" s="203"/>
      <c r="J41" s="203"/>
      <c r="K41" s="203"/>
      <c r="L41" s="115"/>
      <c r="M41" s="115"/>
      <c r="N41" s="115"/>
      <c r="O41" s="115"/>
      <c r="P41" s="115"/>
      <c r="Q41" s="115"/>
      <c r="R41" s="115"/>
      <c r="S41" s="115"/>
    </row>
    <row r="42" spans="1:19" ht="18.75" customHeight="1" x14ac:dyDescent="0.35">
      <c r="A42" s="203"/>
      <c r="B42" s="203"/>
      <c r="C42" s="203"/>
      <c r="D42" s="203"/>
      <c r="E42" s="203"/>
      <c r="F42" s="203"/>
      <c r="G42" s="203"/>
      <c r="H42" s="203"/>
      <c r="I42" s="203"/>
      <c r="J42" s="203"/>
      <c r="K42" s="203"/>
      <c r="L42" s="115"/>
      <c r="M42" s="115"/>
      <c r="N42" s="115"/>
      <c r="O42" s="115"/>
      <c r="P42" s="115"/>
      <c r="Q42" s="115"/>
      <c r="R42" s="115"/>
      <c r="S42" s="115"/>
    </row>
    <row r="43" spans="1:19" ht="18.75" customHeight="1" x14ac:dyDescent="0.35">
      <c r="A43" s="203"/>
      <c r="B43" s="203"/>
      <c r="C43" s="203"/>
      <c r="D43" s="203"/>
      <c r="E43" s="203"/>
      <c r="F43" s="203"/>
      <c r="G43" s="203"/>
      <c r="H43" s="203"/>
      <c r="I43" s="203"/>
      <c r="J43" s="203"/>
      <c r="K43" s="203"/>
      <c r="L43" s="115"/>
      <c r="M43" s="115"/>
      <c r="N43" s="115"/>
      <c r="O43" s="115"/>
      <c r="P43" s="115"/>
      <c r="Q43" s="115"/>
      <c r="R43" s="115"/>
      <c r="S43" s="115"/>
    </row>
    <row r="44" spans="1:19" ht="18.75" customHeight="1" x14ac:dyDescent="0.35">
      <c r="A44" s="203"/>
      <c r="B44" s="203"/>
      <c r="C44" s="203"/>
      <c r="D44" s="203"/>
      <c r="E44" s="203"/>
      <c r="F44" s="203"/>
      <c r="G44" s="203"/>
      <c r="H44" s="203"/>
      <c r="I44" s="203"/>
      <c r="J44" s="203"/>
      <c r="K44" s="203"/>
      <c r="L44" s="115"/>
      <c r="M44" s="115"/>
      <c r="N44" s="115"/>
      <c r="O44" s="115"/>
      <c r="P44" s="115"/>
      <c r="Q44" s="115"/>
      <c r="R44" s="115"/>
      <c r="S44" s="115"/>
    </row>
    <row r="45" spans="1:19" ht="18.75" customHeight="1" x14ac:dyDescent="0.35">
      <c r="A45" s="203"/>
      <c r="B45" s="203"/>
      <c r="C45" s="203"/>
      <c r="D45" s="203"/>
      <c r="E45" s="203"/>
      <c r="F45" s="203"/>
      <c r="G45" s="203"/>
      <c r="H45" s="203"/>
      <c r="I45" s="203"/>
      <c r="J45" s="203"/>
      <c r="K45" s="203"/>
      <c r="L45" s="115"/>
      <c r="M45" s="115"/>
      <c r="N45" s="115"/>
      <c r="O45" s="115"/>
      <c r="P45" s="115"/>
      <c r="Q45" s="115"/>
      <c r="R45" s="115"/>
      <c r="S45" s="115"/>
    </row>
    <row r="46" spans="1:19" ht="18.75" customHeight="1" x14ac:dyDescent="0.35">
      <c r="A46" s="203"/>
      <c r="B46" s="203"/>
      <c r="C46" s="203"/>
      <c r="D46" s="203"/>
      <c r="E46" s="203"/>
      <c r="F46" s="203"/>
      <c r="G46" s="203"/>
      <c r="H46" s="203"/>
      <c r="I46" s="203"/>
      <c r="J46" s="203"/>
      <c r="K46" s="203"/>
      <c r="L46" s="115"/>
      <c r="M46" s="115"/>
      <c r="N46" s="115"/>
      <c r="O46" s="115"/>
      <c r="P46" s="115"/>
      <c r="Q46" s="115"/>
      <c r="R46" s="115"/>
      <c r="S46" s="115"/>
    </row>
    <row r="47" spans="1:19" ht="18.75" customHeight="1" x14ac:dyDescent="0.35">
      <c r="A47" s="203"/>
      <c r="B47" s="203"/>
      <c r="C47" s="203"/>
      <c r="D47" s="203"/>
      <c r="E47" s="203"/>
      <c r="F47" s="203"/>
      <c r="G47" s="203"/>
      <c r="H47" s="203"/>
      <c r="I47" s="203"/>
      <c r="J47" s="203"/>
      <c r="K47" s="203"/>
      <c r="L47" s="115"/>
      <c r="M47" s="115"/>
      <c r="N47" s="115"/>
      <c r="O47" s="115"/>
      <c r="P47" s="115"/>
      <c r="Q47" s="115"/>
      <c r="R47" s="115"/>
      <c r="S47" s="115"/>
    </row>
    <row r="48" spans="1:19" ht="18.75" customHeight="1" x14ac:dyDescent="0.35">
      <c r="A48" s="203"/>
      <c r="B48" s="203"/>
      <c r="C48" s="203"/>
      <c r="D48" s="203"/>
      <c r="E48" s="203"/>
      <c r="F48" s="203"/>
      <c r="G48" s="203"/>
      <c r="H48" s="203"/>
      <c r="I48" s="203"/>
      <c r="J48" s="203"/>
      <c r="K48" s="203"/>
      <c r="L48" s="115"/>
      <c r="M48" s="115"/>
      <c r="N48" s="115"/>
      <c r="O48" s="115"/>
      <c r="P48" s="115"/>
      <c r="Q48" s="115"/>
      <c r="R48" s="115"/>
      <c r="S48" s="115"/>
    </row>
    <row r="49" spans="1:19" ht="18.75" customHeight="1" x14ac:dyDescent="0.35">
      <c r="A49" s="203"/>
      <c r="B49" s="203"/>
      <c r="C49" s="203"/>
      <c r="D49" s="203"/>
      <c r="E49" s="203"/>
      <c r="F49" s="203"/>
      <c r="G49" s="203"/>
      <c r="H49" s="203"/>
      <c r="I49" s="203"/>
      <c r="J49" s="203"/>
      <c r="K49" s="203"/>
      <c r="L49" s="115"/>
      <c r="M49" s="115"/>
      <c r="N49" s="115"/>
      <c r="O49" s="115"/>
      <c r="P49" s="115"/>
      <c r="Q49" s="115"/>
      <c r="R49" s="115"/>
      <c r="S49" s="115"/>
    </row>
    <row r="50" spans="1:19" ht="18.75" customHeight="1" x14ac:dyDescent="0.35">
      <c r="A50" s="203"/>
      <c r="B50" s="203"/>
      <c r="C50" s="203"/>
      <c r="D50" s="203"/>
      <c r="E50" s="203"/>
      <c r="F50" s="203"/>
      <c r="G50" s="203"/>
      <c r="H50" s="203"/>
      <c r="I50" s="203"/>
      <c r="J50" s="203"/>
      <c r="K50" s="203"/>
      <c r="L50" s="115"/>
      <c r="M50" s="115"/>
      <c r="N50" s="115"/>
      <c r="O50" s="115"/>
      <c r="P50" s="115"/>
      <c r="Q50" s="115"/>
      <c r="R50" s="115"/>
      <c r="S50" s="115"/>
    </row>
    <row r="51" spans="1:19" ht="18.75" customHeight="1" x14ac:dyDescent="0.35">
      <c r="A51" s="203"/>
      <c r="B51" s="203"/>
      <c r="C51" s="203"/>
      <c r="D51" s="203"/>
      <c r="E51" s="203"/>
      <c r="F51" s="203"/>
      <c r="G51" s="203"/>
      <c r="H51" s="203"/>
      <c r="I51" s="203"/>
      <c r="J51" s="203"/>
      <c r="K51" s="203"/>
      <c r="L51" s="115"/>
      <c r="M51" s="115"/>
      <c r="N51" s="115"/>
      <c r="O51" s="115"/>
      <c r="P51" s="115"/>
      <c r="Q51" s="115"/>
      <c r="R51" s="115"/>
      <c r="S51" s="115"/>
    </row>
    <row r="52" spans="1:19" ht="18.75" customHeight="1" x14ac:dyDescent="0.35">
      <c r="A52" s="203"/>
      <c r="B52" s="203"/>
      <c r="C52" s="203"/>
      <c r="D52" s="203"/>
      <c r="E52" s="203"/>
      <c r="F52" s="203"/>
      <c r="G52" s="203"/>
      <c r="H52" s="203"/>
      <c r="I52" s="203"/>
      <c r="J52" s="203"/>
      <c r="K52" s="203"/>
      <c r="L52" s="115"/>
      <c r="M52" s="115"/>
      <c r="N52" s="115"/>
      <c r="O52" s="115"/>
      <c r="P52" s="115"/>
      <c r="Q52" s="115"/>
      <c r="R52" s="115"/>
      <c r="S52" s="115"/>
    </row>
    <row r="53" spans="1:19" ht="18.75" customHeight="1" x14ac:dyDescent="0.35">
      <c r="A53" s="203"/>
      <c r="B53" s="203"/>
      <c r="C53" s="203"/>
      <c r="D53" s="203"/>
      <c r="E53" s="203"/>
      <c r="F53" s="203"/>
      <c r="G53" s="203"/>
      <c r="H53" s="203"/>
      <c r="I53" s="203"/>
      <c r="J53" s="203"/>
      <c r="K53" s="203"/>
      <c r="L53" s="115"/>
      <c r="M53" s="115"/>
      <c r="N53" s="115"/>
      <c r="O53" s="115"/>
      <c r="P53" s="115"/>
      <c r="Q53" s="115"/>
      <c r="R53" s="115"/>
      <c r="S53" s="115"/>
    </row>
    <row r="54" spans="1:19" ht="18.75" customHeight="1" x14ac:dyDescent="0.35">
      <c r="A54" s="203"/>
      <c r="B54" s="203"/>
      <c r="C54" s="203"/>
      <c r="D54" s="203"/>
      <c r="E54" s="203"/>
      <c r="F54" s="203"/>
      <c r="G54" s="203"/>
      <c r="H54" s="203"/>
      <c r="I54" s="203"/>
      <c r="J54" s="203"/>
      <c r="K54" s="203"/>
      <c r="L54" s="115"/>
      <c r="M54" s="115"/>
      <c r="N54" s="115"/>
      <c r="O54" s="115"/>
      <c r="P54" s="115"/>
      <c r="Q54" s="115"/>
      <c r="R54" s="115"/>
      <c r="S54" s="115"/>
    </row>
    <row r="55" spans="1:19" ht="18.75" customHeight="1" x14ac:dyDescent="0.35">
      <c r="A55" s="203"/>
      <c r="B55" s="203"/>
      <c r="C55" s="203"/>
      <c r="D55" s="203"/>
      <c r="E55" s="203"/>
      <c r="F55" s="203"/>
      <c r="G55" s="203"/>
      <c r="H55" s="203"/>
      <c r="I55" s="203"/>
      <c r="J55" s="203"/>
      <c r="K55" s="203"/>
      <c r="L55" s="115"/>
      <c r="M55" s="115"/>
      <c r="N55" s="115"/>
      <c r="O55" s="115"/>
      <c r="P55" s="115"/>
      <c r="Q55" s="115"/>
      <c r="R55" s="115"/>
      <c r="S55" s="115"/>
    </row>
    <row r="56" spans="1:19" ht="18.75" customHeight="1" x14ac:dyDescent="0.35">
      <c r="A56" s="203"/>
      <c r="B56" s="203"/>
      <c r="C56" s="203"/>
      <c r="D56" s="203"/>
      <c r="E56" s="203"/>
      <c r="F56" s="203"/>
      <c r="G56" s="203"/>
      <c r="H56" s="203"/>
      <c r="I56" s="203"/>
      <c r="J56" s="203"/>
      <c r="K56" s="203"/>
      <c r="L56" s="115"/>
      <c r="M56" s="115"/>
      <c r="N56" s="115"/>
      <c r="O56" s="115"/>
      <c r="P56" s="115"/>
      <c r="Q56" s="115"/>
      <c r="R56" s="115"/>
      <c r="S56" s="115"/>
    </row>
    <row r="57" spans="1:19" ht="18.75" customHeight="1" x14ac:dyDescent="0.35">
      <c r="A57" s="203"/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115"/>
      <c r="M57" s="115"/>
      <c r="N57" s="115"/>
      <c r="O57" s="115"/>
      <c r="P57" s="115"/>
      <c r="Q57" s="115"/>
      <c r="R57" s="115"/>
      <c r="S57" s="115"/>
    </row>
    <row r="58" spans="1:19" ht="18.75" customHeight="1" x14ac:dyDescent="0.35">
      <c r="A58" s="203"/>
      <c r="B58" s="203"/>
      <c r="C58" s="203"/>
      <c r="D58" s="203"/>
      <c r="E58" s="203"/>
      <c r="F58" s="203"/>
      <c r="G58" s="203"/>
      <c r="H58" s="203"/>
      <c r="I58" s="203"/>
      <c r="J58" s="203"/>
      <c r="K58" s="203"/>
      <c r="L58" s="115"/>
      <c r="M58" s="115"/>
      <c r="N58" s="115"/>
      <c r="O58" s="115"/>
      <c r="P58" s="115"/>
      <c r="Q58" s="115"/>
      <c r="R58" s="115"/>
      <c r="S58" s="115"/>
    </row>
    <row r="59" spans="1:19" ht="18.75" customHeight="1" x14ac:dyDescent="0.35">
      <c r="A59" s="203"/>
      <c r="B59" s="203"/>
      <c r="C59" s="203"/>
      <c r="D59" s="203"/>
      <c r="E59" s="203"/>
      <c r="F59" s="203"/>
      <c r="G59" s="203"/>
      <c r="H59" s="203"/>
      <c r="I59" s="203"/>
      <c r="J59" s="203"/>
      <c r="K59" s="203"/>
      <c r="L59" s="115"/>
      <c r="M59" s="115"/>
      <c r="N59" s="115"/>
      <c r="O59" s="115"/>
      <c r="P59" s="115"/>
      <c r="Q59" s="115"/>
      <c r="R59" s="115"/>
      <c r="S59" s="115"/>
    </row>
    <row r="60" spans="1:19" ht="18.75" customHeight="1" x14ac:dyDescent="0.35">
      <c r="A60" s="203"/>
      <c r="B60" s="203"/>
      <c r="C60" s="203"/>
      <c r="D60" s="203"/>
      <c r="E60" s="203"/>
      <c r="F60" s="203"/>
      <c r="G60" s="203"/>
      <c r="H60" s="203"/>
      <c r="I60" s="203"/>
      <c r="J60" s="203"/>
      <c r="K60" s="203"/>
      <c r="L60" s="115"/>
      <c r="M60" s="115"/>
      <c r="N60" s="115"/>
      <c r="O60" s="115"/>
      <c r="P60" s="115"/>
      <c r="Q60" s="115"/>
      <c r="R60" s="115"/>
      <c r="S60" s="115"/>
    </row>
    <row r="61" spans="1:19" ht="18.75" customHeight="1" x14ac:dyDescent="0.35">
      <c r="A61" s="203"/>
      <c r="B61" s="203"/>
      <c r="C61" s="203"/>
      <c r="D61" s="203"/>
      <c r="E61" s="203"/>
      <c r="F61" s="203"/>
      <c r="G61" s="203"/>
      <c r="H61" s="203"/>
      <c r="I61" s="203"/>
      <c r="J61" s="203"/>
      <c r="K61" s="203"/>
      <c r="L61" s="115"/>
      <c r="M61" s="115"/>
      <c r="N61" s="115"/>
      <c r="O61" s="115"/>
      <c r="P61" s="115"/>
      <c r="Q61" s="115"/>
      <c r="R61" s="115"/>
      <c r="S61" s="115"/>
    </row>
    <row r="62" spans="1:19" ht="18.75" customHeight="1" x14ac:dyDescent="0.35">
      <c r="A62" s="203"/>
      <c r="B62" s="203"/>
      <c r="C62" s="203"/>
      <c r="D62" s="203"/>
      <c r="E62" s="203"/>
      <c r="F62" s="203"/>
      <c r="G62" s="203"/>
      <c r="H62" s="203"/>
      <c r="I62" s="203"/>
      <c r="J62" s="203"/>
      <c r="K62" s="203"/>
      <c r="L62" s="115"/>
      <c r="M62" s="115"/>
      <c r="N62" s="115"/>
      <c r="O62" s="115"/>
      <c r="P62" s="115"/>
      <c r="Q62" s="115"/>
      <c r="R62" s="115"/>
      <c r="S62" s="115"/>
    </row>
    <row r="63" spans="1:19" ht="18.75" customHeight="1" x14ac:dyDescent="0.35">
      <c r="A63" s="203"/>
      <c r="B63" s="203"/>
      <c r="C63" s="203"/>
      <c r="D63" s="203"/>
      <c r="E63" s="203"/>
      <c r="F63" s="203"/>
      <c r="G63" s="203"/>
      <c r="H63" s="203"/>
      <c r="I63" s="203"/>
      <c r="J63" s="203"/>
      <c r="K63" s="203"/>
      <c r="L63" s="115"/>
      <c r="M63" s="115"/>
      <c r="N63" s="115"/>
      <c r="O63" s="115"/>
      <c r="P63" s="115"/>
      <c r="Q63" s="115"/>
      <c r="R63" s="115"/>
      <c r="S63" s="115"/>
    </row>
    <row r="64" spans="1:19" ht="18.75" customHeight="1" x14ac:dyDescent="0.35">
      <c r="A64" s="203"/>
      <c r="B64" s="203"/>
      <c r="C64" s="203"/>
      <c r="D64" s="203"/>
      <c r="E64" s="203"/>
      <c r="F64" s="203"/>
      <c r="G64" s="203"/>
      <c r="H64" s="203"/>
      <c r="I64" s="203"/>
      <c r="J64" s="203"/>
      <c r="K64" s="203"/>
      <c r="L64" s="115"/>
      <c r="M64" s="115"/>
      <c r="N64" s="115"/>
      <c r="O64" s="115"/>
      <c r="P64" s="115"/>
      <c r="Q64" s="115"/>
      <c r="R64" s="115"/>
      <c r="S64" s="115"/>
    </row>
    <row r="65" spans="1:25" ht="18.75" customHeight="1" x14ac:dyDescent="0.35">
      <c r="A65" s="203"/>
      <c r="B65" s="203"/>
      <c r="C65" s="203"/>
      <c r="D65" s="203"/>
      <c r="E65" s="203"/>
      <c r="F65" s="203"/>
      <c r="G65" s="203"/>
      <c r="H65" s="203"/>
      <c r="I65" s="203"/>
      <c r="J65" s="203"/>
      <c r="K65" s="203"/>
      <c r="L65" s="115"/>
      <c r="M65" s="115"/>
      <c r="N65" s="115"/>
      <c r="O65" s="115"/>
      <c r="P65" s="115"/>
      <c r="Q65" s="115"/>
      <c r="R65" s="115"/>
      <c r="S65" s="115"/>
    </row>
    <row r="66" spans="1:25" ht="18.75" customHeight="1" x14ac:dyDescent="0.35">
      <c r="A66" s="203"/>
      <c r="B66" s="203"/>
      <c r="C66" s="203"/>
      <c r="D66" s="203"/>
      <c r="E66" s="203"/>
      <c r="F66" s="203"/>
      <c r="G66" s="203"/>
      <c r="H66" s="203"/>
      <c r="I66" s="203"/>
      <c r="J66" s="203"/>
      <c r="K66" s="203"/>
      <c r="L66" s="115"/>
      <c r="M66" s="115"/>
      <c r="N66" s="115"/>
      <c r="O66" s="115"/>
      <c r="P66" s="115"/>
      <c r="Q66" s="115"/>
      <c r="R66" s="115"/>
      <c r="S66" s="115"/>
    </row>
    <row r="67" spans="1:25" ht="18.75" customHeight="1" x14ac:dyDescent="0.35">
      <c r="A67" s="203"/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115"/>
      <c r="M67" s="115"/>
      <c r="N67" s="115"/>
      <c r="O67" s="115"/>
      <c r="P67" s="115"/>
      <c r="Q67" s="115"/>
      <c r="R67" s="115"/>
      <c r="S67" s="115"/>
    </row>
    <row r="68" spans="1:25" ht="18.75" customHeight="1" x14ac:dyDescent="0.35">
      <c r="A68" s="203"/>
      <c r="B68" s="203"/>
      <c r="C68" s="203"/>
      <c r="D68" s="203"/>
      <c r="E68" s="203"/>
      <c r="F68" s="203"/>
      <c r="G68" s="203"/>
      <c r="H68" s="203"/>
      <c r="I68" s="203"/>
      <c r="J68" s="203"/>
      <c r="K68" s="203"/>
      <c r="L68" s="115"/>
      <c r="M68" s="115"/>
      <c r="N68" s="115"/>
      <c r="O68" s="115"/>
      <c r="P68" s="115"/>
      <c r="Q68" s="115"/>
      <c r="R68" s="115"/>
      <c r="S68" s="115"/>
    </row>
    <row r="69" spans="1:25" ht="18.75" customHeight="1" x14ac:dyDescent="0.35">
      <c r="A69" s="203"/>
      <c r="B69" s="203"/>
      <c r="C69" s="203"/>
      <c r="D69" s="203"/>
      <c r="E69" s="203"/>
      <c r="F69" s="203"/>
      <c r="G69" s="203"/>
      <c r="H69" s="203"/>
      <c r="I69" s="203"/>
      <c r="J69" s="203"/>
      <c r="K69" s="203"/>
      <c r="L69" s="115"/>
      <c r="M69" s="115"/>
      <c r="N69" s="115"/>
      <c r="O69" s="115"/>
      <c r="P69" s="115"/>
      <c r="Q69" s="115"/>
      <c r="R69" s="115"/>
      <c r="S69" s="115"/>
    </row>
    <row r="70" spans="1:25" ht="18.75" customHeight="1" x14ac:dyDescent="0.35">
      <c r="A70" s="204"/>
      <c r="B70" s="204"/>
      <c r="C70" s="204"/>
      <c r="D70" s="204"/>
      <c r="E70" s="204"/>
      <c r="F70" s="204"/>
      <c r="G70" s="204"/>
      <c r="H70" s="204"/>
      <c r="I70" s="204"/>
      <c r="J70" s="204"/>
      <c r="K70" s="203"/>
      <c r="L70" s="115"/>
      <c r="M70" s="115"/>
      <c r="N70" s="115"/>
      <c r="O70" s="115"/>
      <c r="P70" s="115"/>
      <c r="Q70" s="115"/>
      <c r="R70" s="115"/>
      <c r="S70" s="115"/>
    </row>
    <row r="71" spans="1:25" ht="18.75" customHeight="1" x14ac:dyDescent="0.35">
      <c r="A71" s="204"/>
      <c r="B71" s="204"/>
      <c r="C71" s="204"/>
      <c r="D71" s="204"/>
      <c r="E71" s="204"/>
      <c r="F71" s="204"/>
      <c r="G71" s="204"/>
      <c r="H71" s="204"/>
      <c r="I71" s="204"/>
      <c r="J71" s="204"/>
      <c r="K71" s="203"/>
      <c r="L71" s="115"/>
      <c r="M71" s="115"/>
      <c r="N71" s="115"/>
      <c r="O71" s="115"/>
      <c r="P71" s="115"/>
      <c r="Q71" s="115"/>
      <c r="R71" s="115"/>
      <c r="S71" s="115"/>
    </row>
    <row r="72" spans="1:25" ht="18.75" customHeight="1" x14ac:dyDescent="0.35">
      <c r="A72" s="204"/>
      <c r="B72" s="204"/>
      <c r="C72" s="204"/>
      <c r="D72" s="204"/>
      <c r="E72" s="204"/>
      <c r="F72" s="204"/>
      <c r="G72" s="204"/>
      <c r="H72" s="204"/>
      <c r="I72" s="204"/>
      <c r="J72" s="204"/>
      <c r="K72" s="203"/>
      <c r="L72" s="115"/>
      <c r="M72" s="115"/>
      <c r="N72" s="115"/>
      <c r="O72" s="115"/>
      <c r="P72" s="115"/>
      <c r="Q72" s="115"/>
      <c r="R72" s="115"/>
      <c r="S72" s="115"/>
    </row>
    <row r="73" spans="1:25" ht="18.75" customHeight="1" x14ac:dyDescent="0.35">
      <c r="A73" s="204"/>
      <c r="B73" s="204"/>
      <c r="C73" s="204"/>
      <c r="D73" s="204"/>
      <c r="E73" s="204"/>
      <c r="F73" s="204"/>
      <c r="G73" s="204"/>
      <c r="H73" s="204"/>
      <c r="I73" s="204"/>
      <c r="J73" s="204"/>
      <c r="K73" s="203"/>
      <c r="L73" s="115"/>
      <c r="M73" s="115"/>
      <c r="N73" s="115"/>
      <c r="O73" s="115"/>
      <c r="P73" s="115"/>
      <c r="Q73" s="115"/>
      <c r="R73" s="115"/>
      <c r="S73" s="115"/>
    </row>
    <row r="74" spans="1:25" ht="18.75" customHeight="1" x14ac:dyDescent="0.35">
      <c r="A74" s="204"/>
      <c r="B74" s="204"/>
      <c r="C74" s="204"/>
      <c r="D74" s="204"/>
      <c r="E74" s="204"/>
      <c r="F74" s="204"/>
      <c r="G74" s="204"/>
      <c r="H74" s="204"/>
      <c r="I74" s="204"/>
      <c r="J74" s="204"/>
      <c r="K74" s="203"/>
      <c r="L74" s="115"/>
      <c r="M74" s="115"/>
      <c r="N74" s="115"/>
      <c r="O74" s="115"/>
      <c r="P74" s="115"/>
      <c r="Q74" s="115"/>
      <c r="R74" s="120"/>
    </row>
    <row r="75" spans="1:25" ht="18.75" customHeight="1" x14ac:dyDescent="0.35">
      <c r="A75" s="204"/>
      <c r="B75" s="204"/>
      <c r="C75" s="204"/>
      <c r="D75" s="204"/>
      <c r="E75" s="204"/>
      <c r="F75" s="204"/>
      <c r="G75" s="204"/>
      <c r="H75" s="204"/>
      <c r="I75" s="204"/>
      <c r="J75" s="204"/>
      <c r="K75" s="203"/>
      <c r="L75" s="115"/>
      <c r="M75" s="115"/>
      <c r="N75" s="115"/>
      <c r="O75" s="115"/>
      <c r="P75" s="115"/>
      <c r="Q75" s="115"/>
      <c r="R75" s="120"/>
    </row>
    <row r="76" spans="1:25" ht="18.75" customHeight="1" x14ac:dyDescent="0.35">
      <c r="A76" s="203"/>
      <c r="B76" s="203"/>
      <c r="C76" s="203"/>
      <c r="D76" s="203"/>
      <c r="E76" s="203"/>
      <c r="F76" s="203"/>
      <c r="G76" s="203"/>
      <c r="H76" s="203"/>
      <c r="I76" s="203"/>
      <c r="J76" s="203"/>
      <c r="K76" s="203"/>
      <c r="L76" s="115"/>
      <c r="M76" s="115"/>
      <c r="N76" s="120"/>
      <c r="O76" s="120"/>
      <c r="P76" s="120"/>
      <c r="Q76" s="115"/>
      <c r="R76" s="120"/>
    </row>
    <row r="77" spans="1:25" ht="18.75" customHeight="1" x14ac:dyDescent="0.35">
      <c r="A77" s="203"/>
      <c r="B77" s="203"/>
      <c r="C77" s="203"/>
      <c r="D77" s="203"/>
      <c r="E77" s="203"/>
      <c r="F77" s="203"/>
      <c r="G77" s="203"/>
      <c r="H77" s="203"/>
      <c r="I77" s="203"/>
      <c r="J77" s="203"/>
      <c r="K77" s="203"/>
      <c r="L77" s="115"/>
      <c r="M77" s="115"/>
      <c r="N77" s="120"/>
      <c r="O77" s="120"/>
      <c r="P77" s="120"/>
      <c r="Q77" s="115"/>
      <c r="R77" s="120"/>
      <c r="Y77" s="114"/>
    </row>
    <row r="78" spans="1:25" ht="18.75" customHeight="1" x14ac:dyDescent="0.35">
      <c r="A78" s="203"/>
      <c r="B78" s="203"/>
      <c r="C78" s="203"/>
      <c r="D78" s="203"/>
      <c r="E78" s="203"/>
      <c r="F78" s="203"/>
      <c r="G78" s="203"/>
      <c r="H78" s="203"/>
      <c r="I78" s="203"/>
      <c r="J78" s="203"/>
      <c r="K78" s="203"/>
      <c r="L78" s="115"/>
      <c r="M78" s="115"/>
      <c r="N78" s="120"/>
      <c r="O78" s="120"/>
      <c r="P78" s="120"/>
      <c r="Q78" s="115"/>
      <c r="R78" s="120"/>
    </row>
    <row r="79" spans="1:25" ht="18.75" customHeight="1" x14ac:dyDescent="0.35">
      <c r="A79" s="203"/>
      <c r="B79" s="203"/>
      <c r="C79" s="203"/>
      <c r="D79" s="203"/>
      <c r="E79" s="203"/>
      <c r="F79" s="203"/>
      <c r="G79" s="203"/>
      <c r="H79" s="203"/>
      <c r="I79" s="203"/>
      <c r="J79" s="203"/>
      <c r="K79" s="203"/>
      <c r="L79" s="115"/>
      <c r="M79" s="115"/>
      <c r="N79" s="115"/>
      <c r="O79" s="115"/>
      <c r="P79" s="115"/>
      <c r="Q79" s="115"/>
      <c r="R79" s="120"/>
    </row>
    <row r="80" spans="1:25" ht="18.75" customHeight="1" x14ac:dyDescent="0.35">
      <c r="A80" s="203"/>
      <c r="B80" s="203"/>
      <c r="C80" s="203"/>
      <c r="D80" s="203"/>
      <c r="E80" s="203"/>
      <c r="F80" s="203"/>
      <c r="G80" s="203"/>
      <c r="H80" s="203"/>
      <c r="I80" s="203"/>
      <c r="J80" s="203"/>
      <c r="K80" s="203"/>
      <c r="L80" s="115"/>
      <c r="M80" s="115"/>
      <c r="N80" s="115"/>
      <c r="O80" s="115"/>
      <c r="P80" s="115"/>
      <c r="Q80" s="115"/>
      <c r="R80" s="115"/>
      <c r="S80" s="115"/>
    </row>
    <row r="81" spans="1:19" ht="18.75" customHeight="1" x14ac:dyDescent="0.35">
      <c r="A81" s="203"/>
      <c r="B81" s="203"/>
      <c r="C81" s="203"/>
      <c r="D81" s="203"/>
      <c r="E81" s="203"/>
      <c r="F81" s="203"/>
      <c r="G81" s="203"/>
      <c r="H81" s="203"/>
      <c r="I81" s="203"/>
      <c r="J81" s="203"/>
      <c r="K81" s="203"/>
      <c r="L81" s="115"/>
      <c r="M81" s="115"/>
      <c r="N81" s="115"/>
      <c r="O81" s="115"/>
      <c r="P81" s="115"/>
      <c r="Q81" s="115"/>
      <c r="R81" s="115"/>
      <c r="S81" s="115"/>
    </row>
    <row r="82" spans="1:19" ht="18.75" customHeight="1" x14ac:dyDescent="0.35">
      <c r="A82" s="203"/>
      <c r="B82" s="204"/>
      <c r="C82" s="204"/>
      <c r="D82" s="204"/>
      <c r="E82" s="204"/>
      <c r="F82" s="204"/>
      <c r="G82" s="204"/>
      <c r="H82" s="204"/>
      <c r="I82" s="203"/>
      <c r="J82" s="203"/>
      <c r="K82" s="203"/>
      <c r="L82" s="115"/>
      <c r="M82" s="115"/>
      <c r="N82" s="115"/>
      <c r="O82" s="115"/>
      <c r="P82" s="115"/>
      <c r="Q82" s="115"/>
      <c r="R82" s="115"/>
      <c r="S82" s="115"/>
    </row>
    <row r="83" spans="1:19" ht="18.75" customHeight="1" x14ac:dyDescent="0.35">
      <c r="A83" s="203"/>
      <c r="B83" s="204"/>
      <c r="C83" s="204"/>
      <c r="D83" s="204"/>
      <c r="E83" s="204"/>
      <c r="F83" s="204"/>
      <c r="G83" s="204"/>
      <c r="H83" s="204"/>
      <c r="I83" s="203"/>
      <c r="J83" s="203"/>
      <c r="K83" s="203"/>
      <c r="L83" s="115"/>
      <c r="M83" s="115"/>
      <c r="N83" s="115"/>
      <c r="O83" s="115"/>
      <c r="P83" s="115"/>
      <c r="Q83" s="115"/>
      <c r="R83" s="115"/>
      <c r="S83" s="115"/>
    </row>
    <row r="84" spans="1:19" ht="18.75" customHeight="1" x14ac:dyDescent="0.35">
      <c r="A84" s="203"/>
      <c r="B84" s="204"/>
      <c r="C84" s="204"/>
      <c r="D84" s="204"/>
      <c r="E84" s="204"/>
      <c r="F84" s="204"/>
      <c r="G84" s="204"/>
      <c r="H84" s="204"/>
      <c r="I84" s="203"/>
      <c r="J84" s="203"/>
      <c r="K84" s="203"/>
      <c r="L84" s="115"/>
      <c r="M84" s="115"/>
      <c r="N84" s="115"/>
      <c r="O84" s="115"/>
      <c r="P84" s="115"/>
      <c r="Q84" s="115"/>
      <c r="R84" s="115"/>
      <c r="S84" s="115"/>
    </row>
    <row r="85" spans="1:19" ht="18.75" customHeight="1" x14ac:dyDescent="0.35">
      <c r="A85" s="203"/>
      <c r="B85" s="204"/>
      <c r="C85" s="204"/>
      <c r="D85" s="204"/>
      <c r="E85" s="204"/>
      <c r="F85" s="204"/>
      <c r="G85" s="204"/>
      <c r="H85" s="204"/>
      <c r="I85" s="203"/>
      <c r="J85" s="203"/>
      <c r="K85" s="203"/>
      <c r="L85" s="115"/>
      <c r="M85" s="115"/>
      <c r="N85" s="115"/>
      <c r="O85" s="115"/>
      <c r="P85" s="115"/>
      <c r="Q85" s="115"/>
      <c r="R85" s="115"/>
      <c r="S85" s="115"/>
    </row>
    <row r="86" spans="1:19" ht="18.75" customHeight="1" x14ac:dyDescent="0.35">
      <c r="A86" s="203"/>
      <c r="B86" s="204"/>
      <c r="C86" s="204"/>
      <c r="D86" s="204"/>
      <c r="E86" s="204"/>
      <c r="F86" s="204"/>
      <c r="G86" s="204"/>
      <c r="H86" s="204"/>
      <c r="I86" s="203"/>
      <c r="J86" s="203"/>
      <c r="K86" s="203"/>
      <c r="L86" s="115"/>
      <c r="M86" s="115"/>
      <c r="N86" s="115"/>
      <c r="O86" s="115"/>
      <c r="P86" s="115"/>
      <c r="Q86" s="115"/>
      <c r="R86" s="115"/>
      <c r="S86" s="115"/>
    </row>
    <row r="87" spans="1:19" ht="18.75" customHeight="1" x14ac:dyDescent="0.35">
      <c r="A87" s="203"/>
      <c r="B87" s="204"/>
      <c r="C87" s="204"/>
      <c r="D87" s="204"/>
      <c r="E87" s="204"/>
      <c r="F87" s="204"/>
      <c r="G87" s="204"/>
      <c r="H87" s="204"/>
      <c r="I87" s="203"/>
      <c r="J87" s="203"/>
      <c r="K87" s="203"/>
      <c r="L87" s="115"/>
      <c r="M87" s="115"/>
      <c r="N87" s="115"/>
      <c r="O87" s="115"/>
      <c r="P87" s="115"/>
      <c r="Q87" s="115"/>
      <c r="R87" s="115"/>
      <c r="S87" s="115"/>
    </row>
    <row r="88" spans="1:19" ht="18.75" customHeight="1" x14ac:dyDescent="0.35">
      <c r="A88" s="203"/>
      <c r="B88" s="204"/>
      <c r="C88" s="204"/>
      <c r="D88" s="204"/>
      <c r="E88" s="204"/>
      <c r="F88" s="204"/>
      <c r="G88" s="204"/>
      <c r="H88" s="204"/>
      <c r="I88" s="203"/>
      <c r="J88" s="203"/>
      <c r="K88" s="203"/>
      <c r="L88" s="115"/>
      <c r="M88" s="115"/>
      <c r="N88" s="115"/>
      <c r="O88" s="115"/>
      <c r="P88" s="115"/>
      <c r="Q88" s="115"/>
      <c r="R88" s="115"/>
      <c r="S88" s="115"/>
    </row>
    <row r="89" spans="1:19" ht="18.75" customHeight="1" x14ac:dyDescent="0.35">
      <c r="A89" s="203"/>
      <c r="B89" s="204"/>
      <c r="C89" s="204"/>
      <c r="D89" s="204"/>
      <c r="E89" s="204"/>
      <c r="F89" s="204"/>
      <c r="G89" s="204"/>
      <c r="H89" s="204"/>
      <c r="I89" s="203"/>
      <c r="J89" s="203"/>
      <c r="K89" s="203"/>
      <c r="L89" s="115"/>
      <c r="M89" s="115"/>
      <c r="N89" s="115"/>
      <c r="O89" s="115"/>
      <c r="P89" s="115"/>
      <c r="Q89" s="115"/>
      <c r="R89" s="115"/>
      <c r="S89" s="115"/>
    </row>
    <row r="90" spans="1:19" ht="18.75" customHeight="1" x14ac:dyDescent="0.35">
      <c r="A90" s="203"/>
      <c r="B90" s="204"/>
      <c r="C90" s="204"/>
      <c r="D90" s="204"/>
      <c r="E90" s="204"/>
      <c r="F90" s="204"/>
      <c r="G90" s="204"/>
      <c r="H90" s="204"/>
      <c r="I90" s="203"/>
      <c r="J90" s="203"/>
      <c r="K90" s="203"/>
      <c r="L90" s="115"/>
      <c r="M90" s="115"/>
      <c r="N90" s="115"/>
      <c r="O90" s="115"/>
      <c r="P90" s="115"/>
      <c r="Q90" s="115"/>
      <c r="R90" s="115"/>
      <c r="S90" s="115"/>
    </row>
    <row r="91" spans="1:19" ht="18.75" customHeight="1" x14ac:dyDescent="0.35">
      <c r="A91" s="203"/>
      <c r="B91" s="204"/>
      <c r="C91" s="204"/>
      <c r="D91" s="204"/>
      <c r="E91" s="204"/>
      <c r="F91" s="204"/>
      <c r="G91" s="204"/>
      <c r="H91" s="204"/>
      <c r="I91" s="203"/>
      <c r="J91" s="203"/>
      <c r="K91" s="203"/>
      <c r="L91" s="115"/>
      <c r="M91" s="115"/>
      <c r="N91" s="115"/>
      <c r="O91" s="115"/>
      <c r="P91" s="115"/>
      <c r="Q91" s="115"/>
      <c r="R91" s="115"/>
      <c r="S91" s="115"/>
    </row>
    <row r="92" spans="1:19" ht="18.75" customHeight="1" x14ac:dyDescent="0.35">
      <c r="A92" s="203"/>
      <c r="B92" s="204"/>
      <c r="C92" s="204"/>
      <c r="D92" s="204"/>
      <c r="E92" s="204"/>
      <c r="F92" s="204"/>
      <c r="G92" s="204"/>
      <c r="H92" s="204"/>
      <c r="I92" s="203"/>
      <c r="J92" s="203"/>
      <c r="K92" s="203"/>
      <c r="L92" s="115"/>
      <c r="M92" s="115"/>
      <c r="N92" s="115"/>
      <c r="O92" s="115"/>
      <c r="P92" s="115"/>
      <c r="Q92" s="115"/>
      <c r="R92" s="115"/>
      <c r="S92" s="115"/>
    </row>
    <row r="93" spans="1:19" ht="18.75" customHeight="1" x14ac:dyDescent="0.35">
      <c r="A93" s="203"/>
      <c r="B93" s="204"/>
      <c r="C93" s="204"/>
      <c r="D93" s="204"/>
      <c r="E93" s="204"/>
      <c r="F93" s="204"/>
      <c r="G93" s="204"/>
      <c r="H93" s="204"/>
      <c r="I93" s="203"/>
      <c r="J93" s="203"/>
      <c r="K93" s="203"/>
      <c r="L93" s="115"/>
      <c r="M93" s="115"/>
      <c r="N93" s="115"/>
      <c r="O93" s="115"/>
      <c r="P93" s="115"/>
      <c r="Q93" s="115"/>
      <c r="R93" s="115"/>
      <c r="S93" s="115"/>
    </row>
    <row r="94" spans="1:19" ht="18.75" customHeight="1" x14ac:dyDescent="0.35">
      <c r="A94" s="203" t="s">
        <v>152</v>
      </c>
      <c r="B94" s="203" t="s">
        <v>154</v>
      </c>
      <c r="C94" s="740" t="s">
        <v>155</v>
      </c>
      <c r="D94" s="740"/>
      <c r="E94" s="740"/>
      <c r="F94" s="740"/>
      <c r="G94" s="740"/>
      <c r="H94" s="740"/>
      <c r="I94" s="112"/>
      <c r="J94" s="112"/>
      <c r="K94" s="112"/>
      <c r="L94" s="115"/>
      <c r="M94" s="115"/>
      <c r="N94" s="115"/>
      <c r="O94" s="115"/>
      <c r="P94" s="115"/>
      <c r="Q94" s="115"/>
      <c r="R94" s="115"/>
      <c r="S94" s="115"/>
    </row>
    <row r="95" spans="1:19" ht="18.75" customHeight="1" x14ac:dyDescent="0.35">
      <c r="A95" s="203"/>
      <c r="B95" s="203" t="s">
        <v>151</v>
      </c>
      <c r="C95" s="739" t="s">
        <v>153</v>
      </c>
      <c r="D95" s="740"/>
      <c r="E95" s="740"/>
      <c r="F95" s="740"/>
      <c r="G95" s="740"/>
      <c r="H95" s="740"/>
      <c r="I95" s="112"/>
      <c r="J95" s="112"/>
      <c r="K95" s="112"/>
      <c r="L95" s="115"/>
      <c r="M95" s="115"/>
      <c r="N95" s="115"/>
      <c r="O95" s="115"/>
      <c r="P95" s="115"/>
      <c r="Q95" s="115"/>
      <c r="R95" s="115"/>
      <c r="S95" s="115"/>
    </row>
    <row r="96" spans="1:19" ht="18.75" customHeight="1" x14ac:dyDescent="0.35">
      <c r="A96" s="203"/>
      <c r="B96" s="203"/>
      <c r="C96" s="203"/>
      <c r="D96" s="203"/>
      <c r="E96" s="203"/>
      <c r="F96" s="203"/>
      <c r="G96" s="203"/>
      <c r="H96" s="203"/>
      <c r="I96" s="203"/>
      <c r="J96" s="203"/>
      <c r="K96" s="203"/>
      <c r="L96" s="120"/>
      <c r="M96" s="120"/>
      <c r="N96" s="120"/>
      <c r="O96" s="120"/>
      <c r="P96" s="120"/>
      <c r="Q96" s="120"/>
      <c r="R96" s="120"/>
      <c r="S96" s="120"/>
    </row>
    <row r="97" spans="1:29" ht="18.75" customHeight="1" x14ac:dyDescent="0.35">
      <c r="A97" s="203"/>
      <c r="B97" s="203"/>
      <c r="C97" s="203"/>
      <c r="D97" s="203"/>
      <c r="E97" s="203"/>
      <c r="F97" s="203"/>
      <c r="G97" s="203"/>
      <c r="H97" s="203"/>
      <c r="I97" s="203"/>
      <c r="J97" s="203"/>
      <c r="K97" s="203"/>
      <c r="L97" s="120"/>
      <c r="M97" s="120"/>
      <c r="N97" s="120"/>
      <c r="O97" s="120"/>
      <c r="P97" s="120"/>
      <c r="Q97" s="120"/>
      <c r="R97" s="120"/>
      <c r="S97" s="120"/>
    </row>
    <row r="98" spans="1:29" ht="18.75" customHeight="1" x14ac:dyDescent="0.35">
      <c r="A98" s="749" t="s">
        <v>133</v>
      </c>
      <c r="B98" s="750"/>
      <c r="C98" s="750"/>
      <c r="D98" s="750"/>
      <c r="E98" s="750"/>
      <c r="F98" s="750"/>
      <c r="G98" s="750"/>
      <c r="H98" s="750"/>
      <c r="I98" s="750"/>
      <c r="J98" s="751"/>
      <c r="K98" s="203"/>
      <c r="L98" s="120"/>
      <c r="M98" s="120"/>
      <c r="N98" s="120"/>
      <c r="O98" s="120"/>
      <c r="P98" s="120"/>
      <c r="Q98" s="120"/>
      <c r="R98" s="120"/>
      <c r="S98" s="120"/>
    </row>
    <row r="99" spans="1:29" ht="18.75" customHeight="1" x14ac:dyDescent="0.35">
      <c r="A99" s="126" t="s">
        <v>128</v>
      </c>
      <c r="B99" s="113"/>
      <c r="C99" s="752" t="s">
        <v>129</v>
      </c>
      <c r="D99" s="752"/>
      <c r="E99" s="752" t="s">
        <v>130</v>
      </c>
      <c r="F99" s="752"/>
      <c r="G99" s="752" t="s">
        <v>131</v>
      </c>
      <c r="H99" s="752"/>
      <c r="I99" s="753" t="s">
        <v>132</v>
      </c>
      <c r="J99" s="753"/>
      <c r="K99" s="203"/>
      <c r="L99" s="120"/>
      <c r="M99" s="120"/>
      <c r="N99" s="120"/>
      <c r="O99" s="120"/>
      <c r="P99" s="120"/>
      <c r="Q99" s="120"/>
      <c r="R99" s="120"/>
      <c r="S99" s="120"/>
    </row>
    <row r="100" spans="1:29" ht="18.75" customHeight="1" x14ac:dyDescent="0.35">
      <c r="A100" s="754"/>
      <c r="B100" s="757" t="s">
        <v>45</v>
      </c>
      <c r="C100" s="745">
        <v>11648.55</v>
      </c>
      <c r="D100" s="746"/>
      <c r="E100" s="745">
        <v>11677.85</v>
      </c>
      <c r="F100" s="746"/>
      <c r="G100" s="745">
        <v>11605.2</v>
      </c>
      <c r="H100" s="746"/>
      <c r="I100" s="745">
        <v>11668.9</v>
      </c>
      <c r="J100" s="746"/>
      <c r="K100" s="203"/>
      <c r="L100" s="120"/>
      <c r="M100" s="120"/>
      <c r="N100" s="120"/>
      <c r="O100" s="120"/>
      <c r="P100" s="120"/>
      <c r="Q100" s="120"/>
      <c r="R100" s="120"/>
      <c r="S100" s="120"/>
    </row>
    <row r="101" spans="1:29" ht="18.75" customHeight="1" x14ac:dyDescent="0.35">
      <c r="A101" s="755"/>
      <c r="B101" s="758"/>
      <c r="C101" s="747"/>
      <c r="D101" s="748"/>
      <c r="E101" s="747"/>
      <c r="F101" s="748"/>
      <c r="G101" s="747"/>
      <c r="H101" s="748"/>
      <c r="I101" s="747"/>
      <c r="J101" s="748"/>
      <c r="K101" s="203"/>
      <c r="L101" s="120"/>
      <c r="M101" s="120"/>
      <c r="N101" s="120"/>
      <c r="O101" s="120"/>
      <c r="P101" s="120"/>
      <c r="Q101" s="120"/>
      <c r="R101" s="120"/>
      <c r="S101" s="120"/>
    </row>
    <row r="102" spans="1:29" ht="18.75" customHeight="1" x14ac:dyDescent="0.35">
      <c r="A102" s="755"/>
      <c r="B102" s="757" t="s">
        <v>89</v>
      </c>
      <c r="C102" s="745">
        <v>11612.85</v>
      </c>
      <c r="D102" s="746"/>
      <c r="E102" s="745">
        <v>11657.35</v>
      </c>
      <c r="F102" s="746"/>
      <c r="G102" s="745">
        <v>11578.8</v>
      </c>
      <c r="H102" s="746"/>
      <c r="I102" s="745">
        <v>11643.45</v>
      </c>
      <c r="J102" s="746"/>
      <c r="K102" s="203"/>
      <c r="L102" s="120"/>
      <c r="M102" s="120"/>
      <c r="N102" s="120"/>
      <c r="O102" s="120"/>
      <c r="P102" s="120"/>
      <c r="Q102" s="120"/>
      <c r="R102" s="120"/>
      <c r="S102" s="120"/>
    </row>
    <row r="103" spans="1:29" ht="18.75" customHeight="1" x14ac:dyDescent="0.35">
      <c r="A103" s="756"/>
      <c r="B103" s="758"/>
      <c r="C103" s="747"/>
      <c r="D103" s="748"/>
      <c r="E103" s="747"/>
      <c r="F103" s="748"/>
      <c r="G103" s="747"/>
      <c r="H103" s="748"/>
      <c r="I103" s="747"/>
      <c r="J103" s="748"/>
      <c r="K103" s="203"/>
      <c r="L103" s="120"/>
      <c r="M103" s="120"/>
      <c r="N103" s="120"/>
      <c r="O103" s="120"/>
      <c r="P103" s="120"/>
      <c r="Q103" s="120"/>
      <c r="R103" s="120"/>
      <c r="S103" s="120"/>
    </row>
    <row r="104" spans="1:29" ht="18.75" customHeight="1" x14ac:dyDescent="0.35">
      <c r="A104" s="203"/>
      <c r="B104" s="203"/>
      <c r="C104" s="203"/>
      <c r="D104" s="203"/>
      <c r="E104" s="203"/>
      <c r="F104" s="203"/>
      <c r="G104" s="203"/>
      <c r="H104" s="203"/>
      <c r="I104" s="203"/>
      <c r="J104" s="203"/>
      <c r="K104" s="203"/>
      <c r="L104" s="120"/>
      <c r="M104" s="120"/>
      <c r="N104" s="120"/>
      <c r="O104" s="120"/>
      <c r="P104" s="120"/>
      <c r="Q104" s="120"/>
      <c r="R104" s="120"/>
      <c r="S104" s="120"/>
      <c r="AA104" s="114">
        <f>E102-G102</f>
        <v>78.550000000001091</v>
      </c>
    </row>
    <row r="105" spans="1:29" ht="18.75" customHeight="1" x14ac:dyDescent="0.35">
      <c r="L105" s="120"/>
      <c r="M105" s="120"/>
      <c r="N105" s="120"/>
      <c r="O105" s="120"/>
      <c r="P105" s="120"/>
      <c r="Q105" s="120"/>
      <c r="R105" s="120"/>
      <c r="S105" s="120"/>
      <c r="AA105" s="114">
        <f>E100-G100</f>
        <v>72.649999999999636</v>
      </c>
      <c r="AB105" s="114"/>
    </row>
    <row r="106" spans="1:29" ht="18.75" customHeight="1" x14ac:dyDescent="0.35">
      <c r="AA106" s="114">
        <f>AA104*11/100</f>
        <v>8.6405000000001202</v>
      </c>
      <c r="AB106" s="114"/>
      <c r="AC106" s="114"/>
    </row>
    <row r="107" spans="1:29" ht="18.75" customHeight="1" x14ac:dyDescent="0.35">
      <c r="AA107" s="114">
        <f>AA105*11/100</f>
        <v>7.9914999999999603</v>
      </c>
      <c r="AB107" s="114"/>
    </row>
  </sheetData>
  <customSheetViews>
    <customSheetView guid="{D12DFD61-4B7F-43F1-B07E-A848E00A354C}">
      <selection activeCell="H85" sqref="H85"/>
      <pageMargins left="0.7" right="0.7" top="0.75" bottom="0.75" header="0.3" footer="0.3"/>
      <pageSetup paperSize="9" orientation="portrait" horizontalDpi="300" verticalDpi="300" r:id="rId1"/>
    </customSheetView>
  </customSheetViews>
  <mergeCells count="31">
    <mergeCell ref="D1:H2"/>
    <mergeCell ref="F18:F19"/>
    <mergeCell ref="F13:F14"/>
    <mergeCell ref="I2:J2"/>
    <mergeCell ref="E10:G11"/>
    <mergeCell ref="E4:G5"/>
    <mergeCell ref="I102:J103"/>
    <mergeCell ref="A98:J98"/>
    <mergeCell ref="C99:D99"/>
    <mergeCell ref="E99:F99"/>
    <mergeCell ref="G99:H99"/>
    <mergeCell ref="I99:J99"/>
    <mergeCell ref="A100:A103"/>
    <mergeCell ref="B102:B103"/>
    <mergeCell ref="C102:D103"/>
    <mergeCell ref="E102:F103"/>
    <mergeCell ref="G102:H103"/>
    <mergeCell ref="B100:B101"/>
    <mergeCell ref="C100:D101"/>
    <mergeCell ref="E100:F101"/>
    <mergeCell ref="G100:H101"/>
    <mergeCell ref="I100:J101"/>
    <mergeCell ref="C95:H95"/>
    <mergeCell ref="C94:H94"/>
    <mergeCell ref="F7:F8"/>
    <mergeCell ref="Q8:R8"/>
    <mergeCell ref="M7:N7"/>
    <mergeCell ref="O7:P7"/>
    <mergeCell ref="Q7:R7"/>
    <mergeCell ref="M8:N8"/>
    <mergeCell ref="O8:P8"/>
  </mergeCells>
  <hyperlinks>
    <hyperlink ref="C95" r:id="rId2" xr:uid="{E9CB75F0-26E9-4B60-A130-79CFBA77656E}"/>
  </hyperlinks>
  <pageMargins left="0.7" right="0.7" top="0.75" bottom="0.75" header="0.3" footer="0.3"/>
  <pageSetup paperSize="9" orientation="portrait" horizontalDpi="300" verticalDpi="300" r:id="rId3"/>
  <ignoredErrors>
    <ignoredError sqref="J8:K8 G8:I8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60"/>
  <sheetViews>
    <sheetView topLeftCell="A7" workbookViewId="0">
      <selection activeCell="C13" sqref="C13"/>
    </sheetView>
  </sheetViews>
  <sheetFormatPr defaultRowHeight="14.5" x14ac:dyDescent="0.35"/>
  <cols>
    <col min="1" max="1" width="12.1796875" customWidth="1"/>
    <col min="3" max="3" width="12.1796875" customWidth="1"/>
    <col min="4" max="4" width="6.81640625" customWidth="1"/>
    <col min="5" max="5" width="9.54296875" customWidth="1"/>
    <col min="6" max="6" width="4.1796875" customWidth="1"/>
    <col min="8" max="8" width="10.1796875" bestFit="1" customWidth="1"/>
    <col min="9" max="9" width="15.453125" customWidth="1"/>
    <col min="10" max="10" width="9.7265625" customWidth="1"/>
    <col min="11" max="11" width="6.7265625" customWidth="1"/>
    <col min="12" max="12" width="12" customWidth="1"/>
    <col min="15" max="15" width="9.26953125" customWidth="1"/>
    <col min="16" max="16" width="15.453125" customWidth="1"/>
    <col min="17" max="17" width="10.1796875" customWidth="1"/>
    <col min="18" max="18" width="8" customWidth="1"/>
  </cols>
  <sheetData>
    <row r="1" spans="1:19" ht="24" thickBot="1" x14ac:dyDescent="0.6">
      <c r="A1" s="772" t="s">
        <v>35</v>
      </c>
      <c r="B1" s="772"/>
      <c r="C1" s="772"/>
      <c r="D1" s="205"/>
      <c r="E1" s="206"/>
      <c r="F1" s="206"/>
      <c r="G1" s="67" t="s">
        <v>69</v>
      </c>
      <c r="H1" s="69">
        <f ca="1">MAIN!C5</f>
        <v>11900</v>
      </c>
      <c r="I1" s="207">
        <f ca="1">MAIN!E5</f>
        <v>-2377800</v>
      </c>
      <c r="J1" s="776" t="s">
        <v>84</v>
      </c>
      <c r="K1" s="776"/>
      <c r="L1" s="776"/>
      <c r="M1" s="71"/>
      <c r="N1" s="208" t="s">
        <v>71</v>
      </c>
      <c r="O1" s="209">
        <f ca="1">MAIN!C6</f>
        <v>11900</v>
      </c>
      <c r="P1" s="210">
        <f ca="1">MAIN!E6</f>
        <v>1984500</v>
      </c>
      <c r="Q1" s="211"/>
      <c r="R1" s="775" t="str">
        <f ca="1">MAIN!E7</f>
        <v>SELL</v>
      </c>
      <c r="S1" s="211"/>
    </row>
    <row r="2" spans="1:19" ht="16" thickBot="1" x14ac:dyDescent="0.4">
      <c r="A2" s="74" t="s">
        <v>75</v>
      </c>
      <c r="B2" s="74" t="s">
        <v>36</v>
      </c>
      <c r="C2" s="74" t="s">
        <v>76</v>
      </c>
      <c r="D2" s="205" t="s">
        <v>10</v>
      </c>
      <c r="E2" s="212">
        <f>MAIN!B2</f>
        <v>11945.9</v>
      </c>
      <c r="F2" s="80"/>
      <c r="G2" s="773" t="str">
        <f>MAIN!D1</f>
        <v>-</v>
      </c>
      <c r="H2" s="774"/>
      <c r="I2" s="774"/>
      <c r="J2" s="774"/>
      <c r="K2" s="774"/>
      <c r="L2" s="774"/>
      <c r="M2" s="774"/>
      <c r="N2" s="774"/>
      <c r="O2" s="774"/>
      <c r="P2" s="206" t="s">
        <v>83</v>
      </c>
      <c r="Q2" s="206">
        <f ca="1">MAIN!S2</f>
        <v>11900</v>
      </c>
      <c r="R2" s="775"/>
      <c r="S2" s="80"/>
    </row>
    <row r="3" spans="1:19" ht="16" thickBot="1" x14ac:dyDescent="0.4">
      <c r="A3" s="213">
        <f ca="1">Sheet51!C150</f>
        <v>33150</v>
      </c>
      <c r="B3" s="163">
        <f>Sheet51!E150</f>
        <v>12900</v>
      </c>
      <c r="C3" s="213">
        <f ca="1">Sheet51!G150</f>
        <v>-750</v>
      </c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214"/>
      <c r="R3" s="80"/>
      <c r="S3" s="214"/>
    </row>
    <row r="4" spans="1:19" ht="16" thickBot="1" x14ac:dyDescent="0.4">
      <c r="A4" s="213">
        <f ca="1">Sheet51!C151</f>
        <v>-33600</v>
      </c>
      <c r="B4" s="163">
        <f>Sheet51!E151</f>
        <v>12800</v>
      </c>
      <c r="C4" s="213">
        <f ca="1">Sheet51!G151</f>
        <v>-600</v>
      </c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214"/>
      <c r="R4" s="80"/>
      <c r="S4" s="214"/>
    </row>
    <row r="5" spans="1:19" ht="16" thickBot="1" x14ac:dyDescent="0.4">
      <c r="A5" s="213">
        <f ca="1">Sheet51!C152</f>
        <v>-12600</v>
      </c>
      <c r="B5" s="163">
        <f>Sheet51!E152</f>
        <v>12700</v>
      </c>
      <c r="C5" s="213">
        <f ca="1">Sheet51!G152</f>
        <v>-1200</v>
      </c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214"/>
      <c r="R5" s="80"/>
      <c r="S5" s="214"/>
    </row>
    <row r="6" spans="1:19" ht="16" thickBot="1" x14ac:dyDescent="0.4">
      <c r="A6" s="213">
        <f ca="1">Sheet51!C153</f>
        <v>-52725</v>
      </c>
      <c r="B6" s="163">
        <f>Sheet51!E153</f>
        <v>12600</v>
      </c>
      <c r="C6" s="213">
        <f ca="1">Sheet51!G153</f>
        <v>-300</v>
      </c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214"/>
      <c r="R6" s="80"/>
      <c r="S6" s="214"/>
    </row>
    <row r="7" spans="1:19" ht="16" thickBot="1" x14ac:dyDescent="0.4">
      <c r="A7" s="213">
        <f ca="1">Sheet51!C154</f>
        <v>-678675</v>
      </c>
      <c r="B7" s="163">
        <f>Sheet51!E154</f>
        <v>12500</v>
      </c>
      <c r="C7" s="213">
        <f ca="1">Sheet51!G154</f>
        <v>-279300</v>
      </c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214"/>
      <c r="R7" s="80"/>
      <c r="S7" s="214"/>
    </row>
    <row r="8" spans="1:19" ht="16" thickBot="1" x14ac:dyDescent="0.4">
      <c r="A8" s="213">
        <f ca="1">Sheet51!C155</f>
        <v>-83325</v>
      </c>
      <c r="B8" s="163">
        <f>Sheet51!E155</f>
        <v>12400</v>
      </c>
      <c r="C8" s="213">
        <f ca="1">Sheet51!G155</f>
        <v>-3225</v>
      </c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214"/>
      <c r="R8" s="80"/>
      <c r="S8" s="214"/>
    </row>
    <row r="9" spans="1:19" ht="16" thickBot="1" x14ac:dyDescent="0.4">
      <c r="A9" s="213">
        <f ca="1">Sheet51!C156</f>
        <v>-139575</v>
      </c>
      <c r="B9" s="163">
        <f>Sheet51!E156</f>
        <v>12300</v>
      </c>
      <c r="C9" s="213">
        <f ca="1">Sheet51!G156</f>
        <v>-2025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214"/>
      <c r="R9" s="80"/>
      <c r="S9" s="214"/>
    </row>
    <row r="10" spans="1:19" ht="16" thickBot="1" x14ac:dyDescent="0.4">
      <c r="A10" s="215">
        <f ca="1">Sheet51!C157</f>
        <v>-398850</v>
      </c>
      <c r="B10" s="164">
        <f>Sheet51!E157</f>
        <v>12200</v>
      </c>
      <c r="C10" s="216">
        <f ca="1">Sheet51!G157</f>
        <v>-28650</v>
      </c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214"/>
      <c r="R10" s="80"/>
      <c r="S10" s="214"/>
    </row>
    <row r="11" spans="1:19" ht="16" thickBot="1" x14ac:dyDescent="0.4">
      <c r="A11" s="215">
        <f ca="1">Sheet51!C158</f>
        <v>-478575</v>
      </c>
      <c r="B11" s="164">
        <f>Sheet51!E158</f>
        <v>12100</v>
      </c>
      <c r="C11" s="216">
        <f ca="1">Sheet51!G158</f>
        <v>-37650</v>
      </c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214"/>
      <c r="R11" s="80"/>
      <c r="S11" s="214"/>
    </row>
    <row r="12" spans="1:19" ht="16" thickBot="1" x14ac:dyDescent="0.4">
      <c r="A12" s="215">
        <f ca="1">Sheet51!C159</f>
        <v>-1697025</v>
      </c>
      <c r="B12" s="164">
        <f>Sheet51!E159</f>
        <v>12000</v>
      </c>
      <c r="C12" s="216">
        <f ca="1">Sheet51!G159</f>
        <v>-524325</v>
      </c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214"/>
      <c r="R12" s="80"/>
      <c r="S12" s="214"/>
    </row>
    <row r="13" spans="1:19" ht="16" thickBot="1" x14ac:dyDescent="0.4">
      <c r="A13" s="70">
        <f ca="1">Sheet51!C160</f>
        <v>-2377800</v>
      </c>
      <c r="B13" s="66">
        <f>Sheet51!E160</f>
        <v>11900</v>
      </c>
      <c r="C13" s="70">
        <f ca="1">Sheet51!G160</f>
        <v>1984500</v>
      </c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214"/>
      <c r="R13" s="80"/>
      <c r="S13" s="214"/>
    </row>
    <row r="14" spans="1:19" ht="16" thickBot="1" x14ac:dyDescent="0.4">
      <c r="A14" s="216">
        <f ca="1">Sheet51!C161</f>
        <v>-960450</v>
      </c>
      <c r="B14" s="164">
        <f>Sheet51!E161</f>
        <v>11800</v>
      </c>
      <c r="C14" s="215">
        <f ca="1">Sheet51!G161</f>
        <v>759225</v>
      </c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214"/>
      <c r="R14" s="80"/>
      <c r="S14" s="214"/>
    </row>
    <row r="15" spans="1:19" ht="16" thickBot="1" x14ac:dyDescent="0.4">
      <c r="A15" s="216">
        <f ca="1">Sheet51!C162</f>
        <v>-628950</v>
      </c>
      <c r="B15" s="164">
        <f>Sheet51!E162</f>
        <v>11700</v>
      </c>
      <c r="C15" s="215">
        <f ca="1">Sheet51!G162</f>
        <v>-390450</v>
      </c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214"/>
      <c r="R15" s="80"/>
      <c r="S15" s="214"/>
    </row>
    <row r="16" spans="1:19" ht="16" thickBot="1" x14ac:dyDescent="0.4">
      <c r="A16" s="216">
        <f ca="1">Sheet51!C163</f>
        <v>-326400</v>
      </c>
      <c r="B16" s="164">
        <f>Sheet51!E163</f>
        <v>11600</v>
      </c>
      <c r="C16" s="215">
        <f ca="1">Sheet51!G163</f>
        <v>-320025</v>
      </c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214"/>
      <c r="R16" s="80"/>
      <c r="S16" s="214"/>
    </row>
    <row r="17" spans="1:19" ht="16" thickBot="1" x14ac:dyDescent="0.4">
      <c r="A17" s="213">
        <f ca="1">Sheet51!C164</f>
        <v>-207075</v>
      </c>
      <c r="B17" s="163">
        <f>Sheet51!E164</f>
        <v>11500</v>
      </c>
      <c r="C17" s="213">
        <f ca="1">Sheet51!G164</f>
        <v>-277500</v>
      </c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214"/>
      <c r="R17" s="80"/>
      <c r="S17" s="214"/>
    </row>
    <row r="18" spans="1:19" ht="16" thickBot="1" x14ac:dyDescent="0.4">
      <c r="A18" s="213">
        <f ca="1">Sheet51!C165</f>
        <v>-96900</v>
      </c>
      <c r="B18" s="163">
        <f>Sheet51!E165</f>
        <v>11400</v>
      </c>
      <c r="C18" s="213">
        <f ca="1">Sheet51!G165</f>
        <v>-107550</v>
      </c>
      <c r="D18" s="80"/>
      <c r="E18" s="217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214"/>
      <c r="R18" s="80"/>
      <c r="S18" s="214"/>
    </row>
    <row r="19" spans="1:19" ht="16" thickBot="1" x14ac:dyDescent="0.4">
      <c r="A19" s="213">
        <f ca="1">Sheet51!C166</f>
        <v>-338175</v>
      </c>
      <c r="B19" s="163">
        <f>Sheet51!E166</f>
        <v>11300</v>
      </c>
      <c r="C19" s="213">
        <f ca="1">Sheet51!G166</f>
        <v>-100425</v>
      </c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214"/>
      <c r="R19" s="80"/>
      <c r="S19" s="214"/>
    </row>
    <row r="20" spans="1:19" ht="16" thickBot="1" x14ac:dyDescent="0.4">
      <c r="A20" s="213">
        <f ca="1">Sheet51!C167</f>
        <v>-43125</v>
      </c>
      <c r="B20" s="163">
        <f>Sheet51!E167</f>
        <v>11200</v>
      </c>
      <c r="C20" s="213">
        <f ca="1">Sheet51!G167</f>
        <v>-119925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214"/>
      <c r="R20" s="80"/>
      <c r="S20" s="214"/>
    </row>
    <row r="21" spans="1:19" ht="16" thickBot="1" x14ac:dyDescent="0.4">
      <c r="A21" s="213">
        <f ca="1">Sheet51!C168</f>
        <v>-12825</v>
      </c>
      <c r="B21" s="163">
        <f>Sheet51!E168</f>
        <v>11100</v>
      </c>
      <c r="C21" s="213">
        <f ca="1">Sheet51!G168</f>
        <v>-85425</v>
      </c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214"/>
      <c r="R21" s="80"/>
      <c r="S21" s="214"/>
    </row>
    <row r="22" spans="1:19" ht="16" thickBot="1" x14ac:dyDescent="0.4">
      <c r="A22" s="213">
        <f ca="1">Sheet51!C169</f>
        <v>-124125</v>
      </c>
      <c r="B22" s="163">
        <f>Sheet51!E169</f>
        <v>11000</v>
      </c>
      <c r="C22" s="213">
        <f ca="1">Sheet51!G169</f>
        <v>-87300</v>
      </c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214"/>
      <c r="R22" s="80"/>
      <c r="S22" s="214"/>
    </row>
    <row r="23" spans="1:19" ht="16" thickBot="1" x14ac:dyDescent="0.4">
      <c r="A23" s="213">
        <f ca="1">Sheet51!C170</f>
        <v>-13050</v>
      </c>
      <c r="B23" s="163">
        <f>Sheet51!E170</f>
        <v>10900</v>
      </c>
      <c r="C23" s="213">
        <f ca="1">Sheet51!G170</f>
        <v>-35700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214"/>
      <c r="R23" s="80"/>
      <c r="S23" s="214"/>
    </row>
    <row r="24" spans="1:19" ht="15" thickBot="1" x14ac:dyDescent="0.4">
      <c r="A24" s="218" t="s">
        <v>80</v>
      </c>
      <c r="B24" s="64" t="s">
        <v>81</v>
      </c>
      <c r="C24" s="219" t="s">
        <v>82</v>
      </c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x14ac:dyDescent="0.3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204"/>
      <c r="N25" s="771" t="str">
        <f>MAIN!O1</f>
        <v>Last Updated  :</v>
      </c>
      <c r="O25" s="771"/>
      <c r="P25" s="225">
        <f ca="1">MAIN!Q1</f>
        <v>43615.786170601852</v>
      </c>
      <c r="Q25" s="226">
        <f ca="1">MAIN!S1</f>
        <v>43615.786170601852</v>
      </c>
      <c r="R25" s="80"/>
      <c r="S25" s="80"/>
    </row>
    <row r="26" spans="1:19" ht="21.75" customHeight="1" x14ac:dyDescent="0.5">
      <c r="A26" s="80"/>
      <c r="B26" s="80"/>
      <c r="C26" s="80"/>
      <c r="D26" s="67" t="str">
        <f>G1</f>
        <v>CE :</v>
      </c>
      <c r="E26" s="69">
        <f ca="1">H1</f>
        <v>11900</v>
      </c>
      <c r="F26" s="778">
        <f ca="1">I1</f>
        <v>-2377800</v>
      </c>
      <c r="G26" s="778"/>
      <c r="H26" s="779" t="str">
        <f>J1</f>
        <v>INTRADAY</v>
      </c>
      <c r="I26" s="779"/>
      <c r="J26" s="779"/>
      <c r="K26" s="779"/>
      <c r="L26" s="220" t="str">
        <f>N1</f>
        <v>PE :</v>
      </c>
      <c r="M26" s="221">
        <f ca="1">O1</f>
        <v>11900</v>
      </c>
      <c r="N26" s="770">
        <f ca="1">P1</f>
        <v>1984500</v>
      </c>
      <c r="O26" s="770"/>
      <c r="P26" s="204"/>
      <c r="Q26" s="769" t="str">
        <f ca="1">R1</f>
        <v>SELL</v>
      </c>
      <c r="R26" s="769"/>
      <c r="S26" s="80"/>
    </row>
    <row r="27" spans="1:19" ht="12" customHeight="1" x14ac:dyDescent="0.35">
      <c r="A27" s="204"/>
      <c r="B27" s="205" t="str">
        <f>D2</f>
        <v>Spot :</v>
      </c>
      <c r="C27" s="212">
        <f>E2</f>
        <v>11945.9</v>
      </c>
      <c r="D27" s="773" t="str">
        <f>G2</f>
        <v>-</v>
      </c>
      <c r="E27" s="773"/>
      <c r="F27" s="773"/>
      <c r="G27" s="773"/>
      <c r="H27" s="773"/>
      <c r="I27" s="773"/>
      <c r="J27" s="773"/>
      <c r="K27" s="773"/>
      <c r="L27" s="773"/>
      <c r="M27" s="773"/>
      <c r="N27" s="222"/>
      <c r="O27" s="222"/>
      <c r="P27" s="206" t="str">
        <f>P2</f>
        <v>Max.Pain:</v>
      </c>
      <c r="Q27" s="212">
        <f ca="1">Q2</f>
        <v>11900</v>
      </c>
      <c r="R27" s="223"/>
      <c r="S27" s="204"/>
    </row>
    <row r="28" spans="1:19" x14ac:dyDescent="0.35">
      <c r="A28" s="204"/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04"/>
      <c r="S28" s="204"/>
    </row>
    <row r="29" spans="1:19" x14ac:dyDescent="0.35">
      <c r="A29" s="204"/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04"/>
      <c r="P29" s="204"/>
      <c r="Q29" s="204"/>
      <c r="R29" s="204"/>
      <c r="S29" s="204"/>
    </row>
    <row r="30" spans="1:19" x14ac:dyDescent="0.35">
      <c r="A30" s="204"/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</row>
    <row r="31" spans="1:19" ht="15" thickBot="1" x14ac:dyDescent="0.4">
      <c r="A31" s="204"/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204"/>
      <c r="O31" s="204"/>
      <c r="P31" s="204"/>
      <c r="Q31" s="204"/>
      <c r="R31" s="204"/>
      <c r="S31" s="204"/>
    </row>
    <row r="32" spans="1:19" ht="21.5" thickBot="1" x14ac:dyDescent="0.4">
      <c r="A32" s="204"/>
      <c r="B32" s="204"/>
      <c r="C32" s="204"/>
      <c r="D32" s="204"/>
      <c r="E32" s="204"/>
      <c r="F32" s="204"/>
      <c r="G32" s="204"/>
      <c r="H32" s="777" t="s">
        <v>35</v>
      </c>
      <c r="I32" s="777"/>
      <c r="J32" s="777"/>
      <c r="K32" s="204"/>
      <c r="L32" s="204"/>
      <c r="M32" s="204"/>
      <c r="N32" s="204"/>
      <c r="O32" s="204"/>
      <c r="P32" s="204"/>
      <c r="Q32" s="204"/>
      <c r="R32" s="204"/>
      <c r="S32" s="204"/>
    </row>
    <row r="33" spans="1:19" ht="16" thickBot="1" x14ac:dyDescent="0.4">
      <c r="A33" s="204"/>
      <c r="B33" s="204"/>
      <c r="C33" s="204"/>
      <c r="D33" s="204"/>
      <c r="E33" s="204"/>
      <c r="F33" s="204"/>
      <c r="G33" s="204"/>
      <c r="H33" s="282" t="s">
        <v>75</v>
      </c>
      <c r="I33" s="282" t="s">
        <v>36</v>
      </c>
      <c r="J33" s="282" t="s">
        <v>76</v>
      </c>
      <c r="K33" s="204"/>
      <c r="L33" s="204"/>
      <c r="M33" s="204"/>
      <c r="N33" s="204"/>
      <c r="O33" s="204"/>
      <c r="P33" s="204"/>
      <c r="Q33" s="204"/>
      <c r="R33" s="204"/>
      <c r="S33" s="204"/>
    </row>
    <row r="34" spans="1:19" ht="16" thickBot="1" x14ac:dyDescent="0.4">
      <c r="A34" s="204"/>
      <c r="B34" s="204"/>
      <c r="C34" s="204"/>
      <c r="D34" s="204"/>
      <c r="E34" s="204"/>
      <c r="F34" s="204"/>
      <c r="G34" s="204"/>
      <c r="H34" s="283">
        <f ca="1">Sheet51!K150</f>
        <v>-83325</v>
      </c>
      <c r="I34" s="282">
        <f>Sheet51!M150</f>
        <v>12400</v>
      </c>
      <c r="J34" s="283">
        <f ca="1">Sheet51!O150</f>
        <v>-3225</v>
      </c>
      <c r="K34" s="204"/>
      <c r="L34" s="204"/>
      <c r="M34" s="204"/>
      <c r="N34" s="204"/>
      <c r="O34" s="204"/>
      <c r="P34" s="204"/>
      <c r="Q34" s="204"/>
      <c r="R34" s="204"/>
      <c r="S34" s="204"/>
    </row>
    <row r="35" spans="1:19" ht="16" thickBot="1" x14ac:dyDescent="0.4">
      <c r="A35" s="204"/>
      <c r="B35" s="204"/>
      <c r="C35" s="204"/>
      <c r="D35" s="204"/>
      <c r="E35" s="204"/>
      <c r="F35" s="204"/>
      <c r="G35" s="204"/>
      <c r="H35" s="283">
        <f ca="1">Sheet51!K151</f>
        <v>825</v>
      </c>
      <c r="I35" s="282">
        <f>Sheet51!M151</f>
        <v>12350</v>
      </c>
      <c r="J35" s="283">
        <f ca="1">Sheet51!O151</f>
        <v>0</v>
      </c>
      <c r="K35" s="204"/>
      <c r="L35" s="204"/>
      <c r="M35" s="204"/>
      <c r="N35" s="204"/>
      <c r="O35" s="204"/>
      <c r="P35" s="204"/>
      <c r="Q35" s="204"/>
      <c r="R35" s="204"/>
      <c r="S35" s="204"/>
    </row>
    <row r="36" spans="1:19" ht="16" thickBot="1" x14ac:dyDescent="0.4">
      <c r="A36" s="204"/>
      <c r="B36" s="204"/>
      <c r="C36" s="204"/>
      <c r="D36" s="204"/>
      <c r="E36" s="204"/>
      <c r="F36" s="204"/>
      <c r="G36" s="204"/>
      <c r="H36" s="283">
        <f ca="1">Sheet51!K152</f>
        <v>-139575</v>
      </c>
      <c r="I36" s="282">
        <f>Sheet51!M152</f>
        <v>12300</v>
      </c>
      <c r="J36" s="283">
        <f ca="1">Sheet51!O152</f>
        <v>-2025</v>
      </c>
      <c r="K36" s="204"/>
      <c r="L36" s="204"/>
      <c r="M36" s="204"/>
      <c r="N36" s="204"/>
      <c r="O36" s="204"/>
      <c r="P36" s="204"/>
      <c r="Q36" s="204"/>
      <c r="R36" s="204"/>
      <c r="S36" s="204"/>
    </row>
    <row r="37" spans="1:19" ht="16" thickBot="1" x14ac:dyDescent="0.4">
      <c r="A37" s="204"/>
      <c r="B37" s="204"/>
      <c r="C37" s="204"/>
      <c r="D37" s="204"/>
      <c r="E37" s="204"/>
      <c r="F37" s="204"/>
      <c r="G37" s="204"/>
      <c r="H37" s="283">
        <f ca="1">Sheet51!K153</f>
        <v>-11925</v>
      </c>
      <c r="I37" s="282">
        <f>Sheet51!M153</f>
        <v>12250</v>
      </c>
      <c r="J37" s="283">
        <f ca="1">Sheet51!O153</f>
        <v>0</v>
      </c>
      <c r="K37" s="204"/>
      <c r="L37" s="204"/>
      <c r="M37" s="204"/>
      <c r="N37" s="204"/>
      <c r="O37" s="204"/>
      <c r="P37" s="204"/>
      <c r="Q37" s="204"/>
      <c r="R37" s="204"/>
      <c r="S37" s="204"/>
    </row>
    <row r="38" spans="1:19" ht="16" thickBot="1" x14ac:dyDescent="0.4">
      <c r="A38" s="204"/>
      <c r="B38" s="204"/>
      <c r="C38" s="204"/>
      <c r="D38" s="204"/>
      <c r="E38" s="204"/>
      <c r="F38" s="204"/>
      <c r="G38" s="204"/>
      <c r="H38" s="283">
        <f ca="1">Sheet51!K154</f>
        <v>-398850</v>
      </c>
      <c r="I38" s="282">
        <f>Sheet51!M154</f>
        <v>12200</v>
      </c>
      <c r="J38" s="283">
        <f ca="1">Sheet51!O154</f>
        <v>-28650</v>
      </c>
      <c r="K38" s="204"/>
      <c r="L38" s="204"/>
      <c r="M38" s="204"/>
      <c r="N38" s="204"/>
      <c r="O38" s="204"/>
      <c r="P38" s="204"/>
      <c r="Q38" s="204"/>
      <c r="R38" s="204"/>
      <c r="S38" s="204"/>
    </row>
    <row r="39" spans="1:19" ht="16" thickBot="1" x14ac:dyDescent="0.4">
      <c r="A39" s="204"/>
      <c r="B39" s="204"/>
      <c r="C39" s="204"/>
      <c r="D39" s="204"/>
      <c r="E39" s="204"/>
      <c r="F39" s="204"/>
      <c r="G39" s="204"/>
      <c r="H39" s="283">
        <f ca="1">Sheet51!K155</f>
        <v>-59700</v>
      </c>
      <c r="I39" s="282">
        <f>Sheet51!M155</f>
        <v>12150</v>
      </c>
      <c r="J39" s="283">
        <f ca="1">Sheet51!O155</f>
        <v>-900</v>
      </c>
      <c r="K39" s="204"/>
      <c r="L39" s="204"/>
      <c r="M39" s="204"/>
      <c r="N39" s="204"/>
      <c r="O39" s="204"/>
      <c r="P39" s="204"/>
      <c r="Q39" s="204"/>
      <c r="R39" s="204"/>
      <c r="S39" s="204"/>
    </row>
    <row r="40" spans="1:19" ht="16" thickBot="1" x14ac:dyDescent="0.4">
      <c r="A40" s="204"/>
      <c r="B40" s="204"/>
      <c r="C40" s="204"/>
      <c r="D40" s="204"/>
      <c r="E40" s="204"/>
      <c r="F40" s="204"/>
      <c r="G40" s="204"/>
      <c r="H40" s="283">
        <f ca="1">Sheet51!K156</f>
        <v>-478575</v>
      </c>
      <c r="I40" s="282">
        <f>Sheet51!M156</f>
        <v>12100</v>
      </c>
      <c r="J40" s="283">
        <f ca="1">Sheet51!O156</f>
        <v>-37650</v>
      </c>
      <c r="K40" s="204"/>
      <c r="L40" s="204"/>
      <c r="M40" s="204"/>
      <c r="N40" s="204"/>
      <c r="O40" s="204"/>
      <c r="P40" s="204"/>
      <c r="Q40" s="204"/>
      <c r="R40" s="204"/>
      <c r="S40" s="204"/>
    </row>
    <row r="41" spans="1:19" ht="16" thickBot="1" x14ac:dyDescent="0.4">
      <c r="A41" s="204"/>
      <c r="B41" s="204"/>
      <c r="C41" s="204"/>
      <c r="D41" s="204"/>
      <c r="E41" s="204"/>
      <c r="F41" s="204"/>
      <c r="G41" s="204"/>
      <c r="H41" s="283">
        <f ca="1">Sheet51!K157</f>
        <v>202875</v>
      </c>
      <c r="I41" s="282">
        <f>Sheet51!M157</f>
        <v>12050</v>
      </c>
      <c r="J41" s="283">
        <f ca="1">Sheet51!O157</f>
        <v>1125</v>
      </c>
      <c r="K41" s="204"/>
      <c r="L41" s="204"/>
      <c r="M41" s="204"/>
      <c r="N41" s="204"/>
      <c r="O41" s="204"/>
      <c r="P41" s="204"/>
      <c r="Q41" s="204"/>
      <c r="R41" s="204"/>
      <c r="S41" s="204"/>
    </row>
    <row r="42" spans="1:19" ht="16" thickBot="1" x14ac:dyDescent="0.4">
      <c r="A42" s="204"/>
      <c r="B42" s="204"/>
      <c r="C42" s="204"/>
      <c r="D42" s="204"/>
      <c r="E42" s="204"/>
      <c r="F42" s="204"/>
      <c r="G42" s="204"/>
      <c r="H42" s="283">
        <f ca="1">Sheet51!K158</f>
        <v>-1697025</v>
      </c>
      <c r="I42" s="282">
        <f>Sheet51!M158</f>
        <v>12000</v>
      </c>
      <c r="J42" s="283">
        <f ca="1">Sheet51!O158</f>
        <v>-524325</v>
      </c>
      <c r="K42" s="204"/>
      <c r="L42" s="204"/>
      <c r="M42" s="204"/>
      <c r="N42" s="204"/>
      <c r="O42" s="204"/>
      <c r="P42" s="204"/>
      <c r="Q42" s="204"/>
      <c r="R42" s="204"/>
      <c r="S42" s="204"/>
    </row>
    <row r="43" spans="1:19" ht="16" thickBot="1" x14ac:dyDescent="0.4">
      <c r="A43" s="204"/>
      <c r="B43" s="204"/>
      <c r="C43" s="204"/>
      <c r="D43" s="204"/>
      <c r="E43" s="204"/>
      <c r="F43" s="204"/>
      <c r="G43" s="204"/>
      <c r="H43" s="283">
        <f ca="1">Sheet51!K159</f>
        <v>-311850</v>
      </c>
      <c r="I43" s="282">
        <f>Sheet51!M159</f>
        <v>11950</v>
      </c>
      <c r="J43" s="283">
        <f ca="1">Sheet51!O159</f>
        <v>331725</v>
      </c>
      <c r="K43" s="204"/>
      <c r="L43" s="204"/>
      <c r="M43" s="204"/>
      <c r="N43" s="204"/>
      <c r="O43" s="204"/>
      <c r="P43" s="204"/>
      <c r="Q43" s="204"/>
      <c r="R43" s="204"/>
      <c r="S43" s="204"/>
    </row>
    <row r="44" spans="1:19" ht="16" thickBot="1" x14ac:dyDescent="0.4">
      <c r="A44" s="204"/>
      <c r="B44" s="204"/>
      <c r="C44" s="204"/>
      <c r="D44" s="204"/>
      <c r="E44" s="204"/>
      <c r="F44" s="204"/>
      <c r="G44" s="204"/>
      <c r="H44" s="283">
        <f ca="1">Sheet51!K160</f>
        <v>-2377800</v>
      </c>
      <c r="I44" s="282">
        <f>Sheet51!M160</f>
        <v>11900</v>
      </c>
      <c r="J44" s="283">
        <f ca="1">Sheet51!O160</f>
        <v>1984500</v>
      </c>
      <c r="K44" s="204"/>
      <c r="L44" s="204"/>
      <c r="M44" s="204"/>
      <c r="N44" s="204"/>
      <c r="O44" s="204"/>
      <c r="P44" s="204"/>
      <c r="Q44" s="204"/>
      <c r="R44" s="204"/>
      <c r="S44" s="204"/>
    </row>
    <row r="45" spans="1:19" ht="16" thickBot="1" x14ac:dyDescent="0.4">
      <c r="A45" s="204"/>
      <c r="B45" s="204"/>
      <c r="C45" s="204"/>
      <c r="D45" s="204"/>
      <c r="E45" s="204"/>
      <c r="F45" s="204"/>
      <c r="G45" s="204"/>
      <c r="H45" s="283">
        <f ca="1">Sheet51!K161</f>
        <v>-598725</v>
      </c>
      <c r="I45" s="282">
        <f>Sheet51!M161</f>
        <v>11850</v>
      </c>
      <c r="J45" s="283">
        <f ca="1">Sheet51!O161</f>
        <v>1151850</v>
      </c>
      <c r="K45" s="204"/>
      <c r="L45" s="204"/>
      <c r="M45" s="204"/>
      <c r="N45" s="204"/>
      <c r="O45" s="204"/>
      <c r="P45" s="204"/>
      <c r="Q45" s="204"/>
      <c r="R45" s="204"/>
      <c r="S45" s="204"/>
    </row>
    <row r="46" spans="1:19" ht="16" thickBot="1" x14ac:dyDescent="0.4">
      <c r="A46" s="204"/>
      <c r="B46" s="204"/>
      <c r="C46" s="204"/>
      <c r="D46" s="204"/>
      <c r="E46" s="204"/>
      <c r="F46" s="204"/>
      <c r="G46" s="204"/>
      <c r="H46" s="283">
        <f ca="1">Sheet51!K162</f>
        <v>-960450</v>
      </c>
      <c r="I46" s="282">
        <f>Sheet51!M162</f>
        <v>11800</v>
      </c>
      <c r="J46" s="283">
        <f ca="1">Sheet51!O162</f>
        <v>759225</v>
      </c>
      <c r="K46" s="204"/>
      <c r="L46" s="204"/>
      <c r="M46" s="204"/>
      <c r="N46" s="204"/>
      <c r="O46" s="204"/>
      <c r="P46" s="204"/>
      <c r="Q46" s="204"/>
      <c r="R46" s="204"/>
      <c r="S46" s="204"/>
    </row>
    <row r="47" spans="1:19" ht="16" thickBot="1" x14ac:dyDescent="0.4">
      <c r="A47" s="204"/>
      <c r="B47" s="204"/>
      <c r="C47" s="204"/>
      <c r="D47" s="204"/>
      <c r="E47" s="204"/>
      <c r="F47" s="204"/>
      <c r="G47" s="204"/>
      <c r="H47" s="283">
        <f ca="1">Sheet51!K163</f>
        <v>-39375</v>
      </c>
      <c r="I47" s="282">
        <f>Sheet51!M163</f>
        <v>11750</v>
      </c>
      <c r="J47" s="283">
        <f ca="1">Sheet51!O163</f>
        <v>90075</v>
      </c>
      <c r="K47" s="204"/>
      <c r="L47" s="204"/>
      <c r="M47" s="204"/>
      <c r="N47" s="204"/>
      <c r="O47" s="204"/>
      <c r="P47" s="204"/>
      <c r="Q47" s="204"/>
      <c r="R47" s="204"/>
      <c r="S47" s="204"/>
    </row>
    <row r="48" spans="1:19" ht="16" thickBot="1" x14ac:dyDescent="0.4">
      <c r="A48" s="204"/>
      <c r="B48" s="204"/>
      <c r="C48" s="204"/>
      <c r="D48" s="204"/>
      <c r="E48" s="204"/>
      <c r="F48" s="204"/>
      <c r="G48" s="204"/>
      <c r="H48" s="283">
        <f ca="1">Sheet51!K164</f>
        <v>-628950</v>
      </c>
      <c r="I48" s="282">
        <f>Sheet51!M164</f>
        <v>11700</v>
      </c>
      <c r="J48" s="283">
        <f ca="1">Sheet51!O164</f>
        <v>-390450</v>
      </c>
      <c r="K48" s="204"/>
      <c r="L48" s="204"/>
      <c r="M48" s="204"/>
      <c r="N48" s="204"/>
      <c r="O48" s="204"/>
      <c r="P48" s="204"/>
      <c r="Q48" s="204"/>
      <c r="R48" s="204"/>
      <c r="S48" s="204"/>
    </row>
    <row r="49" spans="1:19" ht="16" thickBot="1" x14ac:dyDescent="0.4">
      <c r="A49" s="204"/>
      <c r="B49" s="204"/>
      <c r="C49" s="204"/>
      <c r="D49" s="204"/>
      <c r="E49" s="204"/>
      <c r="F49" s="204"/>
      <c r="G49" s="204"/>
      <c r="H49" s="283">
        <f ca="1">Sheet51!K165</f>
        <v>-8850</v>
      </c>
      <c r="I49" s="282">
        <f>Sheet51!M165</f>
        <v>11650</v>
      </c>
      <c r="J49" s="283">
        <f ca="1">Sheet51!O165</f>
        <v>-29325</v>
      </c>
      <c r="K49" s="204"/>
      <c r="L49" s="204"/>
      <c r="M49" s="204"/>
      <c r="N49" s="204"/>
      <c r="O49" s="204"/>
      <c r="P49" s="204"/>
      <c r="Q49" s="204"/>
      <c r="R49" s="204"/>
      <c r="S49" s="204"/>
    </row>
    <row r="50" spans="1:19" ht="16" thickBot="1" x14ac:dyDescent="0.4">
      <c r="A50" s="204"/>
      <c r="B50" s="204"/>
      <c r="C50" s="204"/>
      <c r="D50" s="204"/>
      <c r="E50" s="204"/>
      <c r="F50" s="204"/>
      <c r="G50" s="204"/>
      <c r="H50" s="283">
        <f ca="1">Sheet51!K166</f>
        <v>-326400</v>
      </c>
      <c r="I50" s="282">
        <f>Sheet51!M166</f>
        <v>11600</v>
      </c>
      <c r="J50" s="283">
        <f ca="1">Sheet51!O166</f>
        <v>-320025</v>
      </c>
      <c r="K50" s="204"/>
      <c r="L50" s="204"/>
      <c r="M50" s="204"/>
      <c r="N50" s="204"/>
      <c r="O50" s="204"/>
      <c r="P50" s="204"/>
      <c r="Q50" s="204"/>
      <c r="R50" s="204"/>
      <c r="S50" s="204"/>
    </row>
    <row r="51" spans="1:19" ht="16" thickBot="1" x14ac:dyDescent="0.4">
      <c r="A51" s="768"/>
      <c r="B51" s="768"/>
      <c r="C51" s="768"/>
      <c r="D51" s="768"/>
      <c r="E51" s="204"/>
      <c r="F51" s="204"/>
      <c r="G51" s="204"/>
      <c r="H51" s="283">
        <f ca="1">Sheet51!K167</f>
        <v>-2400</v>
      </c>
      <c r="I51" s="282">
        <f>Sheet51!M167</f>
        <v>11550</v>
      </c>
      <c r="J51" s="283">
        <f ca="1">Sheet51!O167</f>
        <v>-1875</v>
      </c>
      <c r="K51" s="204"/>
      <c r="L51" s="204"/>
      <c r="M51" s="204"/>
      <c r="N51" s="204"/>
      <c r="O51" s="204"/>
      <c r="P51" s="204"/>
      <c r="Q51" s="204"/>
      <c r="R51" s="204"/>
      <c r="S51" s="204"/>
    </row>
    <row r="52" spans="1:19" ht="16" thickBot="1" x14ac:dyDescent="0.4">
      <c r="A52" s="204"/>
      <c r="B52" s="204"/>
      <c r="C52" s="204"/>
      <c r="D52" s="204"/>
      <c r="E52" s="204"/>
      <c r="F52" s="204"/>
      <c r="G52" s="204"/>
      <c r="H52" s="283">
        <f ca="1">Sheet51!K168</f>
        <v>-207075</v>
      </c>
      <c r="I52" s="282">
        <f>Sheet51!M168</f>
        <v>11500</v>
      </c>
      <c r="J52" s="283">
        <f ca="1">Sheet51!O168</f>
        <v>-277500</v>
      </c>
      <c r="K52" s="204"/>
      <c r="L52" s="204"/>
      <c r="M52" s="204"/>
      <c r="N52" s="204"/>
      <c r="O52" s="204"/>
      <c r="P52" s="204"/>
      <c r="Q52" s="204"/>
      <c r="R52" s="204"/>
      <c r="S52" s="204"/>
    </row>
    <row r="53" spans="1:19" ht="16" thickBot="1" x14ac:dyDescent="0.4">
      <c r="A53" s="204"/>
      <c r="B53" s="204"/>
      <c r="C53" s="204"/>
      <c r="D53" s="204"/>
      <c r="E53" s="204"/>
      <c r="F53" s="204"/>
      <c r="G53" s="204"/>
      <c r="H53" s="283">
        <f ca="1">Sheet51!K169</f>
        <v>-450</v>
      </c>
      <c r="I53" s="282">
        <f>Sheet51!M169</f>
        <v>11450</v>
      </c>
      <c r="J53" s="283">
        <f ca="1">Sheet51!O169</f>
        <v>3075</v>
      </c>
      <c r="K53" s="204"/>
      <c r="L53" s="204"/>
      <c r="M53" s="204"/>
      <c r="N53" s="204"/>
      <c r="O53" s="204"/>
      <c r="P53" s="204"/>
      <c r="Q53" s="204"/>
      <c r="R53" s="204"/>
      <c r="S53" s="204"/>
    </row>
    <row r="54" spans="1:19" ht="16" thickBot="1" x14ac:dyDescent="0.4">
      <c r="A54" s="204"/>
      <c r="B54" s="204"/>
      <c r="C54" s="204"/>
      <c r="D54" s="204"/>
      <c r="E54" s="204"/>
      <c r="F54" s="204"/>
      <c r="G54" s="204"/>
      <c r="H54" s="283">
        <f ca="1">Sheet51!K170</f>
        <v>-96900</v>
      </c>
      <c r="I54" s="282">
        <f>Sheet51!M170</f>
        <v>11400</v>
      </c>
      <c r="J54" s="283">
        <f ca="1">Sheet51!O170</f>
        <v>-107550</v>
      </c>
      <c r="K54" s="204"/>
      <c r="L54" s="204"/>
      <c r="M54" s="204"/>
      <c r="N54" s="204"/>
      <c r="O54" s="204"/>
      <c r="P54" s="204"/>
      <c r="Q54" s="204"/>
      <c r="R54" s="204"/>
      <c r="S54" s="204"/>
    </row>
    <row r="55" spans="1:19" ht="15" thickBot="1" x14ac:dyDescent="0.4">
      <c r="A55" s="285"/>
      <c r="B55" s="285"/>
      <c r="C55" s="285"/>
      <c r="D55" s="285"/>
      <c r="E55" s="285"/>
      <c r="F55" s="285"/>
      <c r="G55" s="285"/>
      <c r="H55" s="284" t="s">
        <v>80</v>
      </c>
      <c r="I55" s="284" t="s">
        <v>81</v>
      </c>
      <c r="J55" s="284" t="s">
        <v>82</v>
      </c>
      <c r="K55" s="285"/>
      <c r="L55" s="285"/>
      <c r="M55" s="285"/>
      <c r="N55" s="285"/>
      <c r="O55" s="285"/>
      <c r="P55" s="285"/>
      <c r="Q55" s="285"/>
      <c r="R55" s="285"/>
      <c r="S55" s="285"/>
    </row>
    <row r="56" spans="1:19" x14ac:dyDescent="0.35">
      <c r="A56" s="285"/>
      <c r="B56" s="285"/>
      <c r="C56" s="285"/>
      <c r="D56" s="285"/>
      <c r="E56" s="285"/>
      <c r="F56" s="285"/>
      <c r="G56" s="285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285"/>
      <c r="S56" s="285"/>
    </row>
    <row r="57" spans="1:19" x14ac:dyDescent="0.35">
      <c r="A57" s="285"/>
      <c r="B57" s="285"/>
      <c r="C57" s="285"/>
      <c r="D57" s="285"/>
      <c r="E57" s="285"/>
      <c r="F57" s="285"/>
      <c r="G57" s="285"/>
      <c r="H57" s="285"/>
      <c r="I57" s="285"/>
      <c r="J57" s="285"/>
      <c r="K57" s="285"/>
      <c r="L57" s="285"/>
      <c r="M57" s="285"/>
      <c r="N57" s="285"/>
      <c r="O57" s="285"/>
      <c r="P57" s="285"/>
      <c r="Q57" s="285"/>
      <c r="R57" s="285"/>
      <c r="S57" s="285"/>
    </row>
    <row r="58" spans="1:19" x14ac:dyDescent="0.35">
      <c r="A58" s="285"/>
      <c r="B58" s="768" t="s">
        <v>177</v>
      </c>
      <c r="C58" s="768"/>
      <c r="D58" s="768"/>
      <c r="E58" s="768"/>
      <c r="F58" s="285"/>
      <c r="G58" s="285"/>
      <c r="H58" s="285"/>
      <c r="I58" s="285"/>
      <c r="J58" s="285"/>
      <c r="K58" s="285"/>
      <c r="L58" s="285"/>
      <c r="M58" s="285"/>
      <c r="N58" s="285"/>
      <c r="O58" s="285"/>
      <c r="P58" s="285"/>
      <c r="Q58" s="285"/>
      <c r="R58" s="285"/>
      <c r="S58" s="285"/>
    </row>
    <row r="59" spans="1:19" x14ac:dyDescent="0.35">
      <c r="A59" s="285"/>
      <c r="B59" s="285"/>
      <c r="C59" s="285"/>
      <c r="D59" s="285"/>
      <c r="E59" s="285"/>
      <c r="F59" s="285"/>
      <c r="G59" s="285"/>
      <c r="H59" s="285"/>
      <c r="I59" s="285"/>
      <c r="J59" s="285"/>
      <c r="K59" s="285"/>
      <c r="L59" s="285"/>
      <c r="M59" s="285"/>
      <c r="N59" s="285"/>
      <c r="O59" s="285"/>
      <c r="P59" s="285"/>
      <c r="Q59" s="285"/>
      <c r="R59" s="285"/>
      <c r="S59" s="285"/>
    </row>
    <row r="60" spans="1:19" x14ac:dyDescent="0.35">
      <c r="A60" s="285"/>
      <c r="B60" s="285"/>
      <c r="C60" s="285"/>
      <c r="D60" s="285"/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285"/>
      <c r="P60" s="285"/>
      <c r="Q60" s="285"/>
      <c r="R60" s="285"/>
      <c r="S60" s="285"/>
    </row>
  </sheetData>
  <customSheetViews>
    <customSheetView guid="{D12DFD61-4B7F-43F1-B07E-A848E00A354C}">
      <selection activeCell="C13" sqref="C13"/>
      <pageMargins left="0.7" right="0.7" top="0.75" bottom="0.75" header="0.3" footer="0.3"/>
      <pageSetup paperSize="9" orientation="portrait" horizontalDpi="300" verticalDpi="300" r:id="rId1"/>
    </customSheetView>
  </customSheetViews>
  <mergeCells count="13">
    <mergeCell ref="B58:E58"/>
    <mergeCell ref="Q26:R26"/>
    <mergeCell ref="N26:O26"/>
    <mergeCell ref="N25:O25"/>
    <mergeCell ref="A1:C1"/>
    <mergeCell ref="G2:O2"/>
    <mergeCell ref="R1:R2"/>
    <mergeCell ref="J1:L1"/>
    <mergeCell ref="H32:J32"/>
    <mergeCell ref="A51:D51"/>
    <mergeCell ref="F26:G26"/>
    <mergeCell ref="H26:K26"/>
    <mergeCell ref="D27:M27"/>
  </mergeCells>
  <pageMargins left="0.7" right="0.7" top="0.75" bottom="0.75" header="0.3" footer="0.3"/>
  <pageSetup paperSize="9" orientation="portrait" horizontalDpi="300" verticalDpi="30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26"/>
  <sheetViews>
    <sheetView topLeftCell="C1" workbookViewId="0">
      <selection activeCell="A13" sqref="A13"/>
    </sheetView>
  </sheetViews>
  <sheetFormatPr defaultRowHeight="14.5" x14ac:dyDescent="0.35"/>
  <cols>
    <col min="1" max="1" width="12.1796875" customWidth="1"/>
    <col min="2" max="2" width="9.1796875" customWidth="1"/>
    <col min="3" max="3" width="12.1796875" customWidth="1"/>
    <col min="6" max="6" width="3.7265625" customWidth="1"/>
    <col min="7" max="7" width="6.1796875" customWidth="1"/>
    <col min="9" max="9" width="14.81640625" customWidth="1"/>
    <col min="12" max="12" width="15.7265625" customWidth="1"/>
    <col min="14" max="14" width="7.26953125" customWidth="1"/>
    <col min="15" max="15" width="10.26953125" customWidth="1"/>
    <col min="16" max="16" width="14.453125" customWidth="1"/>
    <col min="17" max="17" width="7.81640625" customWidth="1"/>
  </cols>
  <sheetData>
    <row r="1" spans="1:19" ht="24" thickBot="1" x14ac:dyDescent="0.6">
      <c r="A1" s="772" t="s">
        <v>0</v>
      </c>
      <c r="B1" s="772"/>
      <c r="C1" s="772"/>
      <c r="D1" s="205"/>
      <c r="E1" s="205"/>
      <c r="F1" s="205"/>
      <c r="G1" s="69" t="s">
        <v>69</v>
      </c>
      <c r="H1" s="67">
        <f ca="1">MAIN!L5</f>
        <v>12000</v>
      </c>
      <c r="I1" s="227">
        <f ca="1">MAIN!N5</f>
        <v>3645450</v>
      </c>
      <c r="J1" s="776" t="s">
        <v>85</v>
      </c>
      <c r="K1" s="776"/>
      <c r="L1" s="776"/>
      <c r="M1" s="68"/>
      <c r="N1" s="209" t="s">
        <v>71</v>
      </c>
      <c r="O1" s="209">
        <f ca="1">MAIN!L6</f>
        <v>11000</v>
      </c>
      <c r="P1" s="228">
        <f ca="1">MAIN!N6</f>
        <v>3292500</v>
      </c>
      <c r="Q1" s="204"/>
      <c r="R1" s="769" t="str">
        <f ca="1">MAIN!N7</f>
        <v>SELL</v>
      </c>
      <c r="S1" s="204"/>
    </row>
    <row r="2" spans="1:19" ht="16.5" customHeight="1" thickBot="1" x14ac:dyDescent="0.4">
      <c r="A2" s="74" t="s">
        <v>19</v>
      </c>
      <c r="B2" s="74" t="s">
        <v>36</v>
      </c>
      <c r="C2" s="74" t="s">
        <v>20</v>
      </c>
      <c r="D2" s="205" t="s">
        <v>10</v>
      </c>
      <c r="E2" s="212">
        <f>MAIN!B2</f>
        <v>11945.9</v>
      </c>
      <c r="F2" s="204"/>
      <c r="G2" s="780" t="str">
        <f>MAIN!D1</f>
        <v>-</v>
      </c>
      <c r="H2" s="781"/>
      <c r="I2" s="781"/>
      <c r="J2" s="781"/>
      <c r="K2" s="781"/>
      <c r="L2" s="781"/>
      <c r="M2" s="781"/>
      <c r="N2" s="781"/>
      <c r="O2" s="781"/>
      <c r="P2" s="205" t="s">
        <v>83</v>
      </c>
      <c r="Q2" s="229">
        <f ca="1">MAIN!S2</f>
        <v>11900</v>
      </c>
      <c r="R2" s="769"/>
      <c r="S2" s="204"/>
    </row>
    <row r="3" spans="1:19" ht="16" thickBot="1" x14ac:dyDescent="0.4">
      <c r="A3" s="213">
        <f ca="1">Sheet51!B150</f>
        <v>338325</v>
      </c>
      <c r="B3" s="163">
        <f>Sheet51!E150</f>
        <v>12900</v>
      </c>
      <c r="C3" s="213">
        <f ca="1">Sheet51!F150</f>
        <v>300</v>
      </c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</row>
    <row r="4" spans="1:19" ht="16" thickBot="1" x14ac:dyDescent="0.4">
      <c r="A4" s="213">
        <f ca="1">Sheet51!B151</f>
        <v>573225</v>
      </c>
      <c r="B4" s="163">
        <f>Sheet51!E151</f>
        <v>12800</v>
      </c>
      <c r="C4" s="213">
        <f ca="1">Sheet51!F151</f>
        <v>225</v>
      </c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</row>
    <row r="5" spans="1:19" ht="16" thickBot="1" x14ac:dyDescent="0.4">
      <c r="A5" s="213">
        <f ca="1">Sheet51!B152</f>
        <v>493950</v>
      </c>
      <c r="B5" s="163">
        <f>Sheet51!E152</f>
        <v>12700</v>
      </c>
      <c r="C5" s="213">
        <f ca="1">Sheet51!F152</f>
        <v>75</v>
      </c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</row>
    <row r="6" spans="1:19" ht="16" thickBot="1" x14ac:dyDescent="0.4">
      <c r="A6" s="213">
        <f ca="1">Sheet51!B153</f>
        <v>719700</v>
      </c>
      <c r="B6" s="163">
        <f>Sheet51!E153</f>
        <v>12600</v>
      </c>
      <c r="C6" s="213">
        <f ca="1">Sheet51!F153</f>
        <v>375</v>
      </c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4"/>
    </row>
    <row r="7" spans="1:19" ht="16" thickBot="1" x14ac:dyDescent="0.4">
      <c r="A7" s="213">
        <f ca="1">Sheet51!B154</f>
        <v>2739825</v>
      </c>
      <c r="B7" s="163">
        <f>Sheet51!E154</f>
        <v>12500</v>
      </c>
      <c r="C7" s="213">
        <f ca="1">Sheet51!F154</f>
        <v>30600</v>
      </c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</row>
    <row r="8" spans="1:19" ht="16" thickBot="1" x14ac:dyDescent="0.4">
      <c r="A8" s="213">
        <f ca="1">Sheet51!B155</f>
        <v>1354500</v>
      </c>
      <c r="B8" s="163">
        <f>Sheet51!E155</f>
        <v>12400</v>
      </c>
      <c r="C8" s="213">
        <f ca="1">Sheet51!F155</f>
        <v>150</v>
      </c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</row>
    <row r="9" spans="1:19" ht="16" thickBot="1" x14ac:dyDescent="0.4">
      <c r="A9" s="213">
        <f ca="1">Sheet51!B156</f>
        <v>1590600</v>
      </c>
      <c r="B9" s="163">
        <f>Sheet51!E156</f>
        <v>12300</v>
      </c>
      <c r="C9" s="213">
        <f ca="1">Sheet51!F156</f>
        <v>375</v>
      </c>
      <c r="D9" s="204"/>
      <c r="E9" s="204"/>
      <c r="F9" s="204"/>
      <c r="G9" s="204"/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4"/>
      <c r="S9" s="204"/>
    </row>
    <row r="10" spans="1:19" ht="16" thickBot="1" x14ac:dyDescent="0.4">
      <c r="A10" s="215">
        <f ca="1">Sheet51!B157</f>
        <v>1859175</v>
      </c>
      <c r="B10" s="164">
        <f>Sheet51!E157</f>
        <v>12200</v>
      </c>
      <c r="C10" s="216">
        <f ca="1">Sheet51!F157</f>
        <v>1200</v>
      </c>
      <c r="D10" s="204"/>
      <c r="E10" s="204"/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204"/>
      <c r="R10" s="204"/>
      <c r="S10" s="204"/>
    </row>
    <row r="11" spans="1:19" ht="16" thickBot="1" x14ac:dyDescent="0.4">
      <c r="A11" s="215">
        <f ca="1">Sheet51!B158</f>
        <v>1329525</v>
      </c>
      <c r="B11" s="164">
        <f>Sheet51!E158</f>
        <v>12100</v>
      </c>
      <c r="C11" s="216">
        <f ca="1">Sheet51!F158</f>
        <v>2625</v>
      </c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</row>
    <row r="12" spans="1:19" ht="16" thickBot="1" x14ac:dyDescent="0.4">
      <c r="A12" s="215">
        <f ca="1">Sheet51!B159</f>
        <v>3645450</v>
      </c>
      <c r="B12" s="164">
        <f>Sheet51!E159</f>
        <v>12000</v>
      </c>
      <c r="C12" s="216">
        <f ca="1">Sheet51!F159</f>
        <v>57300</v>
      </c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</row>
    <row r="13" spans="1:19" ht="16" thickBot="1" x14ac:dyDescent="0.4">
      <c r="A13" s="65">
        <f ca="1">Sheet51!B160</f>
        <v>261300</v>
      </c>
      <c r="B13" s="66">
        <f>Sheet51!E160</f>
        <v>11900</v>
      </c>
      <c r="C13" s="65">
        <f ca="1">Sheet51!F160</f>
        <v>3175200</v>
      </c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</row>
    <row r="14" spans="1:19" ht="16" thickBot="1" x14ac:dyDescent="0.4">
      <c r="A14" s="216">
        <f ca="1">Sheet51!B161</f>
        <v>143475</v>
      </c>
      <c r="B14" s="164">
        <f>Sheet51!E161</f>
        <v>11800</v>
      </c>
      <c r="C14" s="215">
        <f ca="1">Sheet51!F161</f>
        <v>2846775</v>
      </c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  <c r="S14" s="204"/>
    </row>
    <row r="15" spans="1:19" ht="16" thickBot="1" x14ac:dyDescent="0.4">
      <c r="A15" s="216">
        <f ca="1">Sheet51!B162</f>
        <v>212025</v>
      </c>
      <c r="B15" s="164">
        <f>Sheet51!E162</f>
        <v>11700</v>
      </c>
      <c r="C15" s="215">
        <f ca="1">Sheet51!F162</f>
        <v>1857975</v>
      </c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</row>
    <row r="16" spans="1:19" ht="16" thickBot="1" x14ac:dyDescent="0.4">
      <c r="A16" s="216">
        <f ca="1">Sheet51!B163</f>
        <v>85500</v>
      </c>
      <c r="B16" s="164">
        <f>Sheet51!E163</f>
        <v>11600</v>
      </c>
      <c r="C16" s="215">
        <f ca="1">Sheet51!F163</f>
        <v>1262625</v>
      </c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  <c r="S16" s="204"/>
    </row>
    <row r="17" spans="1:19" ht="16" thickBot="1" x14ac:dyDescent="0.4">
      <c r="A17" s="213">
        <f ca="1">Sheet51!B164</f>
        <v>112425</v>
      </c>
      <c r="B17" s="163">
        <f>Sheet51!E164</f>
        <v>11500</v>
      </c>
      <c r="C17" s="213">
        <f ca="1">Sheet51!F164</f>
        <v>1674750</v>
      </c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04"/>
      <c r="O17" s="204"/>
      <c r="P17" s="204"/>
      <c r="Q17" s="204"/>
      <c r="R17" s="204"/>
      <c r="S17" s="204"/>
    </row>
    <row r="18" spans="1:19" ht="16" thickBot="1" x14ac:dyDescent="0.4">
      <c r="A18" s="213">
        <f ca="1">Sheet51!B165</f>
        <v>28875</v>
      </c>
      <c r="B18" s="163">
        <f>Sheet51!E165</f>
        <v>11400</v>
      </c>
      <c r="C18" s="213">
        <f ca="1">Sheet51!F165</f>
        <v>687375</v>
      </c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</row>
    <row r="19" spans="1:19" ht="16" thickBot="1" x14ac:dyDescent="0.4">
      <c r="A19" s="213">
        <f ca="1">Sheet51!B166</f>
        <v>33825</v>
      </c>
      <c r="B19" s="163">
        <f>Sheet51!E166</f>
        <v>11300</v>
      </c>
      <c r="C19" s="213">
        <f ca="1">Sheet51!F166</f>
        <v>711000</v>
      </c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  <c r="S19" s="204"/>
    </row>
    <row r="20" spans="1:19" ht="16" thickBot="1" x14ac:dyDescent="0.4">
      <c r="A20" s="213">
        <f ca="1">Sheet51!B167</f>
        <v>25050</v>
      </c>
      <c r="B20" s="163">
        <f>Sheet51!E167</f>
        <v>11200</v>
      </c>
      <c r="C20" s="213">
        <f ca="1">Sheet51!F167</f>
        <v>1249125</v>
      </c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04"/>
    </row>
    <row r="21" spans="1:19" ht="16" thickBot="1" x14ac:dyDescent="0.4">
      <c r="A21" s="213">
        <f ca="1">Sheet51!B168</f>
        <v>1725</v>
      </c>
      <c r="B21" s="163">
        <f>Sheet51!E168</f>
        <v>11100</v>
      </c>
      <c r="C21" s="213">
        <f ca="1">Sheet51!F168</f>
        <v>445050</v>
      </c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204"/>
      <c r="O21" s="204"/>
      <c r="P21" s="204"/>
      <c r="Q21" s="204"/>
      <c r="R21" s="204"/>
      <c r="S21" s="204"/>
    </row>
    <row r="22" spans="1:19" ht="16" thickBot="1" x14ac:dyDescent="0.4">
      <c r="A22" s="213">
        <f ca="1">Sheet51!B169</f>
        <v>24000</v>
      </c>
      <c r="B22" s="163">
        <f>Sheet51!E169</f>
        <v>11000</v>
      </c>
      <c r="C22" s="213">
        <f ca="1">Sheet51!F169</f>
        <v>3292500</v>
      </c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04"/>
      <c r="S22" s="204"/>
    </row>
    <row r="23" spans="1:19" ht="16" thickBot="1" x14ac:dyDescent="0.4">
      <c r="A23" s="213">
        <f ca="1">Sheet51!B170</f>
        <v>450</v>
      </c>
      <c r="B23" s="163">
        <f>Sheet51!E170</f>
        <v>10900</v>
      </c>
      <c r="C23" s="213">
        <f ca="1">Sheet51!F170</f>
        <v>482100</v>
      </c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204"/>
      <c r="O23" s="204"/>
      <c r="P23" s="204"/>
      <c r="Q23" s="204"/>
      <c r="R23" s="204"/>
      <c r="S23" s="204"/>
    </row>
    <row r="24" spans="1:19" ht="15" thickBot="1" x14ac:dyDescent="0.4">
      <c r="A24" s="218" t="s">
        <v>80</v>
      </c>
      <c r="B24" s="64" t="s">
        <v>81</v>
      </c>
      <c r="C24" s="219" t="s">
        <v>82</v>
      </c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04"/>
      <c r="S24" s="204"/>
    </row>
    <row r="25" spans="1:19" x14ac:dyDescent="0.35">
      <c r="A25" s="204"/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  <c r="S25" s="204"/>
    </row>
    <row r="26" spans="1:19" x14ac:dyDescent="0.35">
      <c r="A26" s="204"/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  <c r="S26" s="204"/>
    </row>
  </sheetData>
  <customSheetViews>
    <customSheetView guid="{D12DFD61-4B7F-43F1-B07E-A848E00A354C}">
      <selection activeCell="C10" sqref="C10"/>
      <pageMargins left="0.7" right="0.7" top="0.75" bottom="0.75" header="0.3" footer="0.3"/>
    </customSheetView>
  </customSheetViews>
  <mergeCells count="4">
    <mergeCell ref="A1:C1"/>
    <mergeCell ref="G2:O2"/>
    <mergeCell ref="R1:R2"/>
    <mergeCell ref="J1:L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100"/>
  <sheetViews>
    <sheetView topLeftCell="B1" workbookViewId="0">
      <selection activeCell="M2" sqref="M2"/>
    </sheetView>
  </sheetViews>
  <sheetFormatPr defaultRowHeight="14.5" x14ac:dyDescent="0.35"/>
  <cols>
    <col min="1" max="1" width="12.26953125" customWidth="1"/>
    <col min="2" max="2" width="11.54296875" customWidth="1"/>
    <col min="3" max="3" width="11.7265625" customWidth="1"/>
    <col min="5" max="5" width="11.26953125" customWidth="1"/>
    <col min="6" max="6" width="8.54296875" customWidth="1"/>
    <col min="7" max="7" width="8.453125" customWidth="1"/>
    <col min="8" max="9" width="9.1796875" customWidth="1"/>
    <col min="10" max="10" width="9.81640625" customWidth="1"/>
    <col min="12" max="12" width="11.453125" customWidth="1"/>
    <col min="15" max="15" width="11.1796875" customWidth="1"/>
    <col min="16" max="16" width="12.453125" customWidth="1"/>
    <col min="17" max="17" width="11.81640625" customWidth="1"/>
  </cols>
  <sheetData>
    <row r="1" spans="1:18" ht="17.25" customHeight="1" thickBot="1" x14ac:dyDescent="0.55000000000000004">
      <c r="A1" s="772" t="s">
        <v>35</v>
      </c>
      <c r="B1" s="772"/>
      <c r="C1" s="772"/>
      <c r="D1" s="230" t="s">
        <v>69</v>
      </c>
      <c r="E1" s="231">
        <f ca="1">MAIN!C5</f>
        <v>11900</v>
      </c>
      <c r="F1" s="778">
        <f ca="1">MAIN!E5</f>
        <v>-2377800</v>
      </c>
      <c r="G1" s="783"/>
      <c r="H1" s="782" t="s">
        <v>146</v>
      </c>
      <c r="I1" s="782"/>
      <c r="J1" s="782"/>
      <c r="K1" s="220" t="s">
        <v>71</v>
      </c>
      <c r="L1" s="232">
        <f ca="1">MAIN!C6</f>
        <v>11900</v>
      </c>
      <c r="M1" s="770">
        <f ca="1">CHGOI!P1</f>
        <v>1984500</v>
      </c>
      <c r="N1" s="784"/>
      <c r="O1" s="772" t="s">
        <v>95</v>
      </c>
      <c r="P1" s="772"/>
      <c r="Q1" s="772"/>
      <c r="R1" s="204"/>
    </row>
    <row r="2" spans="1:18" ht="21" customHeight="1" thickBot="1" x14ac:dyDescent="0.55000000000000004">
      <c r="A2" s="74" t="s">
        <v>75</v>
      </c>
      <c r="B2" s="74" t="s">
        <v>36</v>
      </c>
      <c r="C2" s="74" t="s">
        <v>76</v>
      </c>
      <c r="D2" s="203"/>
      <c r="E2" s="233" t="s">
        <v>147</v>
      </c>
      <c r="F2" s="234">
        <f ca="1">Sheet51!F183</f>
        <v>1</v>
      </c>
      <c r="G2" s="203"/>
      <c r="H2" s="785" t="str">
        <f ca="1">MAIN!E7</f>
        <v>SELL</v>
      </c>
      <c r="I2" s="785"/>
      <c r="J2" s="785"/>
      <c r="K2" s="203"/>
      <c r="L2" s="235" t="s">
        <v>148</v>
      </c>
      <c r="M2" s="236">
        <f ca="1">Sheet51!F184</f>
        <v>0</v>
      </c>
      <c r="N2" s="203"/>
      <c r="O2" s="74" t="s">
        <v>149</v>
      </c>
      <c r="P2" s="74" t="s">
        <v>36</v>
      </c>
      <c r="Q2" s="74" t="s">
        <v>150</v>
      </c>
      <c r="R2" s="204"/>
    </row>
    <row r="3" spans="1:18" ht="16" thickBot="1" x14ac:dyDescent="0.4">
      <c r="A3" s="213">
        <f ca="1">Sheet51!C150</f>
        <v>33150</v>
      </c>
      <c r="B3" s="163">
        <f>Sheet51!E150</f>
        <v>12900</v>
      </c>
      <c r="C3" s="213">
        <f ca="1">Sheet51!G150</f>
        <v>-750</v>
      </c>
      <c r="D3" s="237" t="s">
        <v>10</v>
      </c>
      <c r="E3" s="203">
        <f>MAIN!B2</f>
        <v>11945.9</v>
      </c>
      <c r="F3" s="780" t="str">
        <f>MAIN!D1</f>
        <v>-</v>
      </c>
      <c r="G3" s="780"/>
      <c r="H3" s="780"/>
      <c r="I3" s="780"/>
      <c r="J3" s="780"/>
      <c r="K3" s="780"/>
      <c r="L3" s="780"/>
      <c r="M3" s="237" t="s">
        <v>83</v>
      </c>
      <c r="N3" s="238">
        <f ca="1">MAIN!S2</f>
        <v>11900</v>
      </c>
      <c r="O3" s="239">
        <f ca="1">SUMIF(Sheet51!$H$6:'Sheet51'!$H$67,P3,Sheet51!$F$6:'Sheet51'!$F$67)</f>
        <v>0.05</v>
      </c>
      <c r="P3" s="163">
        <f>Sheet51!E150</f>
        <v>12900</v>
      </c>
      <c r="Q3" s="240">
        <f ca="1">SUMIF(Sheet51!$H$6:'Sheet51'!$H$67,P3,Sheet51!$M$6:'Sheet51'!$M$67)</f>
        <v>957.2</v>
      </c>
      <c r="R3" s="204"/>
    </row>
    <row r="4" spans="1:18" ht="16" thickBot="1" x14ac:dyDescent="0.4">
      <c r="A4" s="213">
        <f ca="1">Sheet51!C151</f>
        <v>-33600</v>
      </c>
      <c r="B4" s="163">
        <f>Sheet51!E151</f>
        <v>12800</v>
      </c>
      <c r="C4" s="213">
        <f ca="1">Sheet51!G151</f>
        <v>-600</v>
      </c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39">
        <f ca="1">SUMIF(Sheet51!$H$6:'Sheet51'!$H$67,P4,Sheet51!$F$6:'Sheet51'!$F$67)</f>
        <v>0.05</v>
      </c>
      <c r="P4" s="163">
        <f>Sheet51!E151</f>
        <v>12800</v>
      </c>
      <c r="Q4" s="240">
        <f ca="1">SUMIF(Sheet51!$H$6:'Sheet51'!$H$67,P4,Sheet51!$M$6:'Sheet51'!$M$67)</f>
        <v>850</v>
      </c>
      <c r="R4" s="204"/>
    </row>
    <row r="5" spans="1:18" ht="16" thickBot="1" x14ac:dyDescent="0.4">
      <c r="A5" s="213">
        <f ca="1">Sheet51!C152</f>
        <v>-12600</v>
      </c>
      <c r="B5" s="163">
        <f>Sheet51!E152</f>
        <v>12700</v>
      </c>
      <c r="C5" s="213">
        <f ca="1">Sheet51!G152</f>
        <v>-1200</v>
      </c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39">
        <f ca="1">SUMIF(Sheet51!$H$6:'Sheet51'!$H$67,P5,Sheet51!$F$6:'Sheet51'!$F$67)</f>
        <v>0.05</v>
      </c>
      <c r="P5" s="163">
        <f>Sheet51!E152</f>
        <v>12700</v>
      </c>
      <c r="Q5" s="240">
        <f ca="1">SUMIF(Sheet51!$H$6:'Sheet51'!$H$67,P5,Sheet51!$M$6:'Sheet51'!$M$67)</f>
        <v>782.2</v>
      </c>
      <c r="R5" s="204"/>
    </row>
    <row r="6" spans="1:18" ht="16" thickBot="1" x14ac:dyDescent="0.4">
      <c r="A6" s="213">
        <f ca="1">Sheet51!C153</f>
        <v>-52725</v>
      </c>
      <c r="B6" s="163">
        <f>Sheet51!E153</f>
        <v>12600</v>
      </c>
      <c r="C6" s="213">
        <f ca="1">Sheet51!G153</f>
        <v>-300</v>
      </c>
      <c r="D6" s="203"/>
      <c r="E6" s="203"/>
      <c r="F6" s="203"/>
      <c r="G6" s="203"/>
      <c r="H6" s="203"/>
      <c r="I6" s="203"/>
      <c r="J6" s="203"/>
      <c r="K6" s="203"/>
      <c r="L6" s="203"/>
      <c r="M6" s="203"/>
      <c r="N6" s="203"/>
      <c r="O6" s="239">
        <f ca="1">SUMIF(Sheet51!$H$6:'Sheet51'!$H$67,P6,Sheet51!$F$6:'Sheet51'!$F$67)</f>
        <v>0.05</v>
      </c>
      <c r="P6" s="163">
        <f>Sheet51!E153</f>
        <v>12600</v>
      </c>
      <c r="Q6" s="240">
        <f ca="1">SUMIF(Sheet51!$H$6:'Sheet51'!$H$67,P6,Sheet51!$M$6:'Sheet51'!$M$67)</f>
        <v>670</v>
      </c>
      <c r="R6" s="204"/>
    </row>
    <row r="7" spans="1:18" ht="16" thickBot="1" x14ac:dyDescent="0.4">
      <c r="A7" s="213">
        <f ca="1">Sheet51!C154</f>
        <v>-678675</v>
      </c>
      <c r="B7" s="163">
        <f>Sheet51!E154</f>
        <v>12500</v>
      </c>
      <c r="C7" s="213">
        <f ca="1">Sheet51!G154</f>
        <v>-279300</v>
      </c>
      <c r="D7" s="203"/>
      <c r="E7" s="203"/>
      <c r="F7" s="203"/>
      <c r="G7" s="203"/>
      <c r="H7" s="203"/>
      <c r="I7" s="203"/>
      <c r="J7" s="203"/>
      <c r="K7" s="203"/>
      <c r="L7" s="203"/>
      <c r="M7" s="203"/>
      <c r="N7" s="203"/>
      <c r="O7" s="239">
        <f ca="1">SUMIF(Sheet51!$H$6:'Sheet51'!$H$67,P7,Sheet51!$F$6:'Sheet51'!$F$67)</f>
        <v>0.05</v>
      </c>
      <c r="P7" s="163">
        <f>Sheet51!E154</f>
        <v>12500</v>
      </c>
      <c r="Q7" s="240">
        <f ca="1">SUMIF(Sheet51!$H$6:'Sheet51'!$H$67,P7,Sheet51!$M$6:'Sheet51'!$M$67)</f>
        <v>538.45000000000005</v>
      </c>
      <c r="R7" s="204"/>
    </row>
    <row r="8" spans="1:18" ht="16" thickBot="1" x14ac:dyDescent="0.4">
      <c r="A8" s="213">
        <f ca="1">Sheet51!C155</f>
        <v>-83325</v>
      </c>
      <c r="B8" s="163">
        <f>Sheet51!E155</f>
        <v>12400</v>
      </c>
      <c r="C8" s="213">
        <f ca="1">Sheet51!G155</f>
        <v>-3225</v>
      </c>
      <c r="D8" s="203"/>
      <c r="E8" s="203"/>
      <c r="F8" s="203"/>
      <c r="G8" s="203"/>
      <c r="H8" s="203"/>
      <c r="I8" s="203"/>
      <c r="J8" s="203"/>
      <c r="K8" s="203"/>
      <c r="L8" s="203"/>
      <c r="M8" s="203"/>
      <c r="N8" s="203"/>
      <c r="O8" s="239">
        <f ca="1">SUMIF(Sheet51!$H$6:'Sheet51'!$H$67,P8,Sheet51!$F$6:'Sheet51'!$F$67)</f>
        <v>0.05</v>
      </c>
      <c r="P8" s="163">
        <f>Sheet51!E155</f>
        <v>12400</v>
      </c>
      <c r="Q8" s="240">
        <f ca="1">SUMIF(Sheet51!$H$6:'Sheet51'!$H$67,P8,Sheet51!$M$6:'Sheet51'!$M$67)</f>
        <v>445.7</v>
      </c>
      <c r="R8" s="204"/>
    </row>
    <row r="9" spans="1:18" ht="16" thickBot="1" x14ac:dyDescent="0.4">
      <c r="A9" s="213">
        <f ca="1">Sheet51!C156</f>
        <v>-139575</v>
      </c>
      <c r="B9" s="163">
        <f>Sheet51!E156</f>
        <v>12300</v>
      </c>
      <c r="C9" s="213">
        <f ca="1">Sheet51!G156</f>
        <v>-2025</v>
      </c>
      <c r="D9" s="203"/>
      <c r="E9" s="203"/>
      <c r="F9" s="203"/>
      <c r="G9" s="203"/>
      <c r="H9" s="203"/>
      <c r="I9" s="203"/>
      <c r="J9" s="203"/>
      <c r="K9" s="203"/>
      <c r="L9" s="203"/>
      <c r="M9" s="203"/>
      <c r="N9" s="203"/>
      <c r="O9" s="239">
        <f ca="1">SUMIF(Sheet51!$H$6:'Sheet51'!$H$67,P9,Sheet51!$F$6:'Sheet51'!$F$67)</f>
        <v>0.05</v>
      </c>
      <c r="P9" s="163">
        <f>Sheet51!E156</f>
        <v>12300</v>
      </c>
      <c r="Q9" s="240">
        <f ca="1">SUMIF(Sheet51!$H$6:'Sheet51'!$H$67,P9,Sheet51!$M$6:'Sheet51'!$M$67)</f>
        <v>340.7</v>
      </c>
      <c r="R9" s="204"/>
    </row>
    <row r="10" spans="1:18" ht="16" thickBot="1" x14ac:dyDescent="0.4">
      <c r="A10" s="215">
        <f ca="1">Sheet51!C157</f>
        <v>-398850</v>
      </c>
      <c r="B10" s="164">
        <f>Sheet51!E157</f>
        <v>12200</v>
      </c>
      <c r="C10" s="216">
        <f ca="1">Sheet51!G157</f>
        <v>-28650</v>
      </c>
      <c r="D10" s="203"/>
      <c r="E10" s="203"/>
      <c r="F10" s="203"/>
      <c r="G10" s="203"/>
      <c r="H10" s="203"/>
      <c r="I10" s="203"/>
      <c r="J10" s="203"/>
      <c r="K10" s="203"/>
      <c r="L10" s="203"/>
      <c r="M10" s="203"/>
      <c r="N10" s="203"/>
      <c r="O10" s="287">
        <f ca="1">SUMIF(Sheet51!$H$6:'Sheet51'!$H$67,P10,Sheet51!$F$6:'Sheet51'!$F$67)</f>
        <v>0.05</v>
      </c>
      <c r="P10" s="164">
        <f>Sheet51!E157</f>
        <v>12200</v>
      </c>
      <c r="Q10" s="289">
        <f ca="1">SUMIF(Sheet51!$H$6:'Sheet51'!$H$67,P10,Sheet51!$M$6:'Sheet51'!$M$67)</f>
        <v>253.7</v>
      </c>
      <c r="R10" s="204"/>
    </row>
    <row r="11" spans="1:18" ht="16" thickBot="1" x14ac:dyDescent="0.4">
      <c r="A11" s="215">
        <f ca="1">Sheet51!C158</f>
        <v>-478575</v>
      </c>
      <c r="B11" s="164">
        <f>Sheet51!E158</f>
        <v>12100</v>
      </c>
      <c r="C11" s="216">
        <f ca="1">Sheet51!G158</f>
        <v>-37650</v>
      </c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87">
        <f ca="1">SUMIF(Sheet51!$H$6:'Sheet51'!$H$67,P11,Sheet51!$F$6:'Sheet51'!$F$67)</f>
        <v>0.05</v>
      </c>
      <c r="P11" s="164">
        <f>Sheet51!E158</f>
        <v>12100</v>
      </c>
      <c r="Q11" s="289">
        <f ca="1">SUMIF(Sheet51!$H$6:'Sheet51'!$H$67,P11,Sheet51!$M$6:'Sheet51'!$M$67)</f>
        <v>154</v>
      </c>
      <c r="R11" s="204"/>
    </row>
    <row r="12" spans="1:18" ht="16" thickBot="1" x14ac:dyDescent="0.4">
      <c r="A12" s="215">
        <f ca="1">Sheet51!C159</f>
        <v>-1697025</v>
      </c>
      <c r="B12" s="164">
        <f>Sheet51!E159</f>
        <v>12000</v>
      </c>
      <c r="C12" s="216">
        <f ca="1">Sheet51!G159</f>
        <v>-524325</v>
      </c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87">
        <f ca="1">SUMIF(Sheet51!$H$6:'Sheet51'!$H$67,P12,Sheet51!$F$6:'Sheet51'!$F$67)</f>
        <v>0.05</v>
      </c>
      <c r="P12" s="164">
        <f>Sheet51!E159</f>
        <v>12000</v>
      </c>
      <c r="Q12" s="289">
        <f ca="1">SUMIF(Sheet51!$H$6:'Sheet51'!$H$67,P12,Sheet51!$M$6:'Sheet51'!$M$67)</f>
        <v>50</v>
      </c>
      <c r="R12" s="204"/>
    </row>
    <row r="13" spans="1:18" ht="19" thickBot="1" x14ac:dyDescent="0.4">
      <c r="A13" s="70">
        <f ca="1">Sheet51!C160</f>
        <v>-2377800</v>
      </c>
      <c r="B13" s="291">
        <f>Sheet51!E160</f>
        <v>11900</v>
      </c>
      <c r="C13" s="70">
        <f ca="1">Sheet51!G160</f>
        <v>1984500</v>
      </c>
      <c r="D13" s="203"/>
      <c r="E13" s="203"/>
      <c r="F13" s="203"/>
      <c r="G13" s="203"/>
      <c r="H13" s="203"/>
      <c r="I13" s="203"/>
      <c r="J13" s="165"/>
      <c r="K13" s="203"/>
      <c r="L13" s="203"/>
      <c r="M13" s="203"/>
      <c r="N13" s="203"/>
      <c r="O13" s="292">
        <f ca="1">SUMIF(Sheet51!$H$6:'Sheet51'!$H$67,P13,Sheet51!$F$6:'Sheet51'!$F$67)</f>
        <v>37</v>
      </c>
      <c r="P13" s="291">
        <f>Sheet51!E160</f>
        <v>11900</v>
      </c>
      <c r="Q13" s="292">
        <f ca="1">SUMIF(Sheet51!$H$6:'Sheet51'!$H$67,P13,Sheet51!$M$6:'Sheet51'!$M$67)</f>
        <v>0.05</v>
      </c>
      <c r="R13" s="204"/>
    </row>
    <row r="14" spans="1:18" ht="16" thickBot="1" x14ac:dyDescent="0.4">
      <c r="A14" s="216">
        <f ca="1">Sheet51!C161</f>
        <v>-960450</v>
      </c>
      <c r="B14" s="164">
        <f>Sheet51!E161</f>
        <v>11800</v>
      </c>
      <c r="C14" s="215">
        <f ca="1">Sheet51!G161</f>
        <v>759225</v>
      </c>
      <c r="D14" s="203"/>
      <c r="E14" s="203"/>
      <c r="F14" s="203"/>
      <c r="G14" s="203"/>
      <c r="H14" s="203"/>
      <c r="I14" s="203"/>
      <c r="J14" s="203"/>
      <c r="K14" s="203"/>
      <c r="L14" s="203"/>
      <c r="M14" s="203"/>
      <c r="N14" s="203"/>
      <c r="O14" s="290">
        <f ca="1">SUMIF(Sheet51!$H$6:'Sheet51'!$H$67,P14,Sheet51!$F$6:'Sheet51'!$F$67)</f>
        <v>132.6</v>
      </c>
      <c r="P14" s="164">
        <f>Sheet51!E161</f>
        <v>11800</v>
      </c>
      <c r="Q14" s="288">
        <f ca="1">SUMIF(Sheet51!$H$6:'Sheet51'!$H$67,P14,Sheet51!$M$6:'Sheet51'!$M$67)</f>
        <v>0.05</v>
      </c>
      <c r="R14" s="204"/>
    </row>
    <row r="15" spans="1:18" ht="16" thickBot="1" x14ac:dyDescent="0.4">
      <c r="A15" s="216">
        <f ca="1">Sheet51!C162</f>
        <v>-628950</v>
      </c>
      <c r="B15" s="164">
        <f>Sheet51!E162</f>
        <v>11700</v>
      </c>
      <c r="C15" s="215">
        <f ca="1">Sheet51!G162</f>
        <v>-390450</v>
      </c>
      <c r="D15" s="203"/>
      <c r="E15" s="203"/>
      <c r="F15" s="203"/>
      <c r="G15" s="203"/>
      <c r="H15" s="203"/>
      <c r="I15" s="203"/>
      <c r="J15" s="203"/>
      <c r="K15" s="203"/>
      <c r="L15" s="203"/>
      <c r="M15" s="203"/>
      <c r="N15" s="203"/>
      <c r="O15" s="290">
        <f ca="1">SUMIF(Sheet51!$H$6:'Sheet51'!$H$67,P15,Sheet51!$F$6:'Sheet51'!$F$67)</f>
        <v>235</v>
      </c>
      <c r="P15" s="164">
        <f>Sheet51!E162</f>
        <v>11700</v>
      </c>
      <c r="Q15" s="288">
        <f ca="1">SUMIF(Sheet51!$H$6:'Sheet51'!$H$67,P15,Sheet51!$M$6:'Sheet51'!$M$67)</f>
        <v>0.05</v>
      </c>
      <c r="R15" s="204"/>
    </row>
    <row r="16" spans="1:18" ht="16" thickBot="1" x14ac:dyDescent="0.4">
      <c r="A16" s="216">
        <f ca="1">Sheet51!C163</f>
        <v>-326400</v>
      </c>
      <c r="B16" s="164">
        <f>Sheet51!E163</f>
        <v>11600</v>
      </c>
      <c r="C16" s="215">
        <f ca="1">Sheet51!G163</f>
        <v>-320025</v>
      </c>
      <c r="D16" s="203"/>
      <c r="E16" s="203"/>
      <c r="F16" s="203"/>
      <c r="G16" s="203"/>
      <c r="H16" s="203"/>
      <c r="I16" s="203"/>
      <c r="J16" s="203"/>
      <c r="K16" s="203"/>
      <c r="L16" s="203"/>
      <c r="M16" s="203"/>
      <c r="N16" s="203"/>
      <c r="O16" s="290">
        <f ca="1">SUMIF(Sheet51!$H$6:'Sheet51'!$H$67,P16,Sheet51!$F$6:'Sheet51'!$F$67)</f>
        <v>346.35</v>
      </c>
      <c r="P16" s="164">
        <f>Sheet51!E163</f>
        <v>11600</v>
      </c>
      <c r="Q16" s="288">
        <f ca="1">SUMIF(Sheet51!$H$6:'Sheet51'!$H$67,P16,Sheet51!$M$6:'Sheet51'!$M$67)</f>
        <v>0.05</v>
      </c>
      <c r="R16" s="204"/>
    </row>
    <row r="17" spans="1:18" ht="16" thickBot="1" x14ac:dyDescent="0.4">
      <c r="A17" s="213">
        <f ca="1">Sheet51!C164</f>
        <v>-207075</v>
      </c>
      <c r="B17" s="163">
        <f>Sheet51!E164</f>
        <v>11500</v>
      </c>
      <c r="C17" s="213">
        <f ca="1">Sheet51!G164</f>
        <v>-277500</v>
      </c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39">
        <f ca="1">SUMIF(Sheet51!$H$6:'Sheet51'!$H$67,P17,Sheet51!$F$6:'Sheet51'!$F$67)</f>
        <v>441</v>
      </c>
      <c r="P17" s="163">
        <f>Sheet51!E164</f>
        <v>11500</v>
      </c>
      <c r="Q17" s="240">
        <f ca="1">SUMIF(Sheet51!$H$6:'Sheet51'!$H$67,P17,Sheet51!$M$6:'Sheet51'!$M$67)</f>
        <v>0.05</v>
      </c>
      <c r="R17" s="204"/>
    </row>
    <row r="18" spans="1:18" ht="16" thickBot="1" x14ac:dyDescent="0.4">
      <c r="A18" s="213">
        <f ca="1">Sheet51!C165</f>
        <v>-96900</v>
      </c>
      <c r="B18" s="163">
        <f>Sheet51!E165</f>
        <v>11400</v>
      </c>
      <c r="C18" s="213">
        <f ca="1">Sheet51!G165</f>
        <v>-107550</v>
      </c>
      <c r="D18" s="203"/>
      <c r="E18" s="203"/>
      <c r="F18" s="203"/>
      <c r="G18" s="203"/>
      <c r="H18" s="203"/>
      <c r="I18" s="203"/>
      <c r="J18" s="203"/>
      <c r="K18" s="203"/>
      <c r="L18" s="203"/>
      <c r="M18" s="203"/>
      <c r="N18" s="203"/>
      <c r="O18" s="239">
        <f ca="1">SUMIF(Sheet51!$H$6:'Sheet51'!$H$67,P18,Sheet51!$F$6:'Sheet51'!$F$67)</f>
        <v>542.75</v>
      </c>
      <c r="P18" s="163">
        <f>Sheet51!E165</f>
        <v>11400</v>
      </c>
      <c r="Q18" s="240">
        <f ca="1">SUMIF(Sheet51!$H$6:'Sheet51'!$H$67,P18,Sheet51!$M$6:'Sheet51'!$M$67)</f>
        <v>0.05</v>
      </c>
      <c r="R18" s="204"/>
    </row>
    <row r="19" spans="1:18" ht="16" thickBot="1" x14ac:dyDescent="0.4">
      <c r="A19" s="213">
        <f ca="1">Sheet51!C166</f>
        <v>-338175</v>
      </c>
      <c r="B19" s="163">
        <f>Sheet51!E166</f>
        <v>11300</v>
      </c>
      <c r="C19" s="213">
        <f ca="1">Sheet51!G166</f>
        <v>-100425</v>
      </c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39">
        <f ca="1">SUMIF(Sheet51!$H$6:'Sheet51'!$H$67,P19,Sheet51!$F$6:'Sheet51'!$F$67)</f>
        <v>630.65</v>
      </c>
      <c r="P19" s="163">
        <f>Sheet51!E166</f>
        <v>11300</v>
      </c>
      <c r="Q19" s="240">
        <f ca="1">SUMIF(Sheet51!$H$6:'Sheet51'!$H$67,P19,Sheet51!$M$6:'Sheet51'!$M$67)</f>
        <v>0.1</v>
      </c>
      <c r="R19" s="204"/>
    </row>
    <row r="20" spans="1:18" ht="16" thickBot="1" x14ac:dyDescent="0.4">
      <c r="A20" s="213">
        <f ca="1">Sheet51!C167</f>
        <v>-43125</v>
      </c>
      <c r="B20" s="163">
        <f>Sheet51!E167</f>
        <v>11200</v>
      </c>
      <c r="C20" s="213">
        <f ca="1">Sheet51!G167</f>
        <v>-119925</v>
      </c>
      <c r="D20" s="203"/>
      <c r="E20" s="203"/>
      <c r="F20" s="203"/>
      <c r="G20" s="203"/>
      <c r="H20" s="203"/>
      <c r="I20" s="203"/>
      <c r="J20" s="203"/>
      <c r="K20" s="203"/>
      <c r="L20" s="203"/>
      <c r="M20" s="203"/>
      <c r="N20" s="203"/>
      <c r="O20" s="239">
        <f ca="1">SUMIF(Sheet51!$H$6:'Sheet51'!$H$67,P20,Sheet51!$F$6:'Sheet51'!$F$67)</f>
        <v>735.05</v>
      </c>
      <c r="P20" s="163">
        <f>Sheet51!E167</f>
        <v>11200</v>
      </c>
      <c r="Q20" s="240">
        <f ca="1">SUMIF(Sheet51!$H$6:'Sheet51'!$H$67,P20,Sheet51!$M$6:'Sheet51'!$M$67)</f>
        <v>0.05</v>
      </c>
      <c r="R20" s="204"/>
    </row>
    <row r="21" spans="1:18" ht="16" thickBot="1" x14ac:dyDescent="0.4">
      <c r="A21" s="213">
        <f ca="1">Sheet51!C168</f>
        <v>-12825</v>
      </c>
      <c r="B21" s="163">
        <f>Sheet51!E168</f>
        <v>11100</v>
      </c>
      <c r="C21" s="213">
        <f ca="1">Sheet51!G168</f>
        <v>-85425</v>
      </c>
      <c r="D21" s="203"/>
      <c r="E21" s="203"/>
      <c r="F21" s="203"/>
      <c r="G21" s="203"/>
      <c r="H21" s="203"/>
      <c r="I21" s="203"/>
      <c r="J21" s="203"/>
      <c r="K21" s="203"/>
      <c r="L21" s="203"/>
      <c r="M21" s="203"/>
      <c r="N21" s="203"/>
      <c r="O21" s="239">
        <f ca="1">SUMIF(Sheet51!$H$6:'Sheet51'!$H$67,P21,Sheet51!$F$6:'Sheet51'!$F$67)</f>
        <v>840</v>
      </c>
      <c r="P21" s="163">
        <f>Sheet51!E168</f>
        <v>11100</v>
      </c>
      <c r="Q21" s="240">
        <f ca="1">SUMIF(Sheet51!$H$6:'Sheet51'!$H$67,P21,Sheet51!$M$6:'Sheet51'!$M$67)</f>
        <v>0.05</v>
      </c>
      <c r="R21" s="204"/>
    </row>
    <row r="22" spans="1:18" ht="16" thickBot="1" x14ac:dyDescent="0.4">
      <c r="A22" s="213">
        <f ca="1">Sheet51!C169</f>
        <v>-124125</v>
      </c>
      <c r="B22" s="163">
        <f>Sheet51!E169</f>
        <v>11000</v>
      </c>
      <c r="C22" s="213">
        <f ca="1">Sheet51!G169</f>
        <v>-87300</v>
      </c>
      <c r="D22" s="203"/>
      <c r="E22" s="203"/>
      <c r="F22" s="203"/>
      <c r="G22" s="203"/>
      <c r="H22" s="203"/>
      <c r="I22" s="203"/>
      <c r="J22" s="203"/>
      <c r="K22" s="203"/>
      <c r="L22" s="203"/>
      <c r="M22" s="203"/>
      <c r="N22" s="203"/>
      <c r="O22" s="239">
        <f ca="1">SUMIF(Sheet51!$H$6:'Sheet51'!$H$67,P22,Sheet51!$F$6:'Sheet51'!$F$67)</f>
        <v>947.35</v>
      </c>
      <c r="P22" s="163">
        <f>Sheet51!E169</f>
        <v>11000</v>
      </c>
      <c r="Q22" s="240">
        <f ca="1">SUMIF(Sheet51!$H$6:'Sheet51'!$H$67,P22,Sheet51!$M$6:'Sheet51'!$M$67)</f>
        <v>0.05</v>
      </c>
      <c r="R22" s="204"/>
    </row>
    <row r="23" spans="1:18" ht="16" thickBot="1" x14ac:dyDescent="0.4">
      <c r="A23" s="213">
        <f ca="1">Sheet51!C170</f>
        <v>-13050</v>
      </c>
      <c r="B23" s="163">
        <f>Sheet51!E170</f>
        <v>10900</v>
      </c>
      <c r="C23" s="213">
        <f ca="1">Sheet51!G170</f>
        <v>-35700</v>
      </c>
      <c r="D23" s="203"/>
      <c r="E23" s="203"/>
      <c r="F23" s="203"/>
      <c r="G23" s="203"/>
      <c r="H23" s="203"/>
      <c r="I23" s="203"/>
      <c r="J23" s="203"/>
      <c r="K23" s="203"/>
      <c r="L23" s="203"/>
      <c r="M23" s="203"/>
      <c r="N23" s="203"/>
      <c r="O23" s="239">
        <f ca="1">SUMIF(Sheet51!$H$6:'Sheet51'!$H$67,P23,Sheet51!$F$6:'Sheet51'!$F$67)</f>
        <v>1040</v>
      </c>
      <c r="P23" s="163">
        <f>Sheet51!E170</f>
        <v>10900</v>
      </c>
      <c r="Q23" s="240">
        <f ca="1">SUMIF(Sheet51!$H$6:'Sheet51'!$H$67,P23,Sheet51!$M$6:'Sheet51'!$M$67)</f>
        <v>0.05</v>
      </c>
      <c r="R23" s="204"/>
    </row>
    <row r="24" spans="1:18" ht="15" thickBot="1" x14ac:dyDescent="0.4">
      <c r="A24" s="218" t="s">
        <v>80</v>
      </c>
      <c r="B24" s="64" t="s">
        <v>81</v>
      </c>
      <c r="C24" s="219" t="s">
        <v>82</v>
      </c>
      <c r="D24" s="203"/>
      <c r="E24" s="203"/>
      <c r="F24" s="203"/>
      <c r="G24" s="203"/>
      <c r="H24" s="203"/>
      <c r="I24" s="203"/>
      <c r="J24" s="203"/>
      <c r="K24" s="203"/>
      <c r="L24" s="203"/>
      <c r="M24" s="203"/>
      <c r="N24" s="203"/>
      <c r="O24" s="218" t="s">
        <v>80</v>
      </c>
      <c r="P24" s="64" t="s">
        <v>81</v>
      </c>
      <c r="Q24" s="219" t="s">
        <v>82</v>
      </c>
      <c r="R24" s="204"/>
    </row>
    <row r="25" spans="1:18" x14ac:dyDescent="0.35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</row>
    <row r="26" spans="1:18" x14ac:dyDescent="0.35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</row>
    <row r="27" spans="1:18" x14ac:dyDescent="0.35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</row>
    <row r="28" spans="1:18" x14ac:dyDescent="0.35">
      <c r="A28" s="63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</row>
    <row r="29" spans="1:18" x14ac:dyDescent="0.3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</row>
    <row r="30" spans="1:18" x14ac:dyDescent="0.35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</row>
    <row r="31" spans="1:18" x14ac:dyDescent="0.35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</row>
    <row r="32" spans="1:18" x14ac:dyDescent="0.35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</row>
    <row r="33" spans="1:18" x14ac:dyDescent="0.35">
      <c r="A33" s="63"/>
      <c r="B33" s="63"/>
      <c r="C33" s="63"/>
      <c r="D33" s="63"/>
      <c r="E33" s="286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</row>
    <row r="34" spans="1:18" x14ac:dyDescent="0.35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</row>
    <row r="35" spans="1:18" x14ac:dyDescent="0.35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</row>
    <row r="36" spans="1:18" x14ac:dyDescent="0.35">
      <c r="A36" s="176"/>
      <c r="B36" s="176"/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</row>
    <row r="37" spans="1:18" x14ac:dyDescent="0.35">
      <c r="A37" s="176"/>
      <c r="B37" s="176"/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</row>
    <row r="38" spans="1:18" x14ac:dyDescent="0.35">
      <c r="A38" s="176"/>
      <c r="B38" s="176"/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</row>
    <row r="39" spans="1:18" x14ac:dyDescent="0.35">
      <c r="A39" s="176"/>
      <c r="B39" s="176"/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</row>
    <row r="40" spans="1:18" x14ac:dyDescent="0.35">
      <c r="A40" s="176"/>
      <c r="B40" s="176"/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</row>
    <row r="41" spans="1:18" x14ac:dyDescent="0.35">
      <c r="A41" s="176"/>
      <c r="B41" s="176"/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</row>
    <row r="42" spans="1:18" x14ac:dyDescent="0.35">
      <c r="A42" s="176"/>
      <c r="B42" s="176"/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</row>
    <row r="43" spans="1:18" x14ac:dyDescent="0.35">
      <c r="A43" s="176"/>
      <c r="B43" s="176"/>
      <c r="C43" s="176"/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</row>
    <row r="44" spans="1:18" x14ac:dyDescent="0.35">
      <c r="A44" s="176"/>
      <c r="B44" s="176"/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</row>
    <row r="45" spans="1:18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</row>
    <row r="46" spans="1:18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</row>
    <row r="47" spans="1:18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</row>
    <row r="48" spans="1:18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</row>
    <row r="49" spans="1:18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</row>
    <row r="50" spans="1:18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</row>
    <row r="51" spans="1:18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</row>
    <row r="52" spans="1:18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18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18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18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18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18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18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18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18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18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18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18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18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  <row r="92" spans="1:18" x14ac:dyDescent="0.35">
      <c r="A92" s="176"/>
      <c r="B92" s="176"/>
      <c r="C92" s="176"/>
      <c r="D92" s="176"/>
      <c r="E92" s="176"/>
      <c r="F92" s="176"/>
      <c r="G92" s="176"/>
      <c r="H92" s="176"/>
      <c r="I92" s="176"/>
      <c r="J92" s="176"/>
      <c r="K92" s="176"/>
      <c r="L92" s="176"/>
      <c r="M92" s="176"/>
      <c r="N92" s="176"/>
      <c r="O92" s="176"/>
      <c r="P92" s="176"/>
      <c r="Q92" s="176"/>
      <c r="R92" s="176"/>
    </row>
    <row r="93" spans="1:18" x14ac:dyDescent="0.35">
      <c r="A93" s="176"/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/>
      <c r="N93" s="176"/>
      <c r="O93" s="176"/>
      <c r="P93" s="176"/>
      <c r="Q93" s="176"/>
      <c r="R93" s="176"/>
    </row>
    <row r="94" spans="1:18" x14ac:dyDescent="0.35">
      <c r="A94" s="176"/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6"/>
      <c r="O94" s="176"/>
      <c r="P94" s="176"/>
      <c r="Q94" s="176"/>
      <c r="R94" s="176"/>
    </row>
    <row r="95" spans="1:18" x14ac:dyDescent="0.35">
      <c r="A95" s="176"/>
      <c r="B95" s="176"/>
      <c r="C95" s="176"/>
      <c r="D95" s="176"/>
      <c r="E95" s="176"/>
      <c r="F95" s="176"/>
      <c r="G95" s="176"/>
      <c r="H95" s="176"/>
      <c r="I95" s="176"/>
      <c r="J95" s="176"/>
      <c r="K95" s="176"/>
      <c r="L95" s="176"/>
      <c r="M95" s="176"/>
      <c r="N95" s="176"/>
      <c r="O95" s="176"/>
      <c r="P95" s="176"/>
      <c r="Q95" s="176"/>
      <c r="R95" s="176"/>
    </row>
    <row r="96" spans="1:18" x14ac:dyDescent="0.35">
      <c r="A96" s="176"/>
      <c r="B96" s="176"/>
      <c r="C96" s="176"/>
      <c r="D96" s="176"/>
      <c r="E96" s="176"/>
      <c r="F96" s="176"/>
      <c r="G96" s="176"/>
      <c r="H96" s="176"/>
      <c r="I96" s="176"/>
      <c r="J96" s="176"/>
      <c r="K96" s="176"/>
      <c r="L96" s="176"/>
      <c r="M96" s="176"/>
      <c r="N96" s="176"/>
      <c r="O96" s="176"/>
      <c r="P96" s="176"/>
      <c r="Q96" s="176"/>
      <c r="R96" s="176"/>
    </row>
    <row r="97" spans="1:18" x14ac:dyDescent="0.35">
      <c r="A97" s="176"/>
      <c r="B97" s="176"/>
      <c r="C97" s="176"/>
      <c r="D97" s="176"/>
      <c r="E97" s="176"/>
      <c r="F97" s="176"/>
      <c r="G97" s="176"/>
      <c r="H97" s="176"/>
      <c r="I97" s="176"/>
      <c r="J97" s="176"/>
      <c r="K97" s="176"/>
      <c r="L97" s="176"/>
      <c r="M97" s="176"/>
      <c r="N97" s="176"/>
      <c r="O97" s="176"/>
      <c r="P97" s="176"/>
      <c r="Q97" s="176"/>
      <c r="R97" s="176"/>
    </row>
    <row r="98" spans="1:18" x14ac:dyDescent="0.35">
      <c r="A98" s="176"/>
      <c r="B98" s="176"/>
      <c r="C98" s="176"/>
      <c r="D98" s="176"/>
      <c r="E98" s="176"/>
      <c r="F98" s="176"/>
      <c r="G98" s="176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</row>
    <row r="99" spans="1:18" x14ac:dyDescent="0.35">
      <c r="A99" s="176"/>
      <c r="B99" s="176"/>
      <c r="C99" s="176"/>
      <c r="D99" s="176"/>
      <c r="E99" s="176"/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</row>
    <row r="100" spans="1:18" x14ac:dyDescent="0.35">
      <c r="A100" s="176"/>
      <c r="B100" s="176"/>
      <c r="C100" s="176"/>
      <c r="D100" s="176"/>
      <c r="E100" s="176"/>
      <c r="F100" s="176"/>
      <c r="G100" s="176"/>
      <c r="H100" s="176"/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</row>
  </sheetData>
  <customSheetViews>
    <customSheetView guid="{D12DFD61-4B7F-43F1-B07E-A848E00A354C}">
      <selection activeCell="F3" sqref="F3:L3"/>
      <pageMargins left="0.7" right="0.7" top="0.75" bottom="0.75" header="0.3" footer="0.3"/>
      <pageSetup paperSize="9" orientation="portrait" horizontalDpi="300" verticalDpi="300" r:id="rId1"/>
    </customSheetView>
  </customSheetViews>
  <mergeCells count="7">
    <mergeCell ref="F3:L3"/>
    <mergeCell ref="A1:C1"/>
    <mergeCell ref="O1:Q1"/>
    <mergeCell ref="H1:J1"/>
    <mergeCell ref="F1:G1"/>
    <mergeCell ref="M1:N1"/>
    <mergeCell ref="H2:J2"/>
  </mergeCells>
  <pageMargins left="0.7" right="0.7" top="0.75" bottom="0.75" header="0.3" footer="0.3"/>
  <pageSetup paperSize="9" orientation="portrait" horizontalDpi="300" verticalDpi="30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60"/>
  <sheetViews>
    <sheetView zoomScale="70" zoomScaleNormal="70" workbookViewId="0">
      <selection activeCell="F41" sqref="F41"/>
    </sheetView>
  </sheetViews>
  <sheetFormatPr defaultRowHeight="16.5" customHeight="1" x14ac:dyDescent="0.35"/>
  <cols>
    <col min="1" max="1" width="13.7265625" style="4" customWidth="1"/>
    <col min="2" max="2" width="22" style="4" customWidth="1"/>
    <col min="3" max="3" width="13.7265625" customWidth="1"/>
    <col min="4" max="4" width="18.1796875" customWidth="1"/>
    <col min="5" max="5" width="13.7265625" customWidth="1"/>
    <col min="6" max="6" width="14.26953125" customWidth="1"/>
    <col min="7" max="9" width="13.7265625" customWidth="1"/>
    <col min="10" max="10" width="22.1796875" style="177" customWidth="1"/>
    <col min="11" max="11" width="17" style="177" customWidth="1"/>
  </cols>
  <sheetData>
    <row r="1" spans="1:11" ht="16.5" customHeight="1" thickBot="1" x14ac:dyDescent="0.4">
      <c r="A1" s="241" t="s">
        <v>10</v>
      </c>
      <c r="B1" s="242">
        <f>MAIN!B2</f>
        <v>11945.9</v>
      </c>
      <c r="C1" s="243" t="s">
        <v>69</v>
      </c>
      <c r="D1" s="244">
        <f ca="1">MAIN!C5</f>
        <v>11900</v>
      </c>
      <c r="E1" s="245">
        <f ca="1">MAIN!E5</f>
        <v>-2377800</v>
      </c>
      <c r="F1" s="246"/>
      <c r="G1" s="247" t="s">
        <v>71</v>
      </c>
      <c r="H1" s="248">
        <f ca="1">MAIN!C6</f>
        <v>11900</v>
      </c>
      <c r="I1" s="249">
        <f ca="1">MAIN!E6</f>
        <v>1984500</v>
      </c>
      <c r="J1" s="250" t="s">
        <v>162</v>
      </c>
      <c r="K1" s="251">
        <f ca="1">NOW()</f>
        <v>43615.786170601852</v>
      </c>
    </row>
    <row r="2" spans="1:11" ht="16.5" customHeight="1" thickBot="1" x14ac:dyDescent="0.4">
      <c r="A2" s="790" t="s">
        <v>17</v>
      </c>
      <c r="B2" s="791"/>
      <c r="C2" s="792"/>
      <c r="D2" s="788" t="str">
        <f>MAIN!D1</f>
        <v>-</v>
      </c>
      <c r="E2" s="789"/>
      <c r="F2" s="789"/>
      <c r="G2" s="789"/>
      <c r="H2" s="789"/>
      <c r="I2" s="790" t="s">
        <v>16</v>
      </c>
      <c r="J2" s="791"/>
      <c r="K2" s="792"/>
    </row>
    <row r="3" spans="1:11" s="179" customFormat="1" ht="16.5" customHeight="1" thickBot="1" x14ac:dyDescent="0.4">
      <c r="A3" s="252" t="s">
        <v>144</v>
      </c>
      <c r="B3" s="252" t="s">
        <v>159</v>
      </c>
      <c r="C3" s="252" t="s">
        <v>161</v>
      </c>
      <c r="D3" s="803" t="s">
        <v>160</v>
      </c>
      <c r="E3" s="803"/>
      <c r="F3" s="253" t="s">
        <v>36</v>
      </c>
      <c r="G3" s="803" t="s">
        <v>160</v>
      </c>
      <c r="H3" s="803"/>
      <c r="I3" s="252" t="s">
        <v>161</v>
      </c>
      <c r="J3" s="252" t="s">
        <v>159</v>
      </c>
      <c r="K3" s="252" t="s">
        <v>144</v>
      </c>
    </row>
    <row r="4" spans="1:11" ht="16.5" customHeight="1" thickBot="1" x14ac:dyDescent="0.4">
      <c r="A4" s="254" t="str">
        <f ca="1">IF(Sheet51!$P$18="yes",IF(Sheet51!$P$17="yes",IF(OR(B4="SHORT BUILDUP",B4="LONG UNWINDING"), "BEARISH", IF(OR(B4="LONG BUILDUP",B4="SHORT COVERING" ), "BULLISH","")),""),"")</f>
        <v>BEARISH</v>
      </c>
      <c r="B4" s="254" t="str">
        <f ca="1">IF(Sheet51!$P$18="yes",IF(Sheet51!$P$17="yes",IF(AND(C4&lt;0,D4&lt;0),"LONG UNWINDING",(IF(AND(C4&lt;0,D4&gt;0),"SHORT BUILDUP",(IF(AND(C4&gt;0,D4&gt;0),"LONG BUILDUP",IF(AND(C4&gt;0,D4&lt;0),"SHORT COVERING","")))))),""),"")</f>
        <v>SHORT BUILDUP</v>
      </c>
      <c r="C4" s="239">
        <f ca="1">IF(Sheet51!$P$18="yes",IF(Sheet51!$P$17="yes",SUMIF(Data!$L$21:'Data'!$L$200,F4,Data!$G$21:'Data'!$G$200),""),"")</f>
        <v>-0.5</v>
      </c>
      <c r="D4" s="796">
        <f ca="1">IF(Sheet51!$P$18="yes",IF(Sheet51!$P$17="yes",SUMIF(Data!$L$21:'Data'!$L$200,F4,Data!$C$21:'Data'!$C$200),""),"")</f>
        <v>33150</v>
      </c>
      <c r="E4" s="796"/>
      <c r="F4" s="163">
        <f>IF(MAIN!$I$12="NIFTY",F5+100,F5+Sheet51!$B$3)</f>
        <v>12900</v>
      </c>
      <c r="G4" s="797">
        <f ca="1">IF(Sheet51!$P$18="yes",IF(Sheet51!$P$17="yes",SUMIF(Data!$L$21:'Data'!$L$200,F4,Data!$U$21:'Data'!$U$200),""),"")</f>
        <v>-750</v>
      </c>
      <c r="H4" s="797"/>
      <c r="I4" s="239">
        <f ca="1">IF(Sheet51!$P$18="yes",IF(Sheet51!$P$17="yes",SUMIF(Data!$L$21:'Data'!$L$200,F4,Data!$Q$21:'Data'!$Q$200),""),"")</f>
        <v>18.45</v>
      </c>
      <c r="J4" s="255" t="str">
        <f ca="1">IF(Sheet51!$P$18="yes",IF(Sheet51!$P$17="yes",IF(AND(I4&lt;0,G4&lt;0),"LONG UNWINDING",(IF(AND(I4&lt;0,G4&gt;0),"SHORT BUILDUP",(IF(AND(I4&gt;0,G4&gt;0),"LONG BUILDUP",IF(AND(I4&gt;0,G4&lt;0),"SHORT COVERING","")))))),""),"")</f>
        <v>SHORT COVERING</v>
      </c>
      <c r="K4" s="256" t="str">
        <f ca="1">IF(Sheet51!$P$18="yes",IF(Sheet51!$P$17="yes",IF(OR(J4="SHORT BUILDUP",J4="LONG UNWINDING"), "BULLISH", IF(OR(J4="LONG BUILDUP",J4="SHORT UNWINDING" ), "BEARISH","")),""),"")</f>
        <v/>
      </c>
    </row>
    <row r="5" spans="1:11" ht="16.5" customHeight="1" thickBot="1" x14ac:dyDescent="0.4">
      <c r="A5" s="254" t="str">
        <f ca="1">IF(Sheet51!$P$18="yes",IF(Sheet51!$P$17="yes",IF(OR(B5="SHORT BUILDUP",B5="LONG UNWINDING"), "BEARISH", IF(OR(B5="LONG BUILDUP",B5="SHORT COVERING" ), "BULLISH","")),""),"")</f>
        <v>BEARISH</v>
      </c>
      <c r="B5" s="254" t="str">
        <f ca="1">IF(Sheet51!$P$18="yes",IF(Sheet51!$P$17="yes",IF(AND(C5&lt;0,D5&lt;0),"LONG UNWINDING",(IF(AND(C5&lt;0,D5&gt;0),"SHORT BUILDUP",(IF(AND(C5&gt;0,D5&gt;0),"LONG BUILDUP",IF(AND(C5&gt;0,D5&lt;0),"SHORT COVERING","")))))),""),"")</f>
        <v>LONG UNWINDING</v>
      </c>
      <c r="C5" s="239">
        <f ca="1">IF(Sheet51!$P$18="yes",IF(Sheet51!$P$17="yes",SUMIF(Data!$L$21:'Data'!$L$200,F5,Data!$G$21:'Data'!$G$200),""),"")</f>
        <v>-0.45</v>
      </c>
      <c r="D5" s="796">
        <f ca="1">IF(Sheet51!$P$18="yes",IF(Sheet51!$P$17="yes",SUMIF(Data!$L$21:'Data'!$L$200,F5,Data!$C$21:'Data'!$C$200),""),"")</f>
        <v>-33600</v>
      </c>
      <c r="E5" s="796"/>
      <c r="F5" s="163">
        <f>IF(MAIN!$I$12="NIFTY",F6+100,F6+Sheet51!$B$3)</f>
        <v>12800</v>
      </c>
      <c r="G5" s="797">
        <f ca="1">IF(Sheet51!$P$18="yes",IF(Sheet51!$P$17="yes",SUMIF(Data!$L$21:'Data'!$L$200,F5,Data!$U$21:'Data'!$U$200),""),"")</f>
        <v>-600</v>
      </c>
      <c r="H5" s="797"/>
      <c r="I5" s="239">
        <f ca="1">IF(Sheet51!$P$18="yes",IF(Sheet51!$P$17="yes",SUMIF(Data!$L$21:'Data'!$L$200,F5,Data!$Q$21:'Data'!$Q$200),""),"")</f>
        <v>-58</v>
      </c>
      <c r="J5" s="255" t="str">
        <f ca="1">IF(Sheet51!$P$18="yes",IF(Sheet51!$P$17="yes",IF(AND(I5&lt;0,G5&lt;0),"LONG UNWINDING",(IF(AND(I5&lt;0,G5&gt;0),"SHORT BUILDUP",(IF(AND(I5&gt;0,G5&gt;0),"LONG BUILDUP",IF(AND(I5&gt;0,G5&lt;0),"SHORT COVERING","")))))),""),"")</f>
        <v>LONG UNWINDING</v>
      </c>
      <c r="K5" s="256" t="str">
        <f ca="1">IF(Sheet51!$P$18="yes",IF(Sheet51!$P$17="yes",IF(OR(J5="SHORT BUILDUP",J5="LONG UNWINDING"), "BULLISH", IF(OR(J5="LONG BUILDUP",J5="SHORT COVERING" ), "BEARISH","")),""),"")</f>
        <v>BULLISH</v>
      </c>
    </row>
    <row r="6" spans="1:11" ht="16.5" customHeight="1" thickBot="1" x14ac:dyDescent="0.4">
      <c r="A6" s="254" t="str">
        <f ca="1">IF(Sheet51!$P$18="yes",IF(Sheet51!$P$17="yes",IF(OR(B6="SHORT BUILDUP",B6="LONG UNWINDING"), "BEARISH", IF(OR(B6="LONG BUILDUP",B6="SHORT COVERING" ), "BULLISH","")),""),"")</f>
        <v>BEARISH</v>
      </c>
      <c r="B6" s="254" t="str">
        <f ca="1">IF(Sheet51!$P$18="yes",IF(Sheet51!$P$17="yes",IF(AND(C6&lt;0,D6&lt;0),"LONG UNWINDING",(IF(AND(C6&lt;0,D6&gt;0),"SHORT BUILDUP",(IF(AND(C6&gt;0,D6&gt;0),"LONG BUILDUP",IF(AND(C6&gt;0,D6&lt;0),"SHORT COVERING","")))))),""),"")</f>
        <v>LONG UNWINDING</v>
      </c>
      <c r="C6" s="239">
        <f ca="1">IF(Sheet51!$P$18="yes",IF(Sheet51!$P$17="yes",SUMIF(Data!$L$21:'Data'!$L$200,F6,Data!$G$21:'Data'!$G$200),""),"")</f>
        <v>-0.3</v>
      </c>
      <c r="D6" s="796">
        <f ca="1">IF(Sheet51!$P$18="yes",IF(Sheet51!$P$17="yes",SUMIF(Data!$L$21:'Data'!$L$200,F6,Data!$C$21:'Data'!$C$200),""),"")</f>
        <v>-12600</v>
      </c>
      <c r="E6" s="796"/>
      <c r="F6" s="163">
        <f>IF(MAIN!$I$12="NIFTY",F7+100,F7+Sheet51!$B$3)</f>
        <v>12700</v>
      </c>
      <c r="G6" s="797">
        <f ca="1">IF(Sheet51!$P$18="yes",IF(Sheet51!$P$17="yes",SUMIF(Data!$L$21:'Data'!$L$200,F6,Data!$U$21:'Data'!$U$200),""),"")</f>
        <v>-1200</v>
      </c>
      <c r="H6" s="797"/>
      <c r="I6" s="239">
        <f ca="1">IF(Sheet51!$P$18="yes",IF(Sheet51!$P$17="yes",SUMIF(Data!$L$21:'Data'!$L$200,F6,Data!$Q$21:'Data'!$Q$200),""),"")</f>
        <v>12.2</v>
      </c>
      <c r="J6" s="255" t="str">
        <f ca="1">IF(Sheet51!$P$18="yes",IF(Sheet51!$P$17="yes",IF(AND(I6&lt;0,G6&lt;0),"LONG UNWINDING",(IF(AND(I6&lt;0,G6&gt;0),"SHORT BUILDUP",(IF(AND(I6&gt;0,G6&gt;0),"LONG BUILDUP",IF(AND(I6&gt;0,G6&lt;0),"SHORT COVERING","")))))),""),"")</f>
        <v>SHORT COVERING</v>
      </c>
      <c r="K6" s="256" t="str">
        <f ca="1">IF(Sheet51!$P$18="yes",IF(Sheet51!$P$17="yes",IF(OR(J6="SHORT BUILDUP",J6="LONG UNWINDING"), "BULLISH", IF(OR(J6="LONG BUILDUP",J6="SHORT COVERING" ), "BEARISH","")),""),"")</f>
        <v>BEARISH</v>
      </c>
    </row>
    <row r="7" spans="1:11" ht="16.5" customHeight="1" thickBot="1" x14ac:dyDescent="0.4">
      <c r="A7" s="254" t="str">
        <f ca="1">IF(Sheet51!$P$18="yes",IF(Sheet51!$P$17="yes",IF(OR(B7="SHORT BUILDUP",B7="LONG UNWINDING"), "BEARISH", IF(OR(B7="LONG BUILDUP",B7="SHORT COVERING" ), "BULLISH","")),""),"")</f>
        <v>BEARISH</v>
      </c>
      <c r="B7" s="254" t="str">
        <f ca="1">IF(Sheet51!$P$18="yes",IF(Sheet51!$P$17="yes",IF(AND(C7&lt;0,D7&lt;0),"LONG UNWINDING",(IF(AND(C7&lt;0,D7&gt;0),"SHORT BUILDUP",(IF(AND(C7&gt;0,D7&gt;0),"LONG BUILDUP",IF(AND(C7&gt;0,D7&lt;0),"SHORT COVERING","")))))),""),"")</f>
        <v>LONG UNWINDING</v>
      </c>
      <c r="C7" s="239">
        <f ca="1">IF(Sheet51!$P$18="yes",IF(Sheet51!$P$17="yes",SUMIF(Data!$L$21:'Data'!$L$200,F7,Data!$G$21:'Data'!$G$200),""),"")</f>
        <v>-0.15</v>
      </c>
      <c r="D7" s="796">
        <f ca="1">IF(Sheet51!$P$18="yes",IF(Sheet51!$P$17="yes",SUMIF(Data!$L$21:'Data'!$L$200,F7,Data!$C$21:'Data'!$C$200),""),"")</f>
        <v>-52725</v>
      </c>
      <c r="E7" s="796"/>
      <c r="F7" s="163">
        <f>IF(MAIN!$I$12="NIFTY",F8+100,F8+Sheet51!$B$3)</f>
        <v>12600</v>
      </c>
      <c r="G7" s="797">
        <f ca="1">IF(Sheet51!$P$18="yes",IF(Sheet51!$P$17="yes",SUMIF(Data!$L$21:'Data'!$L$200,F7,Data!$U$21:'Data'!$U$200),""),"")</f>
        <v>-300</v>
      </c>
      <c r="H7" s="797"/>
      <c r="I7" s="239">
        <f ca="1">IF(Sheet51!$P$18="yes",IF(Sheet51!$P$17="yes",SUMIF(Data!$L$21:'Data'!$L$200,F7,Data!$Q$21:'Data'!$Q$200),""),"")</f>
        <v>-55.15</v>
      </c>
      <c r="J7" s="255" t="str">
        <f ca="1">IF(Sheet51!$P$18="yes",IF(Sheet51!$P$17="yes",IF(AND(I7&lt;0,G7&lt;0),"LONG UNWINDING",(IF(AND(I7&lt;0,G7&gt;0),"SHORT BUILDUP",(IF(AND(I7&gt;0,G7&gt;0),"LONG BUILDUP",IF(AND(I7&gt;0,G7&lt;0),"SHORT COVERING","")))))),""),"")</f>
        <v>LONG UNWINDING</v>
      </c>
      <c r="K7" s="256" t="str">
        <f ca="1">IF(Sheet51!$P$18="yes",IF(Sheet51!$P$17="yes",IF(OR(J7="SHORT BUILDUP",J7="LONG UNWINDING"), "BULLISH", IF(OR(J7="LONG BUILDUP",J7="SHORT COVERING" ), "BEARISH","")),""),"")</f>
        <v>BULLISH</v>
      </c>
    </row>
    <row r="8" spans="1:11" ht="16.5" customHeight="1" thickBot="1" x14ac:dyDescent="0.4">
      <c r="A8" s="254" t="str">
        <f ca="1">IF(Sheet51!$P$18="yes",IF(Sheet51!$P$17="yes",IF(OR(B8="SHORT BUILDUP",B8="LONG UNWINDING"), "BEARISH", IF(OR(B8="LONG BUILDUP",B8="SHORT COVERING" ), "BULLISH","")),""),"")</f>
        <v>BEARISH</v>
      </c>
      <c r="B8" s="254" t="str">
        <f ca="1">IF(Sheet51!$P$18="yes",IF(Sheet51!$P$17="yes",IF(AND(C8&lt;0,D8&lt;0),"LONG UNWINDING",(IF(AND(C8&lt;0,D8&gt;0),"SHORT BUILDUP",(IF(AND(C8&gt;0,D8&gt;0),"LONG BUILDUP",IF(AND(C8&gt;0,D8&lt;0),"SHORT COVERING","")))))),""),"")</f>
        <v>LONG UNWINDING</v>
      </c>
      <c r="C8" s="239">
        <f ca="1">IF(Sheet51!$P$18="yes",IF(Sheet51!$P$17="yes",SUMIF(Data!$L$21:'Data'!$L$200,F8,Data!$G$21:'Data'!$G$200),""),"")</f>
        <v>-0.5</v>
      </c>
      <c r="D8" s="796">
        <f ca="1">IF(Sheet51!$P$18="yes",IF(Sheet51!$P$17="yes",SUMIF(Data!$L$21:'Data'!$L$200,F8,Data!$C$21:'Data'!$C$200),""),"")</f>
        <v>-678675</v>
      </c>
      <c r="E8" s="796"/>
      <c r="F8" s="163">
        <f>IF(MAIN!$I$12="NIFTY",F9+100,F9+Sheet51!$B$3)</f>
        <v>12500</v>
      </c>
      <c r="G8" s="797">
        <f ca="1">IF(Sheet51!$P$18="yes",IF(Sheet51!$P$17="yes",SUMIF(Data!$L$21:'Data'!$L$200,F8,Data!$U$21:'Data'!$U$200),""),"")</f>
        <v>-279300</v>
      </c>
      <c r="H8" s="797"/>
      <c r="I8" s="239">
        <f ca="1">IF(Sheet51!$P$18="yes",IF(Sheet51!$P$17="yes",SUMIF(Data!$L$21:'Data'!$L$200,F8,Data!$Q$21:'Data'!$Q$200),""),"")</f>
        <v>-91.25</v>
      </c>
      <c r="J8" s="255" t="str">
        <f ca="1">IF(Sheet51!$P$18="yes",IF(Sheet51!$P$17="yes",IF(AND(I8&lt;0,G8&lt;0),"LONG UNWINDING",(IF(AND(I8&lt;0,G8&gt;0),"SHORT BUILDUP",(IF(AND(I8&gt;0,G8&gt;0),"LONG BUILDUP",IF(AND(I8&gt;0,G8&lt;0),"SHORT COVERING","")))))),""),"")</f>
        <v>LONG UNWINDING</v>
      </c>
      <c r="K8" s="256" t="str">
        <f ca="1">IF(Sheet51!$P$18="yes",IF(Sheet51!$P$17="yes",IF(OR(J8="SHORT BUILDUP",J8="LONG UNWINDING"), "BULLISH", IF(OR(J8="LONG BUILDUP",J8="SHORT COVERING" ), "BEARISH","")),""),"")</f>
        <v>BULLISH</v>
      </c>
    </row>
    <row r="9" spans="1:11" ht="16.5" customHeight="1" thickBot="1" x14ac:dyDescent="0.4">
      <c r="A9" s="254" t="str">
        <f ca="1">IF(Sheet51!$P$18="yes",IF(Sheet51!$P$17="yes",IF(OR(B9="SHORT BUILDUP",B9="LONG UNWINDING"), "BEARISH", IF(OR(B9="LONG BUILDUP",B9="SHORT COVERING" ), "BULLISH","")),""),"")</f>
        <v>BEARISH</v>
      </c>
      <c r="B9" s="254" t="str">
        <f ca="1">IF(Sheet51!$P$18="yes",IF(Sheet51!$P$17="yes",IF(AND(C9&lt;0,D9&lt;0),"LONG UNWINDING",(IF(AND(C9&lt;0,D9&gt;0),"SHORT BUILDUP",(IF(AND(C9&gt;0,D9&gt;0),"LONG BUILDUP",IF(AND(C9&gt;0,D9&lt;0),"SHORT COVERING","")))))),""),"")</f>
        <v>LONG UNWINDING</v>
      </c>
      <c r="C9" s="239">
        <f ca="1">IF(Sheet51!$P$18="yes",IF(Sheet51!$P$17="yes",SUMIF(Data!$L$21:'Data'!$L$200,F9,Data!$G$21:'Data'!$G$200),""),"")</f>
        <v>-0.6</v>
      </c>
      <c r="D9" s="796">
        <f ca="1">IF(Sheet51!$P$18="yes",IF(Sheet51!$P$17="yes",SUMIF(Data!$L$21:'Data'!$L$200,F9,Data!$C$21:'Data'!$C$200),""),"")</f>
        <v>-83325</v>
      </c>
      <c r="E9" s="796"/>
      <c r="F9" s="163">
        <f>IF(MAIN!$I$12="NIFTY",F10+100,F10+Sheet51!$B$3)</f>
        <v>12400</v>
      </c>
      <c r="G9" s="797">
        <f ca="1">IF(Sheet51!$P$18="yes",IF(Sheet51!$P$17="yes",SUMIF(Data!$L$21:'Data'!$L$200,F9,Data!$U$21:'Data'!$U$200),""),"")</f>
        <v>-3225</v>
      </c>
      <c r="H9" s="797"/>
      <c r="I9" s="239">
        <f ca="1">IF(Sheet51!$P$18="yes",IF(Sheet51!$P$17="yes",SUMIF(Data!$L$21:'Data'!$L$200,F9,Data!$Q$21:'Data'!$Q$200),""),"")</f>
        <v>-81.3</v>
      </c>
      <c r="J9" s="255" t="str">
        <f ca="1">IF(Sheet51!$P$18="yes",IF(Sheet51!$P$17="yes",IF(AND(I9&lt;0,G9&lt;0),"LONG UNWINDING",(IF(AND(I9&lt;0,G9&gt;0),"SHORT BUILDUP",(IF(AND(I9&gt;0,G9&gt;0),"LONG BUILDUP",IF(AND(I9&gt;0,G9&lt;0),"SHORT COVERING","")))))),""),"")</f>
        <v>LONG UNWINDING</v>
      </c>
      <c r="K9" s="256" t="str">
        <f ca="1">IF(Sheet51!$P$18="yes",IF(Sheet51!$P$17="yes",IF(OR(J9="SHORT BUILDUP",J9="LONG UNWINDING"), "BULLISH", IF(OR(J9="LONG BUILDUP",J9="SHORT COVERING" ), "BEARISH","")),""),"")</f>
        <v>BULLISH</v>
      </c>
    </row>
    <row r="10" spans="1:11" ht="16.5" customHeight="1" thickBot="1" x14ac:dyDescent="0.4">
      <c r="A10" s="254" t="str">
        <f ca="1">IF(Sheet51!$P$18="yes",IF(Sheet51!$P$17="yes",IF(OR(B10="SHORT BUILDUP",B10="LONG UNWINDING"), "BEARISH", IF(OR(B10="LONG BUILDUP",B10="SHORT COVERING" ), "BULLISH","")),""),"")</f>
        <v>BEARISH</v>
      </c>
      <c r="B10" s="254" t="str">
        <f ca="1">IF(Sheet51!$P$18="yes",IF(Sheet51!$P$17="yes",IF(AND(C10&lt;0,D10&lt;0),"LONG UNWINDING",(IF(AND(C10&lt;0,D10&gt;0),"SHORT BUILDUP",(IF(AND(C10&gt;0,D10&gt;0),"LONG BUILDUP",IF(AND(C10&gt;0,D10&lt;0),"SHORT COVERING","")))))),""),"")</f>
        <v>LONG UNWINDING</v>
      </c>
      <c r="C10" s="257">
        <f ca="1">IF(Sheet51!$P$18="yes",IF(Sheet51!$P$17="yes",SUMIF(Data!$L$21:'Data'!$L$200,F10,Data!$G$21:'Data'!$G$200),""),"")</f>
        <v>-0.9</v>
      </c>
      <c r="D10" s="802">
        <f ca="1">IF(Sheet51!$P$18="yes",IF(Sheet51!$P$17="yes",SUMIF(Data!$L$21:'Data'!$L$200,F10,Data!$C$21:'Data'!$C$200),""),"")</f>
        <v>-139575</v>
      </c>
      <c r="E10" s="802"/>
      <c r="F10" s="163">
        <f>IF(MAIN!$I$12="NIFTY",F11+100,F11+Sheet51!$B$3)</f>
        <v>12300</v>
      </c>
      <c r="G10" s="804">
        <f ca="1">IF(Sheet51!$P$18="yes",IF(Sheet51!$P$17="yes",SUMIF(Data!$L$21:'Data'!$L$200,F10,Data!$U$21:'Data'!$U$200),""),"")</f>
        <v>-2025</v>
      </c>
      <c r="H10" s="804"/>
      <c r="I10" s="257">
        <f ca="1">IF(Sheet51!$P$18="yes",IF(Sheet51!$P$17="yes",SUMIF(Data!$L$21:'Data'!$L$200,F10,Data!$Q$21:'Data'!$Q$200),""),"")</f>
        <v>-84.3</v>
      </c>
      <c r="J10" s="255" t="str">
        <f ca="1">IF(Sheet51!$P$18="yes",IF(Sheet51!$P$17="yes",IF(AND(I10&lt;0,G10&lt;0),"LONG UNWINDING",(IF(AND(I10&lt;0,G10&gt;0),"SHORT BUILDUP",(IF(AND(I10&gt;0,G10&gt;0),"LONG BUILDUP",IF(AND(I10&gt;0,G10&lt;0),"SHORT COVERING","")))))),""),"")</f>
        <v>LONG UNWINDING</v>
      </c>
      <c r="K10" s="256" t="str">
        <f ca="1">IF(Sheet51!$P$18="yes",IF(Sheet51!$P$17="yes",IF(OR(J10="SHORT BUILDUP",J10="LONG UNWINDING"), "BULLISH", IF(OR(J10="LONG BUILDUP",J10="SHORT COVERING" ), "BEARISH","")),""),"")</f>
        <v>BULLISH</v>
      </c>
    </row>
    <row r="11" spans="1:11" ht="16.5" customHeight="1" thickBot="1" x14ac:dyDescent="0.5">
      <c r="A11" s="254" t="str">
        <f ca="1">IF(Sheet51!$P$18="yes",IF(Sheet51!$P$17="yes",IF(OR(B11="SHORT BUILDUP",B11="LONG UNWINDING"), "BEARISH", IF(OR(B11="LONG BUILDUP",B11="SHORT COVERING" ), "BULLISH","")),""),"")</f>
        <v>BEARISH</v>
      </c>
      <c r="B11" s="254" t="str">
        <f ca="1">IF(Sheet51!$P$18="yes",IF(Sheet51!$P$17="yes",IF(AND(C11&lt;0,D11&lt;0),"LONG UNWINDING",(IF(AND(C11&lt;0,D11&gt;0),"SHORT BUILDUP",(IF(AND(C11&gt;0,D11&gt;0),"LONG BUILDUP",IF(AND(C11&gt;0,D11&lt;0),"SHORT COVERING","")))))),""),"")</f>
        <v>LONG UNWINDING</v>
      </c>
      <c r="C11" s="259">
        <f ca="1">IF(Sheet51!$P$18="yes",IF(Sheet51!$P$17="yes",SUMIF(Data!$L$21:'Data'!$L$200,F11,Data!$G$21:'Data'!$G$200),""),"")</f>
        <v>-1.05</v>
      </c>
      <c r="D11" s="798">
        <f ca="1">IF(Sheet51!$P$18="yes",IF(Sheet51!$P$17="yes",SUMIF(Data!$L$21:'Data'!$L$200,F11,Data!$C$21:'Data'!$C$200),""),"")</f>
        <v>-398850</v>
      </c>
      <c r="E11" s="798"/>
      <c r="F11" s="263">
        <f>IF(MAIN!$I$12="NIFTY",F12+100,F12+Sheet51!$B$3)</f>
        <v>12200</v>
      </c>
      <c r="G11" s="805">
        <f ca="1">IF(Sheet51!$P$18="yes",IF(Sheet51!$P$17="yes",SUMIF(Data!$L$21:'Data'!$L$200,F11,Data!$U$21:'Data'!$U$200),""),"")</f>
        <v>-28650</v>
      </c>
      <c r="H11" s="805"/>
      <c r="I11" s="261">
        <f ca="1">IF(Sheet51!$P$18="yes",IF(Sheet51!$P$17="yes",SUMIF(Data!$L$21:'Data'!$L$200,F11,Data!$Q$21:'Data'!$Q$200),""),"")</f>
        <v>-73.7</v>
      </c>
      <c r="J11" s="255" t="str">
        <f ca="1">IF(Sheet51!$P$18="yes",IF(Sheet51!$P$17="yes",IF(AND(I11&lt;0,G11&lt;0),"LONG UNWINDING",(IF(AND(I11&lt;0,G11&gt;0),"SHORT BUILDUP",(IF(AND(I11&gt;0,G11&gt;0),"LONG BUILDUP",IF(AND(I11&gt;0,G11&lt;0),"SHORT COVERING","")))))),""),"")</f>
        <v>LONG UNWINDING</v>
      </c>
      <c r="K11" s="256" t="str">
        <f ca="1">IF(Sheet51!$P$18="yes",IF(Sheet51!$P$17="yes",IF(OR(J11="SHORT BUILDUP",J11="LONG UNWINDING"), "BULLISH", IF(OR(J11="LONG BUILDUP",J11="SHORT COVERING" ), "BEARISH","")),""),"")</f>
        <v>BULLISH</v>
      </c>
    </row>
    <row r="12" spans="1:11" ht="16.5" customHeight="1" thickBot="1" x14ac:dyDescent="0.5">
      <c r="A12" s="254" t="str">
        <f ca="1">IF(Sheet51!$P$18="yes",IF(Sheet51!$P$17="yes",IF(OR(B12="SHORT BUILDUP",B12="LONG UNWINDING"), "BEARISH", IF(OR(B12="LONG BUILDUP",B12="SHORT COVERING" ), "BULLISH","")),""),"")</f>
        <v>BEARISH</v>
      </c>
      <c r="B12" s="254" t="str">
        <f ca="1">IF(Sheet51!$P$18="yes",IF(Sheet51!$P$17="yes",IF(AND(C12&lt;0,D12&lt;0),"LONG UNWINDING",(IF(AND(C12&lt;0,D12&gt;0),"SHORT BUILDUP",(IF(AND(C12&gt;0,D12&gt;0),"LONG BUILDUP",IF(AND(C12&gt;0,D12&lt;0),"SHORT COVERING","")))))),""),"")</f>
        <v>LONG UNWINDING</v>
      </c>
      <c r="C12" s="262">
        <f ca="1">IF(Sheet51!$P$18="yes",IF(Sheet51!$P$17="yes",SUMIF(Data!$L$21:'Data'!$L$200,F12,Data!$G$21:'Data'!$G$200),""),"")</f>
        <v>-1.7</v>
      </c>
      <c r="D12" s="799">
        <f ca="1">IF(Sheet51!$P$18="yes",IF(Sheet51!$P$17="yes",SUMIF(Data!$L$21:'Data'!$L$200,F12,Data!$C$21:'Data'!$C$200),""),"")</f>
        <v>-478575</v>
      </c>
      <c r="E12" s="799"/>
      <c r="F12" s="263">
        <f>IF(MAIN!$I$12="NIFTY",F13+100,F13+Sheet51!$B$3)</f>
        <v>12100</v>
      </c>
      <c r="G12" s="806">
        <f ca="1">IF(Sheet51!$P$18="yes",IF(Sheet51!$P$17="yes",SUMIF(Data!$L$21:'Data'!$L$200,F12,Data!$U$21:'Data'!$U$200),""),"")</f>
        <v>-37650</v>
      </c>
      <c r="H12" s="806"/>
      <c r="I12" s="264">
        <f ca="1">IF(Sheet51!$P$18="yes",IF(Sheet51!$P$17="yes",SUMIF(Data!$L$21:'Data'!$L$200,F12,Data!$Q$21:'Data'!$Q$200),""),"")</f>
        <v>-77.5</v>
      </c>
      <c r="J12" s="255" t="str">
        <f ca="1">IF(Sheet51!$P$18="yes",IF(Sheet51!$P$17="yes",IF(AND(I12&lt;0,G12&lt;0),"LONG UNWINDING",(IF(AND(I12&lt;0,G12&gt;0),"SHORT BUILDUP",(IF(AND(I12&gt;0,G12&gt;0),"LONG BUILDUP",IF(AND(I12&gt;0,G12&lt;0),"SHORT COVERING","")))))),""),"")</f>
        <v>LONG UNWINDING</v>
      </c>
      <c r="K12" s="256" t="str">
        <f ca="1">IF(Sheet51!$P$18="yes",IF(Sheet51!$P$17="yes",IF(OR(J12="SHORT BUILDUP",J12="LONG UNWINDING"), "BULLISH", IF(OR(J12="LONG BUILDUP",J12="SHORT COVERING" ), "BEARISH","")),""),"")</f>
        <v>BULLISH</v>
      </c>
    </row>
    <row r="13" spans="1:11" ht="16.5" customHeight="1" thickBot="1" x14ac:dyDescent="0.5">
      <c r="A13" s="254" t="str">
        <f ca="1">IF(Sheet51!$P$18="yes",IF(Sheet51!$P$17="yes",IF(OR(B13="SHORT BUILDUP",B13="LONG UNWINDING"), "BEARISH", IF(OR(B13="LONG BUILDUP",B13="SHORT COVERING" ), "BULLISH","")),""),"")</f>
        <v>BEARISH</v>
      </c>
      <c r="B13" s="254" t="str">
        <f ca="1">IF(Sheet51!$P$18="yes",IF(Sheet51!$P$17="yes",IF(AND(C13&lt;0,D13&lt;0),"LONG UNWINDING",(IF(AND(C13&lt;0,D13&gt;0),"SHORT BUILDUP",(IF(AND(C13&gt;0,D13&gt;0),"LONG BUILDUP",IF(AND(C13&gt;0,D13&lt;0),"SHORT COVERING","")))))),""),"")</f>
        <v>LONG UNWINDING</v>
      </c>
      <c r="C13" s="262">
        <f ca="1">IF(Sheet51!$P$18="yes",IF(Sheet51!$P$17="yes",SUMIF(Data!$L$21:'Data'!$L$200,F13,Data!$G$21:'Data'!$G$200),""),"")</f>
        <v>-5.45</v>
      </c>
      <c r="D13" s="799">
        <f ca="1">IF(Sheet51!$P$18="yes",IF(Sheet51!$P$17="yes",SUMIF(Data!$L$21:'Data'!$L$200,F13,Data!$C$21:'Data'!$C$200),""),"")</f>
        <v>-1697025</v>
      </c>
      <c r="E13" s="799"/>
      <c r="F13" s="263">
        <f>IF(MAIN!$I$12="NIFTY",F14+100,F14+Sheet51!$B$3)</f>
        <v>12000</v>
      </c>
      <c r="G13" s="806">
        <f ca="1">IF(Sheet51!$P$18="yes",IF(Sheet51!$P$17="yes",SUMIF(Data!$L$21:'Data'!$L$200,F13,Data!$U$21:'Data'!$U$200),""),"")</f>
        <v>-524325</v>
      </c>
      <c r="H13" s="806"/>
      <c r="I13" s="264">
        <f ca="1">IF(Sheet51!$P$18="yes",IF(Sheet51!$P$17="yes",SUMIF(Data!$L$21:'Data'!$L$200,F13,Data!$Q$21:'Data'!$Q$200),""),"")</f>
        <v>-87</v>
      </c>
      <c r="J13" s="255" t="str">
        <f ca="1">IF(Sheet51!$P$18="yes",IF(Sheet51!$P$17="yes",IF(AND(I13&lt;0,G13&lt;0),"LONG UNWINDING",(IF(AND(I13&lt;0,G13&gt;0),"SHORT BUILDUP",(IF(AND(I13&gt;0,G13&gt;0),"LONG BUILDUP",IF(AND(I13&gt;0,G13&lt;0),"SHORT COVERING","")))))),""),"")</f>
        <v>LONG UNWINDING</v>
      </c>
      <c r="K13" s="256" t="str">
        <f ca="1">IF(Sheet51!$P$18="yes",IF(Sheet51!$P$17="yes",IF(OR(J13="SHORT BUILDUP",J13="LONG UNWINDING"), "BULLISH", IF(OR(J13="LONG BUILDUP",J13="SHORT COVERING" ), "BEARISH","")),""),"")</f>
        <v>BULLISH</v>
      </c>
    </row>
    <row r="14" spans="1:11" ht="16.5" customHeight="1" thickBot="1" x14ac:dyDescent="0.4">
      <c r="A14" s="254" t="str">
        <f ca="1">IF(Sheet51!$P$18="yes",IF(Sheet51!$P$17="yes",IF(OR(B14="SHORT BUILDUP",B14="LONG UNWINDING"), "BEARISH", IF(OR(B14="LONG BUILDUP",B14="SHORT COVERING" ), "BULLISH","")),""),"")</f>
        <v>BULLISH</v>
      </c>
      <c r="B14" s="254" t="str">
        <f ca="1">IF(Sheet51!$P$18="yes",IF(Sheet51!$P$17="yes",IF(AND(C14&lt;0,D14&lt;0),"LONG UNWINDING",(IF(AND(C14&lt;0,D14&gt;0),"SHORT BUILDUP",(IF(AND(C14&gt;0,D14&gt;0),"LONG BUILDUP",IF(AND(C14&gt;0,D14&lt;0),"SHORT COVERING","")))))),""),"")</f>
        <v>SHORT COVERING</v>
      </c>
      <c r="C14" s="178">
        <f ca="1">IF(Sheet51!$P$18="yes",IF(Sheet51!$P$17="yes",SUMIF(Data!$L$21:'Data'!$L$200,F14,Data!$G$21:'Data'!$G$200),""),"")</f>
        <v>15</v>
      </c>
      <c r="D14" s="800">
        <f ca="1">IF(Sheet51!$P$18="yes",IF(Sheet51!$P$17="yes",SUMIF(Data!$L$21:'Data'!$L$200,F14,Data!$C$21:'Data'!$C$200),""),"")</f>
        <v>-2377800</v>
      </c>
      <c r="E14" s="801"/>
      <c r="F14" s="265">
        <f>IF(MAIN!I12="NIFTY",ROUND(Sheet51!$B$1/100,0)*100,ROUND(Sheet51!$B$1/Sheet51!$B$3,0)*Sheet51!$B$3)</f>
        <v>11900</v>
      </c>
      <c r="G14" s="800">
        <f ca="1">IF(Sheet51!$P$18="yes",IF(Sheet51!$P$17="yes",SUMIF(Data!$L$21:'Data'!$L$200,F14,Data!$U$21:'Data'!$U$200),""),"")</f>
        <v>1984500</v>
      </c>
      <c r="H14" s="801"/>
      <c r="I14" s="178">
        <f ca="1">IF(Sheet51!$P$18="yes",IF(Sheet51!$P$17="yes",SUMIF(Data!$L$21:'Data'!$L$200,F14,Data!$Q$21:'Data'!$Q$200),""),"")</f>
        <v>-55.95</v>
      </c>
      <c r="J14" s="255" t="str">
        <f ca="1">IF(Sheet51!$P$18="yes",IF(Sheet51!$P$17="yes",IF(AND(I14&lt;0,G14&lt;0),"LONG UNWINDING",(IF(AND(I14&lt;0,G14&gt;0),"SHORT BUILDUP",(IF(AND(I14&gt;0,G14&gt;0),"LONG BUILDUP",IF(AND(I14&gt;0,G14&lt;0),"SHORT COVERING","")))))),""),"")</f>
        <v>SHORT BUILDUP</v>
      </c>
      <c r="K14" s="256" t="str">
        <f ca="1">IF(Sheet51!$P$18="yes",IF(Sheet51!$P$17="yes",IF(OR(J14="SHORT BUILDUP",J14="LONG UNWINDING"), "BULLISH", IF(OR(J14="LONG BUILDUP",J14="SHORT COVERING" ), "BEARISH","")),""),"")</f>
        <v>BULLISH</v>
      </c>
    </row>
    <row r="15" spans="1:11" ht="16.5" customHeight="1" thickBot="1" x14ac:dyDescent="0.5">
      <c r="A15" s="254" t="str">
        <f ca="1">IF(Sheet51!$P$18="yes",IF(Sheet51!$P$17="yes",IF(OR(B15="SHORT BUILDUP",B15="LONG UNWINDING"), "BEARISH", IF(OR(B15="LONG BUILDUP",B15="SHORT COVERING" ), "BULLISH","")),""),"")</f>
        <v>BULLISH</v>
      </c>
      <c r="B15" s="254" t="str">
        <f ca="1">IF(Sheet51!$P$18="yes",IF(Sheet51!$P$17="yes",IF(AND(C15&lt;0,D15&lt;0),"LONG UNWINDING",(IF(AND(C15&lt;0,D15&gt;0),"SHORT BUILDUP",(IF(AND(C15&gt;0,D15&gt;0),"LONG BUILDUP",IF(AND(C15&gt;0,D15&lt;0),"SHORT COVERING","")))))),""),"")</f>
        <v>SHORT COVERING</v>
      </c>
      <c r="C15" s="264">
        <f ca="1">IF(Sheet51!$P$18="yes",IF(Sheet51!$P$17="yes",SUMIF(Data!$L$21:'Data'!$L$200,F15,Data!$G$21:'Data'!$G$200),""),"")</f>
        <v>55.95</v>
      </c>
      <c r="D15" s="793">
        <f ca="1">IF(Sheet51!$P$18="yes",IF(Sheet51!$P$17="yes",SUMIF(Data!$L$21:'Data'!$L$200,F15,Data!$C$21:'Data'!$C$200),""),"")</f>
        <v>-960450</v>
      </c>
      <c r="E15" s="793"/>
      <c r="F15" s="263">
        <f>IF(MAIN!$I$12="NIFTY",F14-100,F14-Sheet51!$B$3)</f>
        <v>11800</v>
      </c>
      <c r="G15" s="807">
        <f ca="1">IF(Sheet51!$P$18="yes",IF(Sheet51!$P$17="yes",SUMIF(Data!$L$21:'Data'!$L$200,F15,Data!$U$21:'Data'!$U$200),""),"")</f>
        <v>759225</v>
      </c>
      <c r="H15" s="807"/>
      <c r="I15" s="262">
        <f ca="1">IF(Sheet51!$P$18="yes",IF(Sheet51!$P$17="yes",SUMIF(Data!$L$21:'Data'!$L$200,F15,Data!$Q$21:'Data'!$Q$200),""),"")</f>
        <v>-15.45</v>
      </c>
      <c r="J15" s="255" t="str">
        <f ca="1">IF(Sheet51!$P$18="yes",IF(Sheet51!$P$17="yes",IF(AND(I15&lt;0,G15&lt;0),"LONG UNWINDING",(IF(AND(I15&lt;0,G15&gt;0),"SHORT BUILDUP",(IF(AND(I15&gt;0,G15&gt;0),"LONG BUILDUP",IF(AND(I15&gt;0,G15&lt;0),"SHORT COVERING","")))))),""),"")</f>
        <v>SHORT BUILDUP</v>
      </c>
      <c r="K15" s="256" t="str">
        <f ca="1">IF(Sheet51!$P$18="yes",IF(Sheet51!$P$17="yes",IF(OR(J15="SHORT BUILDUP",J15="LONG UNWINDING"), "BULLISH", IF(OR(J15="LONG BUILDUP",J15="SHORT COVERING" ), "BEARISH","")),""),"")</f>
        <v>BULLISH</v>
      </c>
    </row>
    <row r="16" spans="1:11" ht="16.5" customHeight="1" thickBot="1" x14ac:dyDescent="0.5">
      <c r="A16" s="254" t="str">
        <f ca="1">IF(Sheet51!$P$18="yes",IF(Sheet51!$P$17="yes",IF(OR(B16="SHORT BUILDUP",B16="LONG UNWINDING"), "BEARISH", IF(OR(B16="LONG BUILDUP",B16="SHORT COVERING" ), "BULLISH","")),""),"")</f>
        <v>BULLISH</v>
      </c>
      <c r="B16" s="254" t="str">
        <f ca="1">IF(Sheet51!$P$18="yes",IF(Sheet51!$P$17="yes",IF(AND(C16&lt;0,D16&lt;0),"LONG UNWINDING",(IF(AND(C16&lt;0,D16&gt;0),"SHORT BUILDUP",(IF(AND(C16&gt;0,D16&gt;0),"LONG BUILDUP",IF(AND(C16&gt;0,D16&lt;0),"SHORT COVERING","")))))),""),"")</f>
        <v>SHORT COVERING</v>
      </c>
      <c r="C16" s="264">
        <f ca="1">IF(Sheet51!$P$18="yes",IF(Sheet51!$P$17="yes",SUMIF(Data!$L$21:'Data'!$L$200,F16,Data!$G$21:'Data'!$G$200),""),"")</f>
        <v>70.95</v>
      </c>
      <c r="D16" s="793">
        <f ca="1">IF(Sheet51!$P$18="yes",IF(Sheet51!$P$17="yes",SUMIF(Data!$L$21:'Data'!$L$200,F16,Data!$C$21:'Data'!$C$200),""),"")</f>
        <v>-628950</v>
      </c>
      <c r="E16" s="793"/>
      <c r="F16" s="263">
        <f>IF(MAIN!$I$12="NIFTY",F15-100,F15-Sheet51!$B$3)</f>
        <v>11700</v>
      </c>
      <c r="G16" s="807">
        <f ca="1">IF(Sheet51!$P$18="yes",IF(Sheet51!$P$17="yes",SUMIF(Data!$L$21:'Data'!$L$200,F16,Data!$U$21:'Data'!$U$200),""),"")</f>
        <v>-390450</v>
      </c>
      <c r="H16" s="807"/>
      <c r="I16" s="262">
        <f ca="1">IF(Sheet51!$P$18="yes",IF(Sheet51!$P$17="yes",SUMIF(Data!$L$21:'Data'!$L$200,F16,Data!$Q$21:'Data'!$Q$200),""),"")</f>
        <v>-4.05</v>
      </c>
      <c r="J16" s="255" t="str">
        <f ca="1">IF(Sheet51!$P$18="yes",IF(Sheet51!$P$17="yes",IF(AND(I16&lt;0,G16&lt;0),"LONG UNWINDING",(IF(AND(I16&lt;0,G16&gt;0),"SHORT BUILDUP",(IF(AND(I16&gt;0,G16&gt;0),"LONG BUILDUP",IF(AND(I16&gt;0,G16&lt;0),"SHORT COVERING","")))))),""),"")</f>
        <v>LONG UNWINDING</v>
      </c>
      <c r="K16" s="256" t="str">
        <f ca="1">IF(Sheet51!$P$18="yes",IF(Sheet51!$P$17="yes",IF(OR(J16="SHORT BUILDUP",J16="LONG UNWINDING"), "BULLISH", IF(OR(J16="LONG BUILDUP",J16="SHORT COVERING" ), "BEARISH","")),""),"")</f>
        <v>BULLISH</v>
      </c>
    </row>
    <row r="17" spans="1:11" ht="16.5" customHeight="1" thickBot="1" x14ac:dyDescent="0.5">
      <c r="A17" s="254" t="str">
        <f ca="1">IF(Sheet51!$P$18="yes",IF(Sheet51!$P$17="yes",IF(OR(B17="SHORT BUILDUP",B17="LONG UNWINDING"), "BEARISH", IF(OR(B17="LONG BUILDUP",B17="SHORT COVERING" ), "BULLISH","")),""),"")</f>
        <v>BULLISH</v>
      </c>
      <c r="B17" s="254" t="str">
        <f ca="1">IF(Sheet51!$P$18="yes",IF(Sheet51!$P$17="yes",IF(AND(C17&lt;0,D17&lt;0),"LONG UNWINDING",(IF(AND(C17&lt;0,D17&gt;0),"SHORT BUILDUP",(IF(AND(C17&gt;0,D17&gt;0),"LONG BUILDUP",IF(AND(C17&gt;0,D17&lt;0),"SHORT COVERING","")))))),""),"")</f>
        <v>SHORT COVERING</v>
      </c>
      <c r="C17" s="266">
        <f ca="1">IF(Sheet51!$P$18="yes",IF(Sheet51!$P$17="yes",SUMIF(Data!$L$21:'Data'!$L$200,F17,Data!$G$21:'Data'!$G$200),""),"")</f>
        <v>87.25</v>
      </c>
      <c r="D17" s="794">
        <f ca="1">IF(Sheet51!$P$18="yes",IF(Sheet51!$P$17="yes",SUMIF(Data!$L$21:'Data'!$L$200,F17,Data!$C$21:'Data'!$C$200),""),"")</f>
        <v>-326400</v>
      </c>
      <c r="E17" s="794"/>
      <c r="F17" s="263">
        <f>IF(MAIN!$I$12="NIFTY",F16-100,F16-Sheet51!$B$3)</f>
        <v>11600</v>
      </c>
      <c r="G17" s="808">
        <f ca="1">IF(Sheet51!$P$18="yes",IF(Sheet51!$P$17="yes",SUMIF(Data!$L$21:'Data'!$L$200,F17,Data!$U$21:'Data'!$U$200),""),"")</f>
        <v>-320025</v>
      </c>
      <c r="H17" s="808"/>
      <c r="I17" s="268">
        <f ca="1">IF(Sheet51!$P$18="yes",IF(Sheet51!$P$17="yes",SUMIF(Data!$L$21:'Data'!$L$200,F17,Data!$Q$21:'Data'!$Q$200),""),"")</f>
        <v>-1.6</v>
      </c>
      <c r="J17" s="255" t="str">
        <f ca="1">IF(Sheet51!$P$18="yes",IF(Sheet51!$P$17="yes",IF(AND(I17&lt;0,G17&lt;0),"LONG UNWINDING",(IF(AND(I17&lt;0,G17&gt;0),"SHORT BUILDUP",(IF(AND(I17&gt;0,G17&gt;0),"LONG BUILDUP",IF(AND(I17&gt;0,G17&lt;0),"SHORT COVERING","")))))),""),"")</f>
        <v>LONG UNWINDING</v>
      </c>
      <c r="K17" s="256" t="str">
        <f ca="1">IF(Sheet51!$P$18="yes",IF(Sheet51!$P$17="yes",IF(OR(J17="SHORT BUILDUP",J17="LONG UNWINDING"), "BULLISH", IF(OR(J17="LONG BUILDUP",J17="SHORT COVERING" ), "BEARISH","")),""),"")</f>
        <v>BULLISH</v>
      </c>
    </row>
    <row r="18" spans="1:11" ht="16.5" customHeight="1" thickBot="1" x14ac:dyDescent="0.4">
      <c r="A18" s="254" t="str">
        <f ca="1">IF(Sheet51!$P$18="yes",IF(Sheet51!$P$17="yes",IF(OR(B18="SHORT BUILDUP",B18="LONG UNWINDING"), "BEARISH", IF(OR(B18="LONG BUILDUP",B18="SHORT COVERING" ), "BULLISH","")),""),"")</f>
        <v>BULLISH</v>
      </c>
      <c r="B18" s="254" t="str">
        <f ca="1">IF(Sheet51!$P$18="yes",IF(Sheet51!$P$17="yes",IF(AND(C18&lt;0,D18&lt;0),"LONG UNWINDING",(IF(AND(C18&lt;0,D18&gt;0),"SHORT BUILDUP",(IF(AND(C18&gt;0,D18&gt;0),"LONG BUILDUP",IF(AND(C18&gt;0,D18&lt;0),"SHORT COVERING","")))))),""),"")</f>
        <v>SHORT COVERING</v>
      </c>
      <c r="C18" s="269">
        <f ca="1">IF(Sheet51!$P$18="yes",IF(Sheet51!$P$17="yes",SUMIF(Data!$L$21:'Data'!$L$200,F18,Data!$G$21:'Data'!$G$200),""),"")</f>
        <v>81.75</v>
      </c>
      <c r="D18" s="795">
        <f ca="1">IF(Sheet51!$P$18="yes",IF(Sheet51!$P$17="yes",SUMIF(Data!$L$21:'Data'!$L$200,F18,Data!$C$21:'Data'!$C$200),""),"")</f>
        <v>-207075</v>
      </c>
      <c r="E18" s="795"/>
      <c r="F18" s="163">
        <f>IF(MAIN!$I$12="NIFTY",F17-100,F17-Sheet51!$B$3)</f>
        <v>11500</v>
      </c>
      <c r="G18" s="809">
        <f ca="1">IF(Sheet51!$P$18="yes",IF(Sheet51!$P$17="yes",SUMIF(Data!$L$21:'Data'!$L$200,F18,Data!$U$21:'Data'!$U$200),""),"")</f>
        <v>-277500</v>
      </c>
      <c r="H18" s="809"/>
      <c r="I18" s="269">
        <f ca="1">IF(Sheet51!$P$18="yes",IF(Sheet51!$P$17="yes",SUMIF(Data!$L$21:'Data'!$L$200,F18,Data!$Q$21:'Data'!$Q$200),""),"")</f>
        <v>-1.4</v>
      </c>
      <c r="J18" s="255" t="str">
        <f ca="1">IF(Sheet51!$P$18="yes",IF(Sheet51!$P$17="yes",IF(AND(I18&lt;0,G18&lt;0),"LONG UNWINDING",(IF(AND(I18&lt;0,G18&gt;0),"SHORT BUILDUP",(IF(AND(I18&gt;0,G18&gt;0),"LONG BUILDUP",IF(AND(I18&gt;0,G18&lt;0),"SHORT COVERING","")))))),""),"")</f>
        <v>LONG UNWINDING</v>
      </c>
      <c r="K18" s="256" t="str">
        <f ca="1">IF(Sheet51!$P$18="yes",IF(Sheet51!$P$17="yes",IF(OR(J18="SHORT BUILDUP",J18="LONG UNWINDING"), "BULLISH", IF(OR(J18="LONG BUILDUP",J18="SHORT COVERING" ), "BEARISH","")),""),"")</f>
        <v>BULLISH</v>
      </c>
    </row>
    <row r="19" spans="1:11" ht="16.5" customHeight="1" thickBot="1" x14ac:dyDescent="0.4">
      <c r="A19" s="254" t="str">
        <f ca="1">IF(Sheet51!$P$18="yes",IF(Sheet51!$P$17="yes",IF(OR(B19="SHORT BUILDUP",B19="LONG UNWINDING"), "BEARISH", IF(OR(B19="LONG BUILDUP",B19="SHORT COVERING" ), "BULLISH","")),""),"")</f>
        <v>BULLISH</v>
      </c>
      <c r="B19" s="254" t="str">
        <f ca="1">IF(Sheet51!$P$18="yes",IF(Sheet51!$P$17="yes",IF(AND(C19&lt;0,D19&lt;0),"LONG UNWINDING",(IF(AND(C19&lt;0,D19&gt;0),"SHORT BUILDUP",(IF(AND(C19&gt;0,D19&gt;0),"LONG BUILDUP",IF(AND(C19&gt;0,D19&lt;0),"SHORT COVERING","")))))),""),"")</f>
        <v>SHORT COVERING</v>
      </c>
      <c r="C19" s="239">
        <f ca="1">IF(Sheet51!$P$18="yes",IF(Sheet51!$P$17="yes",SUMIF(Data!$L$21:'Data'!$L$200,F19,Data!$G$21:'Data'!$G$200),""),"")</f>
        <v>86.75</v>
      </c>
      <c r="D19" s="796">
        <f ca="1">IF(Sheet51!$P$18="yes",IF(Sheet51!$P$17="yes",SUMIF(Data!$L$21:'Data'!$L$200,F19,Data!$C$21:'Data'!$C$200),""),"")</f>
        <v>-96900</v>
      </c>
      <c r="E19" s="796"/>
      <c r="F19" s="163">
        <f>IF(MAIN!$I$12="NIFTY",F18-100,F18-Sheet51!$B$3)</f>
        <v>11400</v>
      </c>
      <c r="G19" s="797">
        <f ca="1">IF(Sheet51!$P$18="yes",IF(Sheet51!$P$17="yes",SUMIF(Data!$L$21:'Data'!$L$200,F19,Data!$U$21:'Data'!$U$200),""),"")</f>
        <v>-107550</v>
      </c>
      <c r="H19" s="797"/>
      <c r="I19" s="239">
        <f ca="1">IF(Sheet51!$P$18="yes",IF(Sheet51!$P$17="yes",SUMIF(Data!$L$21:'Data'!$L$200,F19,Data!$Q$21:'Data'!$Q$200),""),"")</f>
        <v>-1.1499999999999999</v>
      </c>
      <c r="J19" s="255" t="str">
        <f ca="1">IF(Sheet51!$P$18="yes",IF(Sheet51!$P$17="yes",IF(AND(I19&lt;0,G19&lt;0),"LONG UNWINDING",(IF(AND(I19&lt;0,G19&gt;0),"SHORT BUILDUP",(IF(AND(I19&gt;0,G19&gt;0),"LONG BUILDUP",IF(AND(I19&gt;0,G19&lt;0),"SHORT COVERING","")))))),""),"")</f>
        <v>LONG UNWINDING</v>
      </c>
      <c r="K19" s="256" t="str">
        <f ca="1">IF(Sheet51!$P$18="yes",IF(Sheet51!$P$17="yes",IF(OR(J19="SHORT BUILDUP",J19="LONG UNWINDING"), "BULLISH", IF(OR(J19="LONG BUILDUP",J19="SHORT COVERING" ), "BEARISH","")),""),"")</f>
        <v>BULLISH</v>
      </c>
    </row>
    <row r="20" spans="1:11" ht="16.5" customHeight="1" thickBot="1" x14ac:dyDescent="0.4">
      <c r="A20" s="254" t="str">
        <f ca="1">IF(Sheet51!$P$18="yes",IF(Sheet51!$P$17="yes",IF(OR(B20="SHORT BUILDUP",B20="LONG UNWINDING"), "BEARISH", IF(OR(B20="LONG BUILDUP",B20="SHORT COVERING" ), "BULLISH","")),""),"")</f>
        <v>BULLISH</v>
      </c>
      <c r="B20" s="254" t="str">
        <f ca="1">IF(Sheet51!$P$18="yes",IF(Sheet51!$P$17="yes",IF(AND(C20&lt;0,D20&lt;0),"LONG UNWINDING",(IF(AND(C20&lt;0,D20&gt;0),"SHORT BUILDUP",(IF(AND(C20&gt;0,D20&gt;0),"LONG BUILDUP",IF(AND(C20&gt;0,D20&lt;0),"SHORT COVERING","")))))),""),"")</f>
        <v>SHORT COVERING</v>
      </c>
      <c r="C20" s="239">
        <f ca="1">IF(Sheet51!$P$18="yes",IF(Sheet51!$P$17="yes",SUMIF(Data!$L$21:'Data'!$L$200,F20,Data!$G$21:'Data'!$G$200),""),"")</f>
        <v>73.150000000000006</v>
      </c>
      <c r="D20" s="796">
        <f ca="1">IF(Sheet51!$P$18="yes",IF(Sheet51!$P$17="yes",SUMIF(Data!$L$21:'Data'!$L$200,F20,Data!$C$21:'Data'!$C$200),""),"")</f>
        <v>-338175</v>
      </c>
      <c r="E20" s="796"/>
      <c r="F20" s="163">
        <f>IF(MAIN!$I$12="NIFTY",F19-100,F19-Sheet51!$B$3)</f>
        <v>11300</v>
      </c>
      <c r="G20" s="797">
        <f ca="1">IF(Sheet51!$P$18="yes",IF(Sheet51!$P$17="yes",SUMIF(Data!$L$21:'Data'!$L$200,F20,Data!$U$21:'Data'!$U$200),""),"")</f>
        <v>-100425</v>
      </c>
      <c r="H20" s="797"/>
      <c r="I20" s="239">
        <f ca="1">IF(Sheet51!$P$18="yes",IF(Sheet51!$P$17="yes",SUMIF(Data!$L$21:'Data'!$L$200,F20,Data!$Q$21:'Data'!$Q$200),""),"")</f>
        <v>-0.95</v>
      </c>
      <c r="J20" s="255" t="str">
        <f ca="1">IF(Sheet51!$P$18="yes",IF(Sheet51!$P$17="yes",IF(AND(I20&lt;0,G20&lt;0),"LONG UNWINDING",(IF(AND(I20&lt;0,G20&gt;0),"SHORT BUILDUP",(IF(AND(I20&gt;0,G20&gt;0),"LONG BUILDUP",IF(AND(I20&gt;0,G20&lt;0),"SHORT COVERING","")))))),""),"")</f>
        <v>LONG UNWINDING</v>
      </c>
      <c r="K20" s="256" t="str">
        <f ca="1">IF(Sheet51!$P$18="yes",IF(Sheet51!$P$17="yes",IF(OR(J20="SHORT BUILDUP",J20="LONG UNWINDING"), "BULLISH", IF(OR(J20="LONG BUILDUP",J20="SHORT COVERING" ), "BEARISH","")),""),"")</f>
        <v>BULLISH</v>
      </c>
    </row>
    <row r="21" spans="1:11" ht="16.5" customHeight="1" thickBot="1" x14ac:dyDescent="0.4">
      <c r="A21" s="254" t="str">
        <f ca="1">IF(Sheet51!$P$18="yes",IF(Sheet51!$P$17="yes",IF(OR(B21="SHORT BUILDUP",B21="LONG UNWINDING"), "BEARISH", IF(OR(B21="LONG BUILDUP",B21="SHORT COVERING" ), "BULLISH","")),""),"")</f>
        <v>BULLISH</v>
      </c>
      <c r="B21" s="254" t="str">
        <f ca="1">IF(Sheet51!$P$18="yes",IF(Sheet51!$P$17="yes",IF(AND(C21&lt;0,D21&lt;0),"LONG UNWINDING",(IF(AND(C21&lt;0,D21&gt;0),"SHORT BUILDUP",(IF(AND(C21&gt;0,D21&gt;0),"LONG BUILDUP",IF(AND(C21&gt;0,D21&lt;0),"SHORT COVERING","")))))),""),"")</f>
        <v>SHORT COVERING</v>
      </c>
      <c r="C21" s="239">
        <f ca="1">IF(Sheet51!$P$18="yes",IF(Sheet51!$P$17="yes",SUMIF(Data!$L$21:'Data'!$L$200,F21,Data!$G$21:'Data'!$G$200),""),"")</f>
        <v>79.25</v>
      </c>
      <c r="D21" s="796">
        <f ca="1">IF(Sheet51!$P$18="yes",IF(Sheet51!$P$17="yes",SUMIF(Data!$L$21:'Data'!$L$200,F21,Data!$C$21:'Data'!$C$200),""),"")</f>
        <v>-43125</v>
      </c>
      <c r="E21" s="796"/>
      <c r="F21" s="163">
        <f>IF(MAIN!$I$12="NIFTY",F20-100,F20-Sheet51!$B$3)</f>
        <v>11200</v>
      </c>
      <c r="G21" s="797">
        <f ca="1">IF(Sheet51!$P$18="yes",IF(Sheet51!$P$17="yes",SUMIF(Data!$L$21:'Data'!$L$200,F21,Data!$U$21:'Data'!$U$200),""),"")</f>
        <v>-119925</v>
      </c>
      <c r="H21" s="797"/>
      <c r="I21" s="239">
        <f ca="1">IF(Sheet51!$P$18="yes",IF(Sheet51!$P$17="yes",SUMIF(Data!$L$21:'Data'!$L$200,F21,Data!$Q$21:'Data'!$Q$200),""),"")</f>
        <v>-1</v>
      </c>
      <c r="J21" s="255" t="str">
        <f ca="1">IF(Sheet51!$P$18="yes",IF(Sheet51!$P$17="yes",IF(AND(I21&lt;0,G21&lt;0),"LONG UNWINDING",(IF(AND(I21&lt;0,G21&gt;0),"SHORT BUILDUP",(IF(AND(I21&gt;0,G21&gt;0),"LONG BUILDUP",IF(AND(I21&gt;0,G21&lt;0),"SHORT COVERING","")))))),""),"")</f>
        <v>LONG UNWINDING</v>
      </c>
      <c r="K21" s="256" t="str">
        <f ca="1">IF(Sheet51!$P$18="yes",IF(Sheet51!$P$17="yes",IF(OR(J21="SHORT BUILDUP",J21="LONG UNWINDING"), "BULLISH", IF(OR(J21="LONG BUILDUP",J21="SHORT COVERING" ), "BEARISH","")),""),"")</f>
        <v>BULLISH</v>
      </c>
    </row>
    <row r="22" spans="1:11" ht="16.5" customHeight="1" thickBot="1" x14ac:dyDescent="0.4">
      <c r="A22" s="254" t="str">
        <f ca="1">IF(Sheet51!$P$18="yes",IF(Sheet51!$P$17="yes",IF(OR(B22="SHORT BUILDUP",B22="LONG UNWINDING"), "BEARISH", IF(OR(B22="LONG BUILDUP",B22="SHORT COVERING" ), "BULLISH","")),""),"")</f>
        <v>BULLISH</v>
      </c>
      <c r="B22" s="254" t="str">
        <f ca="1">IF(Sheet51!$P$18="yes",IF(Sheet51!$P$17="yes",IF(AND(C22&lt;0,D22&lt;0),"LONG UNWINDING",(IF(AND(C22&lt;0,D22&gt;0),"SHORT BUILDUP",(IF(AND(C22&gt;0,D22&gt;0),"LONG BUILDUP",IF(AND(C22&gt;0,D22&lt;0),"SHORT COVERING","")))))),""),"")</f>
        <v>SHORT COVERING</v>
      </c>
      <c r="C22" s="239">
        <f ca="1">IF(Sheet51!$P$18="yes",IF(Sheet51!$P$17="yes",SUMIF(Data!$L$21:'Data'!$L$200,F22,Data!$G$21:'Data'!$G$200),""),"")</f>
        <v>81.75</v>
      </c>
      <c r="D22" s="796">
        <f ca="1">IF(Sheet51!$P$18="yes",IF(Sheet51!$P$17="yes",SUMIF(Data!$L$21:'Data'!$L$200,F22,Data!$C$21:'Data'!$C$200),""),"")</f>
        <v>-12825</v>
      </c>
      <c r="E22" s="796"/>
      <c r="F22" s="163">
        <f>IF(MAIN!$I$12="NIFTY",F21-100,F21-Sheet51!$B$3)</f>
        <v>11100</v>
      </c>
      <c r="G22" s="797">
        <f ca="1">IF(Sheet51!$P$18="yes",IF(Sheet51!$P$17="yes",SUMIF(Data!$L$21:'Data'!$L$200,F22,Data!$U$21:'Data'!$U$200),""),"")</f>
        <v>-85425</v>
      </c>
      <c r="H22" s="797"/>
      <c r="I22" s="239">
        <f ca="1">IF(Sheet51!$P$18="yes",IF(Sheet51!$P$17="yes",SUMIF(Data!$L$21:'Data'!$L$200,F22,Data!$Q$21:'Data'!$Q$200),""),"")</f>
        <v>-0.85</v>
      </c>
      <c r="J22" s="255" t="str">
        <f ca="1">IF(Sheet51!$P$18="yes",IF(Sheet51!$P$17="yes",IF(AND(I22&lt;0,G22&lt;0),"LONG UNWINDING",(IF(AND(I22&lt;0,G22&gt;0),"SHORT BUILDUP",(IF(AND(I22&gt;0,G22&gt;0),"LONG BUILDUP",IF(AND(I22&gt;0,G22&lt;0),"SHORT COVERING","")))))),""),"")</f>
        <v>LONG UNWINDING</v>
      </c>
      <c r="K22" s="256" t="str">
        <f ca="1">IF(Sheet51!$P$18="yes",IF(Sheet51!$P$17="yes",IF(OR(J22="SHORT BUILDUP",J22="LONG UNWINDING"), "BULLISH", IF(OR(J22="LONG BUILDUP",J22="SHORT COVERING" ), "BEARISH","")),""),"")</f>
        <v>BULLISH</v>
      </c>
    </row>
    <row r="23" spans="1:11" ht="16.5" customHeight="1" thickBot="1" x14ac:dyDescent="0.4">
      <c r="A23" s="254" t="str">
        <f ca="1">IF(Sheet51!$P$18="yes",IF(Sheet51!$P$17="yes",IF(OR(B23="SHORT BUILDUP",B23="LONG UNWINDING"), "BEARISH", IF(OR(B23="LONG BUILDUP",B23="SHORT COVERING" ), "BULLISH","")),""),"")</f>
        <v>BULLISH</v>
      </c>
      <c r="B23" s="254" t="str">
        <f ca="1">IF(Sheet51!$P$18="yes",IF(Sheet51!$P$17="yes",IF(AND(C23&lt;0,D23&lt;0),"LONG UNWINDING",(IF(AND(C23&lt;0,D23&gt;0),"SHORT BUILDUP",(IF(AND(C23&gt;0,D23&gt;0),"LONG BUILDUP",IF(AND(C23&gt;0,D23&lt;0),"SHORT COVERING","")))))),""),"")</f>
        <v>SHORT COVERING</v>
      </c>
      <c r="C23" s="239">
        <f ca="1">IF(Sheet51!$P$18="yes",IF(Sheet51!$P$17="yes",SUMIF(Data!$L$21:'Data'!$L$200,F23,Data!$G$21:'Data'!$G$200),""),"")</f>
        <v>89.45</v>
      </c>
      <c r="D23" s="796">
        <f ca="1">IF(Sheet51!$P$18="yes",IF(Sheet51!$P$17="yes",SUMIF(Data!$L$21:'Data'!$L$200,F23,Data!$C$21:'Data'!$C$200),""),"")</f>
        <v>-124125</v>
      </c>
      <c r="E23" s="796"/>
      <c r="F23" s="163">
        <f>IF(MAIN!$I$12="NIFTY",F22-100,F22-Sheet51!$B$3)</f>
        <v>11000</v>
      </c>
      <c r="G23" s="797">
        <f ca="1">IF(Sheet51!$P$18="yes",IF(Sheet51!$P$17="yes",SUMIF(Data!$L$21:'Data'!$L$200,F23,Data!$U$21:'Data'!$U$200),""),"")</f>
        <v>-87300</v>
      </c>
      <c r="H23" s="797"/>
      <c r="I23" s="239">
        <f ca="1">IF(Sheet51!$P$18="yes",IF(Sheet51!$P$17="yes",SUMIF(Data!$L$21:'Data'!$L$200,F23,Data!$Q$21:'Data'!$Q$200),""),"")</f>
        <v>-0.85</v>
      </c>
      <c r="J23" s="255" t="str">
        <f ca="1">IF(Sheet51!$P$18="yes",IF(Sheet51!$P$17="yes",IF(AND(I23&lt;0,G23&lt;0),"LONG UNWINDING",(IF(AND(I23&lt;0,G23&gt;0),"SHORT BUILDUP",(IF(AND(I23&gt;0,G23&gt;0),"LONG BUILDUP",IF(AND(I23&gt;0,G23&lt;0),"SHORT COVERING","")))))),""),"")</f>
        <v>LONG UNWINDING</v>
      </c>
      <c r="K23" s="256" t="str">
        <f ca="1">IF(Sheet51!$P$18="yes",IF(Sheet51!$P$17="yes",IF(OR(J23="SHORT BUILDUP",J23="LONG UNWINDING"), "BULLISH", IF(OR(J23="LONG BUILDUP",J23="SHORT COVERING" ), "BEARISH","")),""),"")</f>
        <v>BULLISH</v>
      </c>
    </row>
    <row r="24" spans="1:11" ht="16.5" customHeight="1" thickBot="1" x14ac:dyDescent="0.4">
      <c r="A24" s="254" t="str">
        <f ca="1">IF(Sheet51!$P$18="yes",IF(Sheet51!$P$17="yes",IF(OR(B24="SHORT BUILDUP",B24="LONG UNWINDING"), "BEARISH", IF(OR(B24="LONG BUILDUP",B24="SHORT COVERING" ), "BULLISH","")),""),"")</f>
        <v>BULLISH</v>
      </c>
      <c r="B24" s="254" t="str">
        <f ca="1">IF(Sheet51!$P$18="yes",IF(Sheet51!$P$17="yes",IF(AND(C24&lt;0,D24&lt;0),"LONG UNWINDING",(IF(AND(C24&lt;0,D24&gt;0),"SHORT BUILDUP",(IF(AND(C24&gt;0,D24&gt;0),"LONG BUILDUP",IF(AND(C24&gt;0,D24&lt;0),"SHORT COVERING","")))))),""),"")</f>
        <v>SHORT COVERING</v>
      </c>
      <c r="C24" s="239">
        <f ca="1">IF(Sheet51!$P$18="yes",IF(Sheet51!$P$17="yes",SUMIF(Data!$L$21:'Data'!$L$200,F24,Data!$G$21:'Data'!$G$200),""),"")</f>
        <v>83.3</v>
      </c>
      <c r="D24" s="796">
        <f ca="1">IF(Sheet51!$P$18="yes",IF(Sheet51!$P$17="yes",SUMIF(Data!$L$21:'Data'!$L$200,F24,Data!$C$21:'Data'!$C$200),""),"")</f>
        <v>-13050</v>
      </c>
      <c r="E24" s="796"/>
      <c r="F24" s="163">
        <f>IF(MAIN!$I$12="NIFTY",F23-100,F23-Sheet51!$B$3)</f>
        <v>10900</v>
      </c>
      <c r="G24" s="797">
        <f ca="1">IF(Sheet51!$P$18="yes",IF(Sheet51!$P$17="yes",SUMIF(Data!$L$21:'Data'!$L$200,F24,Data!$U$21:'Data'!$U$200),""),"")</f>
        <v>-35700</v>
      </c>
      <c r="H24" s="797"/>
      <c r="I24" s="239">
        <f ca="1">IF(Sheet51!$P$18="yes",IF(Sheet51!$P$17="yes",SUMIF(Data!$L$21:'Data'!$L$200,F24,Data!$Q$21:'Data'!$Q$200),""),"")</f>
        <v>-0.8</v>
      </c>
      <c r="J24" s="255" t="str">
        <f ca="1">IF(Sheet51!$P$18="yes",IF(Sheet51!$P$17="yes",IF(AND(I24&lt;0,G24&lt;0),"LONG UNWINDING",(IF(AND(I24&lt;0,G24&gt;0),"SHORT BUILDUP",(IF(AND(I24&gt;0,G24&gt;0),"LONG BUILDUP",IF(AND(I24&gt;0,G24&lt;0),"SHORT COVERING","")))))),""),"")</f>
        <v>LONG UNWINDING</v>
      </c>
      <c r="K24" s="256" t="str">
        <f ca="1">IF(Sheet51!$P$18="yes",IF(Sheet51!$P$17="yes",IF(OR(J24="SHORT BUILDUP",J24="LONG UNWINDING"), "BULLISH", IF(OR(J24="LONG BUILDUP",J24="SHORT COVERING" ), "BEARISH","")),""),"")</f>
        <v>BULLISH</v>
      </c>
    </row>
    <row r="25" spans="1:11" ht="16.5" customHeight="1" x14ac:dyDescent="0.35">
      <c r="A25" s="280"/>
      <c r="B25" s="280"/>
      <c r="C25" s="63"/>
      <c r="D25" s="63"/>
      <c r="E25" s="63"/>
      <c r="F25" s="63"/>
      <c r="G25" s="63"/>
      <c r="H25" s="63"/>
      <c r="I25" s="63"/>
      <c r="J25" s="281"/>
      <c r="K25" s="281"/>
    </row>
    <row r="26" spans="1:11" ht="16.5" customHeight="1" x14ac:dyDescent="0.35">
      <c r="A26" s="280"/>
      <c r="B26" s="280"/>
      <c r="C26" s="63"/>
      <c r="D26" s="63"/>
      <c r="E26" s="63"/>
      <c r="F26" s="63"/>
      <c r="G26" s="63"/>
      <c r="H26" s="63"/>
      <c r="I26" s="63"/>
      <c r="J26" s="281"/>
      <c r="K26" s="281"/>
    </row>
    <row r="27" spans="1:11" ht="16.5" customHeight="1" thickBot="1" x14ac:dyDescent="0.4">
      <c r="A27" s="280"/>
      <c r="B27" s="280"/>
      <c r="C27" s="63"/>
      <c r="D27" s="63"/>
      <c r="E27" s="63"/>
      <c r="F27" s="63"/>
      <c r="G27" s="63"/>
      <c r="H27" s="63"/>
      <c r="I27" s="63"/>
      <c r="J27" s="281"/>
      <c r="K27" s="281"/>
    </row>
    <row r="28" spans="1:11" ht="16.5" customHeight="1" thickBot="1" x14ac:dyDescent="0.4">
      <c r="A28" s="241" t="s">
        <v>10</v>
      </c>
      <c r="B28" s="279">
        <f>MAIN!B2</f>
        <v>11945.9</v>
      </c>
      <c r="C28" s="243" t="s">
        <v>69</v>
      </c>
      <c r="D28" s="244">
        <f ca="1">MAIN!C5</f>
        <v>11900</v>
      </c>
      <c r="E28" s="245">
        <f ca="1">MAIN!E5</f>
        <v>-2377800</v>
      </c>
      <c r="F28" s="246"/>
      <c r="G28" s="247" t="s">
        <v>71</v>
      </c>
      <c r="H28" s="248">
        <f ca="1">MAIN!C6</f>
        <v>11900</v>
      </c>
      <c r="I28" s="249">
        <f ca="1">MAIN!E6</f>
        <v>1984500</v>
      </c>
      <c r="J28" s="250" t="s">
        <v>162</v>
      </c>
      <c r="K28" s="251">
        <f ca="1">NOW()</f>
        <v>43615.786170601852</v>
      </c>
    </row>
    <row r="29" spans="1:11" ht="16.5" customHeight="1" thickBot="1" x14ac:dyDescent="0.4">
      <c r="A29" s="790" t="s">
        <v>17</v>
      </c>
      <c r="B29" s="791"/>
      <c r="C29" s="792"/>
      <c r="D29" s="788" t="str">
        <f>MAIN!D1</f>
        <v>-</v>
      </c>
      <c r="E29" s="789"/>
      <c r="F29" s="789"/>
      <c r="G29" s="789"/>
      <c r="H29" s="789"/>
      <c r="I29" s="790" t="s">
        <v>16</v>
      </c>
      <c r="J29" s="791"/>
      <c r="K29" s="792"/>
    </row>
    <row r="30" spans="1:11" ht="16.5" customHeight="1" thickBot="1" x14ac:dyDescent="0.4">
      <c r="A30" s="278" t="s">
        <v>144</v>
      </c>
      <c r="B30" s="278" t="s">
        <v>159</v>
      </c>
      <c r="C30" s="278" t="s">
        <v>161</v>
      </c>
      <c r="D30" s="803" t="s">
        <v>160</v>
      </c>
      <c r="E30" s="803"/>
      <c r="F30" s="253" t="s">
        <v>36</v>
      </c>
      <c r="G30" s="803" t="s">
        <v>160</v>
      </c>
      <c r="H30" s="803"/>
      <c r="I30" s="278" t="s">
        <v>161</v>
      </c>
      <c r="J30" s="278" t="s">
        <v>159</v>
      </c>
      <c r="K30" s="278" t="s">
        <v>144</v>
      </c>
    </row>
    <row r="31" spans="1:11" ht="16.5" customHeight="1" thickBot="1" x14ac:dyDescent="0.4">
      <c r="A31" s="254" t="str">
        <f ca="1">IF(Sheet51!$P$18="yes",IF(Sheet51!$P$17="yes",IF(OR(B31="SHORT BUILDUP",B31="LONG UNWINDING"), "BEARISH", IF(OR(B31="LONG BUILDUP",B31="SHORT COVERING" ), "BULLISH","")),""),"")</f>
        <v>BEARISH</v>
      </c>
      <c r="B31" s="254" t="str">
        <f ca="1">IF(Sheet51!$P$18="yes",IF(Sheet51!$P$17="yes",IF(AND(C31&lt;0,D31&lt;0),"LONG UNWINDING",(IF(AND(C31&lt;0,D31&gt;0),"SHORT BUILDUP",(IF(AND(C31&gt;0,D31&gt;0),"LONG BUILDUP",IF(AND(C31&gt;0,D31&lt;0),"SHORT COVERING","")))))),""),"")</f>
        <v>LONG UNWINDING</v>
      </c>
      <c r="C31" s="239">
        <f ca="1">IF(Sheet51!$P$18="yes",IF(Sheet51!$P$17="yes",SUMIF(Data!$L$21:'Data'!$L$200,F31,Data!$G$21:'Data'!$G$200),""),"")</f>
        <v>-0.6</v>
      </c>
      <c r="D31" s="796">
        <f ca="1">IF(Sheet51!$P$18="yes",IF(Sheet51!$P$17="yes",SUMIF(Data!$L$21:'Data'!$L$200,F31,Data!$C$21:'Data'!$C$200),""),"")</f>
        <v>-83325</v>
      </c>
      <c r="E31" s="796"/>
      <c r="F31" s="163">
        <f>IF(MAIN!$I$12="NIFTY",F32+50,"")</f>
        <v>12400</v>
      </c>
      <c r="G31" s="797">
        <f ca="1">IF(Sheet51!$P$18="yes",IF(Sheet51!$P$17="yes",SUMIF(Data!$L$21:'Data'!$L$200,F31,Data!$U$21:'Data'!$U$200),""),"")</f>
        <v>-3225</v>
      </c>
      <c r="H31" s="797"/>
      <c r="I31" s="239">
        <f ca="1">IF(Sheet51!$P$18="yes",IF(Sheet51!$P$17="yes",SUMIF(Data!$L$21:'Data'!$L$200,F31,Data!$Q$21:'Data'!$Q$200),""),"")</f>
        <v>-81.3</v>
      </c>
      <c r="J31" s="255" t="str">
        <f ca="1">IF(Sheet51!$P$18="yes",IF(Sheet51!$P$17="yes",IF(AND(I31&lt;0,G31&lt;0),"SHORT COVERING",(IF(AND(I31&lt;0,G31&gt;0),"SHORT BUILDUP",(IF(AND(I31&gt;0,G31&gt;0),"LONG BUILDUP",IF(AND(I31&gt;0,G31&lt;0),"LONG UNWINDING","")))))),""),"")</f>
        <v>SHORT COVERING</v>
      </c>
      <c r="K31" s="256" t="str">
        <f ca="1">IF(Sheet51!$P$18="yes",IF(Sheet51!$P$17="yes",IF(OR(J31="SHORT BUILDUP",J31="LONG UNWINDING"), "BULLISH", IF(OR(J31="LONG BUILDUP",J31="SHORT COVERING" ), "BEARISH","")),""),"")</f>
        <v>BEARISH</v>
      </c>
    </row>
    <row r="32" spans="1:11" ht="16.5" customHeight="1" thickBot="1" x14ac:dyDescent="0.4">
      <c r="A32" s="254" t="str">
        <f ca="1">IF(Sheet51!$P$18="yes",IF(Sheet51!$P$17="yes",IF(OR(B32="SHORT BUILDUP",B32="LONG UNWINDING"), "BEARISH", IF(OR(B32="LONG BUILDUP",B32="SHORT COVERING" ), "BULLISH","")),""),"")</f>
        <v>BEARISH</v>
      </c>
      <c r="B32" s="254" t="str">
        <f ca="1">IF(Sheet51!$P$18="yes",IF(Sheet51!$P$17="yes",IF(AND(C32&lt;0,D32&lt;0),"LONG UNWINDING",(IF(AND(C32&lt;0,D32&gt;0),"SHORT BUILDUP",(IF(AND(C32&gt;0,D32&gt;0),"LONG BUILDUP",IF(AND(C32&gt;0,D32&lt;0),"SHORT COVERING","")))))),""),"")</f>
        <v>SHORT BUILDUP</v>
      </c>
      <c r="C32" s="239">
        <f ca="1">IF(Sheet51!$P$18="yes",IF(Sheet51!$P$17="yes",SUMIF(Data!$L$21:'Data'!$L$200,F32,Data!$G$21:'Data'!$G$200),""),"")</f>
        <v>-0.5</v>
      </c>
      <c r="D32" s="796">
        <f ca="1">IF(Sheet51!$P$18="yes",IF(Sheet51!$P$17="yes",SUMIF(Data!$L$21:'Data'!$L$200,F32,Data!$C$21:'Data'!$C$200),""),"")</f>
        <v>825</v>
      </c>
      <c r="E32" s="796"/>
      <c r="F32" s="163">
        <f>IF(MAIN!$I$12="NIFTY",F33+50,"")</f>
        <v>12350</v>
      </c>
      <c r="G32" s="797">
        <f ca="1">IF(Sheet51!$P$18="yes",IF(Sheet51!$P$17="yes",SUMIF(Data!$L$21:'Data'!$L$200,F32,Data!$U$21:'Data'!$U$200),""),"")</f>
        <v>0</v>
      </c>
      <c r="H32" s="797"/>
      <c r="I32" s="239">
        <f ca="1">IF(Sheet51!$P$18="yes",IF(Sheet51!$P$17="yes",SUMIF(Data!$L$21:'Data'!$L$200,F32,Data!$Q$21:'Data'!$Q$200),""),"")</f>
        <v>0</v>
      </c>
      <c r="J32" s="255" t="str">
        <f ca="1">IF(Sheet51!$P$18="yes",IF(Sheet51!$P$17="yes",IF(AND(I32&lt;0,G32&lt;0),"SHORT COVERING",(IF(AND(I32&lt;0,G32&gt;0),"SHORT BUILDUP",(IF(AND(I32&gt;0,G32&gt;0),"LONG BUILDUP",IF(AND(I32&gt;0,G32&lt;0),"LONG UNWINDING","")))))),""),"")</f>
        <v/>
      </c>
      <c r="K32" s="256" t="str">
        <f ca="1">IF(Sheet51!$P$18="yes",IF(Sheet51!$P$17="yes",IF(OR(J32="SHORT BUILDUP",J32="LONG UNWINDING"), "BULLISH", IF(OR(J32="LONG BUILDUP",J32="SHORT COVERING" ), "BEARISH","")),""),"")</f>
        <v/>
      </c>
    </row>
    <row r="33" spans="1:11" ht="16.5" customHeight="1" thickBot="1" x14ac:dyDescent="0.4">
      <c r="A33" s="254" t="str">
        <f ca="1">IF(Sheet51!$P$18="yes",IF(Sheet51!$P$17="yes",IF(OR(B33="SHORT BUILDUP",B33="LONG UNWINDING"), "BEARISH", IF(OR(B33="LONG BUILDUP",B33="SHORT COVERING" ), "BULLISH","")),""),"")</f>
        <v>BEARISH</v>
      </c>
      <c r="B33" s="254" t="str">
        <f ca="1">IF(Sheet51!$P$18="yes",IF(Sheet51!$P$17="yes",IF(AND(C33&lt;0,D33&lt;0),"LONG UNWINDING",(IF(AND(C33&lt;0,D33&gt;0),"SHORT BUILDUP",(IF(AND(C33&gt;0,D33&gt;0),"LONG BUILDUP",IF(AND(C33&gt;0,D33&lt;0),"SHORT COVERING","")))))),""),"")</f>
        <v>LONG UNWINDING</v>
      </c>
      <c r="C33" s="239">
        <f ca="1">IF(Sheet51!$P$18="yes",IF(Sheet51!$P$17="yes",SUMIF(Data!$L$21:'Data'!$L$200,F33,Data!$G$21:'Data'!$G$200),""),"")</f>
        <v>-0.9</v>
      </c>
      <c r="D33" s="796">
        <f ca="1">IF(Sheet51!$P$18="yes",IF(Sheet51!$P$17="yes",SUMIF(Data!$L$21:'Data'!$L$200,F33,Data!$C$21:'Data'!$C$200),""),"")</f>
        <v>-139575</v>
      </c>
      <c r="E33" s="796"/>
      <c r="F33" s="163">
        <f>IF(MAIN!$I$12="NIFTY",F34+50,"")</f>
        <v>12300</v>
      </c>
      <c r="G33" s="797">
        <f ca="1">IF(Sheet51!$P$18="yes",IF(Sheet51!$P$17="yes",SUMIF(Data!$L$21:'Data'!$L$200,F33,Data!$U$21:'Data'!$U$200),""),"")</f>
        <v>-2025</v>
      </c>
      <c r="H33" s="797"/>
      <c r="I33" s="239">
        <f ca="1">IF(Sheet51!$P$18="yes",IF(Sheet51!$P$17="yes",SUMIF(Data!$L$21:'Data'!$L$200,F33,Data!$Q$21:'Data'!$Q$200),""),"")</f>
        <v>-84.3</v>
      </c>
      <c r="J33" s="255" t="str">
        <f ca="1">IF(Sheet51!$P$18="yes",IF(Sheet51!$P$17="yes",IF(AND(I33&lt;0,G33&lt;0),"SHORT COVERING",(IF(AND(I33&lt;0,G33&gt;0),"SHORT BUILDUP",(IF(AND(I33&gt;0,G33&gt;0),"LONG BUILDUP",IF(AND(I33&gt;0,G33&lt;0),"LONG UNWINDING","")))))),""),"")</f>
        <v>SHORT COVERING</v>
      </c>
      <c r="K33" s="256" t="str">
        <f ca="1">IF(Sheet51!$P$18="yes",IF(Sheet51!$P$17="yes",IF(OR(J33="SHORT BUILDUP",J33="LONG UNWINDING"), "BULLISH", IF(OR(J33="LONG BUILDUP",J33="SHORT COVERING" ), "BEARISH","")),""),"")</f>
        <v>BEARISH</v>
      </c>
    </row>
    <row r="34" spans="1:11" ht="16.5" customHeight="1" thickBot="1" x14ac:dyDescent="0.4">
      <c r="A34" s="254" t="str">
        <f ca="1">IF(Sheet51!$P$18="yes",IF(Sheet51!$P$17="yes",IF(OR(B34="SHORT BUILDUP",B34="LONG UNWINDING"), "BEARISH", IF(OR(B34="LONG BUILDUP",B34="SHORT COVERING" ), "BULLISH","")),""),"")</f>
        <v>BEARISH</v>
      </c>
      <c r="B34" s="254" t="str">
        <f ca="1">IF(Sheet51!$P$18="yes",IF(Sheet51!$P$17="yes",IF(AND(C34&lt;0,D34&lt;0),"LONG UNWINDING",(IF(AND(C34&lt;0,D34&gt;0),"SHORT BUILDUP",(IF(AND(C34&gt;0,D34&gt;0),"LONG BUILDUP",IF(AND(C34&gt;0,D34&lt;0),"SHORT COVERING","")))))),""),"")</f>
        <v>LONG UNWINDING</v>
      </c>
      <c r="C34" s="239">
        <f ca="1">IF(Sheet51!$P$18="yes",IF(Sheet51!$P$17="yes",SUMIF(Data!$L$21:'Data'!$L$200,F34,Data!$G$21:'Data'!$G$200),""),"")</f>
        <v>-0.95</v>
      </c>
      <c r="D34" s="796">
        <f ca="1">IF(Sheet51!$P$18="yes",IF(Sheet51!$P$17="yes",SUMIF(Data!$L$21:'Data'!$L$200,F34,Data!$C$21:'Data'!$C$200),""),"")</f>
        <v>-11925</v>
      </c>
      <c r="E34" s="796"/>
      <c r="F34" s="163">
        <f>IF(MAIN!$I$12="NIFTY",F35+50,"")</f>
        <v>12250</v>
      </c>
      <c r="G34" s="797">
        <f ca="1">IF(Sheet51!$P$18="yes",IF(Sheet51!$P$17="yes",SUMIF(Data!$L$21:'Data'!$L$200,F34,Data!$U$21:'Data'!$U$200),""),"")</f>
        <v>0</v>
      </c>
      <c r="H34" s="797"/>
      <c r="I34" s="239">
        <f ca="1">IF(Sheet51!$P$18="yes",IF(Sheet51!$P$17="yes",SUMIF(Data!$L$21:'Data'!$L$200,F34,Data!$Q$21:'Data'!$Q$200),""),"")</f>
        <v>0</v>
      </c>
      <c r="J34" s="255" t="str">
        <f ca="1">IF(Sheet51!$P$18="yes",IF(Sheet51!$P$17="yes",IF(AND(I34&lt;0,G34&lt;0),"SHORT COVERING",(IF(AND(I34&lt;0,G34&gt;0),"SHORT BUILDUP",(IF(AND(I34&gt;0,G34&gt;0),"LONG BUILDUP",IF(AND(I34&gt;0,G34&lt;0),"LONG UNWINDING","")))))),""),"")</f>
        <v/>
      </c>
      <c r="K34" s="256" t="str">
        <f ca="1">IF(Sheet51!$P$18="yes",IF(Sheet51!$P$17="yes",IF(OR(J34="SHORT BUILDUP",J34="LONG UNWINDING"), "BULLISH", IF(OR(J34="LONG BUILDUP",J34="SHORT COVERING" ), "BEARISH","")),""),"")</f>
        <v/>
      </c>
    </row>
    <row r="35" spans="1:11" ht="16.5" customHeight="1" thickBot="1" x14ac:dyDescent="0.4">
      <c r="A35" s="254" t="str">
        <f ca="1">IF(Sheet51!$P$18="yes",IF(Sheet51!$P$17="yes",IF(OR(B35="SHORT BUILDUP",B35="LONG UNWINDING"), "BEARISH", IF(OR(B35="LONG BUILDUP",B35="SHORT COVERING" ), "BULLISH","")),""),"")</f>
        <v>BEARISH</v>
      </c>
      <c r="B35" s="254" t="str">
        <f ca="1">IF(Sheet51!$P$18="yes",IF(Sheet51!$P$17="yes",IF(AND(C35&lt;0,D35&lt;0),"LONG UNWINDING",(IF(AND(C35&lt;0,D35&gt;0),"SHORT BUILDUP",(IF(AND(C35&gt;0,D35&gt;0),"LONG BUILDUP",IF(AND(C35&gt;0,D35&lt;0),"SHORT COVERING","")))))),""),"")</f>
        <v>LONG UNWINDING</v>
      </c>
      <c r="C35" s="239">
        <f ca="1">IF(Sheet51!$P$18="yes",IF(Sheet51!$P$17="yes",SUMIF(Data!$L$21:'Data'!$L$200,F35,Data!$G$21:'Data'!$G$200),""),"")</f>
        <v>-1.05</v>
      </c>
      <c r="D35" s="796">
        <f ca="1">IF(Sheet51!$P$18="yes",IF(Sheet51!$P$17="yes",SUMIF(Data!$L$21:'Data'!$L$200,F35,Data!$C$21:'Data'!$C$200),""),"")</f>
        <v>-398850</v>
      </c>
      <c r="E35" s="796"/>
      <c r="F35" s="163">
        <f>IF(MAIN!$I$12="NIFTY",F36+50,"")</f>
        <v>12200</v>
      </c>
      <c r="G35" s="797">
        <f ca="1">IF(Sheet51!$P$18="yes",IF(Sheet51!$P$17="yes",SUMIF(Data!$L$21:'Data'!$L$200,F35,Data!$U$21:'Data'!$U$200),""),"")</f>
        <v>-28650</v>
      </c>
      <c r="H35" s="797"/>
      <c r="I35" s="239">
        <f ca="1">IF(Sheet51!$P$18="yes",IF(Sheet51!$P$17="yes",SUMIF(Data!$L$21:'Data'!$L$200,F35,Data!$Q$21:'Data'!$Q$200),""),"")</f>
        <v>-73.7</v>
      </c>
      <c r="J35" s="255" t="str">
        <f ca="1">IF(Sheet51!$P$18="yes",IF(Sheet51!$P$17="yes",IF(AND(I35&lt;0,G35&lt;0),"SHORT COVERING",(IF(AND(I35&lt;0,G35&gt;0),"SHORT BUILDUP",(IF(AND(I35&gt;0,G35&gt;0),"LONG BUILDUP",IF(AND(I35&gt;0,G35&lt;0),"LONG UNWINDING","")))))),""),"")</f>
        <v>SHORT COVERING</v>
      </c>
      <c r="K35" s="256" t="str">
        <f ca="1">IF(Sheet51!$P$18="yes",IF(Sheet51!$P$17="yes",IF(OR(J35="SHORT BUILDUP",J35="LONG UNWINDING"), "BULLISH", IF(OR(J35="LONG BUILDUP",J35="SHORT COVERING" ), "BEARISH","")),""),"")</f>
        <v>BEARISH</v>
      </c>
    </row>
    <row r="36" spans="1:11" ht="16.5" customHeight="1" thickBot="1" x14ac:dyDescent="0.4">
      <c r="A36" s="254" t="str">
        <f ca="1">IF(Sheet51!$P$18="yes",IF(Sheet51!$P$17="yes",IF(OR(B36="SHORT BUILDUP",B36="LONG UNWINDING"), "BEARISH", IF(OR(B36="LONG BUILDUP",B36="SHORT COVERING" ), "BULLISH","")),""),"")</f>
        <v>BEARISH</v>
      </c>
      <c r="B36" s="254" t="str">
        <f ca="1">IF(Sheet51!$P$18="yes",IF(Sheet51!$P$17="yes",IF(AND(C36&lt;0,D36&lt;0),"LONG UNWINDING",(IF(AND(C36&lt;0,D36&gt;0),"SHORT BUILDUP",(IF(AND(C36&gt;0,D36&gt;0),"LONG BUILDUP",IF(AND(C36&gt;0,D36&lt;0),"SHORT COVERING","")))))),""),"")</f>
        <v>LONG UNWINDING</v>
      </c>
      <c r="C36" s="239">
        <f ca="1">IF(Sheet51!$P$18="yes",IF(Sheet51!$P$17="yes",SUMIF(Data!$L$21:'Data'!$L$200,F36,Data!$G$21:'Data'!$G$200),""),"")</f>
        <v>-1.1499999999999999</v>
      </c>
      <c r="D36" s="796">
        <f ca="1">IF(Sheet51!$P$18="yes",IF(Sheet51!$P$17="yes",SUMIF(Data!$L$21:'Data'!$L$200,F36,Data!$C$21:'Data'!$C$200),""),"")</f>
        <v>-59700</v>
      </c>
      <c r="E36" s="796"/>
      <c r="F36" s="163">
        <f>IF(MAIN!$I$12="NIFTY",F37+50,"")</f>
        <v>12150</v>
      </c>
      <c r="G36" s="797">
        <f ca="1">IF(Sheet51!$P$18="yes",IF(Sheet51!$P$17="yes",SUMIF(Data!$L$21:'Data'!$L$200,F36,Data!$U$21:'Data'!$U$200),""),"")</f>
        <v>-900</v>
      </c>
      <c r="H36" s="797"/>
      <c r="I36" s="239">
        <f ca="1">IF(Sheet51!$P$18="yes",IF(Sheet51!$P$17="yes",SUMIF(Data!$L$21:'Data'!$L$200,F36,Data!$Q$21:'Data'!$Q$200),""),"")</f>
        <v>-42.25</v>
      </c>
      <c r="J36" s="255" t="str">
        <f ca="1">IF(Sheet51!$P$18="yes",IF(Sheet51!$P$17="yes",IF(AND(I36&lt;0,G36&lt;0),"SHORT COVERING",(IF(AND(I36&lt;0,G36&gt;0),"SHORT BUILDUP",(IF(AND(I36&gt;0,G36&gt;0),"LONG BUILDUP",IF(AND(I36&gt;0,G36&lt;0),"LONG UNWINDING","")))))),""),"")</f>
        <v>SHORT COVERING</v>
      </c>
      <c r="K36" s="256" t="str">
        <f ca="1">IF(Sheet51!$P$18="yes",IF(Sheet51!$P$17="yes",IF(OR(J36="SHORT BUILDUP",J36="LONG UNWINDING"), "BULLISH", IF(OR(J36="LONG BUILDUP",J36="SHORT COVERING" ), "BEARISH","")),""),"")</f>
        <v>BEARISH</v>
      </c>
    </row>
    <row r="37" spans="1:11" ht="16.5" customHeight="1" thickBot="1" x14ac:dyDescent="0.4">
      <c r="A37" s="254" t="str">
        <f ca="1">IF(Sheet51!$P$18="yes",IF(Sheet51!$P$17="yes",IF(OR(B37="SHORT BUILDUP",B37="LONG UNWINDING"), "BEARISH", IF(OR(B37="LONG BUILDUP",B37="SHORT COVERING" ), "BULLISH","")),""),"")</f>
        <v>BEARISH</v>
      </c>
      <c r="B37" s="254" t="str">
        <f ca="1">IF(Sheet51!$P$18="yes",IF(Sheet51!$P$17="yes",IF(AND(C37&lt;0,D37&lt;0),"LONG UNWINDING",(IF(AND(C37&lt;0,D37&gt;0),"SHORT BUILDUP",(IF(AND(C37&gt;0,D37&gt;0),"LONG BUILDUP",IF(AND(C37&gt;0,D37&lt;0),"SHORT COVERING","")))))),""),"")</f>
        <v>LONG UNWINDING</v>
      </c>
      <c r="C37" s="257">
        <f ca="1">IF(Sheet51!$P$18="yes",IF(Sheet51!$P$17="yes",SUMIF(Data!$L$21:'Data'!$L$200,F37,Data!$G$21:'Data'!$G$200),""),"")</f>
        <v>-1.7</v>
      </c>
      <c r="D37" s="802">
        <f ca="1">IF(Sheet51!$P$18="yes",IF(Sheet51!$P$17="yes",SUMIF(Data!$L$21:'Data'!$L$200,F37,Data!$C$21:'Data'!$C$200),""),"")</f>
        <v>-478575</v>
      </c>
      <c r="E37" s="802"/>
      <c r="F37" s="258">
        <f>IF(MAIN!$I$12="NIFTY",F38+50,"")</f>
        <v>12100</v>
      </c>
      <c r="G37" s="804">
        <f ca="1">IF(Sheet51!$P$18="yes",IF(Sheet51!$P$17="yes",SUMIF(Data!$L$21:'Data'!$L$200,F37,Data!$U$21:'Data'!$U$200),""),"")</f>
        <v>-37650</v>
      </c>
      <c r="H37" s="804"/>
      <c r="I37" s="257">
        <f ca="1">IF(Sheet51!$P$18="yes",IF(Sheet51!$P$17="yes",SUMIF(Data!$L$21:'Data'!$L$200,F37,Data!$Q$21:'Data'!$Q$200),""),"")</f>
        <v>-77.5</v>
      </c>
      <c r="J37" s="255" t="str">
        <f ca="1">IF(Sheet51!$P$18="yes",IF(Sheet51!$P$17="yes",IF(AND(I37&lt;0,G37&lt;0),"SHORT COVERING",(IF(AND(I37&lt;0,G37&gt;0),"SHORT BUILDUP",(IF(AND(I37&gt;0,G37&gt;0),"LONG BUILDUP",IF(AND(I37&gt;0,G37&lt;0),"LONG UNWINDING","")))))),""),"")</f>
        <v>SHORT COVERING</v>
      </c>
      <c r="K37" s="256" t="str">
        <f ca="1">IF(Sheet51!$P$18="yes",IF(Sheet51!$P$17="yes",IF(OR(J37="SHORT BUILDUP",J37="LONG UNWINDING"), "BULLISH", IF(OR(J37="LONG BUILDUP",J37="SHORT COVERING" ), "BEARISH","")),""),"")</f>
        <v>BEARISH</v>
      </c>
    </row>
    <row r="38" spans="1:11" ht="16.5" customHeight="1" thickBot="1" x14ac:dyDescent="0.5">
      <c r="A38" s="254" t="str">
        <f ca="1">IF(Sheet51!$P$18="yes",IF(Sheet51!$P$17="yes",IF(OR(B38="SHORT BUILDUP",B38="LONG UNWINDING"), "BEARISH", IF(OR(B38="LONG BUILDUP",B38="SHORT COVERING" ), "BULLISH","")),""),"")</f>
        <v>BEARISH</v>
      </c>
      <c r="B38" s="254" t="str">
        <f ca="1">IF(Sheet51!$P$18="yes",IF(Sheet51!$P$17="yes",IF(AND(C38&lt;0,D38&lt;0),"LONG UNWINDING",(IF(AND(C38&lt;0,D38&gt;0),"SHORT BUILDUP",(IF(AND(C38&gt;0,D38&gt;0),"LONG BUILDUP",IF(AND(C38&gt;0,D38&lt;0),"SHORT COVERING","")))))),""),"")</f>
        <v>SHORT BUILDUP</v>
      </c>
      <c r="C38" s="259">
        <f ca="1">IF(Sheet51!$P$18="yes",IF(Sheet51!$P$17="yes",SUMIF(Data!$L$21:'Data'!$L$200,F38,Data!$G$21:'Data'!$G$200),""),"")</f>
        <v>-2.4</v>
      </c>
      <c r="D38" s="798">
        <f ca="1">IF(Sheet51!$P$18="yes",IF(Sheet51!$P$17="yes",SUMIF(Data!$L$21:'Data'!$L$200,F38,Data!$C$21:'Data'!$C$200),""),"")</f>
        <v>202875</v>
      </c>
      <c r="E38" s="798"/>
      <c r="F38" s="260">
        <f>IF(MAIN!$I$12="NIFTY",F39+50,"")</f>
        <v>12050</v>
      </c>
      <c r="G38" s="805">
        <f ca="1">IF(Sheet51!$P$18="yes",IF(Sheet51!$P$17="yes",SUMIF(Data!$L$21:'Data'!$L$200,F38,Data!$U$21:'Data'!$U$200),""),"")</f>
        <v>1125</v>
      </c>
      <c r="H38" s="805"/>
      <c r="I38" s="261">
        <f ca="1">IF(Sheet51!$P$18="yes",IF(Sheet51!$P$17="yes",SUMIF(Data!$L$21:'Data'!$L$200,F38,Data!$Q$21:'Data'!$Q$200),""),"")</f>
        <v>-80.95</v>
      </c>
      <c r="J38" s="255" t="str">
        <f ca="1">IF(Sheet51!$P$18="yes",IF(Sheet51!$P$17="yes",IF(AND(I38&lt;0,G38&lt;0),"SHORT COVERING",(IF(AND(I38&lt;0,G38&gt;0),"SHORT BUILDUP",(IF(AND(I38&gt;0,G38&gt;0),"LONG BUILDUP",IF(AND(I38&gt;0,G38&lt;0),"LONG UNWINDING","")))))),""),"")</f>
        <v>SHORT BUILDUP</v>
      </c>
      <c r="K38" s="256" t="str">
        <f ca="1">IF(Sheet51!$P$18="yes",IF(Sheet51!$P$17="yes",IF(OR(J38="SHORT BUILDUP",J38="LONG UNWINDING"), "BULLISH", IF(OR(J38="LONG BUILDUP",J38="SHORT COVERING" ), "BEARISH","")),""),"")</f>
        <v>BULLISH</v>
      </c>
    </row>
    <row r="39" spans="1:11" ht="16.5" customHeight="1" thickBot="1" x14ac:dyDescent="0.5">
      <c r="A39" s="254" t="str">
        <f ca="1">IF(Sheet51!$P$18="yes",IF(Sheet51!$P$17="yes",IF(OR(B39="SHORT BUILDUP",B39="LONG UNWINDING"), "BEARISH", IF(OR(B39="LONG BUILDUP",B39="SHORT COVERING" ), "BULLISH","")),""),"")</f>
        <v>BEARISH</v>
      </c>
      <c r="B39" s="254" t="str">
        <f ca="1">IF(Sheet51!$P$18="yes",IF(Sheet51!$P$17="yes",IF(AND(C39&lt;0,D39&lt;0),"LONG UNWINDING",(IF(AND(C39&lt;0,D39&gt;0),"SHORT BUILDUP",(IF(AND(C39&gt;0,D39&gt;0),"LONG BUILDUP",IF(AND(C39&gt;0,D39&lt;0),"SHORT COVERING","")))))),""),"")</f>
        <v>LONG UNWINDING</v>
      </c>
      <c r="C39" s="262">
        <f ca="1">IF(Sheet51!$P$18="yes",IF(Sheet51!$P$17="yes",SUMIF(Data!$L$21:'Data'!$L$200,F39,Data!$G$21:'Data'!$G$200),""),"")</f>
        <v>-5.45</v>
      </c>
      <c r="D39" s="799">
        <f ca="1">IF(Sheet51!$P$18="yes",IF(Sheet51!$P$17="yes",SUMIF(Data!$L$21:'Data'!$L$200,F39,Data!$C$21:'Data'!$C$200),""),"")</f>
        <v>-1697025</v>
      </c>
      <c r="E39" s="799"/>
      <c r="F39" s="263">
        <f>IF(MAIN!$I$12="NIFTY",F40+50,"")</f>
        <v>12000</v>
      </c>
      <c r="G39" s="806">
        <f ca="1">IF(Sheet51!$P$18="yes",IF(Sheet51!$P$17="yes",SUMIF(Data!$L$21:'Data'!$L$200,F39,Data!$U$21:'Data'!$U$200),""),"")</f>
        <v>-524325</v>
      </c>
      <c r="H39" s="806"/>
      <c r="I39" s="264">
        <f ca="1">IF(Sheet51!$P$18="yes",IF(Sheet51!$P$17="yes",SUMIF(Data!$L$21:'Data'!$L$200,F39,Data!$Q$21:'Data'!$Q$200),""),"")</f>
        <v>-87</v>
      </c>
      <c r="J39" s="255" t="str">
        <f ca="1">IF(Sheet51!$P$18="yes",IF(Sheet51!$P$17="yes",IF(AND(I39&lt;0,G39&lt;0),"SHORT COVERING",(IF(AND(I39&lt;0,G39&gt;0),"SHORT BUILDUP",(IF(AND(I39&gt;0,G39&gt;0),"LONG BUILDUP",IF(AND(I39&gt;0,G39&lt;0),"LONG UNWINDING","")))))),""),"")</f>
        <v>SHORT COVERING</v>
      </c>
      <c r="K39" s="256" t="str">
        <f ca="1">IF(Sheet51!$P$18="yes",IF(Sheet51!$P$17="yes",IF(OR(J39="SHORT BUILDUP",J39="LONG UNWINDING"), "BULLISH", IF(OR(J39="LONG BUILDUP",J39="SHORT COVERING" ), "BEARISH","")),""),"")</f>
        <v>BEARISH</v>
      </c>
    </row>
    <row r="40" spans="1:11" ht="16.5" customHeight="1" thickBot="1" x14ac:dyDescent="0.5">
      <c r="A40" s="254" t="str">
        <f ca="1">IF(Sheet51!$P$18="yes",IF(Sheet51!$P$17="yes",IF(OR(B40="SHORT BUILDUP",B40="LONG UNWINDING"), "BEARISH", IF(OR(B40="LONG BUILDUP",B40="SHORT COVERING" ), "BULLISH","")),""),"")</f>
        <v>BEARISH</v>
      </c>
      <c r="B40" s="254" t="str">
        <f ca="1">IF(Sheet51!$P$18="yes",IF(Sheet51!$P$17="yes",IF(AND(C40&lt;0,D40&lt;0),"LONG UNWINDING",(IF(AND(C40&lt;0,D40&gt;0),"SHORT BUILDUP",(IF(AND(C40&gt;0,D40&gt;0),"LONG BUILDUP",IF(AND(C40&gt;0,D40&lt;0),"SHORT COVERING","")))))),""),"")</f>
        <v>LONG UNWINDING</v>
      </c>
      <c r="C40" s="262">
        <f ca="1">IF(Sheet51!$P$18="yes",IF(Sheet51!$P$17="yes",SUMIF(Data!$L$21:'Data'!$L$200,F40,Data!$G$21:'Data'!$G$200),""),"")</f>
        <v>-10.199999999999999</v>
      </c>
      <c r="D40" s="799">
        <f ca="1">IF(Sheet51!$P$18="yes",IF(Sheet51!$P$17="yes",SUMIF(Data!$L$21:'Data'!$L$200,F40,Data!$C$21:'Data'!$C$200),""),"")</f>
        <v>-311850</v>
      </c>
      <c r="E40" s="799"/>
      <c r="F40" s="263">
        <f>IF(MAIN!$I$12="NIFTY",F41+50,"")</f>
        <v>11950</v>
      </c>
      <c r="G40" s="806">
        <f ca="1">IF(Sheet51!$P$18="yes",IF(Sheet51!$P$17="yes",SUMIF(Data!$L$21:'Data'!$L$200,F40,Data!$U$21:'Data'!$U$200),""),"")</f>
        <v>331725</v>
      </c>
      <c r="H40" s="806"/>
      <c r="I40" s="264">
        <f ca="1">IF(Sheet51!$P$18="yes",IF(Sheet51!$P$17="yes",SUMIF(Data!$L$21:'Data'!$L$200,F40,Data!$Q$21:'Data'!$Q$200),""),"")</f>
        <v>-92.05</v>
      </c>
      <c r="J40" s="255" t="str">
        <f ca="1">IF(Sheet51!$P$18="yes",IF(Sheet51!$P$17="yes",IF(AND(I40&lt;0,G40&lt;0),"SHORT COVERING",(IF(AND(I40&lt;0,G40&gt;0),"SHORT BUILDUP",(IF(AND(I40&gt;0,G40&gt;0),"LONG BUILDUP",IF(AND(I40&gt;0,G40&lt;0),"LONG UNWINDING","")))))),""),"")</f>
        <v>SHORT BUILDUP</v>
      </c>
      <c r="K40" s="256" t="str">
        <f ca="1">IF(Sheet51!$P$18="yes",IF(Sheet51!$P$17="yes",IF(OR(J40="SHORT BUILDUP",J40="LONG UNWINDING"), "BULLISH", IF(OR(J40="LONG BUILDUP",J40="SHORT COVERING" ), "BEARISH","")),""),"")</f>
        <v>BULLISH</v>
      </c>
    </row>
    <row r="41" spans="1:11" ht="16.5" customHeight="1" thickBot="1" x14ac:dyDescent="0.4">
      <c r="A41" s="254" t="str">
        <f ca="1">IF(Sheet51!$P$18="yes",IF(Sheet51!$P$17="yes",IF(OR(B41="SHORT BUILDUP",B41="LONG UNWINDING"), "BEARISH", IF(OR(B41="LONG BUILDUP",B41="SHORT COVERING" ), "BULLISH","")),""),"")</f>
        <v>BULLISH</v>
      </c>
      <c r="B41" s="254" t="str">
        <f ca="1">IF(Sheet51!$P$18="yes",IF(Sheet51!$P$17="yes",IF(AND(C41&lt;0,D41&lt;0),"LONG UNWINDING",(IF(AND(C41&lt;0,D41&gt;0),"SHORT BUILDUP",(IF(AND(C41&gt;0,D41&gt;0),"LONG BUILDUP",IF(AND(C41&gt;0,D41&lt;0),"SHORT COVERING","")))))),""),"")</f>
        <v>SHORT COVERING</v>
      </c>
      <c r="C41" s="178">
        <f ca="1">IF(Sheet51!$P$18="yes",IF(Sheet51!$P$17="yes",SUMIF(Data!$L$21:'Data'!$L$200,F41,Data!$G$21:'Data'!$G$200),""),"")</f>
        <v>15</v>
      </c>
      <c r="D41" s="800">
        <f ca="1">IF(Sheet51!$P$18="yes",IF(Sheet51!$P$17="yes",SUMIF(Data!$L$21:'Data'!$L$200,F41,Data!$C$21:'Data'!$C$200),""),"")</f>
        <v>-2377800</v>
      </c>
      <c r="E41" s="801"/>
      <c r="F41" s="265">
        <f>IF(MAIN!$I$12="NIFTY",ROUND(Sheet51!B1/100,0)*100,"")</f>
        <v>11900</v>
      </c>
      <c r="G41" s="800">
        <f ca="1">IF(Sheet51!$P$18="yes",IF(Sheet51!$P$17="yes",SUMIF(Data!$L$21:'Data'!$L$200,F41,Data!$U$21:'Data'!$U$200),""),"")</f>
        <v>1984500</v>
      </c>
      <c r="H41" s="801"/>
      <c r="I41" s="178">
        <f ca="1">IF(Sheet51!$P$18="yes",IF(Sheet51!$P$17="yes",SUMIF(Data!$L$21:'Data'!$L$200,F41,Data!$Q$21:'Data'!$Q$200),""),"")</f>
        <v>-55.95</v>
      </c>
      <c r="J41" s="255" t="str">
        <f ca="1">IF(Sheet51!$P$18="yes",IF(Sheet51!$P$17="yes",IF(AND(I41&lt;0,G41&lt;0),"LONG UNWINDING",(IF(AND(I41&lt;0,G41&gt;0),"SHORT BUILDUP",(IF(AND(I41&gt;0,G41&gt;0),"LONG BUILDUP",IF(AND(I41&gt;0,G41&lt;0),"SHORT COVERING","")))))),""),"")</f>
        <v>SHORT BUILDUP</v>
      </c>
      <c r="K41" s="256" t="str">
        <f ca="1">IF(Sheet51!$P$18="yes",IF(Sheet51!$P$17="yes",IF(OR(J41="SHORT BUILDUP",J41="LONG UNWINDING"), "BULLISH", IF(OR(J41="LONG BUILDUP",J41="SHORT COVERING" ), "BEARISH","")),""),"")</f>
        <v>BULLISH</v>
      </c>
    </row>
    <row r="42" spans="1:11" ht="16.5" customHeight="1" thickBot="1" x14ac:dyDescent="0.5">
      <c r="A42" s="254" t="str">
        <f ca="1">IF(Sheet51!$P$18="yes",IF(Sheet51!$P$17="yes",IF(OR(B42="SHORT BUILDUP",B42="LONG UNWINDING"), "BEARISH", IF(OR(B42="LONG BUILDUP",B42="SHORT COVERING" ), "BULLISH","")),""),"")</f>
        <v>BULLISH</v>
      </c>
      <c r="B42" s="254" t="str">
        <f ca="1">IF(Sheet51!$P$18="yes",IF(Sheet51!$P$17="yes",IF(AND(C42&lt;0,D42&lt;0),"LONG UNWINDING",(IF(AND(C42&lt;0,D42&gt;0),"SHORT BUILDUP",(IF(AND(C42&gt;0,D42&gt;0),"LONG BUILDUP",IF(AND(C42&gt;0,D42&lt;0),"SHORT COVERING","")))))),""),"")</f>
        <v>SHORT COVERING</v>
      </c>
      <c r="C42" s="264">
        <f ca="1">IF(Sheet51!$P$18="yes",IF(Sheet51!$P$17="yes",SUMIF(Data!$L$21:'Data'!$L$200,F42,Data!$G$21:'Data'!$G$200),""),"")</f>
        <v>38.25</v>
      </c>
      <c r="D42" s="793">
        <f ca="1">IF(Sheet51!$P$18="yes",IF(Sheet51!$P$17="yes",SUMIF(Data!$L$21:'Data'!$L$200,F42,Data!$C$21:'Data'!$C$200),""),"")</f>
        <v>-598725</v>
      </c>
      <c r="E42" s="793"/>
      <c r="F42" s="263">
        <f>IF(MAIN!$I$12="NIFTY",F41-50,"")</f>
        <v>11850</v>
      </c>
      <c r="G42" s="807">
        <f ca="1">IF(Sheet51!$P$18="yes",IF(Sheet51!$P$17="yes",SUMIF(Data!$L$21:'Data'!$L$200,F42,Data!$U$21:'Data'!$U$200),""),"")</f>
        <v>1151850</v>
      </c>
      <c r="H42" s="807"/>
      <c r="I42" s="262">
        <f ca="1">IF(Sheet51!$P$18="yes",IF(Sheet51!$P$17="yes",SUMIF(Data!$L$21:'Data'!$L$200,F42,Data!$Q$21:'Data'!$Q$200),""),"")</f>
        <v>-30.25</v>
      </c>
      <c r="J42" s="255" t="str">
        <f ca="1">IF(Sheet51!$P$18="yes",IF(Sheet51!$P$17="yes",IF(AND(I42&lt;0,G42&lt;0),"SHORT COVERING",(IF(AND(I42&lt;0,G42&gt;0),"SHORT BUILDUP",(IF(AND(I42&gt;0,G42&gt;0),"LONG BUILDUP",IF(AND(I42&gt;0,G42&lt;0),"LONG UNWINDING","")))))),""),"")</f>
        <v>SHORT BUILDUP</v>
      </c>
      <c r="K42" s="256" t="str">
        <f ca="1">IF(Sheet51!$P$18="yes",IF(Sheet51!$P$17="yes",IF(OR(J42="SHORT BUILDUP",J42="LONG UNWINDING"), "BULLISH", IF(OR(J42="LONG BUILDUP",J42="SHORT COVERING" ), "BEARISH","")),""),"")</f>
        <v>BULLISH</v>
      </c>
    </row>
    <row r="43" spans="1:11" ht="16.5" customHeight="1" thickBot="1" x14ac:dyDescent="0.5">
      <c r="A43" s="254" t="str">
        <f ca="1">IF(Sheet51!$P$18="yes",IF(Sheet51!$P$17="yes",IF(OR(B43="SHORT BUILDUP",B43="LONG UNWINDING"), "BEARISH", IF(OR(B43="LONG BUILDUP",B43="SHORT COVERING" ), "BULLISH","")),""),"")</f>
        <v>BULLISH</v>
      </c>
      <c r="B43" s="254" t="str">
        <f ca="1">IF(Sheet51!$P$18="yes",IF(Sheet51!$P$17="yes",IF(AND(C43&lt;0,D43&lt;0),"LONG UNWINDING",(IF(AND(C43&lt;0,D43&gt;0),"SHORT BUILDUP",(IF(AND(C43&gt;0,D43&gt;0),"LONG BUILDUP",IF(AND(C43&gt;0,D43&lt;0),"SHORT COVERING","")))))),""),"")</f>
        <v>SHORT COVERING</v>
      </c>
      <c r="C43" s="264">
        <f ca="1">IF(Sheet51!$P$18="yes",IF(Sheet51!$P$17="yes",SUMIF(Data!$L$21:'Data'!$L$200,F43,Data!$G$21:'Data'!$G$200),""),"")</f>
        <v>55.95</v>
      </c>
      <c r="D43" s="793">
        <f ca="1">IF(Sheet51!$P$18="yes",IF(Sheet51!$P$17="yes",SUMIF(Data!$L$21:'Data'!$L$200,F43,Data!$C$21:'Data'!$C$200),""),"")</f>
        <v>-960450</v>
      </c>
      <c r="E43" s="793"/>
      <c r="F43" s="263">
        <f>IF(MAIN!$I$12="NIFTY",F42-50,"")</f>
        <v>11800</v>
      </c>
      <c r="G43" s="807">
        <f ca="1">IF(Sheet51!$P$18="yes",IF(Sheet51!$P$17="yes",SUMIF(Data!$L$21:'Data'!$L$200,F43,Data!$U$21:'Data'!$U$200),""),"")</f>
        <v>759225</v>
      </c>
      <c r="H43" s="807"/>
      <c r="I43" s="262">
        <f ca="1">IF(Sheet51!$P$18="yes",IF(Sheet51!$P$17="yes",SUMIF(Data!$L$21:'Data'!$L$200,F43,Data!$Q$21:'Data'!$Q$200),""),"")</f>
        <v>-15.45</v>
      </c>
      <c r="J43" s="255" t="str">
        <f ca="1">IF(Sheet51!$P$18="yes",IF(Sheet51!$P$17="yes",IF(AND(I43&lt;0,G43&lt;0),"SHORT COVERING",(IF(AND(I43&lt;0,G43&gt;0),"SHORT BUILDUP",(IF(AND(I43&gt;0,G43&gt;0),"LONG BUILDUP",IF(AND(I43&gt;0,G43&lt;0),"LONG UNWINDING","")))))),""),"")</f>
        <v>SHORT BUILDUP</v>
      </c>
      <c r="K43" s="256" t="str">
        <f ca="1">IF(Sheet51!$P$18="yes",IF(Sheet51!$P$17="yes",IF(OR(J43="SHORT BUILDUP",J43="LONG UNWINDING"), "BULLISH", IF(OR(J43="LONG BUILDUP",J43="SHORT COVERING" ), "BEARISH","")),""),"")</f>
        <v>BULLISH</v>
      </c>
    </row>
    <row r="44" spans="1:11" ht="16.5" customHeight="1" thickBot="1" x14ac:dyDescent="0.5">
      <c r="A44" s="254" t="str">
        <f ca="1">IF(Sheet51!$P$18="yes",IF(Sheet51!$P$17="yes",IF(OR(B44="SHORT BUILDUP",B44="LONG UNWINDING"), "BEARISH", IF(OR(B44="LONG BUILDUP",B44="SHORT COVERING" ), "BULLISH","")),""),"")</f>
        <v>BULLISH</v>
      </c>
      <c r="B44" s="254" t="str">
        <f ca="1">IF(Sheet51!$P$18="yes",IF(Sheet51!$P$17="yes",IF(AND(C44&lt;0,D44&lt;0),"LONG UNWINDING",(IF(AND(C44&lt;0,D44&gt;0),"SHORT BUILDUP",(IF(AND(C44&gt;0,D44&gt;0),"LONG BUILDUP",IF(AND(C44&gt;0,D44&lt;0),"SHORT COVERING","")))))),""),"")</f>
        <v>SHORT COVERING</v>
      </c>
      <c r="C44" s="266">
        <f ca="1">IF(Sheet51!$P$18="yes",IF(Sheet51!$P$17="yes",SUMIF(Data!$L$21:'Data'!$L$200,F44,Data!$G$21:'Data'!$G$200),""),"")</f>
        <v>72.95</v>
      </c>
      <c r="D44" s="794">
        <f ca="1">IF(Sheet51!$P$18="yes",IF(Sheet51!$P$17="yes",SUMIF(Data!$L$21:'Data'!$L$200,F44,Data!$C$21:'Data'!$C$200),""),"")</f>
        <v>-39375</v>
      </c>
      <c r="E44" s="794"/>
      <c r="F44" s="267">
        <f>IF(MAIN!$I$12="NIFTY",F43-50,"")</f>
        <v>11750</v>
      </c>
      <c r="G44" s="808">
        <f ca="1">IF(Sheet51!$P$18="yes",IF(Sheet51!$P$17="yes",SUMIF(Data!$L$21:'Data'!$L$200,F44,Data!$U$21:'Data'!$U$200),""),"")</f>
        <v>90075</v>
      </c>
      <c r="H44" s="808"/>
      <c r="I44" s="268">
        <f ca="1">IF(Sheet51!$P$18="yes",IF(Sheet51!$P$17="yes",SUMIF(Data!$L$21:'Data'!$L$200,F44,Data!$Q$21:'Data'!$Q$200),""),"")</f>
        <v>-7.1</v>
      </c>
      <c r="J44" s="255" t="str">
        <f ca="1">IF(Sheet51!$P$18="yes",IF(Sheet51!$P$17="yes",IF(AND(I44&lt;0,G44&lt;0),"SHORT COVERING",(IF(AND(I44&lt;0,G44&gt;0),"SHORT BUILDUP",(IF(AND(I44&gt;0,G44&gt;0),"LONG BUILDUP",IF(AND(I44&gt;0,G44&lt;0),"LONG UNWINDING","")))))),""),"")</f>
        <v>SHORT BUILDUP</v>
      </c>
      <c r="K44" s="256" t="str">
        <f ca="1">IF(Sheet51!$P$18="yes",IF(Sheet51!$P$17="yes",IF(OR(J44="SHORT BUILDUP",J44="LONG UNWINDING"), "BULLISH", IF(OR(J44="LONG BUILDUP",J44="SHORT COVERING" ), "BEARISH","")),""),"")</f>
        <v>BULLISH</v>
      </c>
    </row>
    <row r="45" spans="1:11" ht="16.5" customHeight="1" thickBot="1" x14ac:dyDescent="0.4">
      <c r="A45" s="254" t="str">
        <f ca="1">IF(Sheet51!$P$18="yes",IF(Sheet51!$P$17="yes",IF(OR(B45="SHORT BUILDUP",B45="LONG UNWINDING"), "BEARISH", IF(OR(B45="LONG BUILDUP",B45="SHORT COVERING" ), "BULLISH","")),""),"")</f>
        <v>BULLISH</v>
      </c>
      <c r="B45" s="254" t="str">
        <f ca="1">IF(Sheet51!$P$18="yes",IF(Sheet51!$P$17="yes",IF(AND(C45&lt;0,D45&lt;0),"LONG UNWINDING",(IF(AND(C45&lt;0,D45&gt;0),"SHORT BUILDUP",(IF(AND(C45&gt;0,D45&gt;0),"LONG BUILDUP",IF(AND(C45&gt;0,D45&lt;0),"SHORT COVERING","")))))),""),"")</f>
        <v>SHORT COVERING</v>
      </c>
      <c r="C45" s="269">
        <f ca="1">IF(Sheet51!$P$18="yes",IF(Sheet51!$P$17="yes",SUMIF(Data!$L$21:'Data'!$L$200,F45,Data!$G$21:'Data'!$G$200),""),"")</f>
        <v>70.95</v>
      </c>
      <c r="D45" s="795">
        <f ca="1">IF(Sheet51!$P$18="yes",IF(Sheet51!$P$17="yes",SUMIF(Data!$L$21:'Data'!$L$200,F45,Data!$C$21:'Data'!$C$200),""),"")</f>
        <v>-628950</v>
      </c>
      <c r="E45" s="795"/>
      <c r="F45" s="270">
        <f>IF(MAIN!$I$12="NIFTY",F44-50,"")</f>
        <v>11700</v>
      </c>
      <c r="G45" s="809">
        <f ca="1">IF(Sheet51!$P$18="yes",IF(Sheet51!$P$17="yes",SUMIF(Data!$L$21:'Data'!$L$200,F45,Data!$U$21:'Data'!$U$200),""),"")</f>
        <v>-390450</v>
      </c>
      <c r="H45" s="809"/>
      <c r="I45" s="269">
        <f ca="1">IF(Sheet51!$P$18="yes",IF(Sheet51!$P$17="yes",SUMIF(Data!$L$21:'Data'!$L$200,F45,Data!$Q$21:'Data'!$Q$200),""),"")</f>
        <v>-4.05</v>
      </c>
      <c r="J45" s="255" t="str">
        <f ca="1">IF(Sheet51!$P$18="yes",IF(Sheet51!$P$17="yes",IF(AND(I45&lt;0,G45&lt;0),"SHORT COVERING",(IF(AND(I45&lt;0,G45&gt;0),"SHORT BUILDUP",(IF(AND(I45&gt;0,G45&gt;0),"LONG BUILDUP",IF(AND(I45&gt;0,G45&lt;0),"LONG UNWINDING","")))))),""),"")</f>
        <v>SHORT COVERING</v>
      </c>
      <c r="K45" s="256" t="str">
        <f ca="1">IF(Sheet51!$P$18="yes",IF(Sheet51!$P$17="yes",IF(OR(J45="SHORT BUILDUP",J45="LONG UNWINDING"), "BULLISH", IF(OR(J45="LONG BUILDUP",J45="SHORT COVERING" ), "BEARISH","")),""),"")</f>
        <v>BEARISH</v>
      </c>
    </row>
    <row r="46" spans="1:11" ht="16.5" customHeight="1" thickBot="1" x14ac:dyDescent="0.4">
      <c r="A46" s="254" t="str">
        <f ca="1">IF(Sheet51!$P$18="yes",IF(Sheet51!$P$17="yes",IF(OR(B46="SHORT BUILDUP",B46="LONG UNWINDING"), "BEARISH", IF(OR(B46="LONG BUILDUP",B46="SHORT COVERING" ), "BULLISH","")),""),"")</f>
        <v>BULLISH</v>
      </c>
      <c r="B46" s="254" t="str">
        <f ca="1">IF(Sheet51!$P$18="yes",IF(Sheet51!$P$17="yes",IF(AND(C46&lt;0,D46&lt;0),"LONG UNWINDING",(IF(AND(C46&lt;0,D46&gt;0),"SHORT BUILDUP",(IF(AND(C46&gt;0,D46&gt;0),"LONG BUILDUP",IF(AND(C46&gt;0,D46&lt;0),"SHORT COVERING","")))))),""),"")</f>
        <v>SHORT COVERING</v>
      </c>
      <c r="C46" s="239">
        <f ca="1">IF(Sheet51!$P$18="yes",IF(Sheet51!$P$17="yes",SUMIF(Data!$L$21:'Data'!$L$200,F46,Data!$G$21:'Data'!$G$200),""),"")</f>
        <v>71.25</v>
      </c>
      <c r="D46" s="796">
        <f ca="1">IF(Sheet51!$P$18="yes",IF(Sheet51!$P$17="yes",SUMIF(Data!$L$21:'Data'!$L$200,F46,Data!$C$21:'Data'!$C$200),""),"")</f>
        <v>-8850</v>
      </c>
      <c r="E46" s="796"/>
      <c r="F46" s="163">
        <f>IF(MAIN!$I$12="NIFTY",F45-50,"")</f>
        <v>11650</v>
      </c>
      <c r="G46" s="797">
        <f ca="1">IF(Sheet51!$P$18="yes",IF(Sheet51!$P$17="yes",SUMIF(Data!$L$21:'Data'!$L$200,F46,Data!$U$21:'Data'!$U$200),""),"")</f>
        <v>-29325</v>
      </c>
      <c r="H46" s="797"/>
      <c r="I46" s="239">
        <f ca="1">IF(Sheet51!$P$18="yes",IF(Sheet51!$P$17="yes",SUMIF(Data!$L$21:'Data'!$L$200,F46,Data!$Q$21:'Data'!$Q$200),""),"")</f>
        <v>-2.15</v>
      </c>
      <c r="J46" s="255" t="str">
        <f ca="1">IF(Sheet51!$P$18="yes",IF(Sheet51!$P$17="yes",IF(AND(I46&lt;0,G46&lt;0),"SHORT COVERING",(IF(AND(I46&lt;0,G46&gt;0),"SHORT BUILDUP",(IF(AND(I46&gt;0,G46&gt;0),"LONG BUILDUP",IF(AND(I46&gt;0,G46&lt;0),"LONG UNWINDING","")))))),""),"")</f>
        <v>SHORT COVERING</v>
      </c>
      <c r="K46" s="256" t="str">
        <f ca="1">IF(Sheet51!$P$18="yes",IF(Sheet51!$P$17="yes",IF(OR(J46="SHORT BUILDUP",J46="LONG UNWINDING"), "BULLISH", IF(OR(J46="LONG BUILDUP",J46="SHORT COVERING" ), "BEARISH","")),""),"")</f>
        <v>BEARISH</v>
      </c>
    </row>
    <row r="47" spans="1:11" ht="16.5" customHeight="1" thickBot="1" x14ac:dyDescent="0.4">
      <c r="A47" s="254" t="str">
        <f ca="1">IF(Sheet51!$P$18="yes",IF(Sheet51!$P$17="yes",IF(OR(B47="SHORT BUILDUP",B47="LONG UNWINDING"), "BEARISH", IF(OR(B47="LONG BUILDUP",B47="SHORT COVERING" ), "BULLISH","")),""),"")</f>
        <v>BULLISH</v>
      </c>
      <c r="B47" s="254" t="str">
        <f ca="1">IF(Sheet51!$P$18="yes",IF(Sheet51!$P$17="yes",IF(AND(C47&lt;0,D47&lt;0),"LONG UNWINDING",(IF(AND(C47&lt;0,D47&gt;0),"SHORT BUILDUP",(IF(AND(C47&gt;0,D47&gt;0),"LONG BUILDUP",IF(AND(C47&gt;0,D47&lt;0),"SHORT COVERING","")))))),""),"")</f>
        <v>SHORT COVERING</v>
      </c>
      <c r="C47" s="239">
        <f ca="1">IF(Sheet51!$P$18="yes",IF(Sheet51!$P$17="yes",SUMIF(Data!$L$21:'Data'!$L$200,F47,Data!$G$21:'Data'!$G$200),""),"")</f>
        <v>87.25</v>
      </c>
      <c r="D47" s="796">
        <f ca="1">IF(Sheet51!$P$18="yes",IF(Sheet51!$P$17="yes",SUMIF(Data!$L$21:'Data'!$L$200,F47,Data!$C$21:'Data'!$C$200),""),"")</f>
        <v>-326400</v>
      </c>
      <c r="E47" s="796"/>
      <c r="F47" s="163">
        <f>IF(MAIN!$I$12="NIFTY",F46-50,"")</f>
        <v>11600</v>
      </c>
      <c r="G47" s="797">
        <f ca="1">IF(Sheet51!$P$18="yes",IF(Sheet51!$P$17="yes",SUMIF(Data!$L$21:'Data'!$L$200,F47,Data!$U$21:'Data'!$U$200),""),"")</f>
        <v>-320025</v>
      </c>
      <c r="H47" s="797"/>
      <c r="I47" s="239">
        <f ca="1">IF(Sheet51!$P$18="yes",IF(Sheet51!$P$17="yes",SUMIF(Data!$L$21:'Data'!$L$200,F47,Data!$Q$21:'Data'!$Q$200),""),"")</f>
        <v>-1.6</v>
      </c>
      <c r="J47" s="255" t="str">
        <f ca="1">IF(Sheet51!$P$18="yes",IF(Sheet51!$P$17="yes",IF(AND(I47&lt;0,G47&lt;0),"SHORT COVERING",(IF(AND(I47&lt;0,G47&gt;0),"SHORT BUILDUP",(IF(AND(I47&gt;0,G47&gt;0),"LONG BUILDUP",IF(AND(I47&gt;0,G47&lt;0),"LONG UNWINDING","")))))),""),"")</f>
        <v>SHORT COVERING</v>
      </c>
      <c r="K47" s="256" t="str">
        <f ca="1">IF(Sheet51!$P$18="yes",IF(Sheet51!$P$17="yes",IF(OR(J47="SHORT BUILDUP",J47="LONG UNWINDING"), "BULLISH", IF(OR(J47="LONG BUILDUP",J47="SHORT COVERING" ), "BEARISH","")),""),"")</f>
        <v>BEARISH</v>
      </c>
    </row>
    <row r="48" spans="1:11" ht="16.5" customHeight="1" thickBot="1" x14ac:dyDescent="0.4">
      <c r="A48" s="254" t="str">
        <f ca="1">IF(Sheet51!$P$18="yes",IF(Sheet51!$P$17="yes",IF(OR(B48="SHORT BUILDUP",B48="LONG UNWINDING"), "BEARISH", IF(OR(B48="LONG BUILDUP",B48="SHORT COVERING" ), "BULLISH","")),""),"")</f>
        <v>BULLISH</v>
      </c>
      <c r="B48" s="254" t="str">
        <f ca="1">IF(Sheet51!$P$18="yes",IF(Sheet51!$P$17="yes",IF(AND(C48&lt;0,D48&lt;0),"LONG UNWINDING",(IF(AND(C48&lt;0,D48&gt;0),"SHORT BUILDUP",(IF(AND(C48&gt;0,D48&gt;0),"LONG BUILDUP",IF(AND(C48&gt;0,D48&lt;0),"SHORT COVERING","")))))),""),"")</f>
        <v>SHORT COVERING</v>
      </c>
      <c r="C48" s="239">
        <f ca="1">IF(Sheet51!$P$18="yes",IF(Sheet51!$P$17="yes",SUMIF(Data!$L$21:'Data'!$L$200,F48,Data!$G$21:'Data'!$G$200),""),"")</f>
        <v>76.45</v>
      </c>
      <c r="D48" s="796">
        <f ca="1">IF(Sheet51!$P$18="yes",IF(Sheet51!$P$17="yes",SUMIF(Data!$L$21:'Data'!$L$200,F48,Data!$C$21:'Data'!$C$200),""),"")</f>
        <v>-2400</v>
      </c>
      <c r="E48" s="796"/>
      <c r="F48" s="163">
        <f>IF(MAIN!$I$12="NIFTY",F47-50,"")</f>
        <v>11550</v>
      </c>
      <c r="G48" s="797">
        <f ca="1">IF(Sheet51!$P$18="yes",IF(Sheet51!$P$17="yes",SUMIF(Data!$L$21:'Data'!$L$200,F48,Data!$U$21:'Data'!$U$200),""),"")</f>
        <v>-1875</v>
      </c>
      <c r="H48" s="797"/>
      <c r="I48" s="239">
        <f ca="1">IF(Sheet51!$P$18="yes",IF(Sheet51!$P$17="yes",SUMIF(Data!$L$21:'Data'!$L$200,F48,Data!$Q$21:'Data'!$Q$200),""),"")</f>
        <v>-1.55</v>
      </c>
      <c r="J48" s="255" t="str">
        <f ca="1">IF(Sheet51!$P$18="yes",IF(Sheet51!$P$17="yes",IF(AND(I48&lt;0,G48&lt;0),"LONG UNWINDING",(IF(AND(I48&lt;0,G48&gt;0),"SHORT BUILDUP",(IF(AND(I48&gt;0,G48&gt;0),"LONG BUILDUP",IF(AND(I48&gt;0,G48&lt;0),"SHORT COVERING","")))))),""),"")</f>
        <v>LONG UNWINDING</v>
      </c>
      <c r="K48" s="256" t="str">
        <f ca="1">IF(Sheet51!$P$18="yes",IF(Sheet51!$P$17="yes",IF(OR(J48="SHORT BUILDUP",J48="LONG UNWINDING"), "BULLISH", IF(OR(J48="LONG BUILDUP",J48="SHORT COVERING" ), "BEARISH","")),""),"")</f>
        <v>BULLISH</v>
      </c>
    </row>
    <row r="49" spans="1:11" ht="16.5" customHeight="1" thickBot="1" x14ac:dyDescent="0.4">
      <c r="A49" s="254" t="str">
        <f ca="1">IF(Sheet51!$P$18="yes",IF(Sheet51!$P$17="yes",IF(OR(B49="SHORT BUILDUP",B49="LONG UNWINDING"), "BEARISH", IF(OR(B49="LONG BUILDUP",B49="SHORT COVERING" ), "BULLISH","")),""),"")</f>
        <v>BULLISH</v>
      </c>
      <c r="B49" s="254" t="str">
        <f ca="1">IF(Sheet51!$P$18="yes",IF(Sheet51!$P$17="yes",IF(AND(C49&lt;0,D49&lt;0),"LONG UNWINDING",(IF(AND(C49&lt;0,D49&gt;0),"SHORT BUILDUP",(IF(AND(C49&gt;0,D49&gt;0),"LONG BUILDUP",IF(AND(C49&gt;0,D49&lt;0),"SHORT COVERING","")))))),""),"")</f>
        <v>SHORT COVERING</v>
      </c>
      <c r="C49" s="239">
        <f ca="1">IF(Sheet51!$P$18="yes",IF(Sheet51!$P$17="yes",SUMIF(Data!$L$21:'Data'!$L$200,F49,Data!$G$21:'Data'!$G$200),""),"")</f>
        <v>81.75</v>
      </c>
      <c r="D49" s="796">
        <f ca="1">IF(Sheet51!$P$18="yes",IF(Sheet51!$P$17="yes",SUMIF(Data!$L$21:'Data'!$L$200,F49,Data!$C$21:'Data'!$C$200),""),"")</f>
        <v>-207075</v>
      </c>
      <c r="E49" s="796"/>
      <c r="F49" s="163">
        <f>IF(MAIN!$I$12="NIFTY",F48-50,"")</f>
        <v>11500</v>
      </c>
      <c r="G49" s="797">
        <f ca="1">IF(Sheet51!$P$18="yes",IF(Sheet51!$P$17="yes",SUMIF(Data!$L$21:'Data'!$L$200,F49,Data!$U$21:'Data'!$U$200),""),"")</f>
        <v>-277500</v>
      </c>
      <c r="H49" s="797"/>
      <c r="I49" s="239">
        <f ca="1">IF(Sheet51!$P$18="yes",IF(Sheet51!$P$17="yes",SUMIF(Data!$L$21:'Data'!$L$200,F49,Data!$Q$21:'Data'!$Q$200),""),"")</f>
        <v>-1.4</v>
      </c>
      <c r="J49" s="255" t="str">
        <f ca="1">IF(Sheet51!$P$18="yes",IF(Sheet51!$P$17="yes",IF(AND(I49&lt;0,G49&lt;0),"SHORT COVERING",(IF(AND(I49&lt;0,G49&gt;0),"SHORT BUILDUP",(IF(AND(I49&gt;0,G49&gt;0),"LONG BUILDUP",IF(AND(I49&gt;0,G49&lt;0),"LONG UNWINDING","")))))),""),"")</f>
        <v>SHORT COVERING</v>
      </c>
      <c r="K49" s="256" t="str">
        <f ca="1">IF(Sheet51!$P$18="yes",IF(Sheet51!$P$17="yes",IF(OR(J49="SHORT BUILDUP",J49="LONG UNWINDING"), "BULLISH", IF(OR(J49="LONG BUILDUP",J49="SHORT COVERING" ), "BEARISH","")),""),"")</f>
        <v>BEARISH</v>
      </c>
    </row>
    <row r="50" spans="1:11" ht="16.5" customHeight="1" thickBot="1" x14ac:dyDescent="0.4">
      <c r="A50" s="254" t="str">
        <f ca="1">IF(Sheet51!$P$18="yes",IF(Sheet51!$P$17="yes",IF(OR(B50="SHORT BUILDUP",B50="LONG UNWINDING"), "BEARISH", IF(OR(B50="LONG BUILDUP",B50="SHORT COVERING" ), "BULLISH","")),""),"")</f>
        <v>BULLISH</v>
      </c>
      <c r="B50" s="254" t="str">
        <f ca="1">IF(Sheet51!$P$18="yes",IF(Sheet51!$P$17="yes",IF(AND(C50&lt;0,D50&lt;0),"LONG UNWINDING",(IF(AND(C50&lt;0,D50&gt;0),"SHORT BUILDUP",(IF(AND(C50&gt;0,D50&gt;0),"LONG BUILDUP",IF(AND(C50&gt;0,D50&lt;0),"SHORT COVERING","")))))),""),"")</f>
        <v>SHORT COVERING</v>
      </c>
      <c r="C50" s="239">
        <f ca="1">IF(Sheet51!$P$18="yes",IF(Sheet51!$P$17="yes",SUMIF(Data!$L$21:'Data'!$L$200,F50,Data!$G$21:'Data'!$G$200),""),"")</f>
        <v>100</v>
      </c>
      <c r="D50" s="796">
        <f ca="1">IF(Sheet51!$P$18="yes",IF(Sheet51!$P$17="yes",SUMIF(Data!$L$21:'Data'!$L$200,F50,Data!$C$21:'Data'!$C$200),""),"")</f>
        <v>-450</v>
      </c>
      <c r="E50" s="796"/>
      <c r="F50" s="163">
        <f>IF(MAIN!$I$12="NIFTY",F49-50,"")</f>
        <v>11450</v>
      </c>
      <c r="G50" s="797">
        <f ca="1">IF(Sheet51!$P$18="yes",IF(Sheet51!$P$17="yes",SUMIF(Data!$L$21:'Data'!$L$200,F50,Data!$U$21:'Data'!$U$200),""),"")</f>
        <v>3075</v>
      </c>
      <c r="H50" s="797"/>
      <c r="I50" s="239">
        <f ca="1">IF(Sheet51!$P$18="yes",IF(Sheet51!$P$17="yes",SUMIF(Data!$L$21:'Data'!$L$200,F50,Data!$Q$21:'Data'!$Q$200),""),"")</f>
        <v>-1.2</v>
      </c>
      <c r="J50" s="255" t="str">
        <f ca="1">IF(Sheet51!$P$18="yes",IF(Sheet51!$P$17="yes",IF(AND(I50&lt;0,G50&lt;0),"SHORT COVERING",(IF(AND(I50&lt;0,G50&gt;0),"SHORT BUILDUP",(IF(AND(I50&gt;0,G50&gt;0),"LONG BUILDUP",IF(AND(I50&gt;0,G50&lt;0),"LONG UNWINDING","")))))),""),"")</f>
        <v>SHORT BUILDUP</v>
      </c>
      <c r="K50" s="256" t="str">
        <f ca="1">IF(Sheet51!$P$18="yes",IF(Sheet51!$P$17="yes",IF(OR(J50="SHORT BUILDUP",J50="LONG UNWINDING"), "BULLISH", IF(OR(J50="LONG BUILDUP",J50="SHORT COVERING" ), "BEARISH","")),""),"")</f>
        <v>BULLISH</v>
      </c>
    </row>
    <row r="51" spans="1:11" ht="16.5" customHeight="1" thickBot="1" x14ac:dyDescent="0.4">
      <c r="A51" s="254" t="str">
        <f ca="1">IF(Sheet51!$P$18="yes",IF(Sheet51!$P$17="yes",IF(OR(B51="SHORT BUILDUP",B51="LONG UNWINDING"), "BEARISH", IF(OR(B51="LONG BUILDUP",B51="SHORT COVERING" ), "BULLISH","")),""),"")</f>
        <v>BULLISH</v>
      </c>
      <c r="B51" s="254" t="str">
        <f ca="1">IF(Sheet51!$P$18="yes",IF(Sheet51!$P$17="yes",IF(AND(C51&lt;0,D51&lt;0),"LONG UNWINDING",(IF(AND(C51&lt;0,D51&gt;0),"SHORT BUILDUP",(IF(AND(C51&gt;0,D51&gt;0),"LONG BUILDUP",IF(AND(C51&gt;0,D51&lt;0),"SHORT COVERING","")))))),""),"")</f>
        <v>SHORT COVERING</v>
      </c>
      <c r="C51" s="239">
        <f ca="1">IF(Sheet51!$P$18="yes",IF(Sheet51!$P$17="yes",SUMIF(Data!$L$21:'Data'!$L$200,F51,Data!$G$21:'Data'!$G$200),""),"")</f>
        <v>86.75</v>
      </c>
      <c r="D51" s="796">
        <f ca="1">IF(Sheet51!$P$18="yes",IF(Sheet51!$P$17="yes",SUMIF(Data!$L$21:'Data'!$L$200,F51,Data!$C$21:'Data'!$C$200),""),"")</f>
        <v>-96900</v>
      </c>
      <c r="E51" s="796"/>
      <c r="F51" s="163">
        <f>IF(MAIN!$I$12="NIFTY",F50-50,"")</f>
        <v>11400</v>
      </c>
      <c r="G51" s="797">
        <f ca="1">IF(Sheet51!$P$18="yes",IF(Sheet51!$P$17="yes",SUMIF(Data!$L$21:'Data'!$L$200,F51,Data!$U$21:'Data'!$U$200),""),"")</f>
        <v>-107550</v>
      </c>
      <c r="H51" s="797"/>
      <c r="I51" s="239">
        <f ca="1">IF(Sheet51!$P$18="yes",IF(Sheet51!$P$17="yes",SUMIF(Data!$L$21:'Data'!$L$200,F51,Data!$Q$21:'Data'!$Q$200),""),"")</f>
        <v>-1.1499999999999999</v>
      </c>
      <c r="J51" s="255" t="str">
        <f ca="1">IF(Sheet51!$P$18="yes",IF(Sheet51!$P$17="yes",IF(AND(I51&lt;0,G51&lt;0),"SHORT COVERING",(IF(AND(I51&lt;0,G51&gt;0),"SHORT BUILDUP",(IF(AND(I51&gt;0,G51&gt;0),"LONG BUILDUP",IF(AND(I51&gt;0,G51&lt;0),"LONG UNWINDING","")))))),""),"")</f>
        <v>SHORT COVERING</v>
      </c>
      <c r="K51" s="256" t="str">
        <f ca="1">IF(Sheet51!$P$18="yes",IF(Sheet51!$P$17="yes",IF(OR(J51="SHORT BUILDUP",J51="LONG UNWINDING"), "BULLISH", IF(OR(J51="LONG BUILDUP",J51="SHORT COVERING" ), "BEARISH","")),""),"")</f>
        <v>BEARISH</v>
      </c>
    </row>
    <row r="54" spans="1:11" ht="16.5" customHeight="1" x14ac:dyDescent="0.35">
      <c r="A54" s="787" t="s">
        <v>164</v>
      </c>
      <c r="B54" s="787"/>
      <c r="C54" s="787"/>
    </row>
    <row r="55" spans="1:11" ht="16.5" customHeight="1" x14ac:dyDescent="0.35">
      <c r="A55" s="787" t="s">
        <v>163</v>
      </c>
      <c r="B55" s="787"/>
      <c r="C55" s="787"/>
    </row>
    <row r="60" spans="1:11" ht="16.5" customHeight="1" x14ac:dyDescent="0.35">
      <c r="A60" s="786" t="s">
        <v>178</v>
      </c>
      <c r="B60" s="786"/>
      <c r="C60" s="786"/>
    </row>
  </sheetData>
  <customSheetViews>
    <customSheetView guid="{D12DFD61-4B7F-43F1-B07E-A848E00A354C}">
      <selection activeCell="D29" sqref="D29"/>
      <pageMargins left="0.7" right="0.7" top="0.75" bottom="0.75" header="0.3" footer="0.3"/>
    </customSheetView>
  </customSheetViews>
  <mergeCells count="97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A29:C29"/>
    <mergeCell ref="D29:H29"/>
    <mergeCell ref="I29:K29"/>
    <mergeCell ref="D30:E30"/>
    <mergeCell ref="G30:H30"/>
    <mergeCell ref="G17:H17"/>
    <mergeCell ref="G23:H23"/>
    <mergeCell ref="G24:H24"/>
    <mergeCell ref="G18:H18"/>
    <mergeCell ref="G19:H19"/>
    <mergeCell ref="G20:H20"/>
    <mergeCell ref="G21:H21"/>
    <mergeCell ref="G22:H22"/>
    <mergeCell ref="G12:H12"/>
    <mergeCell ref="G13:H13"/>
    <mergeCell ref="G14:H14"/>
    <mergeCell ref="G15:H15"/>
    <mergeCell ref="G16:H16"/>
    <mergeCell ref="G7:H7"/>
    <mergeCell ref="G8:H8"/>
    <mergeCell ref="G9:H9"/>
    <mergeCell ref="G10:H10"/>
    <mergeCell ref="G11:H11"/>
    <mergeCell ref="I2:K2"/>
    <mergeCell ref="D11:E11"/>
    <mergeCell ref="D12:E12"/>
    <mergeCell ref="D13:E13"/>
    <mergeCell ref="D14:E14"/>
    <mergeCell ref="D6:E6"/>
    <mergeCell ref="D7:E7"/>
    <mergeCell ref="D8:E8"/>
    <mergeCell ref="D9:E9"/>
    <mergeCell ref="D10:E10"/>
    <mergeCell ref="D3:E3"/>
    <mergeCell ref="G3:H3"/>
    <mergeCell ref="D4:E4"/>
    <mergeCell ref="G4:H4"/>
    <mergeCell ref="D5:E5"/>
    <mergeCell ref="G5:H5"/>
    <mergeCell ref="A60:C60"/>
    <mergeCell ref="A54:C54"/>
    <mergeCell ref="A55:C55"/>
    <mergeCell ref="D2:H2"/>
    <mergeCell ref="A2:C2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G6:H6"/>
  </mergeCells>
  <conditionalFormatting sqref="A4:A24 A31:A51 K31:K51 K4:K24">
    <cfRule type="containsText" dxfId="9" priority="22" operator="containsText" text="BULLISH">
      <formula>NOT(ISERROR(SEARCH("BULLISH",A4)))</formula>
    </cfRule>
    <cfRule type="containsText" dxfId="8" priority="23" operator="containsText" text="BEARISH">
      <formula>NOT(ISERROR(SEARCH("BEARISH",A4)))</formula>
    </cfRule>
  </conditionalFormatting>
  <conditionalFormatting sqref="B4:B24 B31:B51">
    <cfRule type="containsText" dxfId="7" priority="18" operator="containsText" text="SHORT COVERING">
      <formula>NOT(ISERROR(SEARCH("SHORT COVERING",B4)))</formula>
    </cfRule>
    <cfRule type="containsText" dxfId="6" priority="19" operator="containsText" text="LONG UNWINDING">
      <formula>NOT(ISERROR(SEARCH("LONG UNWINDING",B4)))</formula>
    </cfRule>
    <cfRule type="containsText" dxfId="5" priority="20" operator="containsText" text="SHORT BUILDUP">
      <formula>NOT(ISERROR(SEARCH("SHORT BUILDUP",B4)))</formula>
    </cfRule>
    <cfRule type="containsText" dxfId="4" priority="21" operator="containsText" text="LONG BUILDUP">
      <formula>NOT(ISERROR(SEARCH("LONG BUILDUP",B4)))</formula>
    </cfRule>
  </conditionalFormatting>
  <conditionalFormatting sqref="J31:J51 J4:J24">
    <cfRule type="containsText" dxfId="3" priority="14" operator="containsText" text="SHORT COVERING">
      <formula>NOT(ISERROR(SEARCH("SHORT COVERING",J4)))</formula>
    </cfRule>
    <cfRule type="containsText" dxfId="2" priority="15" operator="containsText" text="LONG UNWINDING">
      <formula>NOT(ISERROR(SEARCH("LONG UNWINDING",J4)))</formula>
    </cfRule>
    <cfRule type="containsText" dxfId="1" priority="16" operator="containsText" text="SHORT BUILDUP">
      <formula>NOT(ISERROR(SEARCH("SHORT BUILDUP",J4)))</formula>
    </cfRule>
    <cfRule type="containsText" dxfId="0" priority="17" operator="containsText" text="LONG BUILDUP">
      <formula>NOT(ISERROR(SEARCH("LONG BUILDUP",J4)))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F7E59-7C43-40FC-BAF2-2D59ADC13DA7}">
  <sheetPr codeName="Sheet23"/>
  <dimension ref="A1:P24"/>
  <sheetViews>
    <sheetView showGridLines="0" workbookViewId="0">
      <pane ySplit="2" topLeftCell="A5" activePane="bottomLeft" state="frozen"/>
      <selection pane="bottomLeft" activeCell="H14" sqref="H14"/>
    </sheetView>
  </sheetViews>
  <sheetFormatPr defaultRowHeight="14.5" x14ac:dyDescent="0.35"/>
  <cols>
    <col min="1" max="1" width="13.81640625" customWidth="1"/>
    <col min="2" max="2" width="12.36328125" customWidth="1"/>
    <col min="3" max="3" width="13.90625" customWidth="1"/>
    <col min="4" max="4" width="10" customWidth="1"/>
    <col min="5" max="5" width="11.453125" bestFit="1" customWidth="1"/>
    <col min="6" max="6" width="11.36328125" bestFit="1" customWidth="1"/>
    <col min="7" max="7" width="10.36328125" bestFit="1" customWidth="1"/>
    <col min="8" max="8" width="10.7265625" bestFit="1" customWidth="1"/>
    <col min="9" max="9" width="10.453125" bestFit="1" customWidth="1"/>
    <col min="10" max="10" width="10.36328125" bestFit="1" customWidth="1"/>
    <col min="11" max="11" width="11.453125" bestFit="1" customWidth="1"/>
    <col min="12" max="12" width="10.7265625" bestFit="1" customWidth="1"/>
    <col min="13" max="13" width="9.36328125" bestFit="1" customWidth="1"/>
  </cols>
  <sheetData>
    <row r="1" spans="1:16" x14ac:dyDescent="0.35">
      <c r="A1" s="15"/>
      <c r="B1" s="728" t="s">
        <v>542</v>
      </c>
      <c r="C1" s="728"/>
      <c r="D1" s="728"/>
      <c r="E1" s="728" t="s">
        <v>545</v>
      </c>
      <c r="F1" s="728"/>
      <c r="G1" s="728"/>
      <c r="H1" s="728" t="s">
        <v>548</v>
      </c>
      <c r="I1" s="728"/>
      <c r="J1" s="728"/>
      <c r="K1" s="728" t="s">
        <v>232</v>
      </c>
      <c r="L1" s="728"/>
      <c r="M1" s="728"/>
      <c r="N1" s="728"/>
      <c r="O1" s="728"/>
      <c r="P1" s="728"/>
    </row>
    <row r="2" spans="1:16" x14ac:dyDescent="0.35">
      <c r="A2" s="572" t="s">
        <v>502</v>
      </c>
      <c r="B2" s="572" t="s">
        <v>238</v>
      </c>
      <c r="C2" s="572" t="s">
        <v>237</v>
      </c>
      <c r="D2" s="574" t="s">
        <v>541</v>
      </c>
      <c r="E2" s="572" t="s">
        <v>546</v>
      </c>
      <c r="F2" s="572" t="s">
        <v>547</v>
      </c>
      <c r="G2" s="574" t="s">
        <v>541</v>
      </c>
      <c r="H2" s="572" t="s">
        <v>549</v>
      </c>
      <c r="I2" s="572" t="s">
        <v>550</v>
      </c>
      <c r="J2" s="574" t="s">
        <v>541</v>
      </c>
      <c r="K2" s="572" t="s">
        <v>546</v>
      </c>
      <c r="L2" s="572" t="s">
        <v>547</v>
      </c>
      <c r="M2" s="574" t="s">
        <v>541</v>
      </c>
      <c r="N2" s="572" t="s">
        <v>549</v>
      </c>
      <c r="O2" s="572" t="s">
        <v>550</v>
      </c>
      <c r="P2" s="574" t="s">
        <v>541</v>
      </c>
    </row>
    <row r="3" spans="1:16" x14ac:dyDescent="0.35">
      <c r="A3" s="571">
        <v>43587</v>
      </c>
      <c r="B3" s="573">
        <v>8429.48</v>
      </c>
      <c r="C3" s="573">
        <v>8465.3799999999992</v>
      </c>
      <c r="D3" s="577">
        <v>-35.9</v>
      </c>
      <c r="E3" s="573">
        <v>237810.68</v>
      </c>
      <c r="F3" s="573">
        <v>236758.7</v>
      </c>
      <c r="G3" s="578">
        <v>51031.58</v>
      </c>
      <c r="H3" s="573">
        <v>2441.2600000000002</v>
      </c>
      <c r="I3" s="573">
        <v>3920.54</v>
      </c>
      <c r="J3" s="577">
        <v>22315.9</v>
      </c>
      <c r="K3" s="573">
        <v>6022.17</v>
      </c>
      <c r="L3" s="573">
        <v>6092.04</v>
      </c>
      <c r="M3" s="577">
        <v>4053.71</v>
      </c>
      <c r="N3" s="573">
        <v>14059.88</v>
      </c>
      <c r="O3" s="573">
        <v>13894.78</v>
      </c>
      <c r="P3" s="577">
        <v>84234.63</v>
      </c>
    </row>
    <row r="4" spans="1:16" x14ac:dyDescent="0.35">
      <c r="A4" s="571">
        <v>43588</v>
      </c>
      <c r="B4" s="573">
        <v>5745.44</v>
      </c>
      <c r="C4" s="573">
        <v>5198.26</v>
      </c>
      <c r="D4" s="577">
        <v>547.17999999999995</v>
      </c>
      <c r="E4" s="573">
        <v>355123.62</v>
      </c>
      <c r="F4" s="573">
        <v>354846.54</v>
      </c>
      <c r="G4" s="578">
        <v>51486.04</v>
      </c>
      <c r="H4" s="573">
        <v>3335.83</v>
      </c>
      <c r="I4" s="573">
        <v>3852.05</v>
      </c>
      <c r="J4" s="577">
        <v>21327.279999999999</v>
      </c>
      <c r="K4" s="573">
        <v>4903.43</v>
      </c>
      <c r="L4" s="573">
        <v>4805.2299999999996</v>
      </c>
      <c r="M4" s="577">
        <v>4530.8100000000004</v>
      </c>
      <c r="N4" s="573">
        <v>12718.9</v>
      </c>
      <c r="O4" s="573">
        <v>12449.1</v>
      </c>
      <c r="P4" s="577">
        <v>85010.15</v>
      </c>
    </row>
    <row r="5" spans="1:16" x14ac:dyDescent="0.35">
      <c r="A5" s="571">
        <v>43591</v>
      </c>
      <c r="B5" s="573">
        <v>4329.1000000000004</v>
      </c>
      <c r="C5" s="573">
        <v>4449.3599999999997</v>
      </c>
      <c r="D5" s="577">
        <v>-120.26</v>
      </c>
      <c r="E5" s="573">
        <v>121951.39</v>
      </c>
      <c r="F5" s="573">
        <v>121383.44</v>
      </c>
      <c r="G5" s="578">
        <v>55256.46</v>
      </c>
      <c r="H5" s="573">
        <v>2074.6799999999998</v>
      </c>
      <c r="I5" s="573">
        <v>1921.27</v>
      </c>
      <c r="J5" s="577">
        <v>21421.25</v>
      </c>
      <c r="K5" s="573">
        <v>4777.83</v>
      </c>
      <c r="L5" s="573">
        <v>4711.2700000000004</v>
      </c>
      <c r="M5" s="577">
        <v>4873.34</v>
      </c>
      <c r="N5" s="573">
        <v>10688.6</v>
      </c>
      <c r="O5" s="573">
        <v>10140.969999999999</v>
      </c>
      <c r="P5" s="577">
        <v>85456.03</v>
      </c>
    </row>
    <row r="6" spans="1:16" x14ac:dyDescent="0.35">
      <c r="A6" s="571">
        <v>43592</v>
      </c>
      <c r="B6" s="573">
        <v>3854.86</v>
      </c>
      <c r="C6" s="573">
        <v>4848.6899999999996</v>
      </c>
      <c r="D6" s="577">
        <v>-993.83</v>
      </c>
      <c r="E6" s="573">
        <v>115086.83</v>
      </c>
      <c r="F6" s="573">
        <v>113781.67</v>
      </c>
      <c r="G6" s="578">
        <v>57133.09</v>
      </c>
      <c r="H6" s="573">
        <v>1833.67</v>
      </c>
      <c r="I6" s="573">
        <v>2746.33</v>
      </c>
      <c r="J6" s="577">
        <v>22049.91</v>
      </c>
      <c r="K6" s="573">
        <v>4902.3100000000004</v>
      </c>
      <c r="L6" s="573">
        <v>4869.7299999999996</v>
      </c>
      <c r="M6" s="577">
        <v>5442.09</v>
      </c>
      <c r="N6" s="573">
        <v>10832.85</v>
      </c>
      <c r="O6" s="573">
        <v>11396.38</v>
      </c>
      <c r="P6" s="577">
        <v>85058.69</v>
      </c>
    </row>
    <row r="7" spans="1:16" x14ac:dyDescent="0.35">
      <c r="A7" s="571">
        <v>43593</v>
      </c>
      <c r="B7" s="573">
        <v>5036.43</v>
      </c>
      <c r="C7" s="573">
        <v>5465.29</v>
      </c>
      <c r="D7" s="577">
        <v>-428.86</v>
      </c>
      <c r="E7" s="573">
        <v>185359.07</v>
      </c>
      <c r="F7" s="573">
        <v>185369.5</v>
      </c>
      <c r="G7" s="578">
        <v>58867.11</v>
      </c>
      <c r="H7" s="573">
        <v>2155.04</v>
      </c>
      <c r="I7" s="573">
        <v>2619.2800000000002</v>
      </c>
      <c r="J7" s="577">
        <v>21616.62</v>
      </c>
      <c r="K7" s="573">
        <v>4834.6899999999996</v>
      </c>
      <c r="L7" s="573">
        <v>4770.38</v>
      </c>
      <c r="M7" s="577">
        <v>5690.7</v>
      </c>
      <c r="N7" s="573">
        <v>12250.15</v>
      </c>
      <c r="O7" s="573">
        <v>12226.83</v>
      </c>
      <c r="P7" s="577">
        <v>84718.88</v>
      </c>
    </row>
    <row r="8" spans="1:16" x14ac:dyDescent="0.35">
      <c r="A8" s="571">
        <v>43594</v>
      </c>
      <c r="B8" s="573">
        <v>4996.82</v>
      </c>
      <c r="C8" s="573">
        <v>5669.09</v>
      </c>
      <c r="D8" s="577">
        <v>-672.27</v>
      </c>
      <c r="E8" s="573">
        <v>259310.51</v>
      </c>
      <c r="F8" s="573">
        <v>260048.56</v>
      </c>
      <c r="G8" s="578">
        <v>62373.99</v>
      </c>
      <c r="H8" s="573">
        <v>2823.12</v>
      </c>
      <c r="I8" s="573">
        <v>3952.05</v>
      </c>
      <c r="J8" s="577">
        <v>21680.12</v>
      </c>
      <c r="K8" s="573">
        <v>4173.95</v>
      </c>
      <c r="L8" s="573">
        <v>4293.67</v>
      </c>
      <c r="M8" s="577">
        <v>5968.21</v>
      </c>
      <c r="N8" s="573">
        <v>12209.32</v>
      </c>
      <c r="O8" s="573">
        <v>13165.62</v>
      </c>
      <c r="P8" s="577">
        <v>83559.28</v>
      </c>
    </row>
    <row r="9" spans="1:16" x14ac:dyDescent="0.35">
      <c r="A9" s="571">
        <v>43595</v>
      </c>
      <c r="B9" s="573">
        <v>5110.71</v>
      </c>
      <c r="C9" s="573">
        <v>5652.7</v>
      </c>
      <c r="D9" s="577">
        <v>-541.99</v>
      </c>
      <c r="E9" s="573">
        <v>358547.32</v>
      </c>
      <c r="F9" s="573">
        <v>356500.44</v>
      </c>
      <c r="G9" s="578">
        <v>57132.65</v>
      </c>
      <c r="H9" s="573">
        <v>3244.57</v>
      </c>
      <c r="I9" s="573">
        <v>5312.93</v>
      </c>
      <c r="J9" s="577">
        <v>19968.2</v>
      </c>
      <c r="K9" s="573">
        <v>4140.01</v>
      </c>
      <c r="L9" s="573">
        <v>4299.99</v>
      </c>
      <c r="M9" s="577">
        <v>6263.62</v>
      </c>
      <c r="N9" s="573">
        <v>10676.94</v>
      </c>
      <c r="O9" s="573">
        <v>11628.71</v>
      </c>
      <c r="P9" s="577">
        <v>83419.33</v>
      </c>
    </row>
    <row r="10" spans="1:16" x14ac:dyDescent="0.35">
      <c r="A10" s="571">
        <v>43598</v>
      </c>
      <c r="B10" s="573">
        <v>3483.57</v>
      </c>
      <c r="C10" s="573">
        <v>4726.3500000000004</v>
      </c>
      <c r="D10" s="577">
        <v>-1242.78</v>
      </c>
      <c r="E10" s="573">
        <v>137500.31</v>
      </c>
      <c r="F10" s="573">
        <v>137536</v>
      </c>
      <c r="G10" s="578">
        <v>61125.11</v>
      </c>
      <c r="H10" s="573">
        <v>3195.49</v>
      </c>
      <c r="I10" s="573">
        <v>4491.75</v>
      </c>
      <c r="J10" s="577">
        <v>18846.97</v>
      </c>
      <c r="K10" s="573">
        <v>5384.55</v>
      </c>
      <c r="L10" s="573">
        <v>5357.1</v>
      </c>
      <c r="M10" s="577">
        <v>6538.49</v>
      </c>
      <c r="N10" s="573">
        <v>12780.32</v>
      </c>
      <c r="O10" s="573">
        <v>12418.13</v>
      </c>
      <c r="P10" s="577">
        <v>83935.19</v>
      </c>
    </row>
    <row r="11" spans="1:16" x14ac:dyDescent="0.35">
      <c r="A11" s="571">
        <v>43599</v>
      </c>
      <c r="B11" s="573">
        <v>2989.96</v>
      </c>
      <c r="C11" s="573">
        <v>3942.41</v>
      </c>
      <c r="D11" s="577">
        <v>-952.45</v>
      </c>
      <c r="E11" s="573">
        <v>126546.3</v>
      </c>
      <c r="F11" s="573">
        <v>127454.3</v>
      </c>
      <c r="G11" s="578">
        <v>62724.75</v>
      </c>
      <c r="H11" s="573">
        <v>2550.37</v>
      </c>
      <c r="I11" s="573">
        <v>2688.05</v>
      </c>
      <c r="J11" s="577">
        <v>19040.52</v>
      </c>
      <c r="K11" s="573">
        <v>4824.46</v>
      </c>
      <c r="L11" s="573">
        <v>4831.53</v>
      </c>
      <c r="M11" s="577">
        <v>6581.58</v>
      </c>
      <c r="N11" s="573">
        <v>12706.88</v>
      </c>
      <c r="O11" s="573">
        <v>12520.57</v>
      </c>
      <c r="P11" s="577">
        <v>84140.28</v>
      </c>
    </row>
    <row r="12" spans="1:16" x14ac:dyDescent="0.35">
      <c r="A12" s="571">
        <v>43600</v>
      </c>
      <c r="B12" s="573">
        <v>4678.4799999999996</v>
      </c>
      <c r="C12" s="573">
        <v>6635.5</v>
      </c>
      <c r="D12" s="577">
        <v>-1957.02</v>
      </c>
      <c r="E12" s="573">
        <v>215946.78</v>
      </c>
      <c r="F12" s="573">
        <v>217503.45</v>
      </c>
      <c r="G12" s="578">
        <v>64747.65</v>
      </c>
      <c r="H12" s="573">
        <v>4063.87</v>
      </c>
      <c r="I12" s="573">
        <v>4765.93</v>
      </c>
      <c r="J12" s="577">
        <v>18089.349999999999</v>
      </c>
      <c r="K12" s="573">
        <v>5166.3999999999996</v>
      </c>
      <c r="L12" s="573">
        <v>5140.3</v>
      </c>
      <c r="M12" s="577">
        <v>6812.62</v>
      </c>
      <c r="N12" s="573">
        <v>14141.21</v>
      </c>
      <c r="O12" s="573">
        <v>13731.72</v>
      </c>
      <c r="P12" s="577">
        <v>84846.91</v>
      </c>
    </row>
    <row r="13" spans="1:16" x14ac:dyDescent="0.35">
      <c r="A13" s="571">
        <v>43601</v>
      </c>
      <c r="B13" s="573">
        <v>4208.8900000000003</v>
      </c>
      <c r="C13" s="573">
        <v>5256.47</v>
      </c>
      <c r="D13" s="577">
        <v>-1047.58</v>
      </c>
      <c r="E13" s="573">
        <v>271015.36</v>
      </c>
      <c r="F13" s="573">
        <v>272912.61</v>
      </c>
      <c r="G13" s="578">
        <v>65833.919999999998</v>
      </c>
      <c r="H13" s="573">
        <v>3766.1</v>
      </c>
      <c r="I13" s="573">
        <v>3490.26</v>
      </c>
      <c r="J13" s="577">
        <v>17334.34</v>
      </c>
      <c r="K13" s="573">
        <v>4274.6499999999996</v>
      </c>
      <c r="L13" s="573">
        <v>4622.91</v>
      </c>
      <c r="M13" s="577">
        <v>6924.14</v>
      </c>
      <c r="N13" s="573">
        <v>13426.01</v>
      </c>
      <c r="O13" s="573">
        <v>13113.75</v>
      </c>
      <c r="P13" s="577">
        <v>84671.35</v>
      </c>
    </row>
    <row r="14" spans="1:16" x14ac:dyDescent="0.35">
      <c r="A14" s="571">
        <v>43602</v>
      </c>
      <c r="B14" s="573">
        <v>3567.12</v>
      </c>
      <c r="C14" s="573">
        <v>4492.74</v>
      </c>
      <c r="D14" s="577">
        <v>-925.62</v>
      </c>
      <c r="E14" s="573">
        <v>334808.87</v>
      </c>
      <c r="F14" s="573">
        <v>336820.47</v>
      </c>
      <c r="G14" s="578">
        <v>60511.06</v>
      </c>
      <c r="H14" s="573">
        <v>3748.54</v>
      </c>
      <c r="I14" s="573">
        <v>4568.07</v>
      </c>
      <c r="J14" s="577">
        <v>16885.14</v>
      </c>
      <c r="K14" s="573">
        <v>4514.34</v>
      </c>
      <c r="L14" s="573">
        <v>4346.67</v>
      </c>
      <c r="M14" s="577">
        <v>7121.85</v>
      </c>
      <c r="N14" s="573">
        <v>12174.37</v>
      </c>
      <c r="O14" s="573">
        <v>11753.49</v>
      </c>
      <c r="P14" s="577">
        <v>85914.7</v>
      </c>
    </row>
    <row r="15" spans="1:16" x14ac:dyDescent="0.35">
      <c r="A15" s="571">
        <v>43605</v>
      </c>
      <c r="B15" s="573">
        <v>4126.12</v>
      </c>
      <c r="C15" s="573">
        <v>5177.6899999999996</v>
      </c>
      <c r="D15" s="577">
        <v>-1051.57</v>
      </c>
      <c r="E15" s="573">
        <v>45397.47</v>
      </c>
      <c r="F15" s="573">
        <v>46238.37</v>
      </c>
      <c r="G15" s="578">
        <v>64830.58</v>
      </c>
      <c r="H15" s="573">
        <v>4442.34</v>
      </c>
      <c r="I15" s="573">
        <v>4131.12</v>
      </c>
      <c r="J15" s="577">
        <v>18153.580000000002</v>
      </c>
      <c r="K15" s="573">
        <v>5548.29</v>
      </c>
      <c r="L15" s="573">
        <v>5656.77</v>
      </c>
      <c r="M15" s="577">
        <v>7622.34</v>
      </c>
      <c r="N15" s="573">
        <v>14476.45</v>
      </c>
      <c r="O15" s="573">
        <v>13884.8</v>
      </c>
      <c r="P15" s="577">
        <v>87616.15</v>
      </c>
    </row>
    <row r="16" spans="1:16" x14ac:dyDescent="0.35">
      <c r="A16" s="571">
        <v>43606</v>
      </c>
      <c r="B16" s="573">
        <v>7519.15</v>
      </c>
      <c r="C16" s="573">
        <v>5836.93</v>
      </c>
      <c r="D16" s="577">
        <v>1682.22</v>
      </c>
      <c r="E16" s="573">
        <v>72967.8</v>
      </c>
      <c r="F16" s="573">
        <v>71430.25</v>
      </c>
      <c r="G16" s="578">
        <v>67945.78</v>
      </c>
      <c r="H16" s="573">
        <v>7719.15</v>
      </c>
      <c r="I16" s="573">
        <v>6648.28</v>
      </c>
      <c r="J16" s="577">
        <v>20838.099999999999</v>
      </c>
      <c r="K16" s="573">
        <v>8035.53</v>
      </c>
      <c r="L16" s="573">
        <v>8009.12</v>
      </c>
      <c r="M16" s="577">
        <v>8354.6</v>
      </c>
      <c r="N16" s="573">
        <v>19156.59</v>
      </c>
      <c r="O16" s="573">
        <v>18363.63</v>
      </c>
      <c r="P16" s="577">
        <v>91680.69</v>
      </c>
    </row>
    <row r="17" spans="1:16" x14ac:dyDescent="0.35">
      <c r="A17" s="571">
        <v>43607</v>
      </c>
      <c r="B17" s="573">
        <v>6954.57</v>
      </c>
      <c r="C17" s="573">
        <v>5439.95</v>
      </c>
      <c r="D17" s="577">
        <v>1514.62</v>
      </c>
      <c r="E17" s="573">
        <v>71849.38</v>
      </c>
      <c r="F17" s="573">
        <v>71276.820000000007</v>
      </c>
      <c r="G17" s="578">
        <v>73373.600000000006</v>
      </c>
      <c r="H17" s="573">
        <v>4654.8100000000004</v>
      </c>
      <c r="I17" s="573">
        <v>4741.22</v>
      </c>
      <c r="J17" s="577">
        <v>20929.61</v>
      </c>
      <c r="K17" s="573">
        <v>6156.81</v>
      </c>
      <c r="L17" s="573">
        <v>6268.28</v>
      </c>
      <c r="M17" s="577">
        <v>8726.17</v>
      </c>
      <c r="N17" s="573">
        <v>14597.5</v>
      </c>
      <c r="O17" s="573">
        <v>15481.58</v>
      </c>
      <c r="P17" s="577">
        <v>90623.42</v>
      </c>
    </row>
    <row r="18" spans="1:16" x14ac:dyDescent="0.35">
      <c r="A18" s="571">
        <v>43608</v>
      </c>
      <c r="B18" s="573">
        <v>4863.57</v>
      </c>
      <c r="C18" s="573">
        <v>5608.01</v>
      </c>
      <c r="D18" s="577">
        <v>-744.44</v>
      </c>
      <c r="E18" s="573">
        <v>63390.74</v>
      </c>
      <c r="F18" s="573">
        <v>65914.34</v>
      </c>
      <c r="G18" s="578">
        <v>77026.38</v>
      </c>
      <c r="H18" s="573">
        <v>4557.8900000000003</v>
      </c>
      <c r="I18" s="573">
        <v>4422.04</v>
      </c>
      <c r="J18" s="577">
        <v>23360.49</v>
      </c>
      <c r="K18" s="573">
        <v>6034.9</v>
      </c>
      <c r="L18" s="573">
        <v>6199.38</v>
      </c>
      <c r="M18" s="577">
        <v>9212.81</v>
      </c>
      <c r="N18" s="573">
        <v>12761.35</v>
      </c>
      <c r="O18" s="573">
        <v>13241.59</v>
      </c>
      <c r="P18" s="577">
        <v>90988.09</v>
      </c>
    </row>
    <row r="19" spans="1:16" x14ac:dyDescent="0.35">
      <c r="A19" s="571">
        <v>43609</v>
      </c>
      <c r="B19" s="573">
        <v>8286.5499999999993</v>
      </c>
      <c r="C19" s="573">
        <v>6846.94</v>
      </c>
      <c r="D19" s="577">
        <v>1439.61</v>
      </c>
      <c r="E19" s="573">
        <v>188471.7</v>
      </c>
      <c r="F19" s="573">
        <v>185458.96</v>
      </c>
      <c r="G19" s="578">
        <v>73372.78</v>
      </c>
      <c r="H19" s="573">
        <v>5862.19</v>
      </c>
      <c r="I19" s="573">
        <v>5871.47</v>
      </c>
      <c r="J19" s="577">
        <v>26131.4</v>
      </c>
      <c r="K19" s="573">
        <v>8534.36</v>
      </c>
      <c r="L19" s="573">
        <v>8493.64</v>
      </c>
      <c r="M19" s="577">
        <v>8519.08</v>
      </c>
      <c r="N19" s="573">
        <v>17014.310000000001</v>
      </c>
      <c r="O19" s="573">
        <v>17379</v>
      </c>
      <c r="P19" s="577">
        <v>92365.26</v>
      </c>
    </row>
    <row r="20" spans="1:16" x14ac:dyDescent="0.35">
      <c r="A20" s="571">
        <v>43612</v>
      </c>
      <c r="B20" s="573">
        <v>94106.89</v>
      </c>
      <c r="C20" s="573">
        <v>99347.46</v>
      </c>
      <c r="D20" s="577">
        <v>-5240.57</v>
      </c>
      <c r="E20" s="573">
        <v>3595210.22</v>
      </c>
      <c r="F20" s="573">
        <v>3588938.28</v>
      </c>
      <c r="G20" s="578">
        <v>1137059.7</v>
      </c>
      <c r="H20" s="573">
        <v>72652.63</v>
      </c>
      <c r="I20" s="573">
        <v>81739.98</v>
      </c>
      <c r="J20" s="577">
        <v>372980.34</v>
      </c>
      <c r="K20" s="573">
        <v>106432.14</v>
      </c>
      <c r="L20" s="573">
        <v>106837.71</v>
      </c>
      <c r="M20" s="577">
        <v>121869.67</v>
      </c>
      <c r="N20" s="573">
        <v>247596.18</v>
      </c>
      <c r="O20" s="573">
        <v>248087.56</v>
      </c>
      <c r="P20" s="577">
        <v>1559197.85</v>
      </c>
    </row>
    <row r="21" spans="1:16" x14ac:dyDescent="0.35">
      <c r="A21" s="569" t="s">
        <v>543</v>
      </c>
      <c r="B21" s="570">
        <v>88180.82</v>
      </c>
      <c r="C21" s="570">
        <v>93711.76</v>
      </c>
      <c r="D21" s="570">
        <v>-5530.94</v>
      </c>
      <c r="E21" s="570">
        <v>15529621.77</v>
      </c>
      <c r="F21" s="570">
        <v>15464924.380000001</v>
      </c>
      <c r="G21" s="570">
        <v>6296498.4699999997</v>
      </c>
      <c r="H21" s="570">
        <v>400823.71</v>
      </c>
      <c r="I21" s="570">
        <v>393822.41</v>
      </c>
      <c r="J21" s="570">
        <v>2512104.4500000002</v>
      </c>
      <c r="K21" s="570">
        <v>702700.87</v>
      </c>
      <c r="L21" s="570">
        <v>700633.21</v>
      </c>
      <c r="M21" s="570">
        <v>749051.9</v>
      </c>
      <c r="N21" s="570">
        <v>1505203.09</v>
      </c>
      <c r="O21" s="570">
        <v>1509611.48</v>
      </c>
      <c r="P21" s="570">
        <v>8715241.9299999997</v>
      </c>
    </row>
    <row r="22" spans="1:16" x14ac:dyDescent="0.35">
      <c r="A22" s="569" t="s">
        <v>544</v>
      </c>
      <c r="B22" s="570">
        <v>541608.06000000006</v>
      </c>
      <c r="C22" s="570">
        <v>480731.49</v>
      </c>
      <c r="D22" s="570">
        <v>60876.57</v>
      </c>
      <c r="E22" s="570">
        <v>15341150.07</v>
      </c>
      <c r="F22" s="570">
        <v>15279465.42</v>
      </c>
      <c r="G22" s="570">
        <v>6223125.6900000004</v>
      </c>
      <c r="H22" s="570">
        <v>394961.52</v>
      </c>
      <c r="I22" s="570">
        <v>387950.94</v>
      </c>
      <c r="J22" s="570">
        <v>2485973.0499999998</v>
      </c>
      <c r="K22" s="570">
        <v>694166.51</v>
      </c>
      <c r="L22" s="570">
        <v>692139.57</v>
      </c>
      <c r="M22" s="570">
        <v>740532.82</v>
      </c>
      <c r="N22" s="570">
        <v>1488188.78</v>
      </c>
      <c r="O22" s="570">
        <v>1492232.48</v>
      </c>
      <c r="P22" s="570">
        <v>8622876.6699999999</v>
      </c>
    </row>
    <row r="24" spans="1:16" x14ac:dyDescent="0.35">
      <c r="F24">
        <f>E19-F19</f>
        <v>3012.7400000000198</v>
      </c>
    </row>
  </sheetData>
  <mergeCells count="4">
    <mergeCell ref="K1:P1"/>
    <mergeCell ref="B1:D1"/>
    <mergeCell ref="E1:G1"/>
    <mergeCell ref="H1:J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542E4-B462-42DD-8FB3-C9937B093191}">
  <sheetPr codeName="Sheet21"/>
  <dimension ref="A1:AS5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C7" sqref="AC7"/>
    </sheetView>
  </sheetViews>
  <sheetFormatPr defaultColWidth="9.1796875" defaultRowHeight="14.5" x14ac:dyDescent="0.35"/>
  <cols>
    <col min="1" max="1" width="9.1796875" style="520"/>
    <col min="2" max="2" width="9.1796875" style="274"/>
    <col min="3" max="3" width="5.453125" style="520" customWidth="1"/>
    <col min="4" max="4" width="8.453125" style="520" customWidth="1"/>
    <col min="5" max="5" width="8.7265625" style="520" customWidth="1"/>
    <col min="6" max="6" width="12.7265625" style="519" customWidth="1"/>
    <col min="7" max="7" width="13" style="519" customWidth="1"/>
    <col min="8" max="9" width="6.453125" style="520" customWidth="1"/>
    <col min="10" max="10" width="10.08984375" style="520" customWidth="1"/>
    <col min="11" max="11" width="8" style="520" customWidth="1"/>
    <col min="12" max="12" width="13.54296875" style="519" customWidth="1"/>
    <col min="13" max="13" width="8.26953125" style="520" customWidth="1"/>
    <col min="14" max="14" width="8.6328125" style="520" hidden="1" customWidth="1"/>
    <col min="15" max="15" width="12.453125" style="520" bestFit="1" customWidth="1"/>
    <col min="16" max="18" width="9.1796875" style="520"/>
    <col min="19" max="19" width="5.453125" style="520" hidden="1" customWidth="1"/>
    <col min="20" max="20" width="6.81640625" style="520" hidden="1" customWidth="1"/>
    <col min="21" max="22" width="0" style="520" hidden="1" customWidth="1"/>
    <col min="23" max="25" width="9.1796875" style="520"/>
    <col min="26" max="26" width="9.453125" style="520" customWidth="1"/>
    <col min="27" max="38" width="9.1796875" style="520"/>
    <col min="39" max="40" width="7.90625" style="520" bestFit="1" customWidth="1"/>
    <col min="41" max="41" width="9.6328125" style="520" bestFit="1" customWidth="1"/>
    <col min="42" max="44" width="9.1796875" style="520"/>
    <col min="45" max="45" width="0" style="520" hidden="1" customWidth="1"/>
    <col min="46" max="16384" width="9.1796875" style="520"/>
  </cols>
  <sheetData>
    <row r="1" spans="1:45" ht="14.5" customHeight="1" thickBot="1" x14ac:dyDescent="0.4">
      <c r="A1" s="80"/>
      <c r="B1" s="273"/>
      <c r="C1" s="647" t="s">
        <v>53</v>
      </c>
      <c r="D1" s="643"/>
      <c r="E1" s="537"/>
      <c r="F1" s="537"/>
      <c r="G1" s="537"/>
      <c r="H1" s="524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tr">
        <f>IF($AC$2="NO",Sheet51!$F$2,"")</f>
        <v>--</v>
      </c>
      <c r="R1" s="814"/>
      <c r="S1" s="810" t="s">
        <v>87</v>
      </c>
      <c r="T1" s="811"/>
      <c r="U1" s="811"/>
      <c r="V1" s="815"/>
      <c r="W1" s="432"/>
      <c r="X1" s="432"/>
      <c r="Y1" s="432"/>
      <c r="Z1" s="521"/>
      <c r="AA1" s="521"/>
      <c r="AB1" s="521"/>
      <c r="AC1" s="521"/>
      <c r="AD1" s="521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523" t="s">
        <v>530</v>
      </c>
      <c r="D2" s="522" t="s">
        <v>531</v>
      </c>
      <c r="E2" s="522" t="s">
        <v>3</v>
      </c>
      <c r="F2" s="166" t="s">
        <v>35</v>
      </c>
      <c r="G2" s="166" t="s">
        <v>37</v>
      </c>
      <c r="H2" s="524" t="s">
        <v>43</v>
      </c>
      <c r="I2" s="81" t="s">
        <v>88</v>
      </c>
      <c r="J2" s="523" t="s">
        <v>14</v>
      </c>
      <c r="K2" s="522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21"/>
      <c r="AA2" s="521"/>
      <c r="AB2" s="271" t="s">
        <v>97</v>
      </c>
      <c r="AC2" s="272" t="s">
        <v>98</v>
      </c>
      <c r="AD2" s="521"/>
      <c r="AS2" s="521" t="s">
        <v>99</v>
      </c>
    </row>
    <row r="3" spans="1:45" ht="14.5" customHeight="1" thickBot="1" x14ac:dyDescent="0.4">
      <c r="A3" s="530" t="str">
        <f ca="1">IF($AC$2="NO",IF(AO3="MinCorrect",Sheet51!$F$1,IF(A3&lt;=TIMEVALUE("00:00:00"),"",A3)),"")</f>
        <v>0</v>
      </c>
      <c r="B3" s="528" t="str">
        <f ca="1">IF($AC$2="NO",IF(AND(AO3="MinCorrect",A3&lt;&gt;" "),MAIN!$I$12,B3),"")</f>
        <v>NIFTY</v>
      </c>
      <c r="C3" s="86">
        <f ca="1">IF($AC$2="NO",IF(AND(AO3="MinCorrect",A3&lt;&gt;" "),MAIN!$L$13,C3),"")</f>
        <v>0</v>
      </c>
      <c r="D3" s="86" t="e">
        <f ca="1">IF($AC$2="NO",IF(AND(AO3="MinCorrect",A3&lt;&gt;" "),MAIN!$L$14,D3),"")</f>
        <v>#NUM!</v>
      </c>
      <c r="E3" s="86">
        <f ca="1">IF($AC$2="NO",IF(AND(AO3="MinCorrect",A3&lt;&gt;" "),MAIN!$J$49,E3),"")</f>
        <v>0</v>
      </c>
      <c r="F3" s="167">
        <f ca="1">IF($AC$2="NO",IF(AND(AO3="MinCorrect",A3&lt;&gt;" "),MAIN!$E$5,F3),"")</f>
        <v>0</v>
      </c>
      <c r="G3" s="167">
        <f ca="1">IF($AC$2="NO",IF(AND(AO3="MinCorrect",A3&lt;&gt;" "),[3]MAIN!$F$5,G3),"")</f>
        <v>180627</v>
      </c>
      <c r="H3" s="532" t="str">
        <f ca="1">IF($AC$2="NO",IF(AND(AO3="MinCorrect",A3&lt;&gt;" "),[3]MAIN!$E$7,H3),"")</f>
        <v>SELL</v>
      </c>
      <c r="I3" s="167">
        <f ca="1">IF($AC$2="NO",IF(AND(AO3="MinCorrect",A3&lt;&gt;" "),MAIN!$H$5,I3),"")</f>
        <v>0</v>
      </c>
      <c r="J3" s="532">
        <f ca="1">IF($AC$2="NO",IF(AND(AO3="MinCorrect",A3&lt;&gt;" "),MAIN!$L$5,J3),"")</f>
        <v>0</v>
      </c>
      <c r="K3" s="167">
        <f ca="1">IF($AC$2="NO",IF(AND(AO3="MinCorrect",A3&lt;&gt;" "),MAIN!$M$5,K3),"")</f>
        <v>0</v>
      </c>
      <c r="L3" s="535" t="e">
        <f ca="1">IF($AC$2="NO",IF(AND(AO3="MinCorrect",A3&lt;&gt;" "),MAIN!$N$5,L3),"")</f>
        <v>#NUM!</v>
      </c>
      <c r="M3" s="534">
        <f ca="1">IF($AC$2="NO",IF(AND(AO3="MinCorrect",A3&lt;&gt;" "),MAIN!$B$2,M3),"")</f>
        <v>11861.1</v>
      </c>
      <c r="N3" s="816">
        <f ca="1">IF($AC$2="NO",IF(AND(AO3="MinCorrect",A3&lt;&gt;" "),MAIN!$S$2,N3),"")</f>
        <v>11900</v>
      </c>
      <c r="O3" s="435" t="e">
        <f ca="1">IF($AC$2="NO",IF(AND(AO3="MinCorrect",A3&lt;&gt;" "),MAIN!$M$27,O3),"")</f>
        <v>#NUM!</v>
      </c>
      <c r="P3" s="534" t="str">
        <f ca="1">IF($AC$2="NO",IF(AND(AO3="MinCorrect",A3&lt;&gt;" "),MAIN!$F$10,P3),"")</f>
        <v/>
      </c>
      <c r="Q3" s="534" t="str">
        <f ca="1">IF($AC$2="NO",IF(AND(AO3="MinCorrect",A3&lt;&gt;" "),MAIN!$D$10,Q3),"")</f>
        <v/>
      </c>
      <c r="R3" s="534" t="str">
        <f ca="1">IF($AC$2="NO",IF(AND(AO3="MinCorrect",A3&lt;&gt;" "),MAIN!$E$10,R3),"")</f>
        <v/>
      </c>
      <c r="S3" s="88" t="str">
        <f ca="1">IF($AC$2="NO",IF(AND(AO3="MinCorrect",A3&lt;&gt;" "),MAIN!$A$5,S3),"")</f>
        <v>CE</v>
      </c>
      <c r="T3" s="525" t="e">
        <f ca="1">IF($AC$2="NO",IF(AND(AO3="MinCorrect",A3&lt;&gt;" "),MAIN!#REF!,T3),"")</f>
        <v>#REF!</v>
      </c>
      <c r="U3" s="525" t="e">
        <f ca="1">IF($AC$2="NO",IF(AND(AO3="MinCorrect",A3&lt;&gt;" "),MAIN!#REF!,U3),"")</f>
        <v>#REF!</v>
      </c>
      <c r="V3" s="818" t="e">
        <f ca="1">IF($AC$2="NO",IF(AND(AO3="MinCorrect",A3&lt;&gt;" "),MAIN!#REF!,V3),"")</f>
        <v>#REF!</v>
      </c>
      <c r="W3" s="434"/>
      <c r="X3" s="434"/>
      <c r="Y3" s="434"/>
      <c r="Z3" s="521"/>
      <c r="AA3" s="521"/>
      <c r="AB3" s="521"/>
      <c r="AC3" s="521"/>
      <c r="AD3" s="521"/>
      <c r="AL3" s="521" t="s">
        <v>171</v>
      </c>
      <c r="AM3" s="275">
        <v>0.39583333333333331</v>
      </c>
      <c r="AN3" s="89">
        <f ca="1">NOW()</f>
        <v>43615.786170601852</v>
      </c>
      <c r="AO3" s="521" t="str">
        <f ca="1">IF(AND(HOUR(AM3)=(HOUR($AN$3)),(HOUR(AM4)=(HOUR($AN$3)))),IF(AND(MINUTE($AN$3)-MINUTE(AM3)&gt;=0,(MINUTE(AM4)-MINUTE($AN$3)&gt;0)),"Mincorrect","MinFalse"),"Hour False")</f>
        <v>Hour False</v>
      </c>
      <c r="AS3" s="521" t="s">
        <v>98</v>
      </c>
    </row>
    <row r="4" spans="1:45" ht="14.5" customHeight="1" thickBot="1" x14ac:dyDescent="0.4">
      <c r="A4" s="531"/>
      <c r="B4" s="529"/>
      <c r="C4" s="86" t="str">
        <f ca="1">IF($AC$2="NO",IF(AND(AO4="MinCorrect",A4&lt;&gt;" "),MAIN!$L$13,C4),"")</f>
        <v/>
      </c>
      <c r="D4" s="86" t="str">
        <f ca="1">IF($AC$2="NO",IF(AND(AO4="MinCorrect",A4&lt;&gt;" "),MAIN!$L$14,D4),"")</f>
        <v/>
      </c>
      <c r="E4" s="86" t="str">
        <f ca="1">IF($AC$2="NO",IF(AND(AO4="MinCorrect",A4&lt;&gt;" "),MAIN!$J$49,E4),"")</f>
        <v/>
      </c>
      <c r="F4" s="168">
        <f ca="1">IF($AC$2="NO",IF(AND(AO3="MinCorrect",A3&lt;&gt;" "),MAIN!$E$6,F4),"")</f>
        <v>0</v>
      </c>
      <c r="G4" s="168">
        <f ca="1">IF($AC$2="NO",IF(AND(AO3="MinCorrect",A3&lt;&gt;" "),[3]MAIN!$F$6,G4),"")</f>
        <v>226557</v>
      </c>
      <c r="H4" s="533"/>
      <c r="I4" s="168" t="str">
        <f ca="1">IF($AC$2="NO",IF(AND(AO4="MinCorrect",A4&lt;&gt;" "),MAIN!$H$6,I4),"")</f>
        <v/>
      </c>
      <c r="J4" s="533" t="str">
        <f ca="1">IF($AC$2="NO",IF(AND(AO4="MinCorrect",A4&lt;&gt;" "),MAIN!$L$5,J4),"")</f>
        <v/>
      </c>
      <c r="K4" s="168" t="str">
        <f ca="1">IF($AC$2="NO",IF(AND(AO4="MinCorrect",A4&lt;&gt;" "),MAIN!$M$5,K4),"")</f>
        <v/>
      </c>
      <c r="L4" s="536" t="str">
        <f ca="1">IF($AC$2="NO",IF(AND(AO4="MinCorrect",A4&lt;&gt;" "),MAIN!$N$5,L4),"")</f>
        <v/>
      </c>
      <c r="M4" s="435"/>
      <c r="N4" s="817"/>
      <c r="O4" s="435" t="str">
        <f ca="1">IF($AC$2="NO",IF(AND(AO4="MinCorrect",A4&lt;&gt;" "),MAIN!$J$49,O4),"")</f>
        <v/>
      </c>
      <c r="P4" s="534" t="str">
        <f ca="1">IF($AC$2="NO",IF(AND(AO4="MinCorrect",A4&lt;&gt;" "),MAIN!$F$10,P4),"")</f>
        <v/>
      </c>
      <c r="Q4" s="534" t="str">
        <f ca="1">IF($AC$2="NO",IF(AND(AO4="MinCorrect",A4&lt;&gt;" "),MAIN!$D$10,Q4),"")</f>
        <v/>
      </c>
      <c r="R4" s="534" t="str">
        <f ca="1">IF($AC$2="NO",IF(AND(AO4="MinCorrect",A4&lt;&gt;" "),MAIN!$E$10,R4),"")</f>
        <v/>
      </c>
      <c r="S4" s="92" t="str">
        <f ca="1">IF($AC$2="NO",IF(AND(AO3="MinCorrect",A3&lt;&gt;" "),MAIN!$A$6,S4),"")</f>
        <v>PE</v>
      </c>
      <c r="T4" s="525" t="str">
        <f ca="1">IF($AC$2="NO",IF(AND(AO4="MinCorrect",A4&lt;&gt;" "),MAIN!#REF!,T4),"")</f>
        <v/>
      </c>
      <c r="U4" s="525" t="str">
        <f ca="1">IF($AC$2="NO",IF(AND(AO4="MinCorrect",A4&lt;&gt;" "),MAIN!#REF!,U4),"")</f>
        <v/>
      </c>
      <c r="V4" s="818"/>
      <c r="W4" s="434"/>
      <c r="X4" s="434"/>
      <c r="Y4" s="434"/>
      <c r="Z4" s="521"/>
      <c r="AA4" s="521"/>
      <c r="AB4" s="521"/>
      <c r="AC4" s="521"/>
      <c r="AD4" s="521"/>
      <c r="AL4" s="521" t="s">
        <v>172</v>
      </c>
      <c r="AM4" s="275">
        <v>0.39861111111111108</v>
      </c>
      <c r="AN4" s="521"/>
      <c r="AO4" s="521"/>
    </row>
    <row r="5" spans="1:45" ht="14.5" customHeight="1" thickBot="1" x14ac:dyDescent="0.4">
      <c r="A5" s="530" t="str">
        <f ca="1">IF($AC$2="NO",IF(AO5="MinCorrect",Sheet51!$F$1,IF(A5&lt;=TIMEVALUE("00:00:00"),"",A5)),"")</f>
        <v>0</v>
      </c>
      <c r="B5" s="528" t="str">
        <f ca="1">IF($AC$2="NO",IF(AND(AO5="MinCorrect",A5&lt;&gt;" "),MAIN!$I$12,B5),"")</f>
        <v>NIFTY</v>
      </c>
      <c r="C5" s="86">
        <f ca="1">IF($AC$2="NO",IF(AND(AO5="MinCorrect",A5&lt;&gt;" "),MAIN!$L$13,C5),"")</f>
        <v>0</v>
      </c>
      <c r="D5" s="86" t="e">
        <f ca="1">IF($AC$2="NO",IF(AND(AO5="MinCorrect",A5&lt;&gt;" "),MAIN!$L$14,D5),"")</f>
        <v>#NUM!</v>
      </c>
      <c r="E5" s="86">
        <f ca="1">IF($AC$2="NO",IF(AND(AO5="MinCorrect",A5&lt;&gt;" "),MAIN!$J$49,E5),"")</f>
        <v>0</v>
      </c>
      <c r="F5" s="167">
        <f ca="1">IF($AC$2="NO",IF(AND(AO5="MinCorrect",A5&lt;&gt;" "),MAIN!$E$5,F5),"")</f>
        <v>0</v>
      </c>
      <c r="G5" s="167">
        <f ca="1">IF($AC$2="NO",IF(AND(AO5="MinCorrect",A5&lt;&gt;" "),[3]MAIN!$F$5,G5),"")</f>
        <v>180627</v>
      </c>
      <c r="H5" s="532" t="str">
        <f ca="1">IF($AC$2="NO",IF(AND(AO5="MinCorrect",A5&lt;&gt;" "),[3]MAIN!$E$7,H5),"")</f>
        <v>SELL</v>
      </c>
      <c r="I5" s="167">
        <f ca="1">IF($AC$2="NO",IF(AND(AO5="MinCorrect",A5&lt;&gt;" "),MAIN!$H$5,I5),"")</f>
        <v>0</v>
      </c>
      <c r="J5" s="532">
        <f ca="1">IF($AC$2="NO",IF(AND(AO5="MinCorrect",A5&lt;&gt;" "),MAIN!$L$5,J5),"")</f>
        <v>0</v>
      </c>
      <c r="K5" s="167">
        <f ca="1">IF($AC$2="NO",IF(AND(AO5="MinCorrect",A5&lt;&gt;" "),MAIN!$M$5,K5),"")</f>
        <v>0</v>
      </c>
      <c r="L5" s="535" t="e">
        <f ca="1">IF($AC$2="NO",IF(AND(AO5="MinCorrect",A5&lt;&gt;" "),MAIN!$N$5,L5),"")</f>
        <v>#NUM!</v>
      </c>
      <c r="M5" s="435">
        <f ca="1">IF($AC$2="NO",IF(AND(AO5="MinCorrect",A5&lt;&gt;" "),MAIN!$B$2,M5),"")</f>
        <v>11861.1</v>
      </c>
      <c r="N5" s="816">
        <f ca="1">IF($AC$2="NO",IF(AND(AO5="MinCorrect",A5&lt;&gt;" "),MAIN!$S$2,N5),"")</f>
        <v>11900</v>
      </c>
      <c r="O5" s="435" t="e">
        <f ca="1">IF($AC$2="NO",IF(AND(AO5="MinCorrect",A5&lt;&gt;" "),MAIN!$M$27,O5),"")</f>
        <v>#NUM!</v>
      </c>
      <c r="P5" s="534" t="str">
        <f ca="1">IF($AC$2="NO",IF(AND(AO5="MinCorrect",A5&lt;&gt;" "),MAIN!$F$10,P5),"")</f>
        <v/>
      </c>
      <c r="Q5" s="534" t="str">
        <f ca="1">IF($AC$2="NO",IF(AND(AO5="MinCorrect",A5&lt;&gt;" "),MAIN!$D$10,Q5),"")</f>
        <v/>
      </c>
      <c r="R5" s="534" t="str">
        <f ca="1">IF($AC$2="NO",IF(AND(AO5="MinCorrect",A5&lt;&gt;" "),MAIN!$E$10,R5),"")</f>
        <v/>
      </c>
      <c r="S5" s="88" t="e">
        <f ca="1">IF($AC$2="NO",IF(AND(AO5="MinCorrect",A5&lt;&gt;" "),[3]MAIN!#REF!,S5),"")</f>
        <v>#REF!</v>
      </c>
      <c r="T5" s="525" t="e">
        <f ca="1">IF($AC$2="NO",IF(AND(AO5="MinCorrect",A5&lt;&gt;" "),MAIN!#REF!,T5),"")</f>
        <v>#REF!</v>
      </c>
      <c r="U5" s="525" t="e">
        <f ca="1">IF($AC$2="NO",IF(AND(AO5="MinCorrect",A5&lt;&gt;" "),MAIN!#REF!,U5),"")</f>
        <v>#REF!</v>
      </c>
      <c r="V5" s="818" t="e">
        <f ca="1">IF($AC$2="NO",IF(AND(AO5="MinCorrect",A5&lt;&gt;" "),MAIN!#REF!,V5),"")</f>
        <v>#REF!</v>
      </c>
      <c r="W5" s="434"/>
      <c r="X5" s="434"/>
      <c r="Y5" s="434"/>
      <c r="Z5" s="521"/>
      <c r="AA5" s="521"/>
      <c r="AB5" s="521"/>
      <c r="AC5" s="521"/>
      <c r="AD5" s="521"/>
      <c r="AM5" s="275">
        <v>0.40625</v>
      </c>
      <c r="AN5" s="521"/>
      <c r="AO5" s="521" t="str">
        <f ca="1">IF(AND(HOUR(AM5)=(HOUR($AN$3)),(HOUR(AM6)=(HOUR($AN$3)))),IF(AND(MINUTE($AN$3)-MINUTE(AM5)&gt;=0,(MINUTE(AM6)-MINUTE($AN$3)&gt;0)),"Mincorrect","MinFalse"),"Hour False")</f>
        <v>Hour False</v>
      </c>
    </row>
    <row r="6" spans="1:45" ht="14.5" customHeight="1" thickBot="1" x14ac:dyDescent="0.4">
      <c r="A6" s="531"/>
      <c r="B6" s="529"/>
      <c r="C6" s="86" t="str">
        <f ca="1">IF($AC$2="NO",IF(AND(AO6="MinCorrect",A6&lt;&gt;" "),MAIN!$L$13,C6),"")</f>
        <v/>
      </c>
      <c r="D6" s="86" t="str">
        <f ca="1">IF($AC$2="NO",IF(AND(AO6="MinCorrect",A6&lt;&gt;" "),MAIN!$L$14,D6),"")</f>
        <v/>
      </c>
      <c r="E6" s="86" t="str">
        <f ca="1">IF($AC$2="NO",IF(AND(AO6="MinCorrect",A6&lt;&gt;" "),MAIN!$J$49,E6),"")</f>
        <v/>
      </c>
      <c r="F6" s="168">
        <f ca="1">IF($AC$2="NO",IF(AND(AO5="MinCorrect",A5&lt;&gt;" "),MAIN!$E$6,F6),"")</f>
        <v>0</v>
      </c>
      <c r="G6" s="168">
        <f ca="1">IF($AC$2="NO",IF(AND(AO5="MinCorrect",A5&lt;&gt;" "),[3]MAIN!$F$6,G6),"")</f>
        <v>226557</v>
      </c>
      <c r="H6" s="168"/>
      <c r="I6" s="168" t="str">
        <f ca="1">IF($AC$2="NO",IF(AND(AO6="MinCorrect",A6&lt;&gt;" "),MAIN!$H$6,I6),"")</f>
        <v/>
      </c>
      <c r="J6" s="533" t="str">
        <f ca="1">IF($AC$2="NO",IF(AND(AO6="MinCorrect",A6&lt;&gt;" "),MAIN!$L$5,J6),"")</f>
        <v/>
      </c>
      <c r="K6" s="168" t="str">
        <f ca="1">IF($AC$2="NO",IF(AND(AO6="MinCorrect",A6&lt;&gt;" "),MAIN!$M$5,K6),"")</f>
        <v/>
      </c>
      <c r="L6" s="536" t="str">
        <f ca="1">IF($AC$2="NO",IF(AND(AO6="MinCorrect",A6&lt;&gt;" "),MAIN!$N$5,L6),"")</f>
        <v/>
      </c>
      <c r="M6" s="435"/>
      <c r="N6" s="817"/>
      <c r="O6" s="435" t="str">
        <f ca="1">IF($AC$2="NO",IF(AND(AO6="MinCorrect",A6&lt;&gt;" "),MAIN!$J$49,O6),"")</f>
        <v/>
      </c>
      <c r="P6" s="534" t="str">
        <f ca="1">IF($AC$2="NO",IF(AND(AO6="MinCorrect",A6&lt;&gt;" "),MAIN!$F$10,P6),"")</f>
        <v/>
      </c>
      <c r="Q6" s="534" t="str">
        <f ca="1">IF($AC$2="NO",IF(AND(AO6="MinCorrect",A6&lt;&gt;" "),MAIN!$D$10,Q6),"")</f>
        <v/>
      </c>
      <c r="R6" s="534" t="str">
        <f ca="1">IF($AC$2="NO",IF(AND(AO6="MinCorrect",A6&lt;&gt;" "),MAIN!$E$10,R6),"")</f>
        <v/>
      </c>
      <c r="S6" s="92" t="e">
        <f ca="1">IF($AC$2="NO",IF(AND(AO5="MinCorrect",A5&lt;&gt;" "),[3]MAIN!#REF!,S6),"")</f>
        <v>#REF!</v>
      </c>
      <c r="T6" s="525" t="str">
        <f ca="1">IF($AC$2="NO",IF(AND(AO6="MinCorrect",A6&lt;&gt;" "),MAIN!#REF!,T6),"")</f>
        <v/>
      </c>
      <c r="U6" s="525" t="str">
        <f ca="1">IF($AC$2="NO",IF(AND(AO6="MinCorrect",A6&lt;&gt;" "),MAIN!#REF!,U6),"")</f>
        <v/>
      </c>
      <c r="V6" s="818"/>
      <c r="W6" s="434"/>
      <c r="X6" s="434"/>
      <c r="Y6" s="434"/>
      <c r="Z6" s="521"/>
      <c r="AA6" s="521"/>
      <c r="AB6" s="521"/>
      <c r="AC6" s="521"/>
      <c r="AD6" s="521"/>
      <c r="AM6" s="275">
        <v>0.40902777777777777</v>
      </c>
      <c r="AN6" s="521"/>
      <c r="AO6" s="521"/>
    </row>
    <row r="7" spans="1:45" ht="14.5" customHeight="1" thickBot="1" x14ac:dyDescent="0.4">
      <c r="A7" s="530" t="str">
        <f ca="1">IF($AC$2="NO",IF(AO7="MinCorrect",Sheet51!$F$1,IF(A7&lt;=TIMEVALUE("00:00:00"),"",A7)),"")</f>
        <v>10:01:50</v>
      </c>
      <c r="B7" s="528" t="str">
        <f ca="1">IF($AC$2="NO",IF(AND(AO7="MinCorrect",A7&lt;&gt;" "),MAIN!$I$12,B7),"")</f>
        <v>NIFTY</v>
      </c>
      <c r="C7" s="86">
        <f ca="1">IF($AC$2="NO",IF(AND(AO7="MinCorrect",A7&lt;&gt;" "),MAIN!$L$13,C7),"")</f>
        <v>111.95403225806439</v>
      </c>
      <c r="D7" s="86">
        <f ca="1">IF($AC$2="NO",IF(AND(AO7="MinCorrect",A7&lt;&gt;" "),MAIN!$L$14,D7),"")</f>
        <v>-4.1666666666666963E-2</v>
      </c>
      <c r="E7" s="86">
        <f ca="1">IF($AC$2="NO",IF(AND(AO7="MinCorrect",A7&lt;&gt;" "),MAIN!$J$49,E7),"")</f>
        <v>0</v>
      </c>
      <c r="F7" s="167">
        <f ca="1">IF($AC$2="NO",IF(AND(AO7="MinCorrect",A7&lt;&gt;" "),MAIN!$E$5,F7),"")</f>
        <v>700575</v>
      </c>
      <c r="G7" s="167">
        <f ca="1">IF($AC$2="NO",IF(AND(AO7="MinCorrect",A7&lt;&gt;" "),[3]MAIN!$F$5,G7),"")</f>
        <v>180627</v>
      </c>
      <c r="H7" s="532" t="str">
        <f ca="1">IF($AC$2="NO",IF(AND(AO7="MinCorrect",A7&lt;&gt;" "),[3]MAIN!$E$7,H7),"")</f>
        <v>SELL</v>
      </c>
      <c r="I7" s="167">
        <f ca="1">IF($AC$2="NO",IF(AND(AO7="MinCorrect",A7&lt;&gt;" "),MAIN!$H$5,I7),"")</f>
        <v>0</v>
      </c>
      <c r="J7" s="532">
        <f ca="1">IF($AC$2="NO",IF(AND(AO7="MinCorrect",A7&lt;&gt;" "),MAIN!$L$5,J7),"")</f>
        <v>12000</v>
      </c>
      <c r="K7" s="167">
        <f ca="1">IF($AC$2="NO",IF(AND(AO7="MinCorrect",A7&lt;&gt;" "),MAIN!$M$5,K7),"")</f>
        <v>3.75</v>
      </c>
      <c r="L7" s="535">
        <f ca="1">IF($AC$2="NO",IF(AND(AO7="MinCorrect",A7&lt;&gt;" "),MAIN!$N$5,L7),"")</f>
        <v>6043050</v>
      </c>
      <c r="M7" s="534">
        <f ca="1">IF($AC$2="NO",IF(AND(AO7="MinCorrect",A7&lt;&gt;" "),MAIN!$B$2,M7),"")</f>
        <v>11904.45</v>
      </c>
      <c r="N7" s="816">
        <f ca="1">IF($AC$2="NO",IF(AND(AO7="MinCorrect",A7&lt;&gt;" "),MAIN!$S$2,N7),"")</f>
        <v>11850</v>
      </c>
      <c r="O7" s="435">
        <f ca="1">IF($AC$2="NO",IF(AND(AO7="MinCorrect",A7&lt;&gt;" "),MAIN!$M$27,O7),"")</f>
        <v>6.5916666666666677</v>
      </c>
      <c r="P7" s="534" t="str">
        <f ca="1">IF($AC$2="NO",IF(AND(AO7="MinCorrect",A7&lt;&gt;" "),MAIN!$F$10,P7),"")</f>
        <v/>
      </c>
      <c r="Q7" s="534" t="str">
        <f ca="1">IF($AC$2="NO",IF(AND(AO7="MinCorrect",A7&lt;&gt;" "),MAIN!$D$10,Q7),"")</f>
        <v/>
      </c>
      <c r="R7" s="534" t="str">
        <f ca="1">IF($AC$2="NO",IF(AND(AO7="MinCorrect",A7&lt;&gt;" "),MAIN!$E$10,R7),"")</f>
        <v/>
      </c>
      <c r="S7" s="88" t="e">
        <f ca="1">IF($AC$2="NO",IF(AND(AO7="MinCorrect",A7&lt;&gt;" "),[3]MAIN!#REF!,S7),"")</f>
        <v>#REF!</v>
      </c>
      <c r="T7" s="525" t="e">
        <f ca="1">IF($AC$2="NO",IF(AND(AO7="MinCorrect",A7&lt;&gt;" "),MAIN!#REF!,T7),"")</f>
        <v>#REF!</v>
      </c>
      <c r="U7" s="525" t="e">
        <f ca="1">IF($AC$2="NO",IF(AND(AO7="MinCorrect",A7&lt;&gt;" "),MAIN!#REF!,U7),"")</f>
        <v>#REF!</v>
      </c>
      <c r="V7" s="818" t="e">
        <f ca="1">IF($AC$2="NO",IF(AND(AO7="MinCorrect",A7&lt;&gt;" "),MAIN!#REF!,V7),"")</f>
        <v>#REF!</v>
      </c>
      <c r="W7" s="434"/>
      <c r="X7" s="434"/>
      <c r="Y7" s="434"/>
      <c r="Z7" s="521"/>
      <c r="AA7" s="521"/>
      <c r="AB7" s="521"/>
      <c r="AC7" s="521"/>
      <c r="AD7" s="521"/>
      <c r="AM7" s="275">
        <v>0.41666666666666669</v>
      </c>
      <c r="AN7" s="521"/>
      <c r="AO7" s="521" t="str">
        <f ca="1">IF(AND(HOUR(AM7)=(HOUR($AN$3)),(HOUR(AM8)=(HOUR($AN$3)))),IF(AND(MINUTE($AN$3)-MINUTE(AM7)&gt;=0,(MINUTE(AM8)-MINUTE($AN$3)&gt;0)),"Mincorrect","MinFalse"),"Hour False")</f>
        <v>Hour False</v>
      </c>
    </row>
    <row r="8" spans="1:45" ht="14.5" customHeight="1" thickBot="1" x14ac:dyDescent="0.4">
      <c r="A8" s="531"/>
      <c r="B8" s="529"/>
      <c r="C8" s="86" t="str">
        <f ca="1">IF($AC$2="NO",IF(AND(AO8="MinCorrect",A8&lt;&gt;" "),MAIN!$L$13,C8),"")</f>
        <v/>
      </c>
      <c r="D8" s="86" t="str">
        <f ca="1">IF($AC$2="NO",IF(AND(AO8="MinCorrect",A8&lt;&gt;" "),MAIN!$L$14,D8),"")</f>
        <v/>
      </c>
      <c r="E8" s="86" t="str">
        <f ca="1">IF($AC$2="NO",IF(AND(AO8="MinCorrect",A8&lt;&gt;" "),MAIN!$J$49,E8),"")</f>
        <v/>
      </c>
      <c r="F8" s="168">
        <f ca="1">IF($AC$2="NO",IF(AND(AO7="MinCorrect",A7&lt;&gt;" "),MAIN!$E$6,F8),"")</f>
        <v>1796850</v>
      </c>
      <c r="G8" s="168">
        <f ca="1">IF($AC$2="NO",IF(AND(AO7="MinCorrect",A7&lt;&gt;" "),[3]MAIN!$F$6,G8),"")</f>
        <v>226557</v>
      </c>
      <c r="H8" s="168"/>
      <c r="I8" s="168" t="str">
        <f ca="1">IF($AC$2="NO",IF(AND(AO8="MinCorrect",A8&lt;&gt;" "),MAIN!$H$6,I8),"")</f>
        <v/>
      </c>
      <c r="J8" s="533" t="str">
        <f ca="1">IF($AC$2="NO",IF(AND(AO8="MinCorrect",A8&lt;&gt;" "),MAIN!$L$5,J8),"")</f>
        <v/>
      </c>
      <c r="K8" s="168" t="str">
        <f ca="1">IF($AC$2="NO",IF(AND(AO8="MinCorrect",A8&lt;&gt;" "),MAIN!$M$5,K8),"")</f>
        <v/>
      </c>
      <c r="L8" s="536" t="str">
        <f ca="1">IF($AC$2="NO",IF(AND(AO8="MinCorrect",A8&lt;&gt;" "),MAIN!$N$5,L8),"")</f>
        <v/>
      </c>
      <c r="M8" s="435"/>
      <c r="N8" s="817"/>
      <c r="O8" s="435" t="str">
        <f ca="1">IF($AC$2="NO",IF(AND(AO8="MinCorrect",A8&lt;&gt;" "),MAIN!$J$49,O8),"")</f>
        <v/>
      </c>
      <c r="P8" s="534" t="str">
        <f ca="1">IF($AC$2="NO",IF(AND(AO8="MinCorrect",A8&lt;&gt;" "),MAIN!$F$10,P8),"")</f>
        <v/>
      </c>
      <c r="Q8" s="534" t="str">
        <f ca="1">IF($AC$2="NO",IF(AND(AO8="MinCorrect",A8&lt;&gt;" "),MAIN!$D$10,Q8),"")</f>
        <v/>
      </c>
      <c r="R8" s="534" t="str">
        <f ca="1">IF($AC$2="NO",IF(AND(AO8="MinCorrect",A8&lt;&gt;" "),MAIN!$E$10,R8),"")</f>
        <v/>
      </c>
      <c r="S8" s="92" t="e">
        <f ca="1">IF($AC$2="NO",IF(AND(AO7="MinCorrect",A7&lt;&gt;" "),[3]MAIN!#REF!,S8),"")</f>
        <v>#REF!</v>
      </c>
      <c r="T8" s="525" t="str">
        <f ca="1">IF($AC$2="NO",IF(AND(AO8="MinCorrect",A8&lt;&gt;" "),MAIN!#REF!,T8),"")</f>
        <v/>
      </c>
      <c r="U8" s="525" t="str">
        <f ca="1">IF($AC$2="NO",IF(AND(AO8="MinCorrect",A8&lt;&gt;" "),MAIN!#REF!,U8),"")</f>
        <v/>
      </c>
      <c r="V8" s="818"/>
      <c r="W8" s="434"/>
      <c r="X8" s="434"/>
      <c r="Y8" s="434"/>
      <c r="Z8" s="521"/>
      <c r="AA8" s="521"/>
      <c r="AB8" s="521"/>
      <c r="AC8" s="521"/>
      <c r="AD8" s="521"/>
      <c r="AM8" s="275">
        <v>0.41944444444444445</v>
      </c>
      <c r="AN8" s="521"/>
      <c r="AO8" s="521"/>
    </row>
    <row r="9" spans="1:45" ht="14.5" customHeight="1" thickBot="1" x14ac:dyDescent="0.4">
      <c r="A9" s="530" t="str">
        <f ca="1">IF($AC$2="NO",IF(AO9="MinCorrect",Sheet51!$F$1,IF(A9&lt;=TIMEVALUE("00:00:00"),"",A9)),"")</f>
        <v>10:16:20</v>
      </c>
      <c r="B9" s="528" t="str">
        <f ca="1">IF($AC$2="NO",IF(AND(AO9="MinCorrect",A9&lt;&gt;" "),MAIN!$I$12,B9),"")</f>
        <v>NIFTY</v>
      </c>
      <c r="C9" s="86">
        <f ca="1">IF($AC$2="NO",IF(AND(AO9="MinCorrect",A9&lt;&gt;" "),MAIN!$L$13,C9),"")</f>
        <v>131.0596774193547</v>
      </c>
      <c r="D9" s="86">
        <f ca="1">IF($AC$2="NO",IF(AND(AO9="MinCorrect",A9&lt;&gt;" "),MAIN!$L$14,D9),"")</f>
        <v>2.2416666666666654</v>
      </c>
      <c r="E9" s="86">
        <f ca="1">IF($AC$2="NO",IF(AND(AO9="MinCorrect",A9&lt;&gt;" "),MAIN!$J$49,E9),"")</f>
        <v>0</v>
      </c>
      <c r="F9" s="167">
        <f ca="1">IF($AC$2="NO",IF(AND(AO9="MinCorrect",A9&lt;&gt;" "),MAIN!$E$5,F9),"")</f>
        <v>675975</v>
      </c>
      <c r="G9" s="167">
        <f ca="1">IF($AC$2="NO",IF(AND(AO9="MinCorrect",A9&lt;&gt;" "),[3]MAIN!$F$5,G9),"")</f>
        <v>180627</v>
      </c>
      <c r="H9" s="532" t="str">
        <f ca="1">IF($AC$2="NO",IF(AND(AO9="MinCorrect",A9&lt;&gt;" "),[3]MAIN!$E$7,H9),"")</f>
        <v>SELL</v>
      </c>
      <c r="I9" s="167">
        <f ca="1">IF($AC$2="NO",IF(AND(AO9="MinCorrect",A9&lt;&gt;" "),MAIN!$H$5,I9),"")</f>
        <v>0</v>
      </c>
      <c r="J9" s="532">
        <f ca="1">IF($AC$2="NO",IF(AND(AO9="MinCorrect",A9&lt;&gt;" "),MAIN!$L$5,J9),"")</f>
        <v>12000</v>
      </c>
      <c r="K9" s="167">
        <f ca="1">IF($AC$2="NO",IF(AND(AO9="MinCorrect",A9&lt;&gt;" "),MAIN!$M$5,K9),"")</f>
        <v>4.05</v>
      </c>
      <c r="L9" s="535">
        <f ca="1">IF($AC$2="NO",IF(AND(AO9="MinCorrect",A9&lt;&gt;" "),MAIN!$N$5,L9),"")</f>
        <v>6018450</v>
      </c>
      <c r="M9" s="534">
        <f ca="1">IF($AC$2="NO",IF(AND(AO9="MinCorrect",A9&lt;&gt;" "),MAIN!$B$2,M9),"")</f>
        <v>11915.8</v>
      </c>
      <c r="N9" s="816">
        <f ca="1">IF($AC$2="NO",IF(AND(AO9="MinCorrect",A9&lt;&gt;" "),MAIN!$S$2,N9),"")</f>
        <v>11850</v>
      </c>
      <c r="O9" s="435">
        <f ca="1">IF($AC$2="NO",IF(AND(AO9="MinCorrect",A9&lt;&gt;" "),MAIN!$M$27,O9),"")</f>
        <v>5.3666666666666663</v>
      </c>
      <c r="P9" s="534" t="str">
        <f ca="1">IF($AC$2="NO",IF(AND(AO9="MinCorrect",A9&lt;&gt;" "),MAIN!$F$10,P9),"")</f>
        <v/>
      </c>
      <c r="Q9" s="534" t="str">
        <f ca="1">IF($AC$2="NO",IF(AND(AO9="MinCorrect",A9&lt;&gt;" "),MAIN!$D$10,Q9),"")</f>
        <v/>
      </c>
      <c r="R9" s="534" t="str">
        <f ca="1">IF($AC$2="NO",IF(AND(AO9="MinCorrect",A9&lt;&gt;" "),MAIN!$E$10,R9),"")</f>
        <v/>
      </c>
      <c r="S9" s="88" t="e">
        <f ca="1">IF($AC$2="NO",IF(AND(AO9="MinCorrect",A9&lt;&gt;" "),[3]MAIN!#REF!,S9),"")</f>
        <v>#REF!</v>
      </c>
      <c r="T9" s="525" t="e">
        <f ca="1">IF($AC$2="NO",IF(AND(AO9="MinCorrect",A9&lt;&gt;" "),MAIN!#REF!,T9),"")</f>
        <v>#REF!</v>
      </c>
      <c r="U9" s="525" t="e">
        <f ca="1">IF($AC$2="NO",IF(AND(AO9="MinCorrect",A9&lt;&gt;" "),MAIN!#REF!,U9),"")</f>
        <v>#REF!</v>
      </c>
      <c r="V9" s="818" t="e">
        <f ca="1">IF($AC$2="NO",IF(AND(AO9="MinCorrect",A9&lt;&gt;" "),MAIN!#REF!,V9),"")</f>
        <v>#REF!</v>
      </c>
      <c r="W9" s="434"/>
      <c r="X9" s="434"/>
      <c r="Y9" s="434"/>
      <c r="Z9" s="521"/>
      <c r="AA9" s="521"/>
      <c r="AB9" s="718" t="s">
        <v>165</v>
      </c>
      <c r="AC9" s="719"/>
      <c r="AD9" s="719"/>
      <c r="AM9" s="275">
        <v>0.42708333333333331</v>
      </c>
      <c r="AN9" s="521"/>
      <c r="AO9" s="521" t="str">
        <f ca="1">IF(AND(HOUR(AM9)=(HOUR($AN$3)),(HOUR(AM10)=(HOUR($AN$3)))),IF(AND(MINUTE($AN$3)-MINUTE(AM9)&gt;=0,(MINUTE(AM10)-MINUTE($AN$3)&gt;0)),"Mincorrect","MinFalse"),"Hour False")</f>
        <v>Hour False</v>
      </c>
    </row>
    <row r="10" spans="1:45" ht="14.5" customHeight="1" thickBot="1" x14ac:dyDescent="0.4">
      <c r="A10" s="531"/>
      <c r="B10" s="529"/>
      <c r="C10" s="86" t="str">
        <f ca="1">IF($AC$2="NO",IF(AND(AO10="MinCorrect",A10&lt;&gt;" "),MAIN!$L$13,C10),"")</f>
        <v/>
      </c>
      <c r="D10" s="86" t="str">
        <f ca="1">IF($AC$2="NO",IF(AND(AO10="MinCorrect",A10&lt;&gt;" "),MAIN!$L$14,D10),"")</f>
        <v/>
      </c>
      <c r="E10" s="86" t="str">
        <f ca="1">IF($AC$2="NO",IF(AND(AO10="MinCorrect",A10&lt;&gt;" "),MAIN!$J$49,E10),"")</f>
        <v/>
      </c>
      <c r="F10" s="168">
        <f ca="1">IF($AC$2="NO",IF(AND(AO9="MinCorrect",A9&lt;&gt;" "),MAIN!$E$6,F10),"")</f>
        <v>2128050</v>
      </c>
      <c r="G10" s="168">
        <f ca="1">IF($AC$2="NO",IF(AND(AO9="MinCorrect",A9&lt;&gt;" "),[3]MAIN!$F$6,G10),"")</f>
        <v>226557</v>
      </c>
      <c r="H10" s="168"/>
      <c r="I10" s="168" t="str">
        <f ca="1">IF($AC$2="NO",IF(AND(AO10="MinCorrect",A10&lt;&gt;" "),MAIN!$H$6,I10),"")</f>
        <v/>
      </c>
      <c r="J10" s="533" t="str">
        <f ca="1">IF($AC$2="NO",IF(AND(AO10="MinCorrect",A10&lt;&gt;" "),MAIN!$L$5,J10),"")</f>
        <v/>
      </c>
      <c r="K10" s="168" t="str">
        <f ca="1">IF($AC$2="NO",IF(AND(AO10="MinCorrect",A10&lt;&gt;" "),MAIN!$M$5,K10),"")</f>
        <v/>
      </c>
      <c r="L10" s="536" t="str">
        <f ca="1">IF($AC$2="NO",IF(AND(AO10="MinCorrect",A10&lt;&gt;" "),MAIN!$N$5,L10),"")</f>
        <v/>
      </c>
      <c r="M10" s="435"/>
      <c r="N10" s="817"/>
      <c r="O10" s="435" t="str">
        <f ca="1">IF($AC$2="NO",IF(AND(AO10="MinCorrect",A10&lt;&gt;" "),MAIN!$J$49,O10),"")</f>
        <v/>
      </c>
      <c r="P10" s="534" t="str">
        <f ca="1">IF($AC$2="NO",IF(AND(AO10="MinCorrect",A10&lt;&gt;" "),MAIN!$F$10,P10),"")</f>
        <v/>
      </c>
      <c r="Q10" s="534" t="str">
        <f ca="1">IF($AC$2="NO",IF(AND(AO10="MinCorrect",A10&lt;&gt;" "),MAIN!$D$10,Q10),"")</f>
        <v/>
      </c>
      <c r="R10" s="534" t="str">
        <f ca="1">IF($AC$2="NO",IF(AND(AO10="MinCorrect",A10&lt;&gt;" "),MAIN!$E$10,R10),"")</f>
        <v/>
      </c>
      <c r="S10" s="92" t="e">
        <f ca="1">IF($AC$2="NO",IF(AND(AO9="MinCorrect",A9&lt;&gt;" "),[3]MAIN!#REF!,S10),"")</f>
        <v>#REF!</v>
      </c>
      <c r="T10" s="525" t="str">
        <f ca="1">IF($AC$2="NO",IF(AND(AO10="MinCorrect",A10&lt;&gt;" "),MAIN!#REF!,T10),"")</f>
        <v/>
      </c>
      <c r="U10" s="525" t="str">
        <f ca="1">IF($AC$2="NO",IF(AND(AO10="MinCorrect",A10&lt;&gt;" "),MAIN!#REF!,U10),"")</f>
        <v/>
      </c>
      <c r="V10" s="818"/>
      <c r="W10" s="434"/>
      <c r="X10" s="434"/>
      <c r="Y10" s="434"/>
      <c r="Z10" s="521"/>
      <c r="AA10" s="521"/>
      <c r="AB10" s="718" t="s">
        <v>166</v>
      </c>
      <c r="AC10" s="719"/>
      <c r="AD10" s="719"/>
      <c r="AM10" s="275">
        <v>0.42986111111111108</v>
      </c>
      <c r="AN10" s="521"/>
      <c r="AO10" s="521"/>
    </row>
    <row r="11" spans="1:45" ht="14.5" customHeight="1" thickBot="1" x14ac:dyDescent="0.4">
      <c r="A11" s="530" t="str">
        <f ca="1">IF($AC$2="NO",IF(AO11="MinCorrect",Sheet51!$F$1,IF(A11&lt;=TIMEVALUE("00:00:00"),"",A11)),"")</f>
        <v>10:30:51</v>
      </c>
      <c r="B11" s="528" t="str">
        <f ca="1">IF($AC$2="NO",IF(AND(AO11="MinCorrect",A11&lt;&gt;" "),MAIN!$I$12,B11),"")</f>
        <v>NIFTY</v>
      </c>
      <c r="C11" s="86">
        <f ca="1">IF($AC$2="NO",IF(AND(AO11="MinCorrect",A11&lt;&gt;" "),MAIN!$L$13,C11),"")</f>
        <v>143.12177419354796</v>
      </c>
      <c r="D11" s="86">
        <f ca="1">IF($AC$2="NO",IF(AND(AO11="MinCorrect",A11&lt;&gt;" "),MAIN!$L$14,D11),"")</f>
        <v>3.3166666666666673</v>
      </c>
      <c r="E11" s="86">
        <f ca="1">IF($AC$2="NO",IF(AND(AO11="MinCorrect",A11&lt;&gt;" "),MAIN!$J$49,E11),"")</f>
        <v>0</v>
      </c>
      <c r="F11" s="167">
        <f ca="1">IF($AC$2="NO",IF(AND(AO11="MinCorrect",A11&lt;&gt;" "),MAIN!$E$5,F11),"")</f>
        <v>682425</v>
      </c>
      <c r="G11" s="167">
        <f ca="1">IF($AC$2="NO",IF(AND(AO11="MinCorrect",A11&lt;&gt;" "),[3]MAIN!$F$5,G11),"")</f>
        <v>180627</v>
      </c>
      <c r="H11" s="532" t="str">
        <f ca="1">IF($AC$2="NO",IF(AND(AO11="MinCorrect",A11&lt;&gt;" "),MAIN!$E$7,H11),"")</f>
        <v>BUY</v>
      </c>
      <c r="I11" s="167">
        <f ca="1">IF($AC$2="NO",IF(AND(AO11="MinCorrect",A11&lt;&gt;" "),MAIN!$H$5,I11),"")</f>
        <v>0</v>
      </c>
      <c r="J11" s="532">
        <f ca="1">IF($AC$2="NO",IF(AND(AO11="MinCorrect",A11&lt;&gt;" "),MAIN!$L$5,J11),"")</f>
        <v>12000</v>
      </c>
      <c r="K11" s="167">
        <f ca="1">IF($AC$2="NO",IF(AND(AO11="MinCorrect",A11&lt;&gt;" "),MAIN!$M$5,K11),"")</f>
        <v>4.55</v>
      </c>
      <c r="L11" s="535">
        <f ca="1">IF($AC$2="NO",IF(AND(AO11="MinCorrect",A11&lt;&gt;" "),MAIN!$N$5,L11),"")</f>
        <v>6024900</v>
      </c>
      <c r="M11" s="534">
        <f ca="1">IF($AC$2="NO",IF(AND(AO11="MinCorrect",A11&lt;&gt;" "),MAIN!$B$2,M11),"")</f>
        <v>11921.65</v>
      </c>
      <c r="N11" s="816">
        <f ca="1">IF($AC$2="NO",IF(AND(AO11="MinCorrect",A11&lt;&gt;" "),MAIN!$S$2,N11),"")</f>
        <v>11900</v>
      </c>
      <c r="O11" s="435">
        <f ca="1">IF($AC$2="NO",IF(AND(AO11="MinCorrect",A11&lt;&gt;" "),MAIN!$M$27,O11),"")</f>
        <v>5.0083333333333337</v>
      </c>
      <c r="P11" s="534" t="str">
        <f ca="1">IF($AC$2="NO",IF(AND(AO11="MinCorrect",A11&lt;&gt;" "),MAIN!$F$10,P11),"")</f>
        <v/>
      </c>
      <c r="Q11" s="534" t="str">
        <f ca="1">IF($AC$2="NO",IF(AND(AO11="MinCorrect",A11&lt;&gt;" "),MAIN!$D$10,Q11),"")</f>
        <v/>
      </c>
      <c r="R11" s="534" t="str">
        <f ca="1">IF($AC$2="NO",IF(AND(AO11="MinCorrect",A11&lt;&gt;" "),MAIN!$E$10,R11),"")</f>
        <v/>
      </c>
      <c r="S11" s="88" t="e">
        <f ca="1">IF($AC$2="NO",IF(AND(AO11="MinCorrect",A11&lt;&gt;" "),[3]MAIN!#REF!,S11),"")</f>
        <v>#REF!</v>
      </c>
      <c r="T11" s="525" t="e">
        <f ca="1">IF($AC$2="NO",IF(AND(AO11="MinCorrect",A11&lt;&gt;" "),MAIN!#REF!,T11),"")</f>
        <v>#REF!</v>
      </c>
      <c r="U11" s="525" t="e">
        <f ca="1">IF($AC$2="NO",IF(AND(AO11="MinCorrect",A11&lt;&gt;" "),MAIN!#REF!,U11),"")</f>
        <v>#REF!</v>
      </c>
      <c r="V11" s="818" t="e">
        <f ca="1">IF($AC$2="NO",IF(AND(AO11="MinCorrect",A11&lt;&gt;" "),MAIN!#REF!,V11),"")</f>
        <v>#REF!</v>
      </c>
      <c r="W11" s="434"/>
      <c r="X11" s="434"/>
      <c r="Y11" s="434"/>
      <c r="Z11" s="521"/>
      <c r="AA11" s="521"/>
      <c r="AB11" s="718" t="s">
        <v>169</v>
      </c>
      <c r="AC11" s="718"/>
      <c r="AD11" s="718"/>
      <c r="AM11" s="275">
        <v>0.4375</v>
      </c>
      <c r="AN11" s="521"/>
      <c r="AO11" s="521" t="str">
        <f ca="1">IF(AND(HOUR(AM11)=(HOUR($AN$3)),(HOUR(AM12)=(HOUR($AN$3)))),IF(AND(MINUTE($AN$3)-MINUTE(AM11)&gt;=0,(MINUTE(AM12)-MINUTE($AN$3)&gt;0)),"Mincorrect","MinFalse"),"Hour False")</f>
        <v>Hour False</v>
      </c>
    </row>
    <row r="12" spans="1:45" ht="14.5" customHeight="1" thickBot="1" x14ac:dyDescent="0.4">
      <c r="A12" s="531"/>
      <c r="B12" s="529"/>
      <c r="C12" s="86" t="str">
        <f ca="1">IF($AC$2="NO",IF(AND(AO12="MinCorrect",A12&lt;&gt;" "),MAIN!$L$13,C12),"")</f>
        <v/>
      </c>
      <c r="D12" s="86" t="str">
        <f ca="1">IF($AC$2="NO",IF(AND(AO12="MinCorrect",A12&lt;&gt;" "),MAIN!$L$14,D12),"")</f>
        <v/>
      </c>
      <c r="E12" s="86" t="str">
        <f ca="1">IF($AC$2="NO",IF(AND(AO12="MinCorrect",A12&lt;&gt;" "),MAIN!$J$49,E12),"")</f>
        <v/>
      </c>
      <c r="F12" s="168">
        <f ca="1">IF($AC$2="NO",IF(AND(AO11="MinCorrect",A11&lt;&gt;" "),MAIN!$E$6,F12),"")</f>
        <v>2298675</v>
      </c>
      <c r="G12" s="168">
        <f ca="1">IF($AC$2="NO",IF(AND(AO11="MinCorrect",A11&lt;&gt;" "),MAIN!$F$6,G12),"")</f>
        <v>198443</v>
      </c>
      <c r="H12" s="168"/>
      <c r="I12" s="168" t="str">
        <f ca="1">IF($AC$2="NO",IF(AND(AO12="MinCorrect",A12&lt;&gt;" "),MAIN!$H$6,I12),"")</f>
        <v/>
      </c>
      <c r="J12" s="533" t="str">
        <f ca="1">IF($AC$2="NO",IF(AND(AO12="MinCorrect",A12&lt;&gt;" "),MAIN!$L$5,J12),"")</f>
        <v/>
      </c>
      <c r="K12" s="168" t="str">
        <f ca="1">IF($AC$2="NO",IF(AND(AO12="MinCorrect",A12&lt;&gt;" "),MAIN!$M$5,K12),"")</f>
        <v/>
      </c>
      <c r="L12" s="536" t="str">
        <f ca="1">IF($AC$2="NO",IF(AND(AO12="MinCorrect",A12&lt;&gt;" "),MAIN!$N$5,L12),"")</f>
        <v/>
      </c>
      <c r="M12" s="435"/>
      <c r="N12" s="817"/>
      <c r="O12" s="435" t="str">
        <f ca="1">IF($AC$2="NO",IF(AND(AO12="MinCorrect",A12&lt;&gt;" "),MAIN!$J$49,O12),"")</f>
        <v/>
      </c>
      <c r="P12" s="534" t="str">
        <f ca="1">IF($AC$2="NO",IF(AND(AO12="MinCorrect",A12&lt;&gt;" "),MAIN!$F$10,P12),"")</f>
        <v/>
      </c>
      <c r="Q12" s="534" t="str">
        <f ca="1">IF($AC$2="NO",IF(AND(AO12="MinCorrect",A12&lt;&gt;" "),MAIN!$D$10,Q12),"")</f>
        <v/>
      </c>
      <c r="R12" s="534" t="str">
        <f ca="1">IF($AC$2="NO",IF(AND(AO12="MinCorrect",A12&lt;&gt;" "),MAIN!$E$10,R12),"")</f>
        <v/>
      </c>
      <c r="S12" s="92" t="e">
        <f ca="1">IF($AC$2="NO",IF(AND(AO11="MinCorrect",A11&lt;&gt;" "),[3]MAIN!#REF!,S12),"")</f>
        <v>#REF!</v>
      </c>
      <c r="T12" s="525" t="str">
        <f ca="1">IF($AC$2="NO",IF(AND(AO12="MinCorrect",A12&lt;&gt;" "),MAIN!#REF!,T12),"")</f>
        <v/>
      </c>
      <c r="U12" s="525" t="str">
        <f ca="1">IF($AC$2="NO",IF(AND(AO12="MinCorrect",A12&lt;&gt;" "),MAIN!#REF!,U12),"")</f>
        <v/>
      </c>
      <c r="V12" s="818"/>
      <c r="W12" s="434"/>
      <c r="X12" s="434"/>
      <c r="Y12" s="434"/>
      <c r="Z12" s="521"/>
      <c r="AA12" s="521"/>
      <c r="AB12" s="718" t="s">
        <v>167</v>
      </c>
      <c r="AC12" s="718"/>
      <c r="AD12" s="718"/>
      <c r="AM12" s="275">
        <v>0.44027777777777777</v>
      </c>
      <c r="AN12" s="521"/>
      <c r="AO12" s="521"/>
    </row>
    <row r="13" spans="1:45" ht="14.5" customHeight="1" thickBot="1" x14ac:dyDescent="0.4">
      <c r="A13" s="530" t="str">
        <f ca="1">IF($AC$2="NO",IF(AO13="MinCorrect",Sheet51!$F$1,IF(A13&lt;=TIMEVALUE("00:00:00"),"",A13)),"")</f>
        <v>10:47:21</v>
      </c>
      <c r="B13" s="528" t="str">
        <f ca="1">IF($AC$2="NO",IF(AND(AO13="MinCorrect",A13&lt;&gt;" "),MAIN!$I$12,B13),"")</f>
        <v>NIFTY</v>
      </c>
      <c r="C13" s="86">
        <f ca="1">IF($AC$2="NO",IF(AND(AO13="MinCorrect",A13&lt;&gt;" "),MAIN!$L$13,C13),"")</f>
        <v>141.21774193548362</v>
      </c>
      <c r="D13" s="86">
        <f ca="1">IF($AC$2="NO",IF(AND(AO13="MinCorrect",A13&lt;&gt;" "),MAIN!$L$14,D13),"")</f>
        <v>-2.3416666666666672</v>
      </c>
      <c r="E13" s="86">
        <f ca="1">IF($AC$2="NO",IF(AND(AO13="MinCorrect",A13&lt;&gt;" "),MAIN!$J$49,E13),"")</f>
        <v>0</v>
      </c>
      <c r="F13" s="167">
        <f ca="1">IF($AC$2="NO",IF(AND(AO13="MinCorrect",A13&lt;&gt;" "),MAIN!$E$5,F13),"")</f>
        <v>798375</v>
      </c>
      <c r="G13" s="167">
        <f ca="1">IF($AC$2="NO",IF(AND(AO13="MinCorrect",A13&lt;&gt;" "),MAIN!$F$5,G13),"")</f>
        <v>244427</v>
      </c>
      <c r="H13" s="532" t="str">
        <f ca="1">IF($AC$2="NO",IF(AND(AO13="MinCorrect",A13&lt;&gt;" "),MAIN!$E$7,H13),"")</f>
        <v>BUY</v>
      </c>
      <c r="I13" s="167">
        <f ca="1">IF($AC$2="NO",IF(AND(AO13="MinCorrect",A13&lt;&gt;" "),MAIN!$H$5,I13),"")</f>
        <v>0</v>
      </c>
      <c r="J13" s="532">
        <f ca="1">IF($AC$2="NO",IF(AND(AO13="MinCorrect",A13&lt;&gt;" "),MAIN!$L$5,J13),"")</f>
        <v>12000</v>
      </c>
      <c r="K13" s="167">
        <f ca="1">IF($AC$2="NO",IF(AND(AO13="MinCorrect",A13&lt;&gt;" "),MAIN!$M$5,K13),"")</f>
        <v>3.15</v>
      </c>
      <c r="L13" s="535">
        <f ca="1">IF($AC$2="NO",IF(AND(AO13="MinCorrect",A13&lt;&gt;" "),MAIN!$N$5,L13),"")</f>
        <v>6140850</v>
      </c>
      <c r="M13" s="534">
        <f ca="1">IF($AC$2="NO",IF(AND(AO13="MinCorrect",A13&lt;&gt;" "),MAIN!$B$2,M13),"")</f>
        <v>11916.1</v>
      </c>
      <c r="N13" s="816">
        <f ca="1">IF($AC$2="NO",IF(AND(AO13="MinCorrect",A13&lt;&gt;" "),MAIN!$S$2,N13),"")</f>
        <v>11900</v>
      </c>
      <c r="O13" s="435">
        <f ca="1">IF($AC$2="NO",IF(AND(AO13="MinCorrect",A13&lt;&gt;" "),MAIN!$M$27,O13),"")</f>
        <v>5.6333333333333337</v>
      </c>
      <c r="P13" s="534" t="str">
        <f ca="1">IF($AC$2="NO",IF(AND(AO13="MinCorrect",A13&lt;&gt;" "),MAIN!$F$10,P13),"")</f>
        <v/>
      </c>
      <c r="Q13" s="534" t="str">
        <f ca="1">IF($AC$2="NO",IF(AND(AO13="MinCorrect",A13&lt;&gt;" "),MAIN!$D$10,Q13),"")</f>
        <v/>
      </c>
      <c r="R13" s="534" t="str">
        <f ca="1">IF($AC$2="NO",IF(AND(AO13="MinCorrect",A13&lt;&gt;" "),MAIN!$E$10,R13),"")</f>
        <v/>
      </c>
      <c r="S13" s="88" t="e">
        <f ca="1">IF($AC$2="NO",IF(AND(AO13="MinCorrect",A13&lt;&gt;" "),[3]MAIN!#REF!,S13),"")</f>
        <v>#REF!</v>
      </c>
      <c r="T13" s="525" t="e">
        <f ca="1">IF($AC$2="NO",IF(AND(AO13="MinCorrect",A13&lt;&gt;" "),MAIN!#REF!,T13),"")</f>
        <v>#REF!</v>
      </c>
      <c r="U13" s="525" t="e">
        <f ca="1">IF($AC$2="NO",IF(AND(AO13="MinCorrect",A13&lt;&gt;" "),MAIN!#REF!,U13),"")</f>
        <v>#REF!</v>
      </c>
      <c r="V13" s="818" t="e">
        <f ca="1">IF($AC$2="NO",IF(AND(AO13="MinCorrect",A13&lt;&gt;" "),MAIN!#REF!,V13),"")</f>
        <v>#REF!</v>
      </c>
      <c r="W13" s="434"/>
      <c r="X13" s="434"/>
      <c r="Y13" s="434"/>
      <c r="Z13" s="521"/>
      <c r="AA13" s="521"/>
      <c r="AB13" s="718" t="s">
        <v>168</v>
      </c>
      <c r="AC13" s="718"/>
      <c r="AD13" s="718"/>
      <c r="AM13" s="275">
        <v>0.44791666666666669</v>
      </c>
      <c r="AN13" s="521"/>
      <c r="AO13" s="521" t="str">
        <f ca="1">IF(AND(HOUR(AM13)=(HOUR($AN$3)),(HOUR(AM14)=(HOUR($AN$3)))),IF(AND(MINUTE($AN$3)-MINUTE(AM13)&gt;=0,(MINUTE(AM14)-MINUTE($AN$3)&gt;0)),"Mincorrect","MinFalse"),"Hour False")</f>
        <v>Hour False</v>
      </c>
    </row>
    <row r="14" spans="1:45" ht="14.5" customHeight="1" thickBot="1" x14ac:dyDescent="0.4">
      <c r="A14" s="531"/>
      <c r="B14" s="529"/>
      <c r="C14" s="86" t="str">
        <f ca="1">IF($AC$2="NO",IF(AND(AO14="MinCorrect",A14&lt;&gt;" "),MAIN!$L$13,C14),"")</f>
        <v/>
      </c>
      <c r="D14" s="86" t="str">
        <f ca="1">IF($AC$2="NO",IF(AND(AO14="MinCorrect",A14&lt;&gt;" "),MAIN!$L$14,D14),"")</f>
        <v/>
      </c>
      <c r="E14" s="86" t="str">
        <f ca="1">IF($AC$2="NO",IF(AND(AO14="MinCorrect",A14&lt;&gt;" "),MAIN!$J$49,E14),"")</f>
        <v/>
      </c>
      <c r="F14" s="168">
        <f ca="1">IF($AC$2="NO",IF(AND(AO13="MinCorrect",A13&lt;&gt;" "),MAIN!$E$6,F14),"")</f>
        <v>2372475</v>
      </c>
      <c r="G14" s="168" t="str">
        <f ca="1">IF($AC$2="NO",IF(AND(AO14="MinCorrect",A14&lt;&gt;" "),MAIN!$F$5,G14),"")</f>
        <v/>
      </c>
      <c r="H14" s="168"/>
      <c r="I14" s="168" t="str">
        <f ca="1">IF($AC$2="NO",IF(AND(AO14="MinCorrect",A14&lt;&gt;" "),MAIN!$H$6,I14),"")</f>
        <v/>
      </c>
      <c r="J14" s="533" t="str">
        <f ca="1">IF($AC$2="NO",IF(AND(AO14="MinCorrect",A14&lt;&gt;" "),MAIN!$L$5,J14),"")</f>
        <v/>
      </c>
      <c r="K14" s="168" t="str">
        <f ca="1">IF($AC$2="NO",IF(AND(AO14="MinCorrect",A14&lt;&gt;" "),MAIN!$M$5,K14),"")</f>
        <v/>
      </c>
      <c r="L14" s="536" t="str">
        <f ca="1">IF($AC$2="NO",IF(AND(AO14="MinCorrect",A14&lt;&gt;" "),MAIN!$N$5,L14),"")</f>
        <v/>
      </c>
      <c r="M14" s="435"/>
      <c r="N14" s="817"/>
      <c r="O14" s="435" t="str">
        <f ca="1">IF($AC$2="NO",IF(AND(AO14="MinCorrect",A14&lt;&gt;" "),MAIN!$J$49,O14),"")</f>
        <v/>
      </c>
      <c r="P14" s="534" t="str">
        <f ca="1">IF($AC$2="NO",IF(AND(AO14="MinCorrect",A14&lt;&gt;" "),MAIN!$F$10,P14),"")</f>
        <v/>
      </c>
      <c r="Q14" s="534" t="str">
        <f ca="1">IF($AC$2="NO",IF(AND(AO14="MinCorrect",A14&lt;&gt;" "),MAIN!$D$10,Q14),"")</f>
        <v/>
      </c>
      <c r="R14" s="534" t="str">
        <f ca="1">IF($AC$2="NO",IF(AND(AO14="MinCorrect",A14&lt;&gt;" "),MAIN!$E$10,R14),"")</f>
        <v/>
      </c>
      <c r="S14" s="92" t="e">
        <f ca="1">IF($AC$2="NO",IF(AND(AO13="MinCorrect",A13&lt;&gt;" "),[3]MAIN!#REF!,S14),"")</f>
        <v>#REF!</v>
      </c>
      <c r="T14" s="525" t="str">
        <f ca="1">IF($AC$2="NO",IF(AND(AO14="MinCorrect",A14&lt;&gt;" "),MAIN!#REF!,T14),"")</f>
        <v/>
      </c>
      <c r="U14" s="525" t="str">
        <f ca="1">IF($AC$2="NO",IF(AND(AO14="MinCorrect",A14&lt;&gt;" "),MAIN!#REF!,U14),"")</f>
        <v/>
      </c>
      <c r="V14" s="818"/>
      <c r="W14" s="434"/>
      <c r="X14" s="434"/>
      <c r="Y14" s="434"/>
      <c r="AM14" s="275">
        <v>0.45069444444444445</v>
      </c>
      <c r="AN14" s="521"/>
      <c r="AO14" s="521"/>
    </row>
    <row r="15" spans="1:45" ht="14.5" customHeight="1" thickBot="1" x14ac:dyDescent="0.4">
      <c r="A15" s="530" t="str">
        <f ca="1">IF($AC$2="NO",IF(AO15="MinCorrect",Sheet51!$F$1,IF(A15&lt;=TIMEVALUE("00:00:00"),"",A15)),"")</f>
        <v>11:01:22</v>
      </c>
      <c r="B15" s="528" t="str">
        <f ca="1">IF($AC$2="NO",IF(AND(AO15="MinCorrect",A15&lt;&gt;" "),MAIN!$I$12,B15),"")</f>
        <v>NIFTY</v>
      </c>
      <c r="C15" s="86">
        <f ca="1">IF($AC$2="NO",IF(AND(AO15="MinCorrect",A15&lt;&gt;" "),MAIN!$L$13,C15),"")</f>
        <v>142.3298387096772</v>
      </c>
      <c r="D15" s="86">
        <f ca="1">IF($AC$2="NO",IF(AND(AO15="MinCorrect",A15&lt;&gt;" "),MAIN!$L$14,D15),"")</f>
        <v>-2.1166666666666663</v>
      </c>
      <c r="E15" s="86">
        <f ca="1">IF($AC$2="NO",IF(AND(AO15="MinCorrect",A15&lt;&gt;" "),MAIN!$J$49,E15),"")</f>
        <v>0</v>
      </c>
      <c r="F15" s="167">
        <f ca="1">IF($AC$2="NO",IF(AND(AO15="MinCorrect",A15&lt;&gt;" "),MAIN!$E$5,F15),"")</f>
        <v>953325</v>
      </c>
      <c r="G15" s="167">
        <f ca="1">IF($AC$2="NO",IF(AND(AO15="MinCorrect",A15&lt;&gt;" "),MAIN!$F$5,G15),"")</f>
        <v>261991</v>
      </c>
      <c r="H15" s="532" t="str">
        <f ca="1">IF($AC$2="NO",IF(AND(AO15="MinCorrect",A15&lt;&gt;" "),MAIN!$E$7,H15),"")</f>
        <v>BUY</v>
      </c>
      <c r="I15" s="167">
        <f ca="1">IF($AC$2="NO",IF(AND(AO15="MinCorrect",A15&lt;&gt;" "),MAIN!$H$5,I15),"")</f>
        <v>0</v>
      </c>
      <c r="J15" s="532">
        <f ca="1">IF($AC$2="NO",IF(AND(AO15="MinCorrect",A15&lt;&gt;" "),MAIN!$L$5,J15),"")</f>
        <v>12000</v>
      </c>
      <c r="K15" s="167">
        <f ca="1">IF($AC$2="NO",IF(AND(AO15="MinCorrect",A15&lt;&gt;" "),MAIN!$M$5,K15),"")</f>
        <v>3</v>
      </c>
      <c r="L15" s="535">
        <f ca="1">IF($AC$2="NO",IF(AND(AO15="MinCorrect",A15&lt;&gt;" "),MAIN!$N$5,L15),"")</f>
        <v>6295800</v>
      </c>
      <c r="M15" s="534">
        <f ca="1">IF($AC$2="NO",IF(AND(AO15="MinCorrect",A15&lt;&gt;" "),MAIN!$B$2,M15),"")</f>
        <v>11912.7</v>
      </c>
      <c r="N15" s="816">
        <f ca="1">IF($AC$2="NO",IF(AND(AO15="MinCorrect",A15&lt;&gt;" "),MAIN!$S$2,N15),"")</f>
        <v>11900</v>
      </c>
      <c r="O15" s="435">
        <f ca="1">IF($AC$2="NO",IF(AND(AO15="MinCorrect",A15&lt;&gt;" "),MAIN!$M$27,O15),"")</f>
        <v>5.3916666666666666</v>
      </c>
      <c r="P15" s="534" t="str">
        <f ca="1">IF($AC$2="NO",IF(AND(AO15="MinCorrect",A15&lt;&gt;" "),MAIN!$F$10,P15),"")</f>
        <v/>
      </c>
      <c r="Q15" s="534" t="str">
        <f ca="1">IF($AC$2="NO",IF(AND(AO15="MinCorrect",A15&lt;&gt;" "),MAIN!$D$10,Q15),"")</f>
        <v/>
      </c>
      <c r="R15" s="534" t="str">
        <f ca="1">IF($AC$2="NO",IF(AND(AO15="MinCorrect",A15&lt;&gt;" "),MAIN!$E$10,R15),"")</f>
        <v/>
      </c>
      <c r="S15" s="88" t="e">
        <f ca="1">IF($AC$2="NO",IF(AND(AO15="MinCorrect",A15&lt;&gt;" "),[3]MAIN!#REF!,S15),"")</f>
        <v>#REF!</v>
      </c>
      <c r="T15" s="525" t="e">
        <f ca="1">IF($AC$2="NO",IF(AND(AO15="MinCorrect",A15&lt;&gt;" "),MAIN!#REF!,T15),"")</f>
        <v>#REF!</v>
      </c>
      <c r="U15" s="525" t="e">
        <f ca="1">IF($AC$2="NO",IF(AND(AO15="MinCorrect",A15&lt;&gt;" "),MAIN!#REF!,U15),"")</f>
        <v>#REF!</v>
      </c>
      <c r="V15" s="818" t="e">
        <f ca="1">IF($AC$2="NO",IF(AND(AO15="MinCorrect",A15&lt;&gt;" "),MAIN!#REF!,V15),"")</f>
        <v>#REF!</v>
      </c>
      <c r="W15" s="434"/>
      <c r="X15" s="434"/>
      <c r="Y15" s="434"/>
      <c r="AM15" s="275">
        <v>0.45833333333333331</v>
      </c>
      <c r="AN15" s="521"/>
      <c r="AO15" s="521" t="str">
        <f ca="1">IF(AND(HOUR(AM15)=(HOUR($AN$3)),(HOUR(AM16)=(HOUR($AN$3)))),IF(AND(MINUTE($AN$3)-MINUTE(AM15)&gt;=0,(MINUTE(AM16)-MINUTE($AN$3)&gt;0)),"Mincorrect","MinFalse"),"Hour False")</f>
        <v>Hour False</v>
      </c>
    </row>
    <row r="16" spans="1:45" ht="14.5" customHeight="1" thickBot="1" x14ac:dyDescent="0.4">
      <c r="A16" s="531"/>
      <c r="B16" s="529"/>
      <c r="C16" s="86" t="str">
        <f ca="1">IF($AC$2="NO",IF(AND(AO16="MinCorrect",A16&lt;&gt;" "),MAIN!$L$13,C16),"")</f>
        <v/>
      </c>
      <c r="D16" s="86" t="str">
        <f ca="1">IF($AC$2="NO",IF(AND(AO16="MinCorrect",A16&lt;&gt;" "),MAIN!$L$14,D16),"")</f>
        <v/>
      </c>
      <c r="E16" s="86" t="str">
        <f ca="1">IF($AC$2="NO",IF(AND(AO16="MinCorrect",A16&lt;&gt;" "),MAIN!$J$49,E16),"")</f>
        <v/>
      </c>
      <c r="F16" s="168">
        <f ca="1">IF($AC$2="NO",IF(AND(AO15="MinCorrect",A15&lt;&gt;" "),MAIN!$E$6,F16),"")</f>
        <v>2484600</v>
      </c>
      <c r="G16" s="168" t="str">
        <f ca="1">IF($AC$2="NO",IF(AND(AO16="MinCorrect",A16&lt;&gt;" "),MAIN!$F$5,G16),"")</f>
        <v/>
      </c>
      <c r="H16" s="168"/>
      <c r="I16" s="168" t="str">
        <f ca="1">IF($AC$2="NO",IF(AND(AO16="MinCorrect",A16&lt;&gt;" "),MAIN!$H$6,I16),"")</f>
        <v/>
      </c>
      <c r="J16" s="533" t="str">
        <f ca="1">IF($AC$2="NO",IF(AND(AO16="MinCorrect",A16&lt;&gt;" "),MAIN!$L$5,J16),"")</f>
        <v/>
      </c>
      <c r="K16" s="168" t="str">
        <f ca="1">IF($AC$2="NO",IF(AND(AO16="MinCorrect",A16&lt;&gt;" "),MAIN!$M$5,K16),"")</f>
        <v/>
      </c>
      <c r="L16" s="536" t="str">
        <f ca="1">IF($AC$2="NO",IF(AND(AO16="MinCorrect",A16&lt;&gt;" "),MAIN!$N$5,L16),"")</f>
        <v/>
      </c>
      <c r="M16" s="435"/>
      <c r="N16" s="817"/>
      <c r="O16" s="435" t="str">
        <f ca="1">IF($AC$2="NO",IF(AND(AO16="MinCorrect",A16&lt;&gt;" "),MAIN!$J$49,O16),"")</f>
        <v/>
      </c>
      <c r="P16" s="534" t="str">
        <f ca="1">IF($AC$2="NO",IF(AND(AO16="MinCorrect",A16&lt;&gt;" "),MAIN!$F$10,P16),"")</f>
        <v/>
      </c>
      <c r="Q16" s="534" t="str">
        <f ca="1">IF($AC$2="NO",IF(AND(AO16="MinCorrect",A16&lt;&gt;" "),MAIN!$D$10,Q16),"")</f>
        <v/>
      </c>
      <c r="R16" s="534" t="str">
        <f ca="1">IF($AC$2="NO",IF(AND(AO16="MinCorrect",A16&lt;&gt;" "),MAIN!$E$10,R16),"")</f>
        <v/>
      </c>
      <c r="S16" s="92" t="e">
        <f ca="1">IF($AC$2="NO",IF(AND(AO15="MinCorrect",A15&lt;&gt;" "),[3]MAIN!#REF!,S16),"")</f>
        <v>#REF!</v>
      </c>
      <c r="T16" s="525" t="str">
        <f ca="1">IF($AC$2="NO",IF(AND(AO16="MinCorrect",A16&lt;&gt;" "),MAIN!#REF!,T16),"")</f>
        <v/>
      </c>
      <c r="U16" s="525" t="str">
        <f ca="1">IF($AC$2="NO",IF(AND(AO16="MinCorrect",A16&lt;&gt;" "),MAIN!#REF!,U16),"")</f>
        <v/>
      </c>
      <c r="V16" s="818"/>
      <c r="W16" s="434"/>
      <c r="X16" s="434"/>
      <c r="Y16" s="434"/>
      <c r="AM16" s="275">
        <v>0.46111111111111108</v>
      </c>
      <c r="AN16" s="521"/>
      <c r="AO16" s="521"/>
    </row>
    <row r="17" spans="1:41" ht="14.5" customHeight="1" thickBot="1" x14ac:dyDescent="0.4">
      <c r="A17" s="530" t="str">
        <f ca="1">IF($AC$2="NO",IF(AO17="MinCorrect",Sheet51!$F$1,IF(A17&lt;=TIMEVALUE("00:00:00"),"",A17)),"")</f>
        <v>11:15:22</v>
      </c>
      <c r="B17" s="528" t="str">
        <f ca="1">IF($AC$2="NO",IF(AND(AO17="MinCorrect",A17&lt;&gt;" "),MAIN!$I$12,B17),"")</f>
        <v>NIFTY</v>
      </c>
      <c r="C17" s="86">
        <f ca="1">IF($AC$2="NO",IF(AND(AO17="MinCorrect",A17&lt;&gt;" "),MAIN!$L$13,C17),"")</f>
        <v>146.51854838709647</v>
      </c>
      <c r="D17" s="86">
        <f ca="1">IF($AC$2="NO",IF(AND(AO17="MinCorrect",A17&lt;&gt;" "),MAIN!$L$14,D17),"")</f>
        <v>0.43333333333333357</v>
      </c>
      <c r="E17" s="86">
        <f ca="1">IF($AC$2="NO",IF(AND(AO17="MinCorrect",A17&lt;&gt;" "),MAIN!$J$49,E17),"")</f>
        <v>0</v>
      </c>
      <c r="F17" s="167">
        <f ca="1">IF($AC$2="NO",IF(AND(AO17="MinCorrect",A17&lt;&gt;" "),MAIN!$E$5,F17),"")</f>
        <v>840975</v>
      </c>
      <c r="G17" s="167">
        <f ca="1">IF($AC$2="NO",IF(AND(AO17="MinCorrect",A17&lt;&gt;" "),MAIN!$F$5,G17),"")</f>
        <v>277715</v>
      </c>
      <c r="H17" s="532" t="str">
        <f ca="1">IF($AC$2="NO",IF(AND(AO17="MinCorrect",A17&lt;&gt;" "),MAIN!$E$7,H17),"")</f>
        <v>BUY</v>
      </c>
      <c r="I17" s="167">
        <f ca="1">IF($AC$2="NO",IF(AND(AO17="MinCorrect",A17&lt;&gt;" "),MAIN!$H$5,I17),"")</f>
        <v>0</v>
      </c>
      <c r="J17" s="532">
        <f ca="1">IF($AC$2="NO",IF(AND(AO17="MinCorrect",A17&lt;&gt;" "),MAIN!$L$5,J17),"")</f>
        <v>12000</v>
      </c>
      <c r="K17" s="167">
        <f ca="1">IF($AC$2="NO",IF(AND(AO17="MinCorrect",A17&lt;&gt;" "),MAIN!$M$5,K17),"")</f>
        <v>3.75</v>
      </c>
      <c r="L17" s="535">
        <f ca="1">IF($AC$2="NO",IF(AND(AO17="MinCorrect",A17&lt;&gt;" "),MAIN!$N$5,L17),"")</f>
        <v>6183450</v>
      </c>
      <c r="M17" s="534">
        <f ca="1">IF($AC$2="NO",IF(AND(AO17="MinCorrect",A17&lt;&gt;" "),MAIN!$B$2,M17),"")</f>
        <v>11921.2</v>
      </c>
      <c r="N17" s="816">
        <f ca="1">IF($AC$2="NO",IF(AND(AO17="MinCorrect",A17&lt;&gt;" "),MAIN!$S$2,N17),"")</f>
        <v>11900</v>
      </c>
      <c r="O17" s="435">
        <f ca="1">IF($AC$2="NO",IF(AND(AO17="MinCorrect",A17&lt;&gt;" "),MAIN!$M$27,O17),"")</f>
        <v>4.1749999999999998</v>
      </c>
      <c r="P17" s="534" t="str">
        <f ca="1">IF($AC$2="NO",IF(AND(AO17="MinCorrect",A17&lt;&gt;" "),MAIN!$F$10,P17),"")</f>
        <v/>
      </c>
      <c r="Q17" s="534" t="str">
        <f ca="1">IF($AC$2="NO",IF(AND(AO17="MinCorrect",A17&lt;&gt;" "),MAIN!$D$10,Q17),"")</f>
        <v/>
      </c>
      <c r="R17" s="534" t="str">
        <f ca="1">IF($AC$2="NO",IF(AND(AO17="MinCorrect",A17&lt;&gt;" "),MAIN!$E$10,R17),"")</f>
        <v/>
      </c>
      <c r="S17" s="88" t="e">
        <f ca="1">IF($AC$2="NO",IF(AND(AO17="MinCorrect",A17&lt;&gt;" "),[3]MAIN!#REF!,S17),"")</f>
        <v>#REF!</v>
      </c>
      <c r="T17" s="525" t="e">
        <f ca="1">IF($AC$2="NO",IF(AND(AO17="MinCorrect",A17&lt;&gt;" "),MAIN!#REF!,T17),"")</f>
        <v>#REF!</v>
      </c>
      <c r="U17" s="525" t="e">
        <f ca="1">IF($AC$2="NO",IF(AND(AO17="MinCorrect",A17&lt;&gt;" "),MAIN!#REF!,U17),"")</f>
        <v>#REF!</v>
      </c>
      <c r="V17" s="818" t="e">
        <f ca="1">IF($AC$2="NO",IF(AND(AO17="MinCorrect",A17&lt;&gt;" "),MAIN!#REF!,V17),"")</f>
        <v>#REF!</v>
      </c>
      <c r="W17" s="434"/>
      <c r="X17" s="434"/>
      <c r="Y17" s="434"/>
      <c r="AM17" s="275">
        <v>0.46875</v>
      </c>
      <c r="AN17" s="521"/>
      <c r="AO17" s="521" t="str">
        <f ca="1">IF(AND(HOUR(AM17)=(HOUR($AN$3)),(HOUR(AM18)=(HOUR($AN$3)))),IF(AND(MINUTE($AN$3)-MINUTE(AM17)&gt;=0,(MINUTE(AM18)-MINUTE($AN$3)&gt;0)),"Mincorrect","MinFalse"),"Hour False")</f>
        <v>Hour False</v>
      </c>
    </row>
    <row r="18" spans="1:41" ht="14.5" customHeight="1" thickBot="1" x14ac:dyDescent="0.4">
      <c r="A18" s="531"/>
      <c r="B18" s="529"/>
      <c r="C18" s="86" t="str">
        <f ca="1">IF($AC$2="NO",IF(AND(AO18="MinCorrect",A18&lt;&gt;" "),MAIN!$L$13,C18),"")</f>
        <v/>
      </c>
      <c r="D18" s="86" t="str">
        <f ca="1">IF($AC$2="NO",IF(AND(AO18="MinCorrect",A18&lt;&gt;" "),MAIN!$L$14,D18),"")</f>
        <v/>
      </c>
      <c r="E18" s="86" t="str">
        <f ca="1">IF($AC$2="NO",IF(AND(AO18="MinCorrect",A18&lt;&gt;" "),MAIN!$J$49,E18),"")</f>
        <v/>
      </c>
      <c r="F18" s="168">
        <f ca="1">IF($AC$2="NO",IF(AND(AO17="MinCorrect",A17&lt;&gt;" "),MAIN!$E$6,F18),"")</f>
        <v>2585250</v>
      </c>
      <c r="G18" s="168" t="str">
        <f ca="1">IF($AC$2="NO",IF(AND(AO18="MinCorrect",A18&lt;&gt;" "),MAIN!$F$5,G18),"")</f>
        <v/>
      </c>
      <c r="H18" s="168"/>
      <c r="I18" s="168" t="str">
        <f ca="1">IF($AC$2="NO",IF(AND(AO18="MinCorrect",A18&lt;&gt;" "),MAIN!$H$6,I18),"")</f>
        <v/>
      </c>
      <c r="J18" s="533" t="str">
        <f ca="1">IF($AC$2="NO",IF(AND(AO18="MinCorrect",A18&lt;&gt;" "),MAIN!$L$5,J18),"")</f>
        <v/>
      </c>
      <c r="K18" s="168" t="str">
        <f ca="1">IF($AC$2="NO",IF(AND(AO18="MinCorrect",A18&lt;&gt;" "),MAIN!$M$5,K18),"")</f>
        <v/>
      </c>
      <c r="L18" s="536" t="str">
        <f ca="1">IF($AC$2="NO",IF(AND(AO18="MinCorrect",A18&lt;&gt;" "),MAIN!$N$5,L18),"")</f>
        <v/>
      </c>
      <c r="M18" s="435"/>
      <c r="N18" s="817"/>
      <c r="O18" s="435" t="str">
        <f ca="1">IF($AC$2="NO",IF(AND(AO18="MinCorrect",A18&lt;&gt;" "),MAIN!$J$49,O18),"")</f>
        <v/>
      </c>
      <c r="P18" s="534" t="str">
        <f ca="1">IF($AC$2="NO",IF(AND(AO18="MinCorrect",A18&lt;&gt;" "),MAIN!$F$10,P18),"")</f>
        <v/>
      </c>
      <c r="Q18" s="534" t="str">
        <f ca="1">IF($AC$2="NO",IF(AND(AO18="MinCorrect",A18&lt;&gt;" "),MAIN!$D$10,Q18),"")</f>
        <v/>
      </c>
      <c r="R18" s="534" t="str">
        <f ca="1">IF($AC$2="NO",IF(AND(AO18="MinCorrect",A18&lt;&gt;" "),MAIN!$E$10,R18),"")</f>
        <v/>
      </c>
      <c r="S18" s="92" t="e">
        <f ca="1">IF($AC$2="NO",IF(AND(AO17="MinCorrect",A17&lt;&gt;" "),[3]MAIN!#REF!,S18),"")</f>
        <v>#REF!</v>
      </c>
      <c r="T18" s="525" t="str">
        <f ca="1">IF($AC$2="NO",IF(AND(AO18="MinCorrect",A18&lt;&gt;" "),MAIN!#REF!,T18),"")</f>
        <v/>
      </c>
      <c r="U18" s="525" t="str">
        <f ca="1">IF($AC$2="NO",IF(AND(AO18="MinCorrect",A18&lt;&gt;" "),MAIN!#REF!,U18),"")</f>
        <v/>
      </c>
      <c r="V18" s="818"/>
      <c r="W18" s="434"/>
      <c r="X18" s="434"/>
      <c r="Y18" s="434"/>
      <c r="AM18" s="275">
        <v>0.47152777777777777</v>
      </c>
      <c r="AN18" s="521"/>
      <c r="AO18" s="521"/>
    </row>
    <row r="19" spans="1:41" ht="14.5" customHeight="1" thickBot="1" x14ac:dyDescent="0.4">
      <c r="A19" s="530" t="str">
        <f ca="1">IF($AC$2="NO",IF(AO19="MinCorrect",Sheet51!$F$1,IF(A19&lt;=TIMEVALUE("00:00:00"),"",A19)),"")</f>
        <v>11:31:53</v>
      </c>
      <c r="B19" s="528" t="str">
        <f ca="1">IF($AC$2="NO",IF(AND(AO19="MinCorrect",A19&lt;&gt;" "),MAIN!$I$12,B19),"")</f>
        <v>NIFTY</v>
      </c>
      <c r="C19" s="86">
        <f ca="1">IF($AC$2="NO",IF(AND(AO19="MinCorrect",A19&lt;&gt;" "),MAIN!$L$13,C19),"")</f>
        <v>144.69435483870947</v>
      </c>
      <c r="D19" s="86">
        <f ca="1">IF($AC$2="NO",IF(AND(AO19="MinCorrect",A19&lt;&gt;" "),MAIN!$L$14,D19),"")</f>
        <v>1.9999999999999991</v>
      </c>
      <c r="E19" s="86">
        <f ca="1">IF($AC$2="NO",IF(AND(AO19="MinCorrect",A19&lt;&gt;" "),MAIN!$J$49,E19),"")</f>
        <v>0</v>
      </c>
      <c r="F19" s="167">
        <f ca="1">IF($AC$2="NO",IF(AND(AO19="MinCorrect",A19&lt;&gt;" "),MAIN!$E$5,F19),"")</f>
        <v>933075</v>
      </c>
      <c r="G19" s="167">
        <f ca="1">IF($AC$2="NO",IF(AND(AO19="MinCorrect",A19&lt;&gt;" "),MAIN!$F$5,G19),"")</f>
        <v>295788</v>
      </c>
      <c r="H19" s="532" t="str">
        <f ca="1">IF($AC$2="NO",IF(AND(AO19="MinCorrect",A19&lt;&gt;" "),MAIN!$E$7,H19),"")</f>
        <v>BUY</v>
      </c>
      <c r="I19" s="167">
        <f ca="1">IF($AC$2="NO",IF(AND(AO19="MinCorrect",A19&lt;&gt;" "),MAIN!$H$5,I19),"")</f>
        <v>0</v>
      </c>
      <c r="J19" s="532">
        <f ca="1">IF($AC$2="NO",IF(AND(AO19="MinCorrect",A19&lt;&gt;" "),MAIN!$L$5,J19),"")</f>
        <v>12000</v>
      </c>
      <c r="K19" s="167">
        <f ca="1">IF($AC$2="NO",IF(AND(AO19="MinCorrect",A19&lt;&gt;" "),MAIN!$M$5,K19),"")</f>
        <v>2.9</v>
      </c>
      <c r="L19" s="535">
        <f ca="1">IF($AC$2="NO",IF(AND(AO19="MinCorrect",A19&lt;&gt;" "),MAIN!$N$5,L19),"")</f>
        <v>6275550</v>
      </c>
      <c r="M19" s="534">
        <f ca="1">IF($AC$2="NO",IF(AND(AO19="MinCorrect",A19&lt;&gt;" "),MAIN!$B$2,M19),"")</f>
        <v>11914.15</v>
      </c>
      <c r="N19" s="816">
        <f ca="1">IF($AC$2="NO",IF(AND(AO19="MinCorrect",A19&lt;&gt;" "),MAIN!$S$2,N19),"")</f>
        <v>11900</v>
      </c>
      <c r="O19" s="435">
        <f ca="1">IF($AC$2="NO",IF(AND(AO19="MinCorrect",A19&lt;&gt;" "),MAIN!$M$27,O19),"")</f>
        <v>4.7833333333333332</v>
      </c>
      <c r="P19" s="534" t="str">
        <f ca="1">IF($AC$2="NO",IF(AND(AO19="MinCorrect",A19&lt;&gt;" "),MAIN!$F$10,P19),"")</f>
        <v/>
      </c>
      <c r="Q19" s="534" t="str">
        <f ca="1">IF($AC$2="NO",IF(AND(AO19="MinCorrect",A19&lt;&gt;" "),MAIN!$D$10,Q19),"")</f>
        <v/>
      </c>
      <c r="R19" s="534" t="str">
        <f ca="1">IF($AC$2="NO",IF(AND(AO19="MinCorrect",A19&lt;&gt;" "),MAIN!$E$10,R19),"")</f>
        <v/>
      </c>
      <c r="S19" s="88" t="e">
        <f ca="1">IF($AC$2="NO",IF(AND(AO19="MinCorrect",A19&lt;&gt;" "),[3]MAIN!#REF!,S19),"")</f>
        <v>#REF!</v>
      </c>
      <c r="T19" s="525" t="e">
        <f ca="1">IF($AC$2="NO",IF(AND(AO19="MinCorrect",A19&lt;&gt;" "),MAIN!#REF!,T19),"")</f>
        <v>#REF!</v>
      </c>
      <c r="U19" s="525" t="e">
        <f ca="1">IF($AC$2="NO",IF(AND(AO19="MinCorrect",A19&lt;&gt;" "),MAIN!#REF!,U19),"")</f>
        <v>#REF!</v>
      </c>
      <c r="V19" s="818" t="e">
        <f ca="1">IF($AC$2="NO",IF(AND(AO19="MinCorrect",A19&lt;&gt;" "),MAIN!#REF!,V19),"")</f>
        <v>#REF!</v>
      </c>
      <c r="W19" s="434"/>
      <c r="X19" s="434"/>
      <c r="Y19" s="434"/>
      <c r="AM19" s="275">
        <v>0.47916666666666669</v>
      </c>
      <c r="AN19" s="521"/>
      <c r="AO19" s="521" t="str">
        <f ca="1">IF(AND(HOUR(AM19)=(HOUR($AN$3)),(HOUR(AM20)=(HOUR($AN$3)))),IF(AND(MINUTE($AN$3)-MINUTE(AM19)&gt;=0,(MINUTE(AM20)-MINUTE($AN$3)&gt;0)),"Mincorrect","MinFalse"),"Hour False")</f>
        <v>Hour False</v>
      </c>
    </row>
    <row r="20" spans="1:41" ht="14.5" customHeight="1" thickBot="1" x14ac:dyDescent="0.4">
      <c r="A20" s="531"/>
      <c r="B20" s="529"/>
      <c r="C20" s="86" t="str">
        <f ca="1">IF($AC$2="NO",IF(AND(AO20="MinCorrect",A20&lt;&gt;" "),MAIN!$L$13,C20),"")</f>
        <v/>
      </c>
      <c r="D20" s="86" t="str">
        <f ca="1">IF($AC$2="NO",IF(AND(AO20="MinCorrect",A20&lt;&gt;" "),MAIN!$L$14,D20),"")</f>
        <v/>
      </c>
      <c r="E20" s="86" t="str">
        <f ca="1">IF($AC$2="NO",IF(AND(AO20="MinCorrect",A20&lt;&gt;" "),MAIN!$J$49,E20),"")</f>
        <v/>
      </c>
      <c r="F20" s="168">
        <f ca="1">IF($AC$2="NO",IF(AND(AO19="MinCorrect",A19&lt;&gt;" "),MAIN!$E$6,F20),"")</f>
        <v>2713800</v>
      </c>
      <c r="G20" s="168" t="str">
        <f ca="1">IF($AC$2="NO",IF(AND(AO20="MinCorrect",A20&lt;&gt;" "),MAIN!$F$5,G20),"")</f>
        <v/>
      </c>
      <c r="H20" s="167"/>
      <c r="I20" s="168" t="str">
        <f ca="1">IF($AC$2="NO",IF(AND(AO20="MinCorrect",A20&lt;&gt;" "),MAIN!$H$6,I20),"")</f>
        <v/>
      </c>
      <c r="J20" s="533" t="str">
        <f ca="1">IF($AC$2="NO",IF(AND(AO20="MinCorrect",A20&lt;&gt;" "),MAIN!$L$5,J20),"")</f>
        <v/>
      </c>
      <c r="K20" s="168" t="str">
        <f ca="1">IF($AC$2="NO",IF(AND(AO20="MinCorrect",A20&lt;&gt;" "),MAIN!$M$5,K20),"")</f>
        <v/>
      </c>
      <c r="L20" s="536" t="str">
        <f ca="1">IF($AC$2="NO",IF(AND(AO20="MinCorrect",A20&lt;&gt;" "),MAIN!$N$5,L20),"")</f>
        <v/>
      </c>
      <c r="M20" s="435"/>
      <c r="N20" s="817"/>
      <c r="O20" s="435" t="str">
        <f ca="1">IF($AC$2="NO",IF(AND(AO20="MinCorrect",A20&lt;&gt;" "),MAIN!$J$49,O20),"")</f>
        <v/>
      </c>
      <c r="P20" s="534" t="str">
        <f ca="1">IF($AC$2="NO",IF(AND(AO20="MinCorrect",A20&lt;&gt;" "),MAIN!$F$10,P20),"")</f>
        <v/>
      </c>
      <c r="Q20" s="534" t="str">
        <f ca="1">IF($AC$2="NO",IF(AND(AO20="MinCorrect",A20&lt;&gt;" "),MAIN!$D$10,Q20),"")</f>
        <v/>
      </c>
      <c r="R20" s="534" t="str">
        <f ca="1">IF($AC$2="NO",IF(AND(AO20="MinCorrect",A20&lt;&gt;" "),MAIN!$E$10,R20),"")</f>
        <v/>
      </c>
      <c r="S20" s="92" t="e">
        <f ca="1">IF($AC$2="NO",IF(AND(AO19="MinCorrect",A19&lt;&gt;" "),[3]MAIN!#REF!,S20),"")</f>
        <v>#REF!</v>
      </c>
      <c r="T20" s="525" t="str">
        <f ca="1">IF($AC$2="NO",IF(AND(AO20="MinCorrect",A20&lt;&gt;" "),MAIN!#REF!,T20),"")</f>
        <v/>
      </c>
      <c r="U20" s="525" t="str">
        <f ca="1">IF($AC$2="NO",IF(AND(AO20="MinCorrect",A20&lt;&gt;" "),MAIN!#REF!,U20),"")</f>
        <v/>
      </c>
      <c r="V20" s="818"/>
      <c r="W20" s="434"/>
      <c r="X20" s="434"/>
      <c r="Y20" s="434"/>
      <c r="AM20" s="275">
        <v>0.48194444444444445</v>
      </c>
      <c r="AN20" s="521"/>
      <c r="AO20" s="521"/>
    </row>
    <row r="21" spans="1:41" ht="14.5" customHeight="1" thickBot="1" x14ac:dyDescent="0.4">
      <c r="A21" s="530" t="str">
        <f ca="1">IF($AC$2="NO",IF(AO21="MinCorrect",Sheet51!$F$1,IF(A21&lt;=TIMEVALUE("00:00:00"),"",A21)),"")</f>
        <v>11:45:53</v>
      </c>
      <c r="B21" s="528" t="str">
        <f ca="1">IF($AC$2="NO",IF(AND(AO21="MinCorrect",A21&lt;&gt;" "),MAIN!$I$12,B21),"")</f>
        <v>NIFTY</v>
      </c>
      <c r="C21" s="86">
        <f ca="1">IF($AC$2="NO",IF(AND(AO21="MinCorrect",A21&lt;&gt;" "),MAIN!$L$13,C21),"")</f>
        <v>142.40080645161265</v>
      </c>
      <c r="D21" s="86">
        <f ca="1">IF($AC$2="NO",IF(AND(AO21="MinCorrect",A21&lt;&gt;" "),MAIN!$L$14,D21),"")</f>
        <v>-2.583333333333333</v>
      </c>
      <c r="E21" s="86">
        <f ca="1">IF($AC$2="NO",IF(AND(AO21="MinCorrect",A21&lt;&gt;" "),MAIN!$J$49,E21),"")</f>
        <v>0</v>
      </c>
      <c r="F21" s="167">
        <f ca="1">IF($AC$2="NO",IF(AND(AO21="MinCorrect",A21&lt;&gt;" "),MAIN!$E$5,F21),"")</f>
        <v>1031925</v>
      </c>
      <c r="G21" s="167">
        <f ca="1">IF($AC$2="NO",IF(AND(AO21="MinCorrect",A21&lt;&gt;" "),MAIN!$F$5,G21),"")</f>
        <v>308393</v>
      </c>
      <c r="H21" s="532" t="str">
        <f ca="1">IF($AC$2="NO",IF(AND(AO21="MinCorrect",A21&lt;&gt;" "),MAIN!$E$7,H21),"")</f>
        <v>BUY</v>
      </c>
      <c r="I21" s="167">
        <f ca="1">IF($AC$2="NO",IF(AND(AO21="MinCorrect",A21&lt;&gt;" "),MAIN!$H$5,I21),"")</f>
        <v>0</v>
      </c>
      <c r="J21" s="532">
        <f ca="1">IF($AC$2="NO",IF(AND(AO21="MinCorrect",A21&lt;&gt;" "),MAIN!$L$5,J21),"")</f>
        <v>12000</v>
      </c>
      <c r="K21" s="167">
        <f ca="1">IF($AC$2="NO",IF(AND(AO21="MinCorrect",A21&lt;&gt;" "),MAIN!$M$5,K21),"")</f>
        <v>2.5499999999999998</v>
      </c>
      <c r="L21" s="535">
        <f ca="1">IF($AC$2="NO",IF(AND(AO21="MinCorrect",A21&lt;&gt;" "),MAIN!$N$5,L21),"")</f>
        <v>6374400</v>
      </c>
      <c r="M21" s="534">
        <f ca="1">IF($AC$2="NO",IF(AND(AO21="MinCorrect",A21&lt;&gt;" "),MAIN!$B$2,M21),"")</f>
        <v>11908.55</v>
      </c>
      <c r="N21" s="816">
        <f ca="1">IF($AC$2="NO",IF(AND(AO21="MinCorrect",A21&lt;&gt;" "),MAIN!$S$2,N21),"")</f>
        <v>11900</v>
      </c>
      <c r="O21" s="435">
        <f ca="1">IF($AC$2="NO",IF(AND(AO21="MinCorrect",A21&lt;&gt;" "),MAIN!$M$27,O21),"")</f>
        <v>5.3</v>
      </c>
      <c r="P21" s="534" t="str">
        <f ca="1">IF($AC$2="NO",IF(AND(AO21="MinCorrect",A21&lt;&gt;" "),MAIN!$F$10,P21),"")</f>
        <v/>
      </c>
      <c r="Q21" s="534" t="str">
        <f ca="1">IF($AC$2="NO",IF(AND(AO21="MinCorrect",A21&lt;&gt;" "),MAIN!$D$10,Q21),"")</f>
        <v/>
      </c>
      <c r="R21" s="534" t="str">
        <f ca="1">IF($AC$2="NO",IF(AND(AO21="MinCorrect",A21&lt;&gt;" "),MAIN!$E$10,R21),"")</f>
        <v/>
      </c>
      <c r="S21" s="88" t="e">
        <f ca="1">IF($AC$2="NO",IF(AND(AO21="MinCorrect",A21&lt;&gt;" "),[3]MAIN!#REF!,S21),"")</f>
        <v>#REF!</v>
      </c>
      <c r="T21" s="525" t="e">
        <f ca="1">IF($AC$2="NO",IF(AND(AO21="MinCorrect",A21&lt;&gt;" "),MAIN!#REF!,T21),"")</f>
        <v>#REF!</v>
      </c>
      <c r="U21" s="525" t="e">
        <f ca="1">IF($AC$2="NO",IF(AND(AO21="MinCorrect",A21&lt;&gt;" "),MAIN!#REF!,U21),"")</f>
        <v>#REF!</v>
      </c>
      <c r="V21" s="818" t="e">
        <f ca="1">IF($AC$2="NO",IF(AND(AO21="MinCorrect",A21&lt;&gt;" "),MAIN!#REF!,V21),"")</f>
        <v>#REF!</v>
      </c>
      <c r="W21" s="434"/>
      <c r="X21" s="434"/>
      <c r="Y21" s="434"/>
      <c r="AM21" s="275">
        <v>0.48958333333333331</v>
      </c>
      <c r="AN21" s="521"/>
      <c r="AO21" s="521" t="str">
        <f ca="1">IF(AND(HOUR(AM21)=(HOUR($AN$3)),(HOUR(AM22)=(HOUR($AN$3)))),IF(AND(MINUTE($AN$3)-MINUTE(AM21)&gt;=0,(MINUTE(AM22)-MINUTE($AN$3)&gt;0)),"Mincorrect","MinFalse"),"Hour False")</f>
        <v>Hour False</v>
      </c>
    </row>
    <row r="22" spans="1:41" ht="14.5" customHeight="1" thickBot="1" x14ac:dyDescent="0.4">
      <c r="A22" s="531"/>
      <c r="B22" s="529"/>
      <c r="C22" s="86" t="str">
        <f ca="1">IF($AC$2="NO",IF(AND(AO22="MinCorrect",A22&lt;&gt;" "),MAIN!$L$13,C22),"")</f>
        <v/>
      </c>
      <c r="D22" s="86" t="str">
        <f ca="1">IF($AC$2="NO",IF(AND(AO22="MinCorrect",A22&lt;&gt;" "),MAIN!$L$14,D22),"")</f>
        <v/>
      </c>
      <c r="E22" s="86" t="str">
        <f ca="1">IF($AC$2="NO",IF(AND(AO22="MinCorrect",A22&lt;&gt;" "),MAIN!$J$49,E22),"")</f>
        <v/>
      </c>
      <c r="F22" s="168">
        <f ca="1">IF($AC$2="NO",IF(AND(AO21="MinCorrect",A21&lt;&gt;" "),MAIN!$E$6,F22),"")</f>
        <v>2690625</v>
      </c>
      <c r="G22" s="168" t="str">
        <f ca="1">IF($AC$2="NO",IF(AND(AO22="MinCorrect",A22&lt;&gt;" "),MAIN!$F$5,G22),"")</f>
        <v/>
      </c>
      <c r="H22" s="167"/>
      <c r="I22" s="168" t="str">
        <f ca="1">IF($AC$2="NO",IF(AND(AO22="MinCorrect",A22&lt;&gt;" "),MAIN!$H$6,I22),"")</f>
        <v/>
      </c>
      <c r="J22" s="533" t="str">
        <f ca="1">IF($AC$2="NO",IF(AND(AO22="MinCorrect",A22&lt;&gt;" "),MAIN!$L$5,J22),"")</f>
        <v/>
      </c>
      <c r="K22" s="168" t="str">
        <f ca="1">IF($AC$2="NO",IF(AND(AO22="MinCorrect",A22&lt;&gt;" "),MAIN!$M$5,K22),"")</f>
        <v/>
      </c>
      <c r="L22" s="536" t="str">
        <f ca="1">IF($AC$2="NO",IF(AND(AO22="MinCorrect",A22&lt;&gt;" "),MAIN!$N$5,L22),"")</f>
        <v/>
      </c>
      <c r="M22" s="435"/>
      <c r="N22" s="817"/>
      <c r="O22" s="435" t="str">
        <f ca="1">IF($AC$2="NO",IF(AND(AO22="MinCorrect",A22&lt;&gt;" "),MAIN!$J$49,O22),"")</f>
        <v/>
      </c>
      <c r="P22" s="534" t="str">
        <f ca="1">IF($AC$2="NO",IF(AND(AO22="MinCorrect",A22&lt;&gt;" "),MAIN!$F$10,P22),"")</f>
        <v/>
      </c>
      <c r="Q22" s="534" t="str">
        <f ca="1">IF($AC$2="NO",IF(AND(AO22="MinCorrect",A22&lt;&gt;" "),MAIN!$D$10,Q22),"")</f>
        <v/>
      </c>
      <c r="R22" s="534" t="str">
        <f ca="1">IF($AC$2="NO",IF(AND(AO22="MinCorrect",A22&lt;&gt;" "),MAIN!$E$10,R22),"")</f>
        <v/>
      </c>
      <c r="S22" s="92" t="e">
        <f ca="1">IF($AC$2="NO",IF(AND(AO21="MinCorrect",A21&lt;&gt;" "),[3]MAIN!#REF!,S22),"")</f>
        <v>#REF!</v>
      </c>
      <c r="T22" s="525" t="str">
        <f ca="1">IF($AC$2="NO",IF(AND(AO22="MinCorrect",A22&lt;&gt;" "),MAIN!#REF!,T22),"")</f>
        <v/>
      </c>
      <c r="U22" s="525" t="str">
        <f ca="1">IF($AC$2="NO",IF(AND(AO22="MinCorrect",A22&lt;&gt;" "),MAIN!#REF!,U22),"")</f>
        <v/>
      </c>
      <c r="V22" s="818"/>
      <c r="W22" s="434"/>
      <c r="X22" s="434"/>
      <c r="Y22" s="434"/>
      <c r="AM22" s="275">
        <v>0.49236111111111108</v>
      </c>
      <c r="AN22" s="521"/>
      <c r="AO22" s="521"/>
    </row>
    <row r="23" spans="1:41" ht="14.5" customHeight="1" thickBot="1" x14ac:dyDescent="0.4">
      <c r="A23" s="530" t="str">
        <f ca="1">IF($AC$2="NO",IF(AO23="MinCorrect",Sheet51!$F$1,IF(A23&lt;=TIMEVALUE("00:00:00"),"",A23)),"")</f>
        <v>12:00:54</v>
      </c>
      <c r="B23" s="528" t="str">
        <f ca="1">IF($AC$2="NO",IF(AND(AO23="MinCorrect",A23&lt;&gt;" "),MAIN!$I$12,B23),"")</f>
        <v>NIFTY</v>
      </c>
      <c r="C23" s="86">
        <f ca="1">IF($AC$2="NO",IF(AND(AO23="MinCorrect",A23&lt;&gt;" "),MAIN!$L$13,C23),"")</f>
        <v>144.53709677419337</v>
      </c>
      <c r="D23" s="86">
        <f ca="1">IF($AC$2="NO",IF(AND(AO23="MinCorrect",A23&lt;&gt;" "),MAIN!$L$14,D23),"")</f>
        <v>-0.19166666666666687</v>
      </c>
      <c r="E23" s="86">
        <f ca="1">IF($AC$2="NO",IF(AND(AO23="MinCorrect",A23&lt;&gt;" "),MAIN!$J$49,E23),"")</f>
        <v>0</v>
      </c>
      <c r="F23" s="167">
        <f ca="1">IF($AC$2="NO",IF(AND(AO23="MinCorrect",A23&lt;&gt;" "),MAIN!$E$5,F23),"")</f>
        <v>1102200</v>
      </c>
      <c r="G23" s="167">
        <f ca="1">IF($AC$2="NO",IF(AND(AO23="MinCorrect",A23&lt;&gt;" "),MAIN!$F$5,G23),"")</f>
        <v>327450</v>
      </c>
      <c r="H23" s="532" t="str">
        <f ca="1">IF($AC$2="NO",IF(AND(AO23="MinCorrect",A23&lt;&gt;" "),MAIN!$E$7,H23),"")</f>
        <v>BUY</v>
      </c>
      <c r="I23" s="167">
        <f ca="1">IF($AC$2="NO",IF(AND(AO23="MinCorrect",A23&lt;&gt;" "),MAIN!$H$5,I23),"")</f>
        <v>0</v>
      </c>
      <c r="J23" s="532">
        <f ca="1">IF($AC$2="NO",IF(AND(AO23="MinCorrect",A23&lt;&gt;" "),MAIN!$L$5,J23),"")</f>
        <v>12000</v>
      </c>
      <c r="K23" s="167">
        <f ca="1">IF($AC$2="NO",IF(AND(AO23="MinCorrect",A23&lt;&gt;" "),MAIN!$M$5,K23),"")</f>
        <v>3.05</v>
      </c>
      <c r="L23" s="535">
        <f ca="1">IF($AC$2="NO",IF(AND(AO23="MinCorrect",A23&lt;&gt;" "),MAIN!$N$5,L23),"")</f>
        <v>6444675</v>
      </c>
      <c r="M23" s="534">
        <f ca="1">IF($AC$2="NO",IF(AND(AO23="MinCorrect",A23&lt;&gt;" "),MAIN!$B$2,M23),"")</f>
        <v>11916.2</v>
      </c>
      <c r="N23" s="816">
        <f ca="1">IF($AC$2="NO",IF(AND(AO23="MinCorrect",A23&lt;&gt;" "),MAIN!$S$2,N23),"")</f>
        <v>11900</v>
      </c>
      <c r="O23" s="435">
        <f ca="1">IF($AC$2="NO",IF(AND(AO23="MinCorrect",A23&lt;&gt;" "),MAIN!$M$27,O23),"")</f>
        <v>4.0750000000000002</v>
      </c>
      <c r="P23" s="534" t="str">
        <f ca="1">IF($AC$2="NO",IF(AND(AO23="MinCorrect",A23&lt;&gt;" "),MAIN!$F$10,P23),"")</f>
        <v/>
      </c>
      <c r="Q23" s="534" t="str">
        <f ca="1">IF($AC$2="NO",IF(AND(AO23="MinCorrect",A23&lt;&gt;" "),MAIN!$D$10,Q23),"")</f>
        <v/>
      </c>
      <c r="R23" s="534" t="str">
        <f ca="1">IF($AC$2="NO",IF(AND(AO23="MinCorrect",A23&lt;&gt;" "),MAIN!$E$10,R23),"")</f>
        <v/>
      </c>
      <c r="S23" s="88" t="e">
        <f ca="1">IF($AC$2="NO",IF(AND(AO23="MinCorrect",A23&lt;&gt;" "),[3]MAIN!#REF!,S23),"")</f>
        <v>#REF!</v>
      </c>
      <c r="T23" s="525" t="e">
        <f ca="1">IF($AC$2="NO",IF(AND(AO23="MinCorrect",A23&lt;&gt;" "),MAIN!#REF!,T23),"")</f>
        <v>#REF!</v>
      </c>
      <c r="U23" s="525" t="e">
        <f ca="1">IF($AC$2="NO",IF(AND(AO23="MinCorrect",A23&lt;&gt;" "),MAIN!#REF!,U23),"")</f>
        <v>#REF!</v>
      </c>
      <c r="V23" s="818" t="e">
        <f ca="1">IF($AC$2="NO",IF(AND(AO23="MinCorrect",A23&lt;&gt;" "),MAIN!#REF!,V23),"")</f>
        <v>#REF!</v>
      </c>
      <c r="W23" s="434"/>
      <c r="X23" s="434"/>
      <c r="Y23" s="434"/>
      <c r="AM23" s="275">
        <v>0.5</v>
      </c>
      <c r="AN23" s="521"/>
      <c r="AO23" s="521" t="str">
        <f ca="1">IF(AND(HOUR(AM23)=(HOUR($AN$3)),(HOUR(AM24)=(HOUR($AN$3)))),IF(AND(MINUTE($AN$3)-MINUTE(AM23)&gt;=0,(MINUTE(AM24)-MINUTE($AN$3)&gt;0)),"Mincorrect","MinFalse"),"Hour False")</f>
        <v>Hour False</v>
      </c>
    </row>
    <row r="24" spans="1:41" ht="14.5" customHeight="1" thickBot="1" x14ac:dyDescent="0.4">
      <c r="A24" s="531"/>
      <c r="B24" s="529"/>
      <c r="C24" s="86" t="str">
        <f ca="1">IF($AC$2="NO",IF(AND(AO24="MinCorrect",A24&lt;&gt;" "),MAIN!$L$13,C24),"")</f>
        <v/>
      </c>
      <c r="D24" s="86" t="str">
        <f ca="1">IF($AC$2="NO",IF(AND(AO24="MinCorrect",A24&lt;&gt;" "),MAIN!$L$14,D24),"")</f>
        <v/>
      </c>
      <c r="E24" s="86" t="str">
        <f ca="1">IF($AC$2="NO",IF(AND(AO24="MinCorrect",A24&lt;&gt;" "),MAIN!$J$49,E24),"")</f>
        <v/>
      </c>
      <c r="F24" s="168">
        <f ca="1">IF($AC$2="NO",IF(AND(AO23="MinCorrect",A23&lt;&gt;" "),MAIN!$E$6,F24),"")</f>
        <v>2607750</v>
      </c>
      <c r="G24" s="168" t="str">
        <f ca="1">IF($AC$2="NO",IF(AND(AO24="MinCorrect",A24&lt;&gt;" "),MAIN!$F$5,G24),"")</f>
        <v/>
      </c>
      <c r="H24" s="167"/>
      <c r="I24" s="168" t="str">
        <f ca="1">IF($AC$2="NO",IF(AND(AO24="MinCorrect",A24&lt;&gt;" "),MAIN!$H$6,I24),"")</f>
        <v/>
      </c>
      <c r="J24" s="533" t="str">
        <f ca="1">IF($AC$2="NO",IF(AND(AO24="MinCorrect",A24&lt;&gt;" "),MAIN!$L$5,J24),"")</f>
        <v/>
      </c>
      <c r="K24" s="168" t="str">
        <f ca="1">IF($AC$2="NO",IF(AND(AO24="MinCorrect",A24&lt;&gt;" "),MAIN!$M$5,K24),"")</f>
        <v/>
      </c>
      <c r="L24" s="536" t="str">
        <f ca="1">IF($AC$2="NO",IF(AND(AO24="MinCorrect",A24&lt;&gt;" "),MAIN!$N$5,L24),"")</f>
        <v/>
      </c>
      <c r="M24" s="435"/>
      <c r="N24" s="817"/>
      <c r="O24" s="435" t="str">
        <f ca="1">IF($AC$2="NO",IF(AND(AO24="MinCorrect",A24&lt;&gt;" "),MAIN!$J$49,O24),"")</f>
        <v/>
      </c>
      <c r="P24" s="534" t="str">
        <f ca="1">IF($AC$2="NO",IF(AND(AO24="MinCorrect",A24&lt;&gt;" "),MAIN!$F$10,P24),"")</f>
        <v/>
      </c>
      <c r="Q24" s="534" t="str">
        <f ca="1">IF($AC$2="NO",IF(AND(AO24="MinCorrect",A24&lt;&gt;" "),MAIN!$D$10,Q24),"")</f>
        <v/>
      </c>
      <c r="R24" s="534" t="str">
        <f ca="1">IF($AC$2="NO",IF(AND(AO24="MinCorrect",A24&lt;&gt;" "),MAIN!$E$10,R24),"")</f>
        <v/>
      </c>
      <c r="S24" s="92" t="e">
        <f ca="1">IF($AC$2="NO",IF(AND(AO23="MinCorrect",A23&lt;&gt;" "),[3]MAIN!#REF!,S24),"")</f>
        <v>#REF!</v>
      </c>
      <c r="T24" s="525" t="str">
        <f ca="1">IF($AC$2="NO",IF(AND(AO24="MinCorrect",A24&lt;&gt;" "),MAIN!#REF!,T24),"")</f>
        <v/>
      </c>
      <c r="U24" s="525" t="str">
        <f ca="1">IF($AC$2="NO",IF(AND(AO24="MinCorrect",A24&lt;&gt;" "),MAIN!#REF!,U24),"")</f>
        <v/>
      </c>
      <c r="V24" s="818"/>
      <c r="W24" s="434"/>
      <c r="X24" s="434"/>
      <c r="Y24" s="434"/>
      <c r="AM24" s="275">
        <v>0.50277777777777777</v>
      </c>
      <c r="AN24" s="521"/>
      <c r="AO24" s="521"/>
    </row>
    <row r="25" spans="1:41" ht="14.5" customHeight="1" thickBot="1" x14ac:dyDescent="0.4">
      <c r="A25" s="530" t="str">
        <f ca="1">IF($AC$2="NO",IF(AO25="MinCorrect",Sheet51!$F$1,IF(A25&lt;=TIMEVALUE("00:00:00"),"",A25)),"")</f>
        <v/>
      </c>
      <c r="B25" s="528" t="str">
        <f ca="1">IF($AC$2="NO",IF(AND(AO25="MinCorrect",A25&lt;&gt;" "),MAIN!$I$12,B25),"")</f>
        <v/>
      </c>
      <c r="C25" s="86" t="str">
        <f ca="1">IF($AC$2="NO",IF(AND(AO25="MinCorrect",A25&lt;&gt;" "),MAIN!$L$13,C25),"")</f>
        <v/>
      </c>
      <c r="D25" s="86" t="str">
        <f ca="1">IF($AC$2="NO",IF(AND(AO25="MinCorrect",A25&lt;&gt;" "),MAIN!$L$14,D25),"")</f>
        <v/>
      </c>
      <c r="E25" s="86" t="str">
        <f ca="1">IF($AC$2="NO",IF(AND(AO25="MinCorrect",A25&lt;&gt;" "),MAIN!$J$49,E25),"")</f>
        <v/>
      </c>
      <c r="F25" s="167" t="str">
        <f ca="1">IF($AC$2="NO",IF(AND(AO25="MinCorrect",A25&lt;&gt;" "),MAIN!$E$5,F25),"")</f>
        <v/>
      </c>
      <c r="G25" s="167" t="str">
        <f ca="1">IF($AC$2="NO",IF(AND(AO25="MinCorrect",A25&lt;&gt;" "),MAIN!$F$5,G25),"")</f>
        <v/>
      </c>
      <c r="H25" s="532" t="str">
        <f ca="1">IF($AC$2="NO",IF(AND(AO25="MinCorrect",A25&lt;&gt;" "),MAIN!$E$7,H25),"")</f>
        <v/>
      </c>
      <c r="I25" s="167" t="str">
        <f ca="1">IF($AC$2="NO",IF(AND(AO25="MinCorrect",A25&lt;&gt;" "),MAIN!$H$5,I25),"")</f>
        <v/>
      </c>
      <c r="J25" s="532" t="str">
        <f ca="1">IF($AC$2="NO",IF(AND(AO25="MinCorrect",A25&lt;&gt;" "),MAIN!$L$5,J25),"")</f>
        <v/>
      </c>
      <c r="K25" s="167" t="str">
        <f ca="1">IF($AC$2="NO",IF(AND(AO25="MinCorrect",A25&lt;&gt;" "),MAIN!$M$5,K25),"")</f>
        <v/>
      </c>
      <c r="L25" s="535" t="str">
        <f ca="1">IF($AC$2="NO",IF(AND(AO25="MinCorrect",A25&lt;&gt;" "),MAIN!$N$5,L25),"")</f>
        <v/>
      </c>
      <c r="M25" s="534" t="str">
        <f ca="1">IF($AC$2="NO",IF(AND(AO25="MinCorrect",A25&lt;&gt;" "),MAIN!$B$2,M25),"")</f>
        <v/>
      </c>
      <c r="N25" s="816" t="str">
        <f ca="1">IF($AC$2="NO",IF(AND(AO25="MinCorrect",A25&lt;&gt;" "),MAIN!$S$2,N25),"")</f>
        <v/>
      </c>
      <c r="O25" s="435" t="str">
        <f ca="1">IF($AC$2="NO",IF(AND(AO25="MinCorrect",A25&lt;&gt;" "),MAIN!$M$27,O25),"")</f>
        <v/>
      </c>
      <c r="P25" s="534" t="str">
        <f ca="1">IF($AC$2="NO",IF(AND(AO25="MinCorrect",A25&lt;&gt;" "),MAIN!$F$10,P25),"")</f>
        <v/>
      </c>
      <c r="Q25" s="534" t="str">
        <f ca="1">IF($AC$2="NO",IF(AND(AO25="MinCorrect",A25&lt;&gt;" "),MAIN!$D$10,Q25),"")</f>
        <v/>
      </c>
      <c r="R25" s="534" t="str">
        <f ca="1">IF($AC$2="NO",IF(AND(AO25="MinCorrect",A25&lt;&gt;" "),MAIN!$E$10,R25),"")</f>
        <v/>
      </c>
      <c r="S25" s="88" t="str">
        <f ca="1">IF($AC$2="NO",IF(AND(AO25="MinCorrect",A25&lt;&gt;" "),[3]MAIN!#REF!,S25),"")</f>
        <v/>
      </c>
      <c r="T25" s="525" t="str">
        <f ca="1">IF($AC$2="NO",IF(AND(AO25="MinCorrect",A25&lt;&gt;" "),MAIN!#REF!,T25),"")</f>
        <v/>
      </c>
      <c r="U25" s="525" t="str">
        <f ca="1">IF($AC$2="NO",IF(AND(AO25="MinCorrect",A25&lt;&gt;" "),MAIN!#REF!,U25),"")</f>
        <v/>
      </c>
      <c r="V25" s="818" t="str">
        <f ca="1">IF($AC$2="NO",IF(AND(AO25="MinCorrect",A25&lt;&gt;" "),MAIN!#REF!,V25),"")</f>
        <v/>
      </c>
      <c r="W25" s="434"/>
      <c r="X25" s="434"/>
      <c r="Y25" s="434"/>
      <c r="AM25" s="275">
        <v>0.51041666666666663</v>
      </c>
      <c r="AN25" s="521"/>
      <c r="AO25" s="521" t="str">
        <f ca="1">IF(AND(HOUR(AM25)=(HOUR($AN$3)),(HOUR(AM26)=(HOUR($AN$3)))),IF(AND(MINUTE($AN$3)-MINUTE(AM25)&gt;=0,(MINUTE(AM26)-MINUTE($AN$3)&gt;0)),"Mincorrect","MinFalse"),"Hour False")</f>
        <v>Hour False</v>
      </c>
    </row>
    <row r="26" spans="1:41" ht="14.5" customHeight="1" thickBot="1" x14ac:dyDescent="0.4">
      <c r="A26" s="531"/>
      <c r="B26" s="529"/>
      <c r="C26" s="86" t="str">
        <f ca="1">IF($AC$2="NO",IF(AND(AO26="MinCorrect",A26&lt;&gt;" "),MAIN!$L$13,C26),"")</f>
        <v/>
      </c>
      <c r="D26" s="86" t="str">
        <f ca="1">IF($AC$2="NO",IF(AND(AO26="MinCorrect",A26&lt;&gt;" "),MAIN!$L$14,D26),"")</f>
        <v/>
      </c>
      <c r="E26" s="86" t="str">
        <f ca="1">IF($AC$2="NO",IF(AND(AO26="MinCorrect",A26&lt;&gt;" "),MAIN!$J$49,E26),"")</f>
        <v/>
      </c>
      <c r="F26" s="168" t="str">
        <f ca="1">IF($AC$2="NO",IF(AND(AO25="MinCorrect",A25&lt;&gt;" "),MAIN!$E$6,F26),"")</f>
        <v/>
      </c>
      <c r="G26" s="168" t="str">
        <f ca="1">IF($AC$2="NO",IF(AND(AO26="MinCorrect",A26&lt;&gt;" "),MAIN!$F$5,G26),"")</f>
        <v/>
      </c>
      <c r="H26" s="167"/>
      <c r="I26" s="168" t="str">
        <f ca="1">IF($AC$2="NO",IF(AND(AO26="MinCorrect",A26&lt;&gt;" "),MAIN!$H$6,I26),"")</f>
        <v/>
      </c>
      <c r="J26" s="533" t="str">
        <f ca="1">IF($AC$2="NO",IF(AND(AO26="MinCorrect",A26&lt;&gt;" "),MAIN!$L$5,J26),"")</f>
        <v/>
      </c>
      <c r="K26" s="168" t="str">
        <f ca="1">IF($AC$2="NO",IF(AND(AO26="MinCorrect",A26&lt;&gt;" "),MAIN!$M$5,K26),"")</f>
        <v/>
      </c>
      <c r="L26" s="536" t="str">
        <f ca="1">IF($AC$2="NO",IF(AND(AO26="MinCorrect",A26&lt;&gt;" "),MAIN!$N$5,L26),"")</f>
        <v/>
      </c>
      <c r="M26" s="435"/>
      <c r="N26" s="817"/>
      <c r="O26" s="435" t="str">
        <f ca="1">IF($AC$2="NO",IF(AND(AO26="MinCorrect",A26&lt;&gt;" "),MAIN!$J$49,O26),"")</f>
        <v/>
      </c>
      <c r="P26" s="534" t="str">
        <f ca="1">IF($AC$2="NO",IF(AND(AO26="MinCorrect",A26&lt;&gt;" "),MAIN!$F$10,P26),"")</f>
        <v/>
      </c>
      <c r="Q26" s="534" t="str">
        <f ca="1">IF($AC$2="NO",IF(AND(AO26="MinCorrect",A26&lt;&gt;" "),MAIN!$D$10,Q26),"")</f>
        <v/>
      </c>
      <c r="R26" s="534" t="str">
        <f ca="1">IF($AC$2="NO",IF(AND(AO26="MinCorrect",A26&lt;&gt;" "),MAIN!$E$10,R26),"")</f>
        <v/>
      </c>
      <c r="S26" s="92" t="str">
        <f ca="1">IF($AC$2="NO",IF(AND(AO25="MinCorrect",A25&lt;&gt;" "),[3]MAIN!#REF!,S26),"")</f>
        <v/>
      </c>
      <c r="T26" s="525" t="str">
        <f ca="1">IF($AC$2="NO",IF(AND(AO26="MinCorrect",A26&lt;&gt;" "),MAIN!#REF!,T26),"")</f>
        <v/>
      </c>
      <c r="U26" s="525" t="str">
        <f ca="1">IF($AC$2="NO",IF(AND(AO26="MinCorrect",A26&lt;&gt;" "),MAIN!#REF!,U26),"")</f>
        <v/>
      </c>
      <c r="V26" s="818"/>
      <c r="W26" s="434"/>
      <c r="X26" s="434"/>
      <c r="Y26" s="434"/>
      <c r="AM26" s="275">
        <v>0.5131944444444444</v>
      </c>
      <c r="AN26" s="521"/>
      <c r="AO26" s="521"/>
    </row>
    <row r="27" spans="1:41" ht="14.5" customHeight="1" thickBot="1" x14ac:dyDescent="0.4">
      <c r="A27" s="530" t="str">
        <f ca="1">IF($AC$2="NO",IF(AO27="MinCorrect",Sheet51!$F$1,IF(A27&lt;=TIMEVALUE("00:00:00"),"",A27)),"")</f>
        <v/>
      </c>
      <c r="B27" s="528" t="str">
        <f ca="1">IF($AC$2="NO",IF(AND(AO27="MinCorrect",A27&lt;&gt;" "),MAIN!$I$12,B27),"")</f>
        <v/>
      </c>
      <c r="C27" s="86" t="str">
        <f ca="1">IF($AC$2="NO",IF(AND(AO27="MinCorrect",A27&lt;&gt;" "),MAIN!$L$13,C27),"")</f>
        <v/>
      </c>
      <c r="D27" s="86" t="str">
        <f ca="1">IF($AC$2="NO",IF(AND(AO27="MinCorrect",A27&lt;&gt;" "),MAIN!$L$14,D27),"")</f>
        <v/>
      </c>
      <c r="E27" s="86" t="str">
        <f ca="1">IF($AC$2="NO",IF(AND(AO27="MinCorrect",A27&lt;&gt;" "),MAIN!$J$49,E27),"")</f>
        <v/>
      </c>
      <c r="F27" s="167" t="str">
        <f ca="1">IF($AC$2="NO",IF(AND(AO27="MinCorrect",A27&lt;&gt;" "),MAIN!$E$5,F27),"")</f>
        <v/>
      </c>
      <c r="G27" s="167" t="str">
        <f ca="1">IF($AC$2="NO",IF(AND(AO27="MinCorrect",A27&lt;&gt;" "),MAIN!$F$5,G27),"")</f>
        <v/>
      </c>
      <c r="H27" s="532" t="str">
        <f ca="1">IF($AC$2="NO",IF(AND(AO27="MinCorrect",A27&lt;&gt;" "),MAIN!$E$7,H27),"")</f>
        <v/>
      </c>
      <c r="I27" s="167" t="str">
        <f ca="1">IF($AC$2="NO",IF(AND(AO27="MinCorrect",A27&lt;&gt;" "),MAIN!$H$5,I27),"")</f>
        <v/>
      </c>
      <c r="J27" s="532" t="str">
        <f ca="1">IF($AC$2="NO",IF(AND(AO27="MinCorrect",A27&lt;&gt;" "),MAIN!$L$5,J27),"")</f>
        <v/>
      </c>
      <c r="K27" s="167" t="str">
        <f ca="1">IF($AC$2="NO",IF(AND(AO27="MinCorrect",A27&lt;&gt;" "),MAIN!$M$5,K27),"")</f>
        <v/>
      </c>
      <c r="L27" s="535" t="str">
        <f ca="1">IF($AC$2="NO",IF(AND(AO27="MinCorrect",A27&lt;&gt;" "),MAIN!$N$5,L27),"")</f>
        <v/>
      </c>
      <c r="M27" s="534" t="str">
        <f ca="1">IF($AC$2="NO",IF(AND(AO27="MinCorrect",A27&lt;&gt;" "),MAIN!$B$2,M27),"")</f>
        <v/>
      </c>
      <c r="N27" s="816" t="str">
        <f ca="1">IF($AC$2="NO",IF(AND(AO27="MinCorrect",A27&lt;&gt;" "),MAIN!$S$2,N27),"")</f>
        <v/>
      </c>
      <c r="O27" s="435" t="str">
        <f ca="1">IF($AC$2="NO",IF(AND(AO27="MinCorrect",A27&lt;&gt;" "),MAIN!$M$27,O27),"")</f>
        <v/>
      </c>
      <c r="P27" s="534" t="str">
        <f ca="1">IF($AC$2="NO",IF(AND(AO27="MinCorrect",A27&lt;&gt;" "),MAIN!$F$10,P27),"")</f>
        <v/>
      </c>
      <c r="Q27" s="534" t="str">
        <f ca="1">IF($AC$2="NO",IF(AND(AO27="MinCorrect",A27&lt;&gt;" "),MAIN!$D$10,Q27),"")</f>
        <v/>
      </c>
      <c r="R27" s="534" t="str">
        <f ca="1">IF($AC$2="NO",IF(AND(AO27="MinCorrect",A27&lt;&gt;" "),MAIN!$E$10,R27),"")</f>
        <v/>
      </c>
      <c r="S27" s="88" t="str">
        <f ca="1">IF($AC$2="NO",IF(AND(AO27="MinCorrect",A27&lt;&gt;" "),[3]MAIN!#REF!,S27),"")</f>
        <v/>
      </c>
      <c r="T27" s="525" t="str">
        <f ca="1">IF($AC$2="NO",IF(AND(AO27="MinCorrect",A27&lt;&gt;" "),MAIN!#REF!,T27),"")</f>
        <v/>
      </c>
      <c r="U27" s="525" t="str">
        <f ca="1">IF($AC$2="NO",IF(AND(AO27="MinCorrect",A27&lt;&gt;" "),MAIN!#REF!,U27),"")</f>
        <v/>
      </c>
      <c r="V27" s="818" t="str">
        <f ca="1">IF($AC$2="NO",IF(AND(AO27="MinCorrect",A27&lt;&gt;" "),MAIN!#REF!,V27),"")</f>
        <v/>
      </c>
      <c r="W27" s="434"/>
      <c r="X27" s="434"/>
      <c r="Y27" s="434"/>
      <c r="AM27" s="275">
        <v>0.52083333333333337</v>
      </c>
      <c r="AN27" s="521"/>
      <c r="AO27" s="521" t="str">
        <f ca="1">IF(AND(HOUR(AM27)=(HOUR($AN$3)),(HOUR(AM28)=(HOUR($AN$3)))),IF(AND(MINUTE($AN$3)-MINUTE(AM27)&gt;=0,(MINUTE(AM28)-MINUTE($AN$3)&gt;0)),"Mincorrect","MinFalse"),"Hour False")</f>
        <v>Hour False</v>
      </c>
    </row>
    <row r="28" spans="1:41" ht="14.5" customHeight="1" thickBot="1" x14ac:dyDescent="0.4">
      <c r="A28" s="531"/>
      <c r="B28" s="529"/>
      <c r="C28" s="86" t="str">
        <f ca="1">IF($AC$2="NO",IF(AND(AO28="MinCorrect",A28&lt;&gt;" "),MAIN!$L$13,C28),"")</f>
        <v/>
      </c>
      <c r="D28" s="86" t="str">
        <f ca="1">IF($AC$2="NO",IF(AND(AO28="MinCorrect",A28&lt;&gt;" "),MAIN!$L$14,D28),"")</f>
        <v/>
      </c>
      <c r="E28" s="86" t="str">
        <f ca="1">IF($AC$2="NO",IF(AND(AO28="MinCorrect",A28&lt;&gt;" "),MAIN!$J$49,E28),"")</f>
        <v/>
      </c>
      <c r="F28" s="168" t="str">
        <f ca="1">IF($AC$2="NO",IF(AND(AO27="MinCorrect",A27&lt;&gt;" "),MAIN!$E$6,F28),"")</f>
        <v/>
      </c>
      <c r="G28" s="168" t="str">
        <f ca="1">IF($AC$2="NO",IF(AND(AO28="MinCorrect",A28&lt;&gt;" "),MAIN!$F$5,G28),"")</f>
        <v/>
      </c>
      <c r="H28" s="167"/>
      <c r="I28" s="168" t="str">
        <f ca="1">IF($AC$2="NO",IF(AND(AO28="MinCorrect",A28&lt;&gt;" "),MAIN!$H$6,I28),"")</f>
        <v/>
      </c>
      <c r="J28" s="533" t="str">
        <f ca="1">IF($AC$2="NO",IF(AND(AO28="MinCorrect",A28&lt;&gt;" "),MAIN!$L$5,J28),"")</f>
        <v/>
      </c>
      <c r="K28" s="168" t="str">
        <f ca="1">IF($AC$2="NO",IF(AND(AO28="MinCorrect",A28&lt;&gt;" "),MAIN!$M$5,K28),"")</f>
        <v/>
      </c>
      <c r="L28" s="536" t="str">
        <f ca="1">IF($AC$2="NO",IF(AND(AO28="MinCorrect",A28&lt;&gt;" "),MAIN!$N$5,L28),"")</f>
        <v/>
      </c>
      <c r="M28" s="435"/>
      <c r="N28" s="817"/>
      <c r="O28" s="435" t="str">
        <f ca="1">IF($AC$2="NO",IF(AND(AO28="MinCorrect",A28&lt;&gt;" "),MAIN!$J$49,O28),"")</f>
        <v/>
      </c>
      <c r="P28" s="534" t="str">
        <f ca="1">IF($AC$2="NO",IF(AND(AO28="MinCorrect",A28&lt;&gt;" "),MAIN!$F$10,P28),"")</f>
        <v/>
      </c>
      <c r="Q28" s="534" t="str">
        <f ca="1">IF($AC$2="NO",IF(AND(AO28="MinCorrect",A28&lt;&gt;" "),MAIN!$D$10,Q28),"")</f>
        <v/>
      </c>
      <c r="R28" s="534" t="str">
        <f ca="1">IF($AC$2="NO",IF(AND(AO28="MinCorrect",A28&lt;&gt;" "),MAIN!$E$10,R28),"")</f>
        <v/>
      </c>
      <c r="S28" s="92" t="str">
        <f ca="1">IF($AC$2="NO",IF(AND(AO27="MinCorrect",A27&lt;&gt;" "),[3]MAIN!#REF!,S28),"")</f>
        <v/>
      </c>
      <c r="T28" s="525" t="str">
        <f ca="1">IF($AC$2="NO",IF(AND(AO28="MinCorrect",A28&lt;&gt;" "),MAIN!#REF!,T28),"")</f>
        <v/>
      </c>
      <c r="U28" s="525" t="str">
        <f ca="1">IF($AC$2="NO",IF(AND(AO28="MinCorrect",A28&lt;&gt;" "),MAIN!#REF!,U28),"")</f>
        <v/>
      </c>
      <c r="V28" s="818"/>
      <c r="W28" s="434"/>
      <c r="X28" s="434"/>
      <c r="Y28" s="434"/>
      <c r="AM28" s="275">
        <v>0.52361111111111114</v>
      </c>
      <c r="AN28" s="521"/>
      <c r="AO28" s="521"/>
    </row>
    <row r="29" spans="1:41" ht="15" customHeight="1" thickBot="1" x14ac:dyDescent="0.4">
      <c r="A29" s="530" t="str">
        <f ca="1">IF($AC$2="NO",IF(AO29="MinCorrect",Sheet51!$F$1,IF(A29&lt;=TIMEVALUE("00:00:00"),"",A29)),"")</f>
        <v/>
      </c>
      <c r="B29" s="528" t="str">
        <f ca="1">IF($AC$2="NO",IF(AND(AO29="MinCorrect",A29&lt;&gt;" "),MAIN!$I$12,B29),"")</f>
        <v/>
      </c>
      <c r="C29" s="86" t="str">
        <f ca="1">IF($AC$2="NO",IF(AND(AO29="MinCorrect",A29&lt;&gt;" "),MAIN!$L$13,C29),"")</f>
        <v/>
      </c>
      <c r="D29" s="86" t="str">
        <f ca="1">IF($AC$2="NO",IF(AND(AO29="MinCorrect",A29&lt;&gt;" "),MAIN!$L$14,D29),"")</f>
        <v/>
      </c>
      <c r="E29" s="86" t="str">
        <f ca="1">IF($AC$2="NO",IF(AND(AO29="MinCorrect",A29&lt;&gt;" "),MAIN!$J$49,E29),"")</f>
        <v/>
      </c>
      <c r="F29" s="167" t="str">
        <f ca="1">IF($AC$2="NO",IF(AND(AO29="MinCorrect",A29&lt;&gt;" "),MAIN!$E$5,F29),"")</f>
        <v/>
      </c>
      <c r="G29" s="167" t="str">
        <f ca="1">IF($AC$2="NO",IF(AND(AO29="MinCorrect",A29&lt;&gt;" "),MAIN!$F$5,G29),"")</f>
        <v/>
      </c>
      <c r="H29" s="532" t="str">
        <f ca="1">IF($AC$2="NO",IF(AND(AO29="MinCorrect",A29&lt;&gt;" "),MAIN!$E$7,H29),"")</f>
        <v/>
      </c>
      <c r="I29" s="167" t="str">
        <f ca="1">IF($AC$2="NO",IF(AND(AO29="MinCorrect",A29&lt;&gt;" "),MAIN!$H$5,I29),"")</f>
        <v/>
      </c>
      <c r="J29" s="532" t="str">
        <f ca="1">IF($AC$2="NO",IF(AND(AO29="MinCorrect",A29&lt;&gt;" "),MAIN!$L$5,J29),"")</f>
        <v/>
      </c>
      <c r="K29" s="167" t="str">
        <f ca="1">IF($AC$2="NO",IF(AND(AO29="MinCorrect",A29&lt;&gt;" "),MAIN!$M$5,K29),"")</f>
        <v/>
      </c>
      <c r="L29" s="535" t="str">
        <f ca="1">IF($AC$2="NO",IF(AND(AO29="MinCorrect",A29&lt;&gt;" "),MAIN!$N$5,L29),"")</f>
        <v/>
      </c>
      <c r="M29" s="534" t="str">
        <f ca="1">IF($AC$2="NO",IF(AND(AO29="MinCorrect",A29&lt;&gt;" "),MAIN!$B$2,M29),"")</f>
        <v/>
      </c>
      <c r="N29" s="816" t="str">
        <f ca="1">IF($AC$2="NO",IF(AND(AO29="MinCorrect",A29&lt;&gt;" "),MAIN!$S$2,N29),"")</f>
        <v/>
      </c>
      <c r="O29" s="435" t="str">
        <f ca="1">IF($AC$2="NO",IF(AND(AO29="MinCorrect",A29&lt;&gt;" "),MAIN!$M$27,O29),"")</f>
        <v/>
      </c>
      <c r="P29" s="534" t="str">
        <f ca="1">IF($AC$2="NO",IF(AND(AO29="MinCorrect",A29&lt;&gt;" "),MAIN!$F$10,P29),"")</f>
        <v/>
      </c>
      <c r="Q29" s="534" t="str">
        <f ca="1">IF($AC$2="NO",IF(AND(AO29="MinCorrect",A29&lt;&gt;" "),MAIN!$D$10,Q29),"")</f>
        <v/>
      </c>
      <c r="R29" s="534" t="str">
        <f ca="1">IF($AC$2="NO",IF(AND(AO29="MinCorrect",A29&lt;&gt;" "),MAIN!$E$10,R29),"")</f>
        <v/>
      </c>
      <c r="S29" s="88" t="str">
        <f ca="1">IF($AC$2="NO",IF(AND(AO29="MinCorrect",A29&lt;&gt;" "),[3]MAIN!#REF!,S29),"")</f>
        <v/>
      </c>
      <c r="T29" s="525" t="str">
        <f ca="1">IF($AC$2="NO",IF(AND(AO29="MinCorrect",A29&lt;&gt;" "),MAIN!#REF!,T29),"")</f>
        <v/>
      </c>
      <c r="U29" s="525" t="str">
        <f ca="1">IF($AC$2="NO",IF(AND(AO29="MinCorrect",A29&lt;&gt;" "),MAIN!#REF!,U29),"")</f>
        <v/>
      </c>
      <c r="V29" s="818" t="str">
        <f ca="1">IF($AC$2="NO",IF(AND(AO29="MinCorrect",A29&lt;&gt;" "),MAIN!#REF!,V29),"")</f>
        <v/>
      </c>
      <c r="W29" s="434"/>
      <c r="X29" s="434"/>
      <c r="Y29" s="434"/>
      <c r="AM29" s="275">
        <v>0.53125</v>
      </c>
      <c r="AO29" s="521" t="str">
        <f ca="1">IF(AND(HOUR(AM29)=(HOUR($AN$3)),(HOUR(AM30)=(HOUR($AN$3)))),IF(AND(MINUTE($AN$3)-MINUTE(AM29)&gt;=0,(MINUTE(AM30)-MINUTE($AN$3)&gt;0)),"Mincorrect","MinFalse"),"Hour False")</f>
        <v>Hour False</v>
      </c>
    </row>
    <row r="30" spans="1:41" ht="15" customHeight="1" thickBot="1" x14ac:dyDescent="0.4">
      <c r="A30" s="531"/>
      <c r="B30" s="529"/>
      <c r="C30" s="86" t="str">
        <f ca="1">IF($AC$2="NO",IF(AND(AO30="MinCorrect",A30&lt;&gt;" "),MAIN!$L$13,C30),"")</f>
        <v/>
      </c>
      <c r="D30" s="86" t="str">
        <f ca="1">IF($AC$2="NO",IF(AND(AO30="MinCorrect",A30&lt;&gt;" "),MAIN!$L$14,D30),"")</f>
        <v/>
      </c>
      <c r="E30" s="86" t="str">
        <f ca="1">IF($AC$2="NO",IF(AND(AO30="MinCorrect",A30&lt;&gt;" "),MAIN!$J$49,E30),"")</f>
        <v/>
      </c>
      <c r="F30" s="168" t="str">
        <f ca="1">IF($AC$2="NO",IF(AND(AO29="MinCorrect",A29&lt;&gt;" "),MAIN!$E$6,F30),"")</f>
        <v/>
      </c>
      <c r="G30" s="168" t="str">
        <f ca="1">IF($AC$2="NO",IF(AND(AO30="MinCorrect",A30&lt;&gt;" "),MAIN!$F$5,G30),"")</f>
        <v/>
      </c>
      <c r="H30" s="167"/>
      <c r="I30" s="168" t="str">
        <f ca="1">IF($AC$2="NO",IF(AND(AO30="MinCorrect",A30&lt;&gt;" "),MAIN!$H$6,I30),"")</f>
        <v/>
      </c>
      <c r="J30" s="533" t="str">
        <f ca="1">IF($AC$2="NO",IF(AND(AO30="MinCorrect",A30&lt;&gt;" "),MAIN!$L$5,J30),"")</f>
        <v/>
      </c>
      <c r="K30" s="168" t="str">
        <f ca="1">IF($AC$2="NO",IF(AND(AO30="MinCorrect",A30&lt;&gt;" "),MAIN!$M$5,K30),"")</f>
        <v/>
      </c>
      <c r="L30" s="536" t="str">
        <f ca="1">IF($AC$2="NO",IF(AND(AO30="MinCorrect",A30&lt;&gt;" "),MAIN!$N$5,L30),"")</f>
        <v/>
      </c>
      <c r="M30" s="435"/>
      <c r="N30" s="817"/>
      <c r="O30" s="435" t="str">
        <f ca="1">IF($AC$2="NO",IF(AND(AO30="MinCorrect",A30&lt;&gt;" "),MAIN!$J$49,O30),"")</f>
        <v/>
      </c>
      <c r="P30" s="534" t="str">
        <f ca="1">IF($AC$2="NO",IF(AND(AO30="MinCorrect",A30&lt;&gt;" "),MAIN!$F$10,P30),"")</f>
        <v/>
      </c>
      <c r="Q30" s="534" t="str">
        <f ca="1">IF($AC$2="NO",IF(AND(AO30="MinCorrect",A30&lt;&gt;" "),MAIN!$D$10,Q30),"")</f>
        <v/>
      </c>
      <c r="R30" s="534" t="str">
        <f ca="1">IF($AC$2="NO",IF(AND(AO30="MinCorrect",A30&lt;&gt;" "),MAIN!$E$10,R30),"")</f>
        <v/>
      </c>
      <c r="S30" s="92" t="str">
        <f ca="1">IF($AC$2="NO",IF(AND(AO29="MinCorrect",A29&lt;&gt;" "),[3]MAIN!#REF!,S30),"")</f>
        <v/>
      </c>
      <c r="T30" s="525" t="str">
        <f ca="1">IF($AC$2="NO",IF(AND(AO30="MinCorrect",A30&lt;&gt;" "),MAIN!#REF!,T30),"")</f>
        <v/>
      </c>
      <c r="U30" s="525" t="str">
        <f ca="1">IF($AC$2="NO",IF(AND(AO30="MinCorrect",A30&lt;&gt;" "),MAIN!#REF!,U30),"")</f>
        <v/>
      </c>
      <c r="V30" s="818"/>
      <c r="W30" s="434"/>
      <c r="X30" s="434"/>
      <c r="Y30" s="434"/>
      <c r="AM30" s="275">
        <v>0.53402777777777777</v>
      </c>
      <c r="AO30" s="521"/>
    </row>
    <row r="31" spans="1:41" ht="15" customHeight="1" thickBot="1" x14ac:dyDescent="0.4">
      <c r="A31" s="530" t="str">
        <f ca="1">IF($AC$2="NO",IF(AO31="MinCorrect",Sheet51!$F$1,IF(A31&lt;=TIMEVALUE("00:00:00"),"",A31)),"")</f>
        <v/>
      </c>
      <c r="B31" s="528" t="str">
        <f ca="1">IF($AC$2="NO",IF(AND(AO31="MinCorrect",A31&lt;&gt;" "),MAIN!$I$12,B31),"")</f>
        <v/>
      </c>
      <c r="C31" s="86" t="str">
        <f ca="1">IF($AC$2="NO",IF(AND(AO31="MinCorrect",A31&lt;&gt;" "),MAIN!$L$13,C31),"")</f>
        <v/>
      </c>
      <c r="D31" s="86" t="str">
        <f ca="1">IF($AC$2="NO",IF(AND(AO31="MinCorrect",A31&lt;&gt;" "),MAIN!$L$14,D31),"")</f>
        <v/>
      </c>
      <c r="E31" s="86" t="str">
        <f ca="1">IF($AC$2="NO",IF(AND(AO31="MinCorrect",A31&lt;&gt;" "),MAIN!$J$49,E31),"")</f>
        <v/>
      </c>
      <c r="F31" s="167" t="str">
        <f ca="1">IF($AC$2="NO",IF(AND(AO31="MinCorrect",A31&lt;&gt;" "),MAIN!$E$5,F31),"")</f>
        <v/>
      </c>
      <c r="G31" s="167" t="str">
        <f ca="1">IF($AC$2="NO",IF(AND(AO31="MinCorrect",A31&lt;&gt;" "),MAIN!$F$5,G31),"")</f>
        <v/>
      </c>
      <c r="H31" s="532" t="str">
        <f ca="1">IF($AC$2="NO",IF(AND(AO31="MinCorrect",A31&lt;&gt;" "),MAIN!$E$7,H31),"")</f>
        <v/>
      </c>
      <c r="I31" s="167" t="str">
        <f ca="1">IF($AC$2="NO",IF(AND(AO31="MinCorrect",A31&lt;&gt;" "),MAIN!$H$5,I31),"")</f>
        <v/>
      </c>
      <c r="J31" s="532" t="str">
        <f ca="1">IF($AC$2="NO",IF(AND(AO31="MinCorrect",A31&lt;&gt;" "),MAIN!$L$5,J31),"")</f>
        <v/>
      </c>
      <c r="K31" s="167" t="str">
        <f ca="1">IF($AC$2="NO",IF(AND(AO31="MinCorrect",A31&lt;&gt;" "),MAIN!$M$5,K31),"")</f>
        <v/>
      </c>
      <c r="L31" s="535" t="str">
        <f ca="1">IF($AC$2="NO",IF(AND(AO31="MinCorrect",A31&lt;&gt;" "),MAIN!$N$5,L31),"")</f>
        <v/>
      </c>
      <c r="M31" s="534" t="str">
        <f ca="1">IF($AC$2="NO",IF(AND(AO31="MinCorrect",A31&lt;&gt;" "),MAIN!$B$2,M31),"")</f>
        <v/>
      </c>
      <c r="N31" s="816" t="str">
        <f ca="1">IF($AC$2="NO",IF(AND(AO31="MinCorrect",A31&lt;&gt;" "),MAIN!$S$2,N31),"")</f>
        <v/>
      </c>
      <c r="O31" s="435" t="str">
        <f ca="1">IF($AC$2="NO",IF(AND(AO31="MinCorrect",A31&lt;&gt;" "),MAIN!$M$27,O31),"")</f>
        <v/>
      </c>
      <c r="P31" s="534" t="str">
        <f ca="1">IF($AC$2="NO",IF(AND(AO31="MinCorrect",A31&lt;&gt;" "),MAIN!$F$10,P31),"")</f>
        <v/>
      </c>
      <c r="Q31" s="534" t="str">
        <f ca="1">IF($AC$2="NO",IF(AND(AO31="MinCorrect",A31&lt;&gt;" "),MAIN!$D$10,Q31),"")</f>
        <v/>
      </c>
      <c r="R31" s="534" t="str">
        <f ca="1">IF($AC$2="NO",IF(AND(AO31="MinCorrect",A31&lt;&gt;" "),MAIN!$E$10,R31),"")</f>
        <v/>
      </c>
      <c r="S31" s="88" t="str">
        <f ca="1">IF($AC$2="NO",IF(AND(AO31="MinCorrect",A31&lt;&gt;" "),[3]MAIN!#REF!,S31),"")</f>
        <v/>
      </c>
      <c r="T31" s="525" t="str">
        <f ca="1">IF($AC$2="NO",IF(AND(AO31="MinCorrect",A31&lt;&gt;" "),MAIN!#REF!,T31),"")</f>
        <v/>
      </c>
      <c r="U31" s="525" t="str">
        <f ca="1">IF($AC$2="NO",IF(AND(AO31="MinCorrect",A31&lt;&gt;" "),MAIN!#REF!,U31),"")</f>
        <v/>
      </c>
      <c r="V31" s="818" t="str">
        <f ca="1">IF($AC$2="NO",IF(AND(AO31="MinCorrect",A31&lt;&gt;" "),MAIN!#REF!,V31),"")</f>
        <v/>
      </c>
      <c r="W31" s="434"/>
      <c r="X31" s="434"/>
      <c r="Y31" s="434"/>
      <c r="AM31" s="275">
        <v>0.54166666666666663</v>
      </c>
      <c r="AO31" s="521" t="str">
        <f ca="1">IF(AND(HOUR(AM31)=(HOUR($AN$3)),(HOUR(AM32)=(HOUR($AN$3)))),IF(AND(MINUTE($AN$3)-MINUTE(AM31)&gt;=0,(MINUTE(AM32)-MINUTE($AN$3)&gt;0)),"Mincorrect","MinFalse"),"Hour False")</f>
        <v>Hour False</v>
      </c>
    </row>
    <row r="32" spans="1:41" ht="15" customHeight="1" thickBot="1" x14ac:dyDescent="0.4">
      <c r="A32" s="531"/>
      <c r="B32" s="529"/>
      <c r="C32" s="86" t="str">
        <f ca="1">IF($AC$2="NO",IF(AND(AO32="MinCorrect",A32&lt;&gt;" "),MAIN!$L$13,C32),"")</f>
        <v/>
      </c>
      <c r="D32" s="86" t="str">
        <f ca="1">IF($AC$2="NO",IF(AND(AO32="MinCorrect",A32&lt;&gt;" "),MAIN!$L$14,D32),"")</f>
        <v/>
      </c>
      <c r="E32" s="86" t="str">
        <f ca="1">IF($AC$2="NO",IF(AND(AO32="MinCorrect",A32&lt;&gt;" "),MAIN!$J$49,E32),"")</f>
        <v/>
      </c>
      <c r="F32" s="168" t="str">
        <f ca="1">IF($AC$2="NO",IF(AND(AO31="MinCorrect",A31&lt;&gt;" "),MAIN!$E$6,F32),"")</f>
        <v/>
      </c>
      <c r="G32" s="168" t="str">
        <f ca="1">IF($AC$2="NO",IF(AND(AO32="MinCorrect",A32&lt;&gt;" "),MAIN!$F$5,G32),"")</f>
        <v/>
      </c>
      <c r="H32" s="167"/>
      <c r="I32" s="168" t="str">
        <f ca="1">IF($AC$2="NO",IF(AND(AO32="MinCorrect",A32&lt;&gt;" "),MAIN!$H$6,I32),"")</f>
        <v/>
      </c>
      <c r="J32" s="533" t="str">
        <f ca="1">IF($AC$2="NO",IF(AND(AO32="MinCorrect",A32&lt;&gt;" "),MAIN!$L$5,J32),"")</f>
        <v/>
      </c>
      <c r="K32" s="168" t="str">
        <f ca="1">IF($AC$2="NO",IF(AND(AO32="MinCorrect",A32&lt;&gt;" "),MAIN!$M$5,K32),"")</f>
        <v/>
      </c>
      <c r="L32" s="536" t="str">
        <f ca="1">IF($AC$2="NO",IF(AND(AO32="MinCorrect",A32&lt;&gt;" "),MAIN!$N$5,L32),"")</f>
        <v/>
      </c>
      <c r="M32" s="435"/>
      <c r="N32" s="817"/>
      <c r="O32" s="435" t="str">
        <f ca="1">IF($AC$2="NO",IF(AND(AO32="MinCorrect",A32&lt;&gt;" "),MAIN!$J$49,O32),"")</f>
        <v/>
      </c>
      <c r="P32" s="534" t="str">
        <f ca="1">IF($AC$2="NO",IF(AND(AO32="MinCorrect",A32&lt;&gt;" "),MAIN!$F$10,P32),"")</f>
        <v/>
      </c>
      <c r="Q32" s="534" t="str">
        <f ca="1">IF($AC$2="NO",IF(AND(AO32="MinCorrect",A32&lt;&gt;" "),MAIN!$D$10,Q32),"")</f>
        <v/>
      </c>
      <c r="R32" s="534" t="str">
        <f ca="1">IF($AC$2="NO",IF(AND(AO32="MinCorrect",A32&lt;&gt;" "),MAIN!$E$10,R32),"")</f>
        <v/>
      </c>
      <c r="S32" s="92" t="str">
        <f ca="1">IF($AC$2="NO",IF(AND(AO31="MinCorrect",A31&lt;&gt;" "),[3]MAIN!#REF!,S32),"")</f>
        <v/>
      </c>
      <c r="T32" s="525" t="str">
        <f ca="1">IF($AC$2="NO",IF(AND(AO32="MinCorrect",A32&lt;&gt;" "),MAIN!#REF!,T32),"")</f>
        <v/>
      </c>
      <c r="U32" s="525" t="str">
        <f ca="1">IF($AC$2="NO",IF(AND(AO32="MinCorrect",A32&lt;&gt;" "),MAIN!#REF!,U32),"")</f>
        <v/>
      </c>
      <c r="V32" s="818"/>
      <c r="W32" s="434"/>
      <c r="X32" s="434"/>
      <c r="Y32" s="434"/>
      <c r="AM32" s="275">
        <v>0.5444444444444444</v>
      </c>
      <c r="AO32" s="521"/>
    </row>
    <row r="33" spans="1:41" ht="15" customHeight="1" thickBot="1" x14ac:dyDescent="0.4">
      <c r="A33" s="530" t="str">
        <f ca="1">IF($AC$2="NO",IF(AO33="MinCorrect",Sheet51!$F$1,IF(A33&lt;=TIMEVALUE("00:00:00"),"",A33)),"")</f>
        <v/>
      </c>
      <c r="B33" s="528" t="str">
        <f ca="1">IF($AC$2="NO",IF(AND(AO33="MinCorrect",A33&lt;&gt;" "),MAIN!$I$12,B33),"")</f>
        <v/>
      </c>
      <c r="C33" s="86" t="str">
        <f ca="1">IF($AC$2="NO",IF(AND(AO33="MinCorrect",A33&lt;&gt;" "),MAIN!$L$13,C33),"")</f>
        <v/>
      </c>
      <c r="D33" s="86" t="str">
        <f ca="1">IF($AC$2="NO",IF(AND(AO33="MinCorrect",A33&lt;&gt;" "),MAIN!$L$14,D33),"")</f>
        <v/>
      </c>
      <c r="E33" s="86" t="str">
        <f ca="1">IF($AC$2="NO",IF(AND(AO33="MinCorrect",A33&lt;&gt;" "),MAIN!$J$49,E33),"")</f>
        <v/>
      </c>
      <c r="F33" s="167" t="str">
        <f ca="1">IF($AC$2="NO",IF(AND(AO33="MinCorrect",A33&lt;&gt;" "),MAIN!$E$5,F33),"")</f>
        <v/>
      </c>
      <c r="G33" s="167" t="str">
        <f ca="1">IF($AC$2="NO",IF(AND(AO33="MinCorrect",A33&lt;&gt;" "),MAIN!$F$5,G33),"")</f>
        <v/>
      </c>
      <c r="H33" s="532" t="str">
        <f ca="1">IF($AC$2="NO",IF(AND(AO33="MinCorrect",A33&lt;&gt;" "),MAIN!$E$7,H33),"")</f>
        <v/>
      </c>
      <c r="I33" s="167" t="str">
        <f ca="1">IF($AC$2="NO",IF(AND(AO33="MinCorrect",A33&lt;&gt;" "),MAIN!$H$5,I33),"")</f>
        <v/>
      </c>
      <c r="J33" s="532" t="str">
        <f ca="1">IF($AC$2="NO",IF(AND(AO33="MinCorrect",A33&lt;&gt;" "),MAIN!$L$5,J33),"")</f>
        <v/>
      </c>
      <c r="K33" s="167" t="str">
        <f ca="1">IF($AC$2="NO",IF(AND(AO33="MinCorrect",A33&lt;&gt;" "),MAIN!$M$5,K33),"")</f>
        <v/>
      </c>
      <c r="L33" s="535" t="str">
        <f ca="1">IF($AC$2="NO",IF(AND(AO33="MinCorrect",A33&lt;&gt;" "),MAIN!$N$5,L33),"")</f>
        <v/>
      </c>
      <c r="M33" s="534" t="str">
        <f ca="1">IF($AC$2="NO",IF(AND(AO33="MinCorrect",A33&lt;&gt;" "),MAIN!$B$2,M33),"")</f>
        <v/>
      </c>
      <c r="N33" s="816" t="str">
        <f ca="1">IF($AC$2="NO",IF(AND(AO33="MinCorrect",A33&lt;&gt;" "),MAIN!$S$2,N33),"")</f>
        <v/>
      </c>
      <c r="O33" s="435" t="str">
        <f ca="1">IF($AC$2="NO",IF(AND(AO33="MinCorrect",A33&lt;&gt;" "),MAIN!$M$27,O33),"")</f>
        <v/>
      </c>
      <c r="P33" s="534" t="str">
        <f ca="1">IF($AC$2="NO",IF(AND(AO33="MinCorrect",A33&lt;&gt;" "),MAIN!$F$10,P33),"")</f>
        <v/>
      </c>
      <c r="Q33" s="534" t="str">
        <f ca="1">IF($AC$2="NO",IF(AND(AO33="MinCorrect",A33&lt;&gt;" "),MAIN!$D$10,Q33),"")</f>
        <v/>
      </c>
      <c r="R33" s="534" t="str">
        <f ca="1">IF($AC$2="NO",IF(AND(AO33="MinCorrect",A33&lt;&gt;" "),MAIN!$E$10,R33),"")</f>
        <v/>
      </c>
      <c r="S33" s="88" t="str">
        <f ca="1">IF($AC$2="NO",IF(AND(AO33="MinCorrect",A33&lt;&gt;" "),[3]MAIN!#REF!,S33),"")</f>
        <v/>
      </c>
      <c r="T33" s="525" t="str">
        <f ca="1">IF($AC$2="NO",IF(AND(AO33="MinCorrect",A33&lt;&gt;" "),MAIN!#REF!,T33),"")</f>
        <v/>
      </c>
      <c r="U33" s="525" t="str">
        <f ca="1">IF($AC$2="NO",IF(AND(AO33="MinCorrect",A33&lt;&gt;" "),MAIN!#REF!,U33),"")</f>
        <v/>
      </c>
      <c r="V33" s="818" t="str">
        <f ca="1">IF($AC$2="NO",IF(AND(AO33="MinCorrect",A33&lt;&gt;" "),MAIN!#REF!,V33),"")</f>
        <v/>
      </c>
      <c r="W33" s="434"/>
      <c r="X33" s="434"/>
      <c r="Y33" s="434"/>
      <c r="AM33" s="275">
        <v>0.55208333333333337</v>
      </c>
      <c r="AO33" s="521" t="str">
        <f ca="1">IF(AND(HOUR(AM33)=(HOUR($AN$3)),(HOUR(AM34)=(HOUR($AN$3)))),IF(AND(MINUTE($AN$3)-MINUTE(AM33)&gt;=0,(MINUTE(AM34)-MINUTE($AN$3)&gt;0)),"Mincorrect","MinFalse"),"Hour False")</f>
        <v>Hour False</v>
      </c>
    </row>
    <row r="34" spans="1:41" ht="15" customHeight="1" thickBot="1" x14ac:dyDescent="0.4">
      <c r="A34" s="531"/>
      <c r="B34" s="529"/>
      <c r="C34" s="86" t="str">
        <f ca="1">IF($AC$2="NO",IF(AND(AO34="MinCorrect",A34&lt;&gt;" "),MAIN!$L$13,C34),"")</f>
        <v/>
      </c>
      <c r="D34" s="86" t="str">
        <f ca="1">IF($AC$2="NO",IF(AND(AO34="MinCorrect",A34&lt;&gt;" "),MAIN!$L$14,D34),"")</f>
        <v/>
      </c>
      <c r="E34" s="86" t="str">
        <f ca="1">IF($AC$2="NO",IF(AND(AO34="MinCorrect",A34&lt;&gt;" "),MAIN!$J$49,E34),"")</f>
        <v/>
      </c>
      <c r="F34" s="168" t="str">
        <f ca="1">IF($AC$2="NO",IF(AND(AO33="MinCorrect",A33&lt;&gt;" "),MAIN!$E$6,F34),"")</f>
        <v/>
      </c>
      <c r="G34" s="168" t="str">
        <f ca="1">IF($AC$2="NO",IF(AND(AO34="MinCorrect",A34&lt;&gt;" "),MAIN!$F$5,G34),"")</f>
        <v/>
      </c>
      <c r="H34" s="167"/>
      <c r="I34" s="168" t="str">
        <f ca="1">IF($AC$2="NO",IF(AND(AO34="MinCorrect",A34&lt;&gt;" "),MAIN!$H$6,I34),"")</f>
        <v/>
      </c>
      <c r="J34" s="533" t="str">
        <f ca="1">IF($AC$2="NO",IF(AND(AO34="MinCorrect",A34&lt;&gt;" "),MAIN!$L$5,J34),"")</f>
        <v/>
      </c>
      <c r="K34" s="168" t="str">
        <f ca="1">IF($AC$2="NO",IF(AND(AO34="MinCorrect",A34&lt;&gt;" "),MAIN!$M$5,K34),"")</f>
        <v/>
      </c>
      <c r="L34" s="536" t="str">
        <f ca="1">IF($AC$2="NO",IF(AND(AO34="MinCorrect",A34&lt;&gt;" "),MAIN!$N$5,L34),"")</f>
        <v/>
      </c>
      <c r="M34" s="435"/>
      <c r="N34" s="817"/>
      <c r="O34" s="435" t="str">
        <f ca="1">IF($AC$2="NO",IF(AND(AO34="MinCorrect",A34&lt;&gt;" "),MAIN!$J$49,O34),"")</f>
        <v/>
      </c>
      <c r="P34" s="534" t="str">
        <f ca="1">IF($AC$2="NO",IF(AND(AO34="MinCorrect",A34&lt;&gt;" "),MAIN!$F$10,P34),"")</f>
        <v/>
      </c>
      <c r="Q34" s="534" t="str">
        <f ca="1">IF($AC$2="NO",IF(AND(AO34="MinCorrect",A34&lt;&gt;" "),MAIN!$D$10,Q34),"")</f>
        <v/>
      </c>
      <c r="R34" s="534" t="str">
        <f ca="1">IF($AC$2="NO",IF(AND(AO34="MinCorrect",A34&lt;&gt;" "),MAIN!$E$10,R34),"")</f>
        <v/>
      </c>
      <c r="S34" s="92" t="str">
        <f ca="1">IF($AC$2="NO",IF(AND(AO33="MinCorrect",A33&lt;&gt;" "),[3]MAIN!#REF!,S34),"")</f>
        <v/>
      </c>
      <c r="T34" s="525" t="str">
        <f ca="1">IF($AC$2="NO",IF(AND(AO34="MinCorrect",A34&lt;&gt;" "),MAIN!#REF!,T34),"")</f>
        <v/>
      </c>
      <c r="U34" s="525" t="str">
        <f ca="1">IF($AC$2="NO",IF(AND(AO34="MinCorrect",A34&lt;&gt;" "),MAIN!#REF!,U34),"")</f>
        <v/>
      </c>
      <c r="V34" s="818"/>
      <c r="W34" s="434"/>
      <c r="X34" s="434"/>
      <c r="Y34" s="434"/>
      <c r="AM34" s="275">
        <v>0.55486111111111114</v>
      </c>
      <c r="AO34" s="521"/>
    </row>
    <row r="35" spans="1:41" ht="15" customHeight="1" thickBot="1" x14ac:dyDescent="0.4">
      <c r="A35" s="530" t="str">
        <f ca="1">IF($AC$2="NO",IF(AO35="MinCorrect",Sheet51!$F$1,IF(A35&lt;=TIMEVALUE("00:00:00"),"",A35)),"")</f>
        <v>0</v>
      </c>
      <c r="B35" s="528" t="str">
        <f ca="1">IF($AC$2="NO",IF(AND(AO35="MinCorrect",A35&lt;&gt;" "),MAIN!$I$12,B35),"")</f>
        <v>NIFTY</v>
      </c>
      <c r="C35" s="86">
        <f ca="1">IF($AC$2="NO",IF(AND(AO35="MinCorrect",A35&lt;&gt;" "),MAIN!$L$13,C35),"")</f>
        <v>0</v>
      </c>
      <c r="D35" s="86" t="e">
        <f ca="1">IF($AC$2="NO",IF(AND(AO35="MinCorrect",A35&lt;&gt;" "),MAIN!$L$14,D35),"")</f>
        <v>#NUM!</v>
      </c>
      <c r="E35" s="86">
        <f ca="1">IF($AC$2="NO",IF(AND(AO35="MinCorrect",A35&lt;&gt;" "),MAIN!$J$49,E35),"")</f>
        <v>0</v>
      </c>
      <c r="F35" s="167">
        <f ca="1">IF($AC$2="NO",IF(AND(AO35="MinCorrect",A35&lt;&gt;" "),MAIN!$E$5,F35),"")</f>
        <v>0</v>
      </c>
      <c r="G35" s="167">
        <f ca="1">IF($AC$2="NO",IF(AND(AO35="MinCorrect",A35&lt;&gt;" "),MAIN!$F$5,G35),"")</f>
        <v>0</v>
      </c>
      <c r="H35" s="532" t="str">
        <f ca="1">IF($AC$2="NO",IF(AND(AO35="MinCorrect",A35&lt;&gt;" "),MAIN!$E$7,H35),"")</f>
        <v>SELL</v>
      </c>
      <c r="I35" s="167">
        <f ca="1">IF($AC$2="NO",IF(AND(AO35="MinCorrect",A35&lt;&gt;" "),MAIN!$H$5,I35),"")</f>
        <v>0</v>
      </c>
      <c r="J35" s="532">
        <f ca="1">IF($AC$2="NO",IF(AND(AO35="MinCorrect",A35&lt;&gt;" "),MAIN!$L$5,J35),"")</f>
        <v>0</v>
      </c>
      <c r="K35" s="167">
        <f ca="1">IF($AC$2="NO",IF(AND(AO35="MinCorrect",A35&lt;&gt;" "),MAIN!$M$5,K35),"")</f>
        <v>0</v>
      </c>
      <c r="L35" s="535" t="e">
        <f ca="1">IF($AC$2="NO",IF(AND(AO35="MinCorrect",A35&lt;&gt;" "),MAIN!$N$5,L35),"")</f>
        <v>#NUM!</v>
      </c>
      <c r="M35" s="534">
        <f ca="1">IF($AC$2="NO",IF(AND(AO35="MinCorrect",A35&lt;&gt;" "),MAIN!$B$2,M35),"")</f>
        <v>11954</v>
      </c>
      <c r="N35" s="816">
        <f ca="1">IF($AC$2="NO",IF(AND(AO35="MinCorrect",A35&lt;&gt;" "),MAIN!$S$2,N35),"")</f>
        <v>12000</v>
      </c>
      <c r="O35" s="435" t="e">
        <f ca="1">IF($AC$2="NO",IF(AND(AO35="MinCorrect",A35&lt;&gt;" "),MAIN!$M$27,O35),"")</f>
        <v>#NUM!</v>
      </c>
      <c r="P35" s="534" t="str">
        <f ca="1">IF($AC$2="NO",IF(AND(AO35="MinCorrect",A35&lt;&gt;" "),MAIN!$F$10,P35),"")</f>
        <v/>
      </c>
      <c r="Q35" s="534" t="str">
        <f ca="1">IF($AC$2="NO",IF(AND(AO35="MinCorrect",A35&lt;&gt;" "),MAIN!$D$10,Q35),"")</f>
        <v/>
      </c>
      <c r="R35" s="534" t="str">
        <f ca="1">IF($AC$2="NO",IF(AND(AO35="MinCorrect",A35&lt;&gt;" "),MAIN!$E$10,R35),"")</f>
        <v/>
      </c>
      <c r="S35" s="88" t="e">
        <f ca="1">IF($AC$2="NO",IF(AND(AO35="MinCorrect",A35&lt;&gt;" "),[3]MAIN!#REF!,S35),"")</f>
        <v>#REF!</v>
      </c>
      <c r="T35" s="525" t="e">
        <f ca="1">IF($AC$2="NO",IF(AND(AO35="MinCorrect",A35&lt;&gt;" "),MAIN!#REF!,T35),"")</f>
        <v>#REF!</v>
      </c>
      <c r="U35" s="525" t="e">
        <f ca="1">IF($AC$2="NO",IF(AND(AO35="MinCorrect",A35&lt;&gt;" "),MAIN!#REF!,U35),"")</f>
        <v>#REF!</v>
      </c>
      <c r="V35" s="818" t="e">
        <f ca="1">IF($AC$2="NO",IF(AND(AO35="MinCorrect",A35&lt;&gt;" "),MAIN!#REF!,V35),"")</f>
        <v>#REF!</v>
      </c>
      <c r="W35" s="434"/>
      <c r="X35" s="434"/>
      <c r="Y35" s="434"/>
      <c r="AM35" s="275">
        <v>0.5625</v>
      </c>
      <c r="AO35" s="521" t="str">
        <f ca="1">IF(AND(HOUR(AM35)=(HOUR($AN$3)),(HOUR(AM36)=(HOUR($AN$3)))),IF(AND(MINUTE($AN$3)-MINUTE(AM35)&gt;=0,(MINUTE(AM36)-MINUTE($AN$3)&gt;0)),"Mincorrect","MinFalse"),"Hour False")</f>
        <v>Hour False</v>
      </c>
    </row>
    <row r="36" spans="1:41" ht="15" customHeight="1" thickBot="1" x14ac:dyDescent="0.4">
      <c r="A36" s="531"/>
      <c r="B36" s="529"/>
      <c r="C36" s="86" t="str">
        <f ca="1">IF($AC$2="NO",IF(AND(AO36="MinCorrect",A36&lt;&gt;" "),MAIN!$L$13,C36),"")</f>
        <v/>
      </c>
      <c r="D36" s="86" t="str">
        <f ca="1">IF($AC$2="NO",IF(AND(AO36="MinCorrect",A36&lt;&gt;" "),MAIN!$L$14,D36),"")</f>
        <v/>
      </c>
      <c r="E36" s="86" t="str">
        <f ca="1">IF($AC$2="NO",IF(AND(AO36="MinCorrect",A36&lt;&gt;" "),MAIN!$J$49,E36),"")</f>
        <v/>
      </c>
      <c r="F36" s="168">
        <f ca="1">IF($AC$2="NO",IF(AND(AO35="MinCorrect",A35&lt;&gt;" "),MAIN!$E$6,F36),"")</f>
        <v>0</v>
      </c>
      <c r="G36" s="168" t="str">
        <f ca="1">IF($AC$2="NO",IF(AND(AO36="MinCorrect",A36&lt;&gt;" "),MAIN!$F$5,G36),"")</f>
        <v/>
      </c>
      <c r="H36" s="167"/>
      <c r="I36" s="168" t="str">
        <f ca="1">IF($AC$2="NO",IF(AND(AO36="MinCorrect",A36&lt;&gt;" "),MAIN!$H$6,I36),"")</f>
        <v/>
      </c>
      <c r="J36" s="533" t="str">
        <f ca="1">IF($AC$2="NO",IF(AND(AO36="MinCorrect",A36&lt;&gt;" "),MAIN!$L$5,J36),"")</f>
        <v/>
      </c>
      <c r="K36" s="168" t="str">
        <f ca="1">IF($AC$2="NO",IF(AND(AO36="MinCorrect",A36&lt;&gt;" "),MAIN!$M$5,K36),"")</f>
        <v/>
      </c>
      <c r="L36" s="536" t="str">
        <f ca="1">IF($AC$2="NO",IF(AND(AO36="MinCorrect",A36&lt;&gt;" "),MAIN!$N$5,L36),"")</f>
        <v/>
      </c>
      <c r="M36" s="435"/>
      <c r="N36" s="817"/>
      <c r="O36" s="435" t="str">
        <f ca="1">IF($AC$2="NO",IF(AND(AO36="MinCorrect",A36&lt;&gt;" "),MAIN!$J$49,O36),"")</f>
        <v/>
      </c>
      <c r="P36" s="534" t="str">
        <f ca="1">IF($AC$2="NO",IF(AND(AO36="MinCorrect",A36&lt;&gt;" "),MAIN!$F$10,P36),"")</f>
        <v/>
      </c>
      <c r="Q36" s="534" t="str">
        <f ca="1">IF($AC$2="NO",IF(AND(AO36="MinCorrect",A36&lt;&gt;" "),MAIN!$D$10,Q36),"")</f>
        <v/>
      </c>
      <c r="R36" s="534" t="str">
        <f ca="1">IF($AC$2="NO",IF(AND(AO36="MinCorrect",A36&lt;&gt;" "),MAIN!$E$10,R36),"")</f>
        <v/>
      </c>
      <c r="S36" s="92" t="e">
        <f ca="1">IF($AC$2="NO",IF(AND(AO35="MinCorrect",A35&lt;&gt;" "),[3]MAIN!#REF!,S36),"")</f>
        <v>#REF!</v>
      </c>
      <c r="T36" s="525" t="str">
        <f ca="1">IF($AC$2="NO",IF(AND(AO36="MinCorrect",A36&lt;&gt;" "),MAIN!#REF!,T36),"")</f>
        <v/>
      </c>
      <c r="U36" s="525" t="str">
        <f ca="1">IF($AC$2="NO",IF(AND(AO36="MinCorrect",A36&lt;&gt;" "),MAIN!#REF!,U36),"")</f>
        <v/>
      </c>
      <c r="V36" s="818"/>
      <c r="W36" s="434"/>
      <c r="X36" s="434"/>
      <c r="Y36" s="434"/>
      <c r="AM36" s="275">
        <v>0.56527777777777777</v>
      </c>
      <c r="AO36" s="521"/>
    </row>
    <row r="37" spans="1:41" ht="15" customHeight="1" thickBot="1" x14ac:dyDescent="0.4">
      <c r="A37" s="530" t="str">
        <f ca="1">IF($AC$2="NO",IF(AO37="MinCorrect",Sheet51!$F$1,IF(A37&lt;=TIMEVALUE("00:00:00"),"",A37)),"")</f>
        <v>13:40:57</v>
      </c>
      <c r="B37" s="528" t="str">
        <f ca="1">IF($AC$2="NO",IF(AND(AO37="MinCorrect",A37&lt;&gt;" "),MAIN!$I$12,B37),"")</f>
        <v>NIFTY</v>
      </c>
      <c r="C37" s="86">
        <f ca="1">IF($AC$2="NO",IF(AND(AO37="MinCorrect",A37&lt;&gt;" "),MAIN!$L$13,C37),"")</f>
        <v>125.29919354838682</v>
      </c>
      <c r="D37" s="86">
        <f ca="1">IF($AC$2="NO",IF(AND(AO37="MinCorrect",A37&lt;&gt;" "),MAIN!$L$14,D37),"")</f>
        <v>12.016666666666667</v>
      </c>
      <c r="E37" s="86">
        <f ca="1">IF($AC$2="NO",IF(AND(AO37="MinCorrect",A37&lt;&gt;" "),MAIN!$J$49,E37),"")</f>
        <v>0</v>
      </c>
      <c r="F37" s="167">
        <f ca="1">IF($AC$2="NO",IF(AND(AO37="MinCorrect",A37&lt;&gt;" "),MAIN!$E$5,F37),"")</f>
        <v>644100</v>
      </c>
      <c r="G37" s="167">
        <f ca="1">IF($AC$2="NO",IF(AND(AO37="MinCorrect",A37&lt;&gt;" "),MAIN!$F$5,G37),"")</f>
        <v>603412</v>
      </c>
      <c r="H37" s="532" t="str">
        <f ca="1">IF($AC$2="NO",IF(AND(AO37="MinCorrect",A37&lt;&gt;" "),MAIN!$E$7,H37),"")</f>
        <v>BUY</v>
      </c>
      <c r="I37" s="167">
        <f ca="1">IF($AC$2="NO",IF(AND(AO37="MinCorrect",A37&lt;&gt;" "),MAIN!$H$5,I37),"")</f>
        <v>0</v>
      </c>
      <c r="J37" s="532">
        <f ca="1">IF($AC$2="NO",IF(AND(AO37="MinCorrect",A37&lt;&gt;" "),MAIN!$L$5,J37),"")</f>
        <v>12000</v>
      </c>
      <c r="K37" s="167">
        <f ca="1">IF($AC$2="NO",IF(AND(AO37="MinCorrect",A37&lt;&gt;" "),MAIN!$M$5,K37),"")</f>
        <v>7.75</v>
      </c>
      <c r="L37" s="535">
        <f ca="1">IF($AC$2="NO",IF(AND(AO37="MinCorrect",A37&lt;&gt;" "),MAIN!$N$5,L37),"")</f>
        <v>5986575</v>
      </c>
      <c r="M37" s="534">
        <f ca="1">IF($AC$2="NO",IF(AND(AO37="MinCorrect",A37&lt;&gt;" "),MAIN!$B$2,M37),"")</f>
        <v>11964.1</v>
      </c>
      <c r="N37" s="816">
        <f ca="1">IF($AC$2="NO",IF(AND(AO37="MinCorrect",A37&lt;&gt;" "),MAIN!$S$2,N37),"")</f>
        <v>11900</v>
      </c>
      <c r="O37" s="435">
        <f ca="1">IF($AC$2="NO",IF(AND(AO37="MinCorrect",A37&lt;&gt;" "),MAIN!$M$27,O37),"")</f>
        <v>2.5916666666666668</v>
      </c>
      <c r="P37" s="534" t="str">
        <f ca="1">IF($AC$2="NO",IF(AND(AO37="MinCorrect",A37&lt;&gt;" "),MAIN!$F$10,P37),"")</f>
        <v/>
      </c>
      <c r="Q37" s="534" t="str">
        <f ca="1">IF($AC$2="NO",IF(AND(AO37="MinCorrect",A37&lt;&gt;" "),MAIN!$D$10,Q37),"")</f>
        <v/>
      </c>
      <c r="R37" s="534" t="str">
        <f ca="1">IF($AC$2="NO",IF(AND(AO37="MinCorrect",A37&lt;&gt;" "),MAIN!$E$10,R37),"")</f>
        <v/>
      </c>
      <c r="S37" s="88" t="e">
        <f ca="1">IF($AC$2="NO",IF(AND(AO37="MinCorrect",A37&lt;&gt;" "),[3]MAIN!#REF!,S37),"")</f>
        <v>#REF!</v>
      </c>
      <c r="T37" s="525" t="e">
        <f ca="1">IF($AC$2="NO",IF(AND(AO37="MinCorrect",A37&lt;&gt;" "),MAIN!#REF!,T37),"")</f>
        <v>#REF!</v>
      </c>
      <c r="U37" s="525" t="e">
        <f ca="1">IF($AC$2="NO",IF(AND(AO37="MinCorrect",A37&lt;&gt;" "),MAIN!#REF!,U37),"")</f>
        <v>#REF!</v>
      </c>
      <c r="V37" s="818" t="e">
        <f ca="1">IF($AC$2="NO",IF(AND(AO37="MinCorrect",A37&lt;&gt;" "),MAIN!#REF!,V37),"")</f>
        <v>#REF!</v>
      </c>
      <c r="W37" s="434"/>
      <c r="X37" s="434"/>
      <c r="Y37" s="434"/>
      <c r="AM37" s="275">
        <v>0.57291666666666663</v>
      </c>
      <c r="AO37" s="521" t="str">
        <f ca="1">IF(AND(HOUR(AM37)=(HOUR($AN$3)),(HOUR(AM38)=(HOUR($AN$3)))),IF(AND(MINUTE($AN$3)-MINUTE(AM37)&gt;=0,(MINUTE(AM38)-MINUTE($AN$3)&gt;0)),"Mincorrect","MinFalse"),"Hour False")</f>
        <v>Hour False</v>
      </c>
    </row>
    <row r="38" spans="1:41" ht="15" customHeight="1" thickBot="1" x14ac:dyDescent="0.4">
      <c r="A38" s="531"/>
      <c r="B38" s="529"/>
      <c r="C38" s="86" t="str">
        <f ca="1">IF($AC$2="NO",IF(AND(AO38="MinCorrect",A38&lt;&gt;" "),MAIN!$L$13,C38),"")</f>
        <v/>
      </c>
      <c r="D38" s="86" t="str">
        <f ca="1">IF($AC$2="NO",IF(AND(AO38="MinCorrect",A38&lt;&gt;" "),MAIN!$L$14,D38),"")</f>
        <v/>
      </c>
      <c r="E38" s="86" t="str">
        <f ca="1">IF($AC$2="NO",IF(AND(AO38="MinCorrect",A38&lt;&gt;" "),MAIN!$J$49,E38),"")</f>
        <v/>
      </c>
      <c r="F38" s="168">
        <f ca="1">IF($AC$2="NO",IF(AND(AO37="MinCorrect",A37&lt;&gt;" "),MAIN!$E$6,F38),"")</f>
        <v>4035000</v>
      </c>
      <c r="G38" s="168" t="str">
        <f ca="1">IF($AC$2="NO",IF(AND(AO38="MinCorrect",A38&lt;&gt;" "),MAIN!$F$5,G38),"")</f>
        <v/>
      </c>
      <c r="H38" s="167"/>
      <c r="I38" s="168" t="str">
        <f ca="1">IF($AC$2="NO",IF(AND(AO38="MinCorrect",A38&lt;&gt;" "),MAIN!$H$6,I38),"")</f>
        <v/>
      </c>
      <c r="J38" s="533" t="str">
        <f ca="1">IF($AC$2="NO",IF(AND(AO38="MinCorrect",A38&lt;&gt;" "),MAIN!$L$5,J38),"")</f>
        <v/>
      </c>
      <c r="K38" s="168" t="str">
        <f ca="1">IF($AC$2="NO",IF(AND(AO38="MinCorrect",A38&lt;&gt;" "),MAIN!$M$5,K38),"")</f>
        <v/>
      </c>
      <c r="L38" s="536" t="str">
        <f ca="1">IF($AC$2="NO",IF(AND(AO38="MinCorrect",A38&lt;&gt;" "),MAIN!$N$5,L38),"")</f>
        <v/>
      </c>
      <c r="M38" s="435"/>
      <c r="N38" s="817"/>
      <c r="O38" s="435" t="str">
        <f ca="1">IF($AC$2="NO",IF(AND(AO38="MinCorrect",A38&lt;&gt;" "),MAIN!$J$49,O38),"")</f>
        <v/>
      </c>
      <c r="P38" s="534" t="str">
        <f ca="1">IF($AC$2="NO",IF(AND(AO38="MinCorrect",A38&lt;&gt;" "),MAIN!$F$10,P38),"")</f>
        <v/>
      </c>
      <c r="Q38" s="534" t="str">
        <f ca="1">IF($AC$2="NO",IF(AND(AO38="MinCorrect",A38&lt;&gt;" "),MAIN!$D$10,Q38),"")</f>
        <v/>
      </c>
      <c r="R38" s="534" t="str">
        <f ca="1">IF($AC$2="NO",IF(AND(AO38="MinCorrect",A38&lt;&gt;" "),MAIN!$E$10,R38),"")</f>
        <v/>
      </c>
      <c r="S38" s="92" t="e">
        <f ca="1">IF($AC$2="NO",IF(AND(AO37="MinCorrect",A37&lt;&gt;" "),[3]MAIN!#REF!,S38),"")</f>
        <v>#REF!</v>
      </c>
      <c r="T38" s="525" t="str">
        <f ca="1">IF($AC$2="NO",IF(AND(AO38="MinCorrect",A38&lt;&gt;" "),MAIN!#REF!,T38),"")</f>
        <v/>
      </c>
      <c r="U38" s="525" t="str">
        <f ca="1">IF($AC$2="NO",IF(AND(AO38="MinCorrect",A38&lt;&gt;" "),MAIN!#REF!,U38),"")</f>
        <v/>
      </c>
      <c r="V38" s="818"/>
      <c r="W38" s="434"/>
      <c r="X38" s="434"/>
      <c r="Y38" s="434"/>
      <c r="AM38" s="275">
        <v>0.5756944444444444</v>
      </c>
      <c r="AO38" s="521"/>
    </row>
    <row r="39" spans="1:41" ht="15" customHeight="1" thickBot="1" x14ac:dyDescent="0.4">
      <c r="A39" s="530" t="str">
        <f ca="1">IF($AC$2="NO",IF(AO39="MinCorrect",Sheet51!$F$1,IF(A39&lt;=TIMEVALUE("00:00:00"),"",A39)),"")</f>
        <v>13:55:27</v>
      </c>
      <c r="B39" s="528" t="str">
        <f ca="1">IF($AC$2="NO",IF(AND(AO39="MinCorrect",A39&lt;&gt;" "),MAIN!$I$12,B39),"")</f>
        <v>NIFTY</v>
      </c>
      <c r="C39" s="86">
        <f ca="1">IF($AC$2="NO",IF(AND(AO39="MinCorrect",A39&lt;&gt;" "),MAIN!$L$13,C39),"")</f>
        <v>122.89758064516104</v>
      </c>
      <c r="D39" s="86">
        <f ca="1">IF($AC$2="NO",IF(AND(AO39="MinCorrect",A39&lt;&gt;" "),MAIN!$L$14,D39),"")</f>
        <v>8.6416666666666675</v>
      </c>
      <c r="E39" s="86">
        <f ca="1">IF($AC$2="NO",IF(AND(AO39="MinCorrect",A39&lt;&gt;" "),MAIN!$J$49,E39),"")</f>
        <v>0</v>
      </c>
      <c r="F39" s="167">
        <f ca="1">IF($AC$2="NO",IF(AND(AO39="MinCorrect",A39&lt;&gt;" "),MAIN!$E$5,F39),"")</f>
        <v>722625</v>
      </c>
      <c r="G39" s="167">
        <f ca="1">IF($AC$2="NO",IF(AND(AO39="MinCorrect",A39&lt;&gt;" "),MAIN!$F$5,G39),"")</f>
        <v>141242</v>
      </c>
      <c r="H39" s="532" t="str">
        <f ca="1">IF($AC$2="NO",IF(AND(AO39="MinCorrect",A39&lt;&gt;" "),MAIN!$E$7,H39),"")</f>
        <v>BUY</v>
      </c>
      <c r="I39" s="167">
        <f ca="1">IF($AC$2="NO",IF(AND(AO39="MinCorrect",A39&lt;&gt;" "),MAIN!$H$5,I39),"")</f>
        <v>0</v>
      </c>
      <c r="J39" s="532">
        <f ca="1">IF($AC$2="NO",IF(AND(AO39="MinCorrect",A39&lt;&gt;" "),MAIN!$L$5,J39),"")</f>
        <v>12000</v>
      </c>
      <c r="K39" s="167">
        <f ca="1">IF($AC$2="NO",IF(AND(AO39="MinCorrect",A39&lt;&gt;" "),MAIN!$M$5,K39),"")</f>
        <v>4.95</v>
      </c>
      <c r="L39" s="535">
        <f ca="1">IF($AC$2="NO",IF(AND(AO39="MinCorrect",A39&lt;&gt;" "),MAIN!$N$5,L39),"")</f>
        <v>5879700</v>
      </c>
      <c r="M39" s="534">
        <f ca="1">IF($AC$2="NO",IF(AND(AO39="MinCorrect",A39&lt;&gt;" "),MAIN!$B$2,M39),"")</f>
        <v>11951.9</v>
      </c>
      <c r="N39" s="816">
        <f ca="1">IF($AC$2="NO",IF(AND(AO39="MinCorrect",A39&lt;&gt;" "),MAIN!$S$2,N39),"")</f>
        <v>11900</v>
      </c>
      <c r="O39" s="435">
        <f ca="1">IF($AC$2="NO",IF(AND(AO39="MinCorrect",A39&lt;&gt;" "),MAIN!$M$27,O39),"")</f>
        <v>3.1166666666666667</v>
      </c>
      <c r="P39" s="534" t="str">
        <f ca="1">IF($AC$2="NO",IF(AND(AO39="MinCorrect",A39&lt;&gt;" "),MAIN!$F$10,P39),"")</f>
        <v/>
      </c>
      <c r="Q39" s="534" t="str">
        <f ca="1">IF($AC$2="NO",IF(AND(AO39="MinCorrect",A39&lt;&gt;" "),MAIN!$D$10,Q39),"")</f>
        <v/>
      </c>
      <c r="R39" s="534" t="str">
        <f ca="1">IF($AC$2="NO",IF(AND(AO39="MinCorrect",A39&lt;&gt;" "),MAIN!$E$10,R39),"")</f>
        <v/>
      </c>
      <c r="S39" s="88" t="e">
        <f ca="1">IF($AC$2="NO",IF(AND(AO39="MinCorrect",A39&lt;&gt;" "),[3]MAIN!#REF!,S39),"")</f>
        <v>#REF!</v>
      </c>
      <c r="T39" s="416" t="e">
        <f ca="1">IF($AC$2="NO",IF(AND(AO39="MinCorrect",A39&lt;&gt;" "),MAIN!#REF!,T39),"")</f>
        <v>#REF!</v>
      </c>
      <c r="U39" s="525" t="e">
        <f ca="1">IF($AC$2="NO",IF(AND(AO39="MinCorrect",A39&lt;&gt;" "),MAIN!#REF!,U39),"")</f>
        <v>#REF!</v>
      </c>
      <c r="V39" s="818" t="e">
        <f ca="1">IF($AC$2="NO",IF(AND(AO39="MinCorrect",A39&lt;&gt;" "),MAIN!#REF!,V39),"")</f>
        <v>#REF!</v>
      </c>
      <c r="W39" s="434"/>
      <c r="X39" s="434"/>
      <c r="Y39" s="434"/>
      <c r="AM39" s="275">
        <v>0.58333333333333337</v>
      </c>
      <c r="AO39" s="521" t="str">
        <f ca="1">IF(AND(HOUR(AM39)=(HOUR($AN$3)),(HOUR(AM40)=(HOUR($AN$3)))),IF(AND(MINUTE($AN$3)-MINUTE(AM39)&gt;=0,(MINUTE(AM40)-MINUTE($AN$3)&gt;0)),"Mincorrect","MinFalse"),"Hour False")</f>
        <v>Hour False</v>
      </c>
    </row>
    <row r="40" spans="1:41" ht="15" customHeight="1" thickBot="1" x14ac:dyDescent="0.4">
      <c r="A40" s="531"/>
      <c r="B40" s="529"/>
      <c r="C40" s="86" t="str">
        <f ca="1">IF($AC$2="NO",IF(AND(AO40="MinCorrect",A40&lt;&gt;" "),MAIN!$L$13,C40),"")</f>
        <v/>
      </c>
      <c r="D40" s="86" t="str">
        <f ca="1">IF($AC$2="NO",IF(AND(AO40="MinCorrect",A40&lt;&gt;" "),MAIN!$L$14,D40),"")</f>
        <v/>
      </c>
      <c r="E40" s="86" t="str">
        <f ca="1">IF($AC$2="NO",IF(AND(AO40="MinCorrect",A40&lt;&gt;" "),MAIN!$J$49,E40),"")</f>
        <v/>
      </c>
      <c r="F40" s="168">
        <f ca="1">IF($AC$2="NO",IF(AND(AO39="MinCorrect",A39&lt;&gt;" "),MAIN!$E$6,F40),"")</f>
        <v>4183050</v>
      </c>
      <c r="G40" s="168" t="str">
        <f ca="1">IF($AC$2="NO",IF(AND(AO40="MinCorrect",A40&lt;&gt;" "),MAIN!$F$5,G40),"")</f>
        <v/>
      </c>
      <c r="H40" s="167"/>
      <c r="I40" s="168" t="str">
        <f ca="1">IF($AC$2="NO",IF(AND(AO40="MinCorrect",A40&lt;&gt;" "),MAIN!$H$6,I40),"")</f>
        <v/>
      </c>
      <c r="J40" s="533" t="str">
        <f ca="1">IF($AC$2="NO",IF(AND(AO40="MinCorrect",A40&lt;&gt;" "),MAIN!$L$5,J40),"")</f>
        <v/>
      </c>
      <c r="K40" s="168" t="str">
        <f ca="1">IF($AC$2="NO",IF(AND(AO40="MinCorrect",A40&lt;&gt;" "),MAIN!$M$5,K40),"")</f>
        <v/>
      </c>
      <c r="L40" s="536" t="str">
        <f ca="1">IF($AC$2="NO",IF(AND(AO40="MinCorrect",A40&lt;&gt;" "),MAIN!$N$5,L40),"")</f>
        <v/>
      </c>
      <c r="M40" s="435"/>
      <c r="N40" s="817"/>
      <c r="O40" s="435" t="str">
        <f ca="1">IF($AC$2="NO",IF(AND(AO40="MinCorrect",A40&lt;&gt;" "),MAIN!$J$49,O40),"")</f>
        <v/>
      </c>
      <c r="P40" s="534" t="str">
        <f ca="1">IF($AC$2="NO",IF(AND(AO40="MinCorrect",A40&lt;&gt;" "),MAIN!$F$10,P40),"")</f>
        <v/>
      </c>
      <c r="Q40" s="534" t="str">
        <f ca="1">IF($AC$2="NO",IF(AND(AO40="MinCorrect",A40&lt;&gt;" "),MAIN!$D$10,Q40),"")</f>
        <v/>
      </c>
      <c r="R40" s="534" t="str">
        <f ca="1">IF($AC$2="NO",IF(AND(AO40="MinCorrect",A40&lt;&gt;" "),MAIN!$E$10,R40),"")</f>
        <v/>
      </c>
      <c r="S40" s="92" t="e">
        <f ca="1">IF($AC$2="NO",IF(AND(AO39="MinCorrect",A39&lt;&gt;" "),[3]MAIN!#REF!,S40),"")</f>
        <v>#REF!</v>
      </c>
      <c r="T40" s="526" t="str">
        <f ca="1">IF($AC$2="NO",IF(AND(AO40="MinCorrect",A40&lt;&gt;" "),MAIN!#REF!,T40),"")</f>
        <v/>
      </c>
      <c r="U40" s="417" t="str">
        <f ca="1">IF($AC$2="NO",IF(AND(AO40="MinCorrect",A40&lt;&gt;" "),MAIN!#REF!,U40),"")</f>
        <v/>
      </c>
      <c r="V40" s="818"/>
      <c r="W40" s="434"/>
      <c r="X40" s="434"/>
      <c r="Y40" s="434"/>
      <c r="AM40" s="275">
        <v>0.58611111111111114</v>
      </c>
      <c r="AO40" s="521"/>
    </row>
    <row r="41" spans="1:41" ht="15" customHeight="1" thickBot="1" x14ac:dyDescent="0.4">
      <c r="A41" s="530" t="str">
        <f ca="1">IF($AC$2="NO",IF(AO41="MinCorrect",Sheet51!$F$1,IF(A41&lt;=TIMEVALUE("00:00:00"),"",A41)),"")</f>
        <v>14:11:58</v>
      </c>
      <c r="B41" s="528" t="str">
        <f ca="1">IF($AC$2="NO",IF(AND(AO41="MinCorrect",A41&lt;&gt;" "),MAIN!$I$12,B41),"")</f>
        <v>NIFTY</v>
      </c>
      <c r="C41" s="86">
        <f ca="1">IF($AC$2="NO",IF(AND(AO41="MinCorrect",A41&lt;&gt;" "),MAIN!$L$13,C41),"")</f>
        <v>101.98870967741908</v>
      </c>
      <c r="D41" s="86">
        <f ca="1">IF($AC$2="NO",IF(AND(AO41="MinCorrect",A41&lt;&gt;" "),MAIN!$L$14,D41),"")</f>
        <v>8.591666666666665</v>
      </c>
      <c r="E41" s="86">
        <f ca="1">IF($AC$2="NO",IF(AND(AO41="MinCorrect",A41&lt;&gt;" "),MAIN!$J$49,E41),"")</f>
        <v>0</v>
      </c>
      <c r="F41" s="167">
        <f ca="1">IF($AC$2="NO",IF(AND(AO41="MinCorrect",A41&lt;&gt;" "),MAIN!$E$5,F41),"")</f>
        <v>-664875</v>
      </c>
      <c r="G41" s="167">
        <f ca="1">IF($AC$2="NO",IF(AND(AO41="MinCorrect",A41&lt;&gt;" "),MAIN!$F$5,G41),"")</f>
        <v>524692</v>
      </c>
      <c r="H41" s="532" t="str">
        <f ca="1">IF($AC$2="NO",IF(AND(AO41="MinCorrect",A41&lt;&gt;" "),MAIN!$E$7,H41),"")</f>
        <v>BUY</v>
      </c>
      <c r="I41" s="167">
        <f ca="1">IF($AC$2="NO",IF(AND(AO41="MinCorrect",A41&lt;&gt;" "),MAIN!$H$5,I41),"")</f>
        <v>0</v>
      </c>
      <c r="J41" s="532">
        <f ca="1">IF($AC$2="NO",IF(AND(AO41="MinCorrect",A41&lt;&gt;" "),MAIN!$L$5,J41),"")</f>
        <v>12000</v>
      </c>
      <c r="K41" s="167">
        <f ca="1">IF($AC$2="NO",IF(AND(AO41="MinCorrect",A41&lt;&gt;" "),MAIN!$M$5,K41),"")</f>
        <v>4.2</v>
      </c>
      <c r="L41" s="535">
        <f ca="1">IF($AC$2="NO",IF(AND(AO41="MinCorrect",A41&lt;&gt;" "),MAIN!$N$5,L41),"")</f>
        <v>5956875</v>
      </c>
      <c r="M41" s="435">
        <f ca="1">IF($AC$2="NO",IF(AND(AO41="MinCorrect",A41&lt;&gt;" "),MAIN!$B$2,M41),"")</f>
        <v>11957.3</v>
      </c>
      <c r="N41" s="816">
        <f ca="1">IF($AC$2="NO",IF(AND(AO41="MinCorrect",A41&lt;&gt;" "),MAIN!$S$2,N41),"")</f>
        <v>11900</v>
      </c>
      <c r="O41" s="435">
        <f ca="1">IF($AC$2="NO",IF(AND(AO41="MinCorrect",A41&lt;&gt;" "),MAIN!$M$27,O41),"")</f>
        <v>3.0166666666666671</v>
      </c>
      <c r="P41" s="534" t="str">
        <f ca="1">IF($AC$2="NO",IF(AND(AO41="MinCorrect",A41&lt;&gt;" "),MAIN!$F$10,P41),"")</f>
        <v/>
      </c>
      <c r="Q41" s="534" t="str">
        <f ca="1">IF($AC$2="NO",IF(AND(AO41="MinCorrect",A41&lt;&gt;" "),MAIN!$D$10,Q41),"")</f>
        <v/>
      </c>
      <c r="R41" s="534" t="str">
        <f ca="1">IF($AC$2="NO",IF(AND(AO41="MinCorrect",A41&lt;&gt;" "),MAIN!$E$10,R41),"")</f>
        <v/>
      </c>
      <c r="S41" s="88" t="e">
        <f ca="1">IF($AC$2="NO",IF(AND(AO41="MinCorrect",A41&lt;&gt;" "),[3]MAIN!#REF!,S41),"")</f>
        <v>#REF!</v>
      </c>
      <c r="T41" s="525" t="e">
        <f ca="1">IF($AC$2="NO",IF(AND(AO41="MinCorrect",A41&lt;&gt;" "),MAIN!#REF!,T41),"")</f>
        <v>#REF!</v>
      </c>
      <c r="U41" s="525" t="e">
        <f ca="1">IF($AC$2="NO",IF(AND(AO41="MinCorrect",A41&lt;&gt;" "),MAIN!#REF!,U41),"")</f>
        <v>#REF!</v>
      </c>
      <c r="V41" s="818" t="e">
        <f ca="1">IF($AC$2="NO",IF(AND(AO41="MinCorrect",A41&lt;&gt;" "),MAIN!#REF!,V41),"")</f>
        <v>#REF!</v>
      </c>
      <c r="W41" s="434"/>
      <c r="X41" s="434"/>
      <c r="Y41" s="434"/>
      <c r="AM41" s="275">
        <v>0.59375</v>
      </c>
      <c r="AO41" s="521" t="str">
        <f ca="1">IF(AND(HOUR(AM41)=(HOUR($AN$3)),(HOUR(AM42)=(HOUR($AN$3)))),IF(AND(MINUTE($AN$3)-MINUTE(AM41)&gt;=0,(MINUTE(AM42)-MINUTE($AN$3)&gt;0)),"Mincorrect","MinFalse"),"Hour False")</f>
        <v>Hour False</v>
      </c>
    </row>
    <row r="42" spans="1:41" ht="15" customHeight="1" thickBot="1" x14ac:dyDescent="0.4">
      <c r="A42" s="531"/>
      <c r="B42" s="529"/>
      <c r="C42" s="86" t="str">
        <f ca="1">IF($AC$2="NO",IF(AND(AO42="MinCorrect",A42&lt;&gt;" "),MAIN!$L$13,C42),"")</f>
        <v/>
      </c>
      <c r="D42" s="86" t="str">
        <f ca="1">IF($AC$2="NO",IF(AND(AO42="MinCorrect",A42&lt;&gt;" "),MAIN!$L$14,D42),"")</f>
        <v/>
      </c>
      <c r="E42" s="86" t="str">
        <f ca="1">IF($AC$2="NO",IF(AND(AO42="MinCorrect",A42&lt;&gt;" "),MAIN!$J$49,E42),"")</f>
        <v/>
      </c>
      <c r="F42" s="168">
        <f ca="1">IF($AC$2="NO",IF(AND(AO41="MinCorrect",A41&lt;&gt;" "),MAIN!$E$6,F42),"")</f>
        <v>3839775</v>
      </c>
      <c r="G42" s="168" t="str">
        <f ca="1">IF($AC$2="NO",IF(AND(AO42="MinCorrect",A42&lt;&gt;" "),MAIN!$F$5,G42),"")</f>
        <v/>
      </c>
      <c r="H42" s="167"/>
      <c r="I42" s="168" t="str">
        <f ca="1">IF($AC$2="NO",IF(AND(AO42="MinCorrect",A42&lt;&gt;" "),MAIN!$H$6,I42),"")</f>
        <v/>
      </c>
      <c r="J42" s="533" t="str">
        <f ca="1">IF($AC$2="NO",IF(AND(AO42="MinCorrect",A42&lt;&gt;" "),MAIN!$L$5,J42),"")</f>
        <v/>
      </c>
      <c r="K42" s="168" t="str">
        <f ca="1">IF($AC$2="NO",IF(AND(AO42="MinCorrect",A42&lt;&gt;" "),MAIN!$M$5,K42),"")</f>
        <v/>
      </c>
      <c r="L42" s="536" t="str">
        <f ca="1">IF($AC$2="NO",IF(AND(AO42="MinCorrect",A42&lt;&gt;" "),MAIN!$N$5,L42),"")</f>
        <v/>
      </c>
      <c r="M42" s="435"/>
      <c r="N42" s="817"/>
      <c r="O42" s="435" t="str">
        <f ca="1">IF($AC$2="NO",IF(AND(AO42="MinCorrect",A42&lt;&gt;" "),MAIN!$J$49,O42),"")</f>
        <v/>
      </c>
      <c r="P42" s="534" t="str">
        <f ca="1">IF($AC$2="NO",IF(AND(AO42="MinCorrect",A42&lt;&gt;" "),MAIN!$F$10,P42),"")</f>
        <v/>
      </c>
      <c r="Q42" s="534" t="str">
        <f ca="1">IF($AC$2="NO",IF(AND(AO42="MinCorrect",A42&lt;&gt;" "),MAIN!$D$10,Q42),"")</f>
        <v/>
      </c>
      <c r="R42" s="534" t="str">
        <f ca="1">IF($AC$2="NO",IF(AND(AO42="MinCorrect",A42&lt;&gt;" "),MAIN!$E$10,R42),"")</f>
        <v/>
      </c>
      <c r="S42" s="92" t="e">
        <f ca="1">IF($AC$2="NO",IF(AND(AO41="MinCorrect",A41&lt;&gt;" "),[3]MAIN!#REF!,S42),"")</f>
        <v>#REF!</v>
      </c>
      <c r="T42" s="413" t="str">
        <f ca="1">IF($AC$2="NO",IF(AND(AO42="MinCorrect",A42&lt;&gt;" "),MAIN!#REF!,T42),"")</f>
        <v/>
      </c>
      <c r="U42" s="413" t="str">
        <f ca="1">IF($AC$2="NO",IF(AND(AO42="MinCorrect",A42&lt;&gt;" "),MAIN!#REF!,U42),"")</f>
        <v/>
      </c>
      <c r="V42" s="818"/>
      <c r="W42" s="434"/>
      <c r="X42" s="434"/>
      <c r="Y42" s="434"/>
      <c r="AM42" s="275">
        <v>0.59652777777777777</v>
      </c>
      <c r="AO42" s="521"/>
    </row>
    <row r="43" spans="1:41" ht="15" customHeight="1" thickBot="1" x14ac:dyDescent="0.4">
      <c r="A43" s="530" t="str">
        <f ca="1">IF($AC$2="NO",IF(AO43="MinCorrect",Sheet51!$F$1,IF(A43&lt;=TIMEVALUE("00:00:00"),"",A43)),"")</f>
        <v/>
      </c>
      <c r="B43" s="528" t="str">
        <f ca="1">IF($AC$2="NO",IF(AND(AO43="MinCorrect",A43&lt;&gt;" "),MAIN!$I$12,B43),"")</f>
        <v/>
      </c>
      <c r="C43" s="86" t="str">
        <f ca="1">IF($AC$2="NO",IF(AND(AO43="MinCorrect",A43&lt;&gt;" "),MAIN!$L$13,C43),"")</f>
        <v/>
      </c>
      <c r="D43" s="86" t="str">
        <f ca="1">IF($AC$2="NO",IF(AND(AO43="MinCorrect",A43&lt;&gt;" "),MAIN!$L$14,D43),"")</f>
        <v/>
      </c>
      <c r="E43" s="86" t="str">
        <f ca="1">IF($AC$2="NO",IF(AND(AO43="MinCorrect",A43&lt;&gt;" "),MAIN!$J$49,E43),"")</f>
        <v/>
      </c>
      <c r="F43" s="167" t="str">
        <f ca="1">IF($AC$2="NO",IF(AND(AO43="MinCorrect",A43&lt;&gt;" "),MAIN!$E$5,F43),"")</f>
        <v/>
      </c>
      <c r="G43" s="167" t="str">
        <f ca="1">IF($AC$2="NO",IF(AND(AO43="MinCorrect",A43&lt;&gt;" "),MAIN!$F$5,G43),"")</f>
        <v/>
      </c>
      <c r="H43" s="532" t="str">
        <f ca="1">IF($AC$2="NO",IF(AND(AO43="MinCorrect",A43&lt;&gt;" "),MAIN!$E$7,H43),"")</f>
        <v/>
      </c>
      <c r="I43" s="167" t="str">
        <f ca="1">IF($AC$2="NO",IF(AND(AO43="MinCorrect",A43&lt;&gt;" "),MAIN!$H$5,I43),"")</f>
        <v/>
      </c>
      <c r="J43" s="532" t="str">
        <f ca="1">IF($AC$2="NO",IF(AND(AO43="MinCorrect",A43&lt;&gt;" "),MAIN!$L$5,J43),"")</f>
        <v/>
      </c>
      <c r="K43" s="167" t="str">
        <f ca="1">IF($AC$2="NO",IF(AND(AO43="MinCorrect",A43&lt;&gt;" "),MAIN!$M$5,K43),"")</f>
        <v/>
      </c>
      <c r="L43" s="535" t="str">
        <f ca="1">IF($AC$2="NO",IF(AND(AO43="MinCorrect",A43&lt;&gt;" "),MAIN!$N$5,L43),"")</f>
        <v/>
      </c>
      <c r="M43" s="534" t="str">
        <f ca="1">IF($AC$2="NO",IF(AND(AO43="MinCorrect",A43&lt;&gt;" "),MAIN!$B$2,M43),"")</f>
        <v/>
      </c>
      <c r="N43" s="816" t="str">
        <f ca="1">IF($AC$2="NO",IF(AND(AO43="MinCorrect",A43&lt;&gt;" "),MAIN!$S$2,N43),"")</f>
        <v/>
      </c>
      <c r="O43" s="435" t="str">
        <f ca="1">IF($AC$2="NO",IF(AND(AO43="MinCorrect",A43&lt;&gt;" "),MAIN!$M$27,O43),"")</f>
        <v/>
      </c>
      <c r="P43" s="534" t="str">
        <f ca="1">IF($AC$2="NO",IF(AND(AO43="MinCorrect",A43&lt;&gt;" "),MAIN!$F$10,P43),"")</f>
        <v/>
      </c>
      <c r="Q43" s="534" t="str">
        <f ca="1">IF($AC$2="NO",IF(AND(AO43="MinCorrect",A43&lt;&gt;" "),MAIN!$D$10,Q43),"")</f>
        <v/>
      </c>
      <c r="R43" s="534" t="str">
        <f ca="1">IF($AC$2="NO",IF(AND(AO43="MinCorrect",A43&lt;&gt;" "),MAIN!$E$10,R43),"")</f>
        <v/>
      </c>
      <c r="S43" s="88" t="str">
        <f ca="1">IF($AC$2="NO",IF(AND(AO43="MinCorrect",A43&lt;&gt;" "),[3]MAIN!#REF!,S43),"")</f>
        <v/>
      </c>
      <c r="T43" s="525" t="str">
        <f ca="1">IF($AC$2="NO",IF(AND(AO43="MinCorrect",A43&lt;&gt;" "),MAIN!#REF!,T43),"")</f>
        <v/>
      </c>
      <c r="U43" s="525" t="str">
        <f ca="1">IF($AC$2="NO",IF(AND(AO43="MinCorrect",A43&lt;&gt;" "),MAIN!#REF!,U43),"")</f>
        <v/>
      </c>
      <c r="V43" s="818" t="str">
        <f ca="1">IF($AC$2="NO",IF(AND(AO43="MinCorrect",A43&lt;&gt;" "),MAIN!#REF!,V43),"")</f>
        <v/>
      </c>
      <c r="W43" s="434"/>
      <c r="X43" s="434"/>
      <c r="Y43" s="434"/>
      <c r="AM43" s="275">
        <v>0.60416666666666663</v>
      </c>
      <c r="AO43" s="521" t="str">
        <f ca="1">IF(AND(HOUR(AM43)=(HOUR($AN$3)),(HOUR(AM44)=(HOUR($AN$3)))),IF(AND(MINUTE($AN$3)-MINUTE(AM43)&gt;=0,(MINUTE(AM44)-MINUTE($AN$3)&gt;0)),"Mincorrect","MinFalse"),"Hour False")</f>
        <v>Hour False</v>
      </c>
    </row>
    <row r="44" spans="1:41" ht="15" customHeight="1" thickBot="1" x14ac:dyDescent="0.4">
      <c r="A44" s="531"/>
      <c r="B44" s="529"/>
      <c r="C44" s="86" t="str">
        <f ca="1">IF($AC$2="NO",IF(AND(AO44="MinCorrect",A44&lt;&gt;" "),MAIN!$L$13,C44),"")</f>
        <v/>
      </c>
      <c r="D44" s="86" t="str">
        <f ca="1">IF($AC$2="NO",IF(AND(AO44="MinCorrect",A44&lt;&gt;" "),MAIN!$L$14,D44),"")</f>
        <v/>
      </c>
      <c r="E44" s="86" t="str">
        <f ca="1">IF($AC$2="NO",IF(AND(AO44="MinCorrect",A44&lt;&gt;" "),MAIN!$J$49,E44),"")</f>
        <v/>
      </c>
      <c r="F44" s="168" t="str">
        <f ca="1">IF($AC$2="NO",IF(AND(AO43="MinCorrect",A43&lt;&gt;" "),MAIN!$E$6,F44),"")</f>
        <v/>
      </c>
      <c r="G44" s="168" t="str">
        <f ca="1">IF($AC$2="NO",IF(AND(AO44="MinCorrect",A44&lt;&gt;" "),MAIN!$F$5,G44),"")</f>
        <v/>
      </c>
      <c r="H44" s="167"/>
      <c r="I44" s="168" t="str">
        <f ca="1">IF($AC$2="NO",IF(AND(AO44="MinCorrect",A44&lt;&gt;" "),MAIN!$H$6,I44),"")</f>
        <v/>
      </c>
      <c r="J44" s="533" t="str">
        <f ca="1">IF($AC$2="NO",IF(AND(AO44="MinCorrect",A44&lt;&gt;" "),MAIN!$L$5,J44),"")</f>
        <v/>
      </c>
      <c r="K44" s="168" t="str">
        <f ca="1">IF($AC$2="NO",IF(AND(AO44="MinCorrect",A44&lt;&gt;" "),MAIN!$M$5,K44),"")</f>
        <v/>
      </c>
      <c r="L44" s="536" t="str">
        <f ca="1">IF($AC$2="NO",IF(AND(AO44="MinCorrect",A44&lt;&gt;" "),MAIN!$N$5,L44),"")</f>
        <v/>
      </c>
      <c r="M44" s="435"/>
      <c r="N44" s="817"/>
      <c r="O44" s="435" t="str">
        <f ca="1">IF($AC$2="NO",IF(AND(AO44="MinCorrect",A44&lt;&gt;" "),MAIN!$J$49,O44),"")</f>
        <v/>
      </c>
      <c r="P44" s="534" t="str">
        <f ca="1">IF($AC$2="NO",IF(AND(AO44="MinCorrect",A44&lt;&gt;" "),MAIN!$F$10,P44),"")</f>
        <v/>
      </c>
      <c r="Q44" s="534" t="str">
        <f ca="1">IF($AC$2="NO",IF(AND(AO44="MinCorrect",A44&lt;&gt;" "),MAIN!$D$10,Q44),"")</f>
        <v/>
      </c>
      <c r="R44" s="534" t="str">
        <f ca="1">IF($AC$2="NO",IF(AND(AO44="MinCorrect",A44&lt;&gt;" "),MAIN!$E$10,R44),"")</f>
        <v/>
      </c>
      <c r="S44" s="92" t="str">
        <f ca="1">IF($AC$2="NO",IF(AND(AO43="MinCorrect",A43&lt;&gt;" "),[3]MAIN!#REF!,S44),"")</f>
        <v/>
      </c>
      <c r="T44" s="413" t="str">
        <f ca="1">IF($AC$2="NO",IF(AND(AO44="MinCorrect",A44&lt;&gt;" "),MAIN!#REF!,T44),"")</f>
        <v/>
      </c>
      <c r="U44" s="413" t="str">
        <f ca="1">IF($AC$2="NO",IF(AND(AO44="MinCorrect",A44&lt;&gt;" "),MAIN!#REF!,U44),"")</f>
        <v/>
      </c>
      <c r="V44" s="818"/>
      <c r="W44" s="434"/>
      <c r="X44" s="434"/>
      <c r="Y44" s="434"/>
      <c r="AM44" s="275">
        <v>0.6069444444444444</v>
      </c>
      <c r="AO44" s="521"/>
    </row>
    <row r="45" spans="1:41" ht="15" customHeight="1" thickBot="1" x14ac:dyDescent="0.4">
      <c r="A45" s="530" t="str">
        <f ca="1">IF($AC$2="NO",IF(AO45="MinCorrect",Sheet51!$F$1,IF(A45&lt;=TIMEVALUE("00:00:00"),"",A45)),"")</f>
        <v>14:34:58</v>
      </c>
      <c r="B45" s="528" t="str">
        <f ca="1">IF($AC$2="NO",IF(AND(AO45="MinCorrect",A45&lt;&gt;" "),MAIN!$I$12,B45),"")</f>
        <v>NIFTY</v>
      </c>
      <c r="C45" s="86">
        <f ca="1">IF($AC$2="NO",IF(AND(AO45="MinCorrect",A45&lt;&gt;" "),MAIN!$L$13,C45),"")</f>
        <v>105.66129032258041</v>
      </c>
      <c r="D45" s="86">
        <f ca="1">IF($AC$2="NO",IF(AND(AO45="MinCorrect",A45&lt;&gt;" "),MAIN!$L$14,D45),"")</f>
        <v>10.841666666666669</v>
      </c>
      <c r="E45" s="86">
        <f ca="1">IF($AC$2="NO",IF(AND(AO45="MinCorrect",A45&lt;&gt;" "),MAIN!$J$49,E45),"")</f>
        <v>0</v>
      </c>
      <c r="F45" s="167">
        <f ca="1">IF($AC$2="NO",IF(AND(AO45="MinCorrect",A45&lt;&gt;" "),MAIN!$E$5,F45),"")</f>
        <v>-880500</v>
      </c>
      <c r="G45" s="167">
        <f ca="1">IF($AC$2="NO",IF(AND(AO45="MinCorrect",A45&lt;&gt;" "),MAIN!$F$5,G45),"")</f>
        <v>554919</v>
      </c>
      <c r="H45" s="532" t="str">
        <f ca="1">IF($AC$2="NO",IF(AND(AO45="MinCorrect",A45&lt;&gt;" "),MAIN!$E$7,H45),"")</f>
        <v>BUY</v>
      </c>
      <c r="I45" s="167">
        <f ca="1">IF($AC$2="NO",IF(AND(AO45="MinCorrect",A45&lt;&gt;" "),MAIN!$H$5,I45),"")</f>
        <v>0</v>
      </c>
      <c r="J45" s="532">
        <f ca="1">IF($AC$2="NO",IF(AND(AO45="MinCorrect",A45&lt;&gt;" "),MAIN!$L$5,J45),"")</f>
        <v>12000</v>
      </c>
      <c r="K45" s="167">
        <f ca="1">IF($AC$2="NO",IF(AND(AO45="MinCorrect",A45&lt;&gt;" "),MAIN!$M$5,K45),"")</f>
        <v>4.4000000000000004</v>
      </c>
      <c r="L45" s="535">
        <f ca="1">IF($AC$2="NO",IF(AND(AO45="MinCorrect",A45&lt;&gt;" "),MAIN!$N$5,L45),"")</f>
        <v>6159000</v>
      </c>
      <c r="M45" s="534">
        <f ca="1">IF($AC$2="NO",IF(AND(AO45="MinCorrect",A45&lt;&gt;" "),MAIN!$B$2,M45),"")</f>
        <v>11957.65</v>
      </c>
      <c r="N45" s="816">
        <f ca="1">IF($AC$2="NO",IF(AND(AO45="MinCorrect",A45&lt;&gt;" "),MAIN!$S$2,N45),"")</f>
        <v>11900</v>
      </c>
      <c r="O45" s="435">
        <f ca="1">IF($AC$2="NO",IF(AND(AO45="MinCorrect",A45&lt;&gt;" "),MAIN!$M$27,O45),"")</f>
        <v>1.9083333333333334</v>
      </c>
      <c r="P45" s="534" t="str">
        <f ca="1">IF($AC$2="NO",IF(AND(AO45="MinCorrect",A45&lt;&gt;" "),MAIN!$F$10,P45),"")</f>
        <v/>
      </c>
      <c r="Q45" s="534" t="str">
        <f ca="1">IF($AC$2="NO",IF(AND(AO45="MinCorrect",A45&lt;&gt;" "),MAIN!$D$10,Q45),"")</f>
        <v/>
      </c>
      <c r="R45" s="534" t="str">
        <f ca="1">IF($AC$2="NO",IF(AND(AO45="MinCorrect",A45&lt;&gt;" "),MAIN!$E$10,R45),"")</f>
        <v/>
      </c>
      <c r="S45" s="88" t="e">
        <f ca="1">IF($AC$2="NO",IF(AND(AO45="MinCorrect",A45&lt;&gt;" "),[3]MAIN!#REF!,S45),"")</f>
        <v>#REF!</v>
      </c>
      <c r="T45" s="525" t="e">
        <f ca="1">IF($AC$2="NO",IF(AND(AO45="MinCorrect",A45&lt;&gt;" "),MAIN!#REF!,T45),"")</f>
        <v>#REF!</v>
      </c>
      <c r="U45" s="525" t="e">
        <f ca="1">IF($AC$2="NO",IF(AND(AO45="MinCorrect",A45&lt;&gt;" "),MAIN!#REF!,U45),"")</f>
        <v>#REF!</v>
      </c>
      <c r="V45" s="818" t="e">
        <f ca="1">IF($AC$2="NO",IF(AND(AO45="MinCorrect",A45&lt;&gt;" "),MAIN!#REF!,V45),"")</f>
        <v>#REF!</v>
      </c>
      <c r="W45" s="434"/>
      <c r="X45" s="434"/>
      <c r="Y45" s="434"/>
      <c r="AM45" s="275">
        <v>0.61458333333333337</v>
      </c>
      <c r="AO45" s="521" t="str">
        <f ca="1">IF(AND(HOUR(AM45)=(HOUR($AN$3)),(HOUR(AM46)=(HOUR($AN$3)))),IF(AND(MINUTE($AN$3)-MINUTE(AM45)&gt;=0,(MINUTE(AM46)-MINUTE($AN$3)&gt;0)),"Mincorrect","MinFalse"),"Hour False")</f>
        <v>Hour False</v>
      </c>
    </row>
    <row r="46" spans="1:41" ht="15" customHeight="1" thickBot="1" x14ac:dyDescent="0.4">
      <c r="A46" s="531"/>
      <c r="B46" s="529"/>
      <c r="C46" s="86" t="str">
        <f ca="1">IF($AC$2="NO",IF(AND(AO46="MinCorrect",A46&lt;&gt;" "),MAIN!$L$13,C46),"")</f>
        <v/>
      </c>
      <c r="D46" s="86" t="str">
        <f ca="1">IF($AC$2="NO",IF(AND(AO46="MinCorrect",A46&lt;&gt;" "),MAIN!$L$14,D46),"")</f>
        <v/>
      </c>
      <c r="E46" s="86" t="str">
        <f ca="1">IF($AC$2="NO",IF(AND(AO46="MinCorrect",A46&lt;&gt;" "),MAIN!$J$49,E46),"")</f>
        <v/>
      </c>
      <c r="F46" s="168">
        <f ca="1">IF($AC$2="NO",IF(AND(AO45="MinCorrect",A45&lt;&gt;" "),MAIN!$E$6,F46),"")</f>
        <v>4024200</v>
      </c>
      <c r="G46" s="168" t="str">
        <f ca="1">IF($AC$2="NO",IF(AND(AO46="MinCorrect",A46&lt;&gt;" "),MAIN!$F$5,G46),"")</f>
        <v/>
      </c>
      <c r="H46" s="167"/>
      <c r="I46" s="168" t="str">
        <f ca="1">IF($AC$2="NO",IF(AND(AO46="MinCorrect",A46&lt;&gt;" "),MAIN!$H$6,I46),"")</f>
        <v/>
      </c>
      <c r="J46" s="533" t="str">
        <f ca="1">IF($AC$2="NO",IF(AND(AO46="MinCorrect",A46&lt;&gt;" "),MAIN!$L$5,J46),"")</f>
        <v/>
      </c>
      <c r="K46" s="168" t="str">
        <f ca="1">IF($AC$2="NO",IF(AND(AO46="MinCorrect",A46&lt;&gt;" "),MAIN!$M$5,K46),"")</f>
        <v/>
      </c>
      <c r="L46" s="536" t="str">
        <f ca="1">IF($AC$2="NO",IF(AND(AO46="MinCorrect",A46&lt;&gt;" "),MAIN!$N$5,L46),"")</f>
        <v/>
      </c>
      <c r="M46" s="435"/>
      <c r="N46" s="817"/>
      <c r="O46" s="435" t="str">
        <f ca="1">IF($AC$2="NO",IF(AND(AO46="MinCorrect",A46&lt;&gt;" "),MAIN!$J$49,O46),"")</f>
        <v/>
      </c>
      <c r="P46" s="534" t="str">
        <f ca="1">IF($AC$2="NO",IF(AND(AO46="MinCorrect",A46&lt;&gt;" "),MAIN!$F$10,P46),"")</f>
        <v/>
      </c>
      <c r="Q46" s="534" t="str">
        <f ca="1">IF($AC$2="NO",IF(AND(AO46="MinCorrect",A46&lt;&gt;" "),MAIN!$D$10,Q46),"")</f>
        <v/>
      </c>
      <c r="R46" s="534" t="str">
        <f ca="1">IF($AC$2="NO",IF(AND(AO46="MinCorrect",A46&lt;&gt;" "),MAIN!$E$10,R46),"")</f>
        <v/>
      </c>
      <c r="S46" s="92" t="e">
        <f ca="1">IF($AC$2="NO",IF(AND(AO45="MinCorrect",A45&lt;&gt;" "),[3]MAIN!#REF!,S46),"")</f>
        <v>#REF!</v>
      </c>
      <c r="T46" s="413" t="str">
        <f ca="1">IF($AC$2="NO",IF(AND(AO46="MinCorrect",A46&lt;&gt;" "),MAIN!#REF!,T46),"")</f>
        <v/>
      </c>
      <c r="U46" s="413" t="str">
        <f ca="1">IF($AC$2="NO",IF(AND(AO46="MinCorrect",A46&lt;&gt;" "),MAIN!#REF!,U46),"")</f>
        <v/>
      </c>
      <c r="V46" s="818"/>
      <c r="W46" s="434"/>
      <c r="X46" s="434"/>
      <c r="Y46" s="434"/>
      <c r="AM46" s="275">
        <v>0.61736111111111114</v>
      </c>
      <c r="AO46" s="521"/>
    </row>
    <row r="47" spans="1:41" ht="15" customHeight="1" thickBot="1" x14ac:dyDescent="0.4">
      <c r="A47" s="530" t="str">
        <f ca="1">IF($AC$2="NO",IF(AO47="MinCorrect",Sheet51!$F$1,IF(A47&lt;=TIMEVALUE("00:00:00"),"",A47)),"")</f>
        <v>14:52:29</v>
      </c>
      <c r="B47" s="528" t="str">
        <f ca="1">IF($AC$2="NO",IF(AND(AO47="MinCorrect",A47&lt;&gt;" "),MAIN!$I$12,B47),"")</f>
        <v>NIFTY</v>
      </c>
      <c r="C47" s="86">
        <f ca="1">IF($AC$2="NO",IF(AND(AO47="MinCorrect",A47&lt;&gt;" "),MAIN!$L$13,C47),"")</f>
        <v>120.76048387096736</v>
      </c>
      <c r="D47" s="86">
        <f ca="1">IF($AC$2="NO",IF(AND(AO47="MinCorrect",A47&lt;&gt;" "),MAIN!$L$14,D47),"")</f>
        <v>-3.3416666666666668</v>
      </c>
      <c r="E47" s="86">
        <f ca="1">IF($AC$2="NO",IF(AND(AO47="MinCorrect",A47&lt;&gt;" "),MAIN!$J$49,E47),"")</f>
        <v>0</v>
      </c>
      <c r="F47" s="167">
        <f ca="1">IF($AC$2="NO",IF(AND(AO47="MinCorrect",A47&lt;&gt;" "),MAIN!$E$5,F47),"")</f>
        <v>-1140150</v>
      </c>
      <c r="G47" s="167">
        <f ca="1">IF($AC$2="NO",IF(AND(AO47="MinCorrect",A47&lt;&gt;" "),MAIN!$F$5,G47),"")</f>
        <v>585699</v>
      </c>
      <c r="H47" s="532" t="str">
        <f ca="1">IF($AC$2="NO",IF(AND(AO47="MinCorrect",A47&lt;&gt;" "),MAIN!$E$7,H47),"")</f>
        <v>BUY</v>
      </c>
      <c r="I47" s="167">
        <f ca="1">IF($AC$2="NO",IF(AND(AO47="MinCorrect",A47&lt;&gt;" "),MAIN!$H$5,I47),"")</f>
        <v>0</v>
      </c>
      <c r="J47" s="532">
        <f ca="1">IF($AC$2="NO",IF(AND(AO47="MinCorrect",A47&lt;&gt;" "),MAIN!$L$5,J47),"")</f>
        <v>12000</v>
      </c>
      <c r="K47" s="167">
        <f ca="1">IF($AC$2="NO",IF(AND(AO47="MinCorrect",A47&lt;&gt;" "),MAIN!$M$5,K47),"")</f>
        <v>0.75</v>
      </c>
      <c r="L47" s="535">
        <f ca="1">IF($AC$2="NO",IF(AND(AO47="MinCorrect",A47&lt;&gt;" "),MAIN!$N$5,L47),"")</f>
        <v>6105375</v>
      </c>
      <c r="M47" s="435">
        <f ca="1">IF($AC$2="NO",IF(AND(AO47="MinCorrect",A47&lt;&gt;" "),MAIN!$B$2,M47),"")</f>
        <v>11935</v>
      </c>
      <c r="N47" s="816">
        <f ca="1">IF($AC$2="NO",IF(AND(AO47="MinCorrect",A47&lt;&gt;" "),MAIN!$S$2,N47),"")</f>
        <v>11900</v>
      </c>
      <c r="O47" s="435">
        <f ca="1">IF($AC$2="NO",IF(AND(AO47="MinCorrect",A47&lt;&gt;" "),MAIN!$M$27,O47),"")</f>
        <v>4.1583333333333332</v>
      </c>
      <c r="P47" s="534" t="str">
        <f ca="1">IF($AC$2="NO",IF(AND(AO47="MinCorrect",A47&lt;&gt;" "),MAIN!$F$10,P47),"")</f>
        <v/>
      </c>
      <c r="Q47" s="534" t="str">
        <f ca="1">IF($AC$2="NO",IF(AND(AO47="MinCorrect",A47&lt;&gt;" "),MAIN!$D$10,Q47),"")</f>
        <v/>
      </c>
      <c r="R47" s="534" t="str">
        <f ca="1">IF($AC$2="NO",IF(AND(AO47="MinCorrect",A47&lt;&gt;" "),MAIN!$E$10,R47),"")</f>
        <v/>
      </c>
      <c r="S47" s="818" t="e">
        <f ca="1">IF($AC$2="NO",IF(AND(AO47="MinCorrect",A47&lt;&gt;" "),[3]MAIN!#REF!,S47),"")</f>
        <v>#REF!</v>
      </c>
      <c r="T47" s="525" t="e">
        <f ca="1">IF($AC$2="NO",IF(AND(AO47="MinCorrect",A47&lt;&gt;" "),MAIN!#REF!,T47),"")</f>
        <v>#REF!</v>
      </c>
      <c r="U47" s="414" t="e">
        <f ca="1">IF($AC$2="NO",IF(AND(AO47="MinCorrect",A47&lt;&gt;" "),MAIN!#REF!,U47),"")</f>
        <v>#REF!</v>
      </c>
      <c r="V47" s="818" t="e">
        <f ca="1">IF($AC$2="NO",IF(AND(AO47="MinCorrect",A47&lt;&gt;" "),MAIN!#REF!,V47),"")</f>
        <v>#REF!</v>
      </c>
      <c r="W47" s="434"/>
      <c r="X47" s="434"/>
      <c r="Y47" s="434"/>
      <c r="AM47" s="275">
        <v>0.625</v>
      </c>
      <c r="AO47" s="521" t="str">
        <f ca="1">IF(AND(HOUR(AM47)=(HOUR($AN$3)),(HOUR(AM48)=(HOUR($AN$3)))),IF(AND(MINUTE($AN$3)-MINUTE(AM47)&gt;=0,(MINUTE(AM48)-MINUTE($AN$3)&gt;0)),"Mincorrect","MinFalse"),"Hour False")</f>
        <v>Hour False</v>
      </c>
    </row>
    <row r="48" spans="1:41" ht="15" customHeight="1" thickBot="1" x14ac:dyDescent="0.4">
      <c r="A48" s="531"/>
      <c r="B48" s="529"/>
      <c r="C48" s="86" t="str">
        <f ca="1">IF($AC$2="NO",IF(AND(AO48="MinCorrect",A48&lt;&gt;" "),MAIN!$L$13,C48),"")</f>
        <v/>
      </c>
      <c r="D48" s="86" t="str">
        <f ca="1">IF($AC$2="NO",IF(AND(AO48="MinCorrect",A48&lt;&gt;" "),MAIN!$L$14,D48),"")</f>
        <v/>
      </c>
      <c r="E48" s="86" t="str">
        <f ca="1">IF($AC$2="NO",IF(AND(AO48="MinCorrect",A48&lt;&gt;" "),MAIN!$J$49,E48),"")</f>
        <v/>
      </c>
      <c r="F48" s="168">
        <f ca="1">IF($AC$2="NO",IF(AND(AO47="MinCorrect",A47&lt;&gt;" "),MAIN!$E$6,F48),"")</f>
        <v>3526800</v>
      </c>
      <c r="G48" s="168" t="str">
        <f ca="1">IF($AC$2="NO",IF(AND(AO48="MinCorrect",A48&lt;&gt;" "),MAIN!$F$5,G48),"")</f>
        <v/>
      </c>
      <c r="H48" s="167"/>
      <c r="I48" s="168" t="str">
        <f ca="1">IF($AC$2="NO",IF(AND(AO48="MinCorrect",A48&lt;&gt;" "),MAIN!$H$6,I48),"")</f>
        <v/>
      </c>
      <c r="J48" s="533" t="str">
        <f ca="1">IF($AC$2="NO",IF(AND(AO48="MinCorrect",A48&lt;&gt;" "),MAIN!$L$5,J48),"")</f>
        <v/>
      </c>
      <c r="K48" s="168" t="str">
        <f ca="1">IF($AC$2="NO",IF(AND(AO48="MinCorrect",A48&lt;&gt;" "),MAIN!$M$5,K48),"")</f>
        <v/>
      </c>
      <c r="L48" s="536" t="str">
        <f ca="1">IF($AC$2="NO",IF(AND(AO48="MinCorrect",A48&lt;&gt;" "),MAIN!$N$5,L48),"")</f>
        <v/>
      </c>
      <c r="M48" s="435"/>
      <c r="N48" s="817"/>
      <c r="O48" s="435" t="str">
        <f ca="1">IF($AC$2="NO",IF(AND(AO48="MinCorrect",A48&lt;&gt;" "),MAIN!$J$49,O48),"")</f>
        <v/>
      </c>
      <c r="P48" s="534" t="str">
        <f ca="1">IF($AC$2="NO",IF(AND(AO48="MinCorrect",A48&lt;&gt;" "),MAIN!$F$10,P48),"")</f>
        <v/>
      </c>
      <c r="Q48" s="534" t="str">
        <f ca="1">IF($AC$2="NO",IF(AND(AO48="MinCorrect",A48&lt;&gt;" "),MAIN!$D$10,Q48),"")</f>
        <v/>
      </c>
      <c r="R48" s="534" t="str">
        <f ca="1">IF($AC$2="NO",IF(AND(AO48="MinCorrect",A48&lt;&gt;" "),MAIN!$E$10,R48),"")</f>
        <v/>
      </c>
      <c r="S48" s="818" t="e">
        <f ca="1">IF($AC$2="NO",IF(AND(AO47="MinCorrect",A47&lt;&gt;" "),[3]MAIN!#REF!,S48),"")</f>
        <v>#REF!</v>
      </c>
      <c r="T48" s="413" t="str">
        <f ca="1">IF($AC$2="NO",IF(AND(AO48="MinCorrect",A48&lt;&gt;" "),MAIN!#REF!,T48),"")</f>
        <v/>
      </c>
      <c r="U48" s="518" t="str">
        <f ca="1">IF($AC$2="NO",IF(AND(AO48="MinCorrect",A48&lt;&gt;" "),MAIN!#REF!,U48),"")</f>
        <v/>
      </c>
      <c r="V48" s="818"/>
      <c r="W48" s="434"/>
      <c r="X48" s="434"/>
      <c r="Y48" s="434"/>
      <c r="AM48" s="275">
        <v>0.62777777777777777</v>
      </c>
      <c r="AO48" s="521"/>
    </row>
    <row r="49" spans="1:41" ht="15" customHeight="1" thickBot="1" x14ac:dyDescent="0.4">
      <c r="A49" s="530" t="str">
        <f ca="1">IF($AC$2="NO",IF(AO49="MinCorrect",Sheet51!$F$1,IF(A49&lt;=TIMEVALUE("00:00:00"),"",A49)),"")</f>
        <v>15:08:29</v>
      </c>
      <c r="B49" s="528" t="str">
        <f ca="1">IF($AC$2="NO",IF(AND(AO49="MinCorrect",A49&lt;&gt;" "),MAIN!$I$12,B49),"")</f>
        <v>NIFTY</v>
      </c>
      <c r="C49" s="86">
        <f ca="1">IF($AC$2="NO",IF(AND(AO49="MinCorrect",A49&lt;&gt;" "),MAIN!$L$13,C49),"")</f>
        <v>126.93145161290298</v>
      </c>
      <c r="D49" s="86">
        <f ca="1">IF($AC$2="NO",IF(AND(AO49="MinCorrect",A49&lt;&gt;" "),MAIN!$L$14,D49),"")</f>
        <v>-0.19166666666666671</v>
      </c>
      <c r="E49" s="86">
        <f ca="1">IF($AC$2="NO",IF(AND(AO49="MinCorrect",A49&lt;&gt;" "),MAIN!$J$49,E49),"")</f>
        <v>0</v>
      </c>
      <c r="F49" s="167">
        <f ca="1">IF($AC$2="NO",IF(AND(AO49="MinCorrect",A49&lt;&gt;" "),MAIN!$E$5,F49),"")</f>
        <v>-1508775</v>
      </c>
      <c r="G49" s="167">
        <f ca="1">IF($AC$2="NO",IF(AND(AO49="MinCorrect",A49&lt;&gt;" "),MAIN!$F$5,G49),"")</f>
        <v>636599</v>
      </c>
      <c r="H49" s="532" t="str">
        <f ca="1">IF($AC$2="NO",IF(AND(AO49="MinCorrect",A49&lt;&gt;" "),MAIN!$E$7,H49),"")</f>
        <v>BUY</v>
      </c>
      <c r="I49" s="167">
        <f ca="1">IF($AC$2="NO",IF(AND(AO49="MinCorrect",A49&lt;&gt;" "),MAIN!$H$5,I49),"")</f>
        <v>0</v>
      </c>
      <c r="J49" s="532">
        <f ca="1">IF($AC$2="NO",IF(AND(AO49="MinCorrect",A49&lt;&gt;" "),MAIN!$L$5,J49),"")</f>
        <v>12000</v>
      </c>
      <c r="K49" s="167">
        <f ca="1">IF($AC$2="NO",IF(AND(AO49="MinCorrect",A49&lt;&gt;" "),MAIN!$M$5,K49),"")</f>
        <v>0.2</v>
      </c>
      <c r="L49" s="535">
        <f ca="1">IF($AC$2="NO",IF(AND(AO49="MinCorrect",A49&lt;&gt;" "),MAIN!$N$5,L49),"")</f>
        <v>5428425</v>
      </c>
      <c r="M49" s="435">
        <f ca="1">IF($AC$2="NO",IF(AND(AO49="MinCorrect",A49&lt;&gt;" "),MAIN!$B$2,M49),"")</f>
        <v>11946.6</v>
      </c>
      <c r="N49" s="816">
        <f ca="1">IF($AC$2="NO",IF(AND(AO49="MinCorrect",A49&lt;&gt;" "),MAIN!$S$2,N49),"")</f>
        <v>11900</v>
      </c>
      <c r="O49" s="435">
        <f ca="1">IF($AC$2="NO",IF(AND(AO49="MinCorrect",A49&lt;&gt;" "),MAIN!$M$27,O49),"")</f>
        <v>0.52500000000000002</v>
      </c>
      <c r="P49" s="534" t="str">
        <f ca="1">IF($AC$2="NO",IF(AND(AO49="MinCorrect",A49&lt;&gt;" "),MAIN!$F$10,P49),"")</f>
        <v/>
      </c>
      <c r="Q49" s="534" t="str">
        <f ca="1">IF($AC$2="NO",IF(AND(AO49="MinCorrect",A49&lt;&gt;" "),MAIN!$D$10,Q49),"")</f>
        <v/>
      </c>
      <c r="R49" s="534" t="str">
        <f ca="1">IF($AC$2="NO",IF(AND(AO49="MinCorrect",A49&lt;&gt;" "),MAIN!$E$10,R49),"")</f>
        <v/>
      </c>
      <c r="S49" s="88" t="e">
        <f ca="1">IF($AC$2="NO",IF(AND(AO49="MinCorrect",A49&lt;&gt;" "),[3]MAIN!#REF!,S49),"")</f>
        <v>#REF!</v>
      </c>
      <c r="T49" s="525" t="e">
        <f ca="1">IF($AC$2="NO",IF(AND(AO49="MinCorrect",A49&lt;&gt;" "),MAIN!#REF!,T49),"")</f>
        <v>#REF!</v>
      </c>
      <c r="U49" s="525" t="e">
        <f ca="1">IF($AC$2="NO",IF(AND(AO49="MinCorrect",A49&lt;&gt;" "),MAIN!#REF!,U49),"")</f>
        <v>#REF!</v>
      </c>
      <c r="V49" s="818" t="e">
        <f ca="1">IF($AC$2="NO",IF(AND(AO49="MinCorrect",A49&lt;&gt;" "),MAIN!#REF!,V49),"")</f>
        <v>#REF!</v>
      </c>
      <c r="W49" s="434"/>
      <c r="X49" s="434"/>
      <c r="Y49" s="434"/>
      <c r="AM49" s="275">
        <v>0.63541666666666663</v>
      </c>
      <c r="AO49" s="521" t="str">
        <f ca="1">IF(AND(HOUR(AM49)=(HOUR($AN$3)),(HOUR(AM50)=(HOUR($AN$3)))),IF(AND(MINUTE($AN$3)-MINUTE(AM49)&gt;=0,(MINUTE(AM50)-MINUTE($AN$3)&gt;0)),"Mincorrect","MinFalse"),"Hour False")</f>
        <v>Hour False</v>
      </c>
    </row>
    <row r="50" spans="1:41" ht="15" customHeight="1" thickBot="1" x14ac:dyDescent="0.4">
      <c r="A50" s="531"/>
      <c r="B50" s="529"/>
      <c r="C50" s="86" t="str">
        <f ca="1">IF($AC$2="NO",IF(AND(AO50="MinCorrect",A50&lt;&gt;" "),MAIN!$L$13,C50),"")</f>
        <v/>
      </c>
      <c r="D50" s="86" t="str">
        <f ca="1">IF($AC$2="NO",IF(AND(AO50="MinCorrect",A50&lt;&gt;" "),MAIN!$L$14,D50),"")</f>
        <v/>
      </c>
      <c r="E50" s="86" t="str">
        <f ca="1">IF($AC$2="NO",IF(AND(AO50="MinCorrect",A50&lt;&gt;" "),MAIN!$J$49,E50),"")</f>
        <v/>
      </c>
      <c r="F50" s="168">
        <f ca="1">IF($AC$2="NO",IF(AND(AO49="MinCorrect",A49&lt;&gt;" "),MAIN!$E$6,F50),"")</f>
        <v>3165150</v>
      </c>
      <c r="G50" s="168" t="str">
        <f ca="1">IF($AC$2="NO",IF(AND(AO50="MinCorrect",A50&lt;&gt;" "),MAIN!$F$5,G50),"")</f>
        <v/>
      </c>
      <c r="H50" s="167"/>
      <c r="I50" s="168" t="str">
        <f ca="1">IF($AC$2="NO",IF(AND(AO50="MinCorrect",A50&lt;&gt;" "),MAIN!$H$6,I50),"")</f>
        <v/>
      </c>
      <c r="J50" s="533" t="str">
        <f ca="1">IF($AC$2="NO",IF(AND(AO50="MinCorrect",A50&lt;&gt;" "),MAIN!$L$5,J50),"")</f>
        <v/>
      </c>
      <c r="K50" s="168" t="str">
        <f ca="1">IF($AC$2="NO",IF(AND(AO50="MinCorrect",A50&lt;&gt;" "),MAIN!$M$5,K50),"")</f>
        <v/>
      </c>
      <c r="L50" s="536" t="str">
        <f ca="1">IF($AC$2="NO",IF(AND(AO50="MinCorrect",A50&lt;&gt;" "),MAIN!$N$5,L50),"")</f>
        <v/>
      </c>
      <c r="M50" s="435"/>
      <c r="N50" s="817"/>
      <c r="O50" s="435" t="str">
        <f ca="1">IF($AC$2="NO",IF(AND(AO50="MinCorrect",A50&lt;&gt;" "),MAIN!$J$49,O50),"")</f>
        <v/>
      </c>
      <c r="P50" s="534" t="str">
        <f ca="1">IF($AC$2="NO",IF(AND(AO50="MinCorrect",A50&lt;&gt;" "),MAIN!$F$10,P50),"")</f>
        <v/>
      </c>
      <c r="Q50" s="534" t="str">
        <f ca="1">IF($AC$2="NO",IF(AND(AO50="MinCorrect",A50&lt;&gt;" "),MAIN!$D$10,Q50),"")</f>
        <v/>
      </c>
      <c r="R50" s="534" t="str">
        <f ca="1">IF($AC$2="NO",IF(AND(AO50="MinCorrect",A50&lt;&gt;" "),MAIN!$E$10,R50),"")</f>
        <v/>
      </c>
      <c r="S50" s="92" t="e">
        <f ca="1">IF($AC$2="NO",IF(AND(AO49="MinCorrect",A49&lt;&gt;" "),[3]MAIN!#REF!,S50),"")</f>
        <v>#REF!</v>
      </c>
      <c r="T50" s="413" t="str">
        <f ca="1">IF($AC$2="NO",IF(AND(AO50="MinCorrect",A50&lt;&gt;" "),MAIN!#REF!,T50),"")</f>
        <v/>
      </c>
      <c r="U50" s="413" t="str">
        <f ca="1">IF($AC$2="NO",IF(AND(AO50="MinCorrect",A50&lt;&gt;" "),MAIN!#REF!,U50),"")</f>
        <v/>
      </c>
      <c r="V50" s="818"/>
      <c r="W50" s="434"/>
      <c r="X50" s="434"/>
      <c r="Y50" s="434"/>
      <c r="AM50" s="275">
        <v>0.6381944444444444</v>
      </c>
      <c r="AO50" s="521"/>
    </row>
    <row r="51" spans="1:41" ht="15" customHeight="1" thickBot="1" x14ac:dyDescent="0.4">
      <c r="A51" s="530" t="str">
        <f ca="1">IF($AC$2="NO",IF(AO51="MinCorrect",Sheet51!$F$1,IF(A51&lt;=TIMEVALUE("00:00:00"),"",A51)),"")</f>
        <v>15:24:30</v>
      </c>
      <c r="B51" s="528" t="str">
        <f ca="1">IF($AC$2="NO",IF(AND(AO51="MinCorrect",A51&lt;&gt;" "),MAIN!$I$12,B51),"")</f>
        <v>NIFTY</v>
      </c>
      <c r="C51" s="86">
        <f ca="1">IF($AC$2="NO",IF(AND(AO51="MinCorrect",A51&lt;&gt;" "),MAIN!$L$13,C51),"")</f>
        <v>145.50806451612863</v>
      </c>
      <c r="D51" s="86">
        <f ca="1">IF($AC$2="NO",IF(AND(AO51="MinCorrect",A51&lt;&gt;" "),MAIN!$L$14,D51),"")</f>
        <v>-8.3333333333333329E-2</v>
      </c>
      <c r="E51" s="86">
        <f ca="1">IF($AC$2="NO",IF(AND(AO51="MinCorrect",A51&lt;&gt;" "),MAIN!$J$49,E51),"")</f>
        <v>0</v>
      </c>
      <c r="F51" s="167">
        <f ca="1">IF($AC$2="NO",IF(AND(AO51="MinCorrect",A51&lt;&gt;" "),MAIN!$E$5,F51),"")</f>
        <v>-2009625</v>
      </c>
      <c r="G51" s="167">
        <f ca="1">IF($AC$2="NO",IF(AND(AO51="MinCorrect",A51&lt;&gt;" "),MAIN!$F$5,G51),"")</f>
        <v>659458</v>
      </c>
      <c r="H51" s="532" t="str">
        <f ca="1">IF($AC$2="NO",IF(AND(AO51="MinCorrect",A51&lt;&gt;" "),MAIN!$E$7,H51),"")</f>
        <v>BUY</v>
      </c>
      <c r="I51" s="167">
        <f ca="1">IF($AC$2="NO",IF(AND(AO51="MinCorrect",A51&lt;&gt;" "),MAIN!$H$5,I51),"")</f>
        <v>0</v>
      </c>
      <c r="J51" s="532">
        <f ca="1">IF($AC$2="NO",IF(AND(AO51="MinCorrect",A51&lt;&gt;" "),MAIN!$L$5,J51),"")</f>
        <v>12000</v>
      </c>
      <c r="K51" s="167">
        <f ca="1">IF($AC$2="NO",IF(AND(AO51="MinCorrect",A51&lt;&gt;" "),MAIN!$M$5,K51),"")</f>
        <v>0.05</v>
      </c>
      <c r="L51" s="535">
        <f ca="1">IF($AC$2="NO",IF(AND(AO51="MinCorrect",A51&lt;&gt;" "),MAIN!$N$5,L51),"")</f>
        <v>4466100</v>
      </c>
      <c r="M51" s="534">
        <f ca="1">IF($AC$2="NO",IF(AND(AO51="MinCorrect",A51&lt;&gt;" "),MAIN!$B$2,M51),"")</f>
        <v>11945.7</v>
      </c>
      <c r="N51" s="816">
        <f ca="1">IF($AC$2="NO",IF(AND(AO51="MinCorrect",A51&lt;&gt;" "),MAIN!$S$2,N51),"")</f>
        <v>11900</v>
      </c>
      <c r="O51" s="435">
        <f ca="1">IF($AC$2="NO",IF(AND(AO51="MinCorrect",A51&lt;&gt;" "),MAIN!$M$27,O51),"")</f>
        <v>4.9999999999999996E-2</v>
      </c>
      <c r="P51" s="534" t="str">
        <f ca="1">IF($AC$2="NO",IF(AND(AO51="MinCorrect",A51&lt;&gt;" "),MAIN!$F$10,P51),"")</f>
        <v/>
      </c>
      <c r="Q51" s="534" t="str">
        <f ca="1">IF($AC$2="NO",IF(AND(AO51="MinCorrect",A51&lt;&gt;" "),MAIN!$D$10,Q51),"")</f>
        <v/>
      </c>
      <c r="R51" s="534" t="str">
        <f ca="1">IF($AC$2="NO",IF(AND(AO51="MinCorrect",A51&lt;&gt;" "),MAIN!$E$10,R51),"")</f>
        <v/>
      </c>
      <c r="S51" s="88" t="e">
        <f ca="1">IF($AC$2="NO",IF(AND(AO51="MinCorrect",A51&lt;&gt;" "),[3]MAIN!#REF!,S51),"")</f>
        <v>#REF!</v>
      </c>
      <c r="T51" s="525" t="e">
        <f ca="1">IF($AC$2="NO",IF(AND(AO51="MinCorrect",A51&lt;&gt;" "),MAIN!#REF!,T51),"")</f>
        <v>#REF!</v>
      </c>
      <c r="U51" s="525" t="e">
        <f ca="1">IF($AC$2="NO",IF(AND(AO51="MinCorrect",A51&lt;&gt;" "),MAIN!#REF!,U51),"")</f>
        <v>#REF!</v>
      </c>
      <c r="V51" s="818" t="e">
        <f ca="1">IF($AC$2="NO",IF(AND(AO51="MinCorrect",A51&lt;&gt;" "),MAIN!#REF!,V51),"")</f>
        <v>#REF!</v>
      </c>
      <c r="W51" s="434"/>
      <c r="X51" s="434"/>
      <c r="Y51" s="434"/>
      <c r="AM51" s="275">
        <v>0.64583333333333337</v>
      </c>
      <c r="AO51" s="521" t="str">
        <f ca="1">IF(AND(HOUR(AM51)=(HOUR($AN$3)),(HOUR(AM52)=(HOUR($AN$3)))),IF(AND(MINUTE($AN$3)-MINUTE(AM51)&gt;=0,(MINUTE(AM52)-MINUTE($AN$3)&gt;0)),"Mincorrect","MinFalse"),"Hour False")</f>
        <v>Hour False</v>
      </c>
    </row>
    <row r="52" spans="1:41" ht="15" customHeight="1" thickBot="1" x14ac:dyDescent="0.4">
      <c r="A52" s="531"/>
      <c r="B52" s="529"/>
      <c r="C52" s="86" t="str">
        <f ca="1">IF($AC$2="NO",IF(AND(AO52="MinCorrect",A52&lt;&gt;" "),MAIN!$L$13,C52),"")</f>
        <v/>
      </c>
      <c r="D52" s="86" t="str">
        <f ca="1">IF($AC$2="NO",IF(AND(AO52="MinCorrect",A52&lt;&gt;" "),MAIN!$L$14,D52),"")</f>
        <v/>
      </c>
      <c r="E52" s="86" t="str">
        <f ca="1">IF($AC$2="NO",IF(AND(AO52="MinCorrect",A52&lt;&gt;" "),MAIN!$J$49,E52),"")</f>
        <v/>
      </c>
      <c r="F52" s="168">
        <f ca="1">IF($AC$2="NO",IF(AND(AO51="MinCorrect",A51&lt;&gt;" "),MAIN!$E$6,F52),"")</f>
        <v>2132625</v>
      </c>
      <c r="G52" s="168" t="str">
        <f ca="1">IF($AC$2="NO",IF(AND(AO52="MinCorrect",A52&lt;&gt;" "),MAIN!$F$5,G52),"")</f>
        <v/>
      </c>
      <c r="H52" s="167"/>
      <c r="I52" s="168" t="str">
        <f ca="1">IF($AC$2="NO",IF(AND(AO52="MinCorrect",A52&lt;&gt;" "),MAIN!$H$6,I52),"")</f>
        <v/>
      </c>
      <c r="J52" s="533" t="str">
        <f ca="1">IF($AC$2="NO",IF(AND(AO52="MinCorrect",A52&lt;&gt;" "),MAIN!$L$5,J52),"")</f>
        <v/>
      </c>
      <c r="K52" s="168" t="str">
        <f ca="1">IF($AC$2="NO",IF(AND(AO52="MinCorrect",A52&lt;&gt;" "),MAIN!$M$5,K52),"")</f>
        <v/>
      </c>
      <c r="L52" s="536" t="str">
        <f ca="1">IF($AC$2="NO",IF(AND(AO52="MinCorrect",A52&lt;&gt;" "),MAIN!$N$5,L52),"")</f>
        <v/>
      </c>
      <c r="M52" s="536"/>
      <c r="N52" s="817"/>
      <c r="O52" s="435" t="str">
        <f ca="1">IF($AC$2="NO",IF(AND(AO52="MinCorrect",A52&lt;&gt;" "),MAIN!$J$49,O52),"")</f>
        <v/>
      </c>
      <c r="P52" s="534" t="str">
        <f ca="1">IF($AC$2="NO",IF(AND(AO52="MinCorrect",A52&lt;&gt;" "),MAIN!$F$10,P52),"")</f>
        <v/>
      </c>
      <c r="Q52" s="534" t="str">
        <f ca="1">IF($AC$2="NO",IF(AND(AO52="MinCorrect",A52&lt;&gt;" "),MAIN!$D$10,Q52),"")</f>
        <v/>
      </c>
      <c r="R52" s="534" t="str">
        <f ca="1">IF($AC$2="NO",IF(AND(AO52="MinCorrect",A52&lt;&gt;" "),MAIN!$E$10,R52),"")</f>
        <v/>
      </c>
      <c r="S52" s="92" t="e">
        <f ca="1">IF($AC$2="NO",IF(AND(AO51="MinCorrect",A51&lt;&gt;" "),[3]MAIN!#REF!,S52),"")</f>
        <v>#REF!</v>
      </c>
      <c r="T52" s="415" t="str">
        <f ca="1">IF($AC$2="NO",IF(AND(AO52="MinCorrect",A52&lt;&gt;" "),MAIN!#REF!,T52),"")</f>
        <v/>
      </c>
      <c r="U52" s="415" t="str">
        <f ca="1">IF($AC$2="NO",IF(AND(AO52="MinCorrect",A52&lt;&gt;" "),MAIN!#REF!,U52),"")</f>
        <v/>
      </c>
      <c r="V52" s="818"/>
      <c r="W52" s="434"/>
      <c r="X52" s="434"/>
      <c r="Y52" s="434"/>
      <c r="AM52" s="275">
        <v>0.64861111111111114</v>
      </c>
      <c r="AO52" s="521"/>
    </row>
    <row r="55" spans="1:41" x14ac:dyDescent="0.35">
      <c r="L55" s="519" t="e">
        <f>CORREL(C24:C52,M3:M52)</f>
        <v>#N/A</v>
      </c>
    </row>
    <row r="56" spans="1:41" x14ac:dyDescent="0.35">
      <c r="L56" s="519" t="e">
        <f ca="1">CORREL(E3:E52,M3:M52)</f>
        <v>#DIV/0!</v>
      </c>
    </row>
  </sheetData>
  <mergeCells count="61">
    <mergeCell ref="N51:N52"/>
    <mergeCell ref="V51:V52"/>
    <mergeCell ref="N49:N50"/>
    <mergeCell ref="V49:V50"/>
    <mergeCell ref="N47:N48"/>
    <mergeCell ref="S47:S48"/>
    <mergeCell ref="V47:V48"/>
    <mergeCell ref="N45:N46"/>
    <mergeCell ref="V45:V46"/>
    <mergeCell ref="N43:N44"/>
    <mergeCell ref="V43:V44"/>
    <mergeCell ref="N41:N42"/>
    <mergeCell ref="V41:V42"/>
    <mergeCell ref="N39:N40"/>
    <mergeCell ref="V39:V40"/>
    <mergeCell ref="N37:N38"/>
    <mergeCell ref="V37:V38"/>
    <mergeCell ref="N35:N36"/>
    <mergeCell ref="V35:V36"/>
    <mergeCell ref="N33:N34"/>
    <mergeCell ref="V33:V34"/>
    <mergeCell ref="N31:N32"/>
    <mergeCell ref="V31:V32"/>
    <mergeCell ref="N29:N30"/>
    <mergeCell ref="V29:V30"/>
    <mergeCell ref="N27:N28"/>
    <mergeCell ref="V27:V28"/>
    <mergeCell ref="N25:N26"/>
    <mergeCell ref="V25:V26"/>
    <mergeCell ref="N23:N24"/>
    <mergeCell ref="V23:V24"/>
    <mergeCell ref="N21:N22"/>
    <mergeCell ref="V21:V22"/>
    <mergeCell ref="N19:N20"/>
    <mergeCell ref="V19:V20"/>
    <mergeCell ref="N17:N18"/>
    <mergeCell ref="V17:V18"/>
    <mergeCell ref="N15:N16"/>
    <mergeCell ref="V15:V16"/>
    <mergeCell ref="N13:N14"/>
    <mergeCell ref="V13:V14"/>
    <mergeCell ref="AB13:AD13"/>
    <mergeCell ref="AL1:AP1"/>
    <mergeCell ref="N3:N4"/>
    <mergeCell ref="V3:V4"/>
    <mergeCell ref="N11:N12"/>
    <mergeCell ref="V11:V12"/>
    <mergeCell ref="AB11:AD11"/>
    <mergeCell ref="AB12:AD12"/>
    <mergeCell ref="N9:N10"/>
    <mergeCell ref="V9:V10"/>
    <mergeCell ref="AB9:AD9"/>
    <mergeCell ref="AB10:AD10"/>
    <mergeCell ref="J1:L1"/>
    <mergeCell ref="Q1:R1"/>
    <mergeCell ref="S1:V1"/>
    <mergeCell ref="C1:D1"/>
    <mergeCell ref="N7:N8"/>
    <mergeCell ref="V7:V8"/>
    <mergeCell ref="N5:N6"/>
    <mergeCell ref="V5:V6"/>
  </mergeCells>
  <dataValidations xWindow="1581" yWindow="386" count="1">
    <dataValidation type="list" errorStyle="information" allowBlank="1" showInputMessage="1" showErrorMessage="1" errorTitle="ALERT" error="SELECT &quot;YES&quot; OR &quot;NO&quot;" prompt="IF YOU WANT TO CLEAR ALL DATA CLICK &quot;YES&quot;_x000a_" sqref="AC2" xr:uid="{5D5687DD-21A7-4C74-9A5A-CD74387F1DA0}">
      <formula1>$AS$2:$AS$3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A34A3-46B3-4840-B871-DAC4221DE34E}">
  <dimension ref="A1:AS56"/>
  <sheetViews>
    <sheetView topLeftCell="A40" workbookViewId="0">
      <selection activeCell="C3" sqref="C3"/>
    </sheetView>
  </sheetViews>
  <sheetFormatPr defaultColWidth="9.1796875" defaultRowHeight="14.5" x14ac:dyDescent="0.35"/>
  <cols>
    <col min="1" max="1" width="9.1796875" style="631"/>
    <col min="2" max="2" width="9.1796875" style="274"/>
    <col min="3" max="3" width="5.453125" style="631" customWidth="1"/>
    <col min="4" max="4" width="8.453125" style="631" customWidth="1"/>
    <col min="5" max="5" width="8.7265625" style="631" customWidth="1"/>
    <col min="6" max="6" width="12.7265625" style="630" customWidth="1"/>
    <col min="7" max="7" width="13" style="630" customWidth="1"/>
    <col min="8" max="9" width="6.453125" style="631" customWidth="1"/>
    <col min="10" max="10" width="10.08984375" style="631" customWidth="1"/>
    <col min="11" max="11" width="8" style="631" customWidth="1"/>
    <col min="12" max="12" width="13.54296875" style="630" customWidth="1"/>
    <col min="13" max="13" width="8.26953125" style="631" customWidth="1"/>
    <col min="14" max="14" width="8.6328125" style="631" hidden="1" customWidth="1"/>
    <col min="15" max="15" width="12.453125" style="631" bestFit="1" customWidth="1"/>
    <col min="16" max="18" width="9.1796875" style="631"/>
    <col min="19" max="19" width="5.453125" style="631" hidden="1" customWidth="1"/>
    <col min="20" max="20" width="6.81640625" style="631" hidden="1" customWidth="1"/>
    <col min="21" max="22" width="0" style="631" hidden="1" customWidth="1"/>
    <col min="23" max="25" width="9.1796875" style="631"/>
    <col min="26" max="26" width="9.453125" style="631" customWidth="1"/>
    <col min="27" max="38" width="9.1796875" style="631"/>
    <col min="39" max="40" width="7.90625" style="631" bestFit="1" customWidth="1"/>
    <col min="41" max="41" width="9.6328125" style="631" bestFit="1" customWidth="1"/>
    <col min="42" max="44" width="9.1796875" style="631"/>
    <col min="45" max="45" width="0" style="631" hidden="1" customWidth="1"/>
    <col min="46" max="16384" width="9.1796875" style="631"/>
  </cols>
  <sheetData>
    <row r="1" spans="1:45" ht="14.5" customHeight="1" thickBot="1" x14ac:dyDescent="0.4">
      <c r="A1" s="80"/>
      <c r="B1" s="273"/>
      <c r="C1" s="647" t="s">
        <v>53</v>
      </c>
      <c r="D1" s="643"/>
      <c r="E1" s="537"/>
      <c r="F1" s="537"/>
      <c r="G1" s="537"/>
      <c r="H1" s="635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">
        <v>601</v>
      </c>
      <c r="R1" s="814"/>
      <c r="S1" s="810" t="s">
        <v>87</v>
      </c>
      <c r="T1" s="811"/>
      <c r="U1" s="811"/>
      <c r="V1" s="815"/>
      <c r="W1" s="432"/>
      <c r="X1" s="432"/>
      <c r="Y1" s="432"/>
      <c r="Z1" s="632"/>
      <c r="AA1" s="632"/>
      <c r="AB1" s="632"/>
      <c r="AC1" s="632"/>
      <c r="AD1" s="632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633" t="s">
        <v>530</v>
      </c>
      <c r="D2" s="634" t="s">
        <v>531</v>
      </c>
      <c r="E2" s="634" t="s">
        <v>3</v>
      </c>
      <c r="F2" s="166" t="s">
        <v>35</v>
      </c>
      <c r="G2" s="166" t="s">
        <v>37</v>
      </c>
      <c r="H2" s="635" t="s">
        <v>43</v>
      </c>
      <c r="I2" s="81" t="s">
        <v>88</v>
      </c>
      <c r="J2" s="633" t="s">
        <v>14</v>
      </c>
      <c r="K2" s="634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32"/>
      <c r="AA2" s="632"/>
      <c r="AB2" s="271" t="s">
        <v>97</v>
      </c>
      <c r="AC2" s="272" t="s">
        <v>98</v>
      </c>
      <c r="AD2" s="632"/>
      <c r="AS2" s="632" t="s">
        <v>99</v>
      </c>
    </row>
    <row r="3" spans="1:45" ht="14.5" customHeight="1" thickBot="1" x14ac:dyDescent="0.4">
      <c r="A3" s="530" t="s">
        <v>568</v>
      </c>
      <c r="B3" s="528" t="s">
        <v>180</v>
      </c>
      <c r="C3" s="86">
        <v>144.42500000000001</v>
      </c>
      <c r="D3" s="86">
        <v>-1.2333333333333325</v>
      </c>
      <c r="E3" s="86">
        <v>17.934473684210523</v>
      </c>
      <c r="F3" s="167">
        <v>315900</v>
      </c>
      <c r="G3" s="167">
        <v>180627</v>
      </c>
      <c r="H3" s="532" t="s">
        <v>55</v>
      </c>
      <c r="I3" s="167">
        <v>19.829999999999998</v>
      </c>
      <c r="J3" s="532">
        <v>12000</v>
      </c>
      <c r="K3" s="167">
        <v>19.8</v>
      </c>
      <c r="L3" s="535">
        <v>4363050</v>
      </c>
      <c r="M3" s="534">
        <v>11925.35</v>
      </c>
      <c r="N3" s="816">
        <v>11850</v>
      </c>
      <c r="O3" s="435">
        <v>11.741666666666667</v>
      </c>
      <c r="P3" s="534" t="s">
        <v>211</v>
      </c>
      <c r="Q3" s="534" t="s">
        <v>211</v>
      </c>
      <c r="R3" s="534" t="s">
        <v>211</v>
      </c>
      <c r="S3" s="88" t="s">
        <v>41</v>
      </c>
      <c r="T3" s="636" t="e">
        <v>#REF!</v>
      </c>
      <c r="U3" s="636" t="e">
        <v>#REF!</v>
      </c>
      <c r="V3" s="818" t="e">
        <v>#REF!</v>
      </c>
      <c r="W3" s="434"/>
      <c r="X3" s="434"/>
      <c r="Y3" s="434"/>
      <c r="Z3" s="632"/>
      <c r="AA3" s="632"/>
      <c r="AB3" s="632"/>
      <c r="AC3" s="632"/>
      <c r="AD3" s="632"/>
      <c r="AL3" s="632" t="s">
        <v>171</v>
      </c>
      <c r="AM3" s="275">
        <v>0.39583333333333331</v>
      </c>
      <c r="AN3" s="89">
        <v>43614.767670370369</v>
      </c>
      <c r="AO3" s="632" t="s">
        <v>207</v>
      </c>
      <c r="AS3" s="632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257250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17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636" t="s">
        <v>211</v>
      </c>
      <c r="U4" s="636" t="s">
        <v>211</v>
      </c>
      <c r="V4" s="818"/>
      <c r="W4" s="434"/>
      <c r="X4" s="434"/>
      <c r="Y4" s="434"/>
      <c r="Z4" s="632"/>
      <c r="AA4" s="632"/>
      <c r="AB4" s="632"/>
      <c r="AC4" s="632"/>
      <c r="AD4" s="632"/>
      <c r="AL4" s="632" t="s">
        <v>172</v>
      </c>
      <c r="AM4" s="275">
        <v>0.39861111111111108</v>
      </c>
      <c r="AN4" s="632"/>
      <c r="AO4" s="632"/>
    </row>
    <row r="5" spans="1:45" ht="14.5" customHeight="1" thickBot="1" x14ac:dyDescent="0.4">
      <c r="A5" s="530" t="s">
        <v>409</v>
      </c>
      <c r="B5" s="528" t="s">
        <v>180</v>
      </c>
      <c r="C5" s="86">
        <v>122.67741935483868</v>
      </c>
      <c r="D5" s="86">
        <v>-2.6000000000000014</v>
      </c>
      <c r="E5" s="86">
        <v>16.731842105263159</v>
      </c>
      <c r="F5" s="167">
        <v>509400</v>
      </c>
      <c r="G5" s="167">
        <v>180627</v>
      </c>
      <c r="H5" s="532" t="s">
        <v>55</v>
      </c>
      <c r="I5" s="167">
        <v>19.350000000000001</v>
      </c>
      <c r="J5" s="532">
        <v>12000</v>
      </c>
      <c r="K5" s="167">
        <v>17.350000000000001</v>
      </c>
      <c r="L5" s="535">
        <v>4556550</v>
      </c>
      <c r="M5" s="435">
        <v>11915.5</v>
      </c>
      <c r="N5" s="816">
        <v>11850</v>
      </c>
      <c r="O5" s="435">
        <v>11.941666666666668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36" t="e">
        <v>#REF!</v>
      </c>
      <c r="U5" s="636" t="e">
        <v>#REF!</v>
      </c>
      <c r="V5" s="818" t="e">
        <v>#REF!</v>
      </c>
      <c r="W5" s="434"/>
      <c r="X5" s="434"/>
      <c r="Y5" s="434"/>
      <c r="Z5" s="632"/>
      <c r="AA5" s="632"/>
      <c r="AB5" s="632"/>
      <c r="AC5" s="632"/>
      <c r="AD5" s="632"/>
      <c r="AM5" s="275">
        <v>0.40625</v>
      </c>
      <c r="AN5" s="632"/>
      <c r="AO5" s="632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393900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17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36" t="s">
        <v>211</v>
      </c>
      <c r="U6" s="636" t="s">
        <v>211</v>
      </c>
      <c r="V6" s="818"/>
      <c r="W6" s="434"/>
      <c r="X6" s="434"/>
      <c r="Y6" s="434"/>
      <c r="Z6" s="632"/>
      <c r="AA6" s="632"/>
      <c r="AB6" s="632"/>
      <c r="AC6" s="632"/>
      <c r="AD6" s="632"/>
      <c r="AM6" s="275">
        <v>0.40902777777777777</v>
      </c>
      <c r="AN6" s="632"/>
      <c r="AO6" s="632"/>
    </row>
    <row r="7" spans="1:45" ht="14.5" customHeight="1" thickBot="1" x14ac:dyDescent="0.4">
      <c r="A7" s="530" t="s">
        <v>437</v>
      </c>
      <c r="B7" s="528" t="s">
        <v>180</v>
      </c>
      <c r="C7" s="86">
        <v>183.05080645161291</v>
      </c>
      <c r="D7" s="86">
        <v>-2.7999999999999989</v>
      </c>
      <c r="E7" s="86">
        <v>16.507368421052629</v>
      </c>
      <c r="F7" s="167">
        <v>598050</v>
      </c>
      <c r="G7" s="167">
        <v>180627</v>
      </c>
      <c r="H7" s="532" t="s">
        <v>55</v>
      </c>
      <c r="I7" s="167">
        <v>19.73</v>
      </c>
      <c r="J7" s="532">
        <v>12000</v>
      </c>
      <c r="K7" s="167">
        <v>16.649999999999999</v>
      </c>
      <c r="L7" s="535">
        <v>4645200</v>
      </c>
      <c r="M7" s="534">
        <v>11908</v>
      </c>
      <c r="N7" s="816">
        <v>11850</v>
      </c>
      <c r="O7" s="435">
        <v>11.975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36" t="e">
        <v>#REF!</v>
      </c>
      <c r="U7" s="636" t="e">
        <v>#REF!</v>
      </c>
      <c r="V7" s="818" t="e">
        <v>#REF!</v>
      </c>
      <c r="W7" s="434"/>
      <c r="X7" s="434"/>
      <c r="Y7" s="434"/>
      <c r="Z7" s="632"/>
      <c r="AA7" s="632"/>
      <c r="AB7" s="632"/>
      <c r="AC7" s="632"/>
      <c r="AD7" s="632"/>
      <c r="AM7" s="275">
        <v>0.41666666666666669</v>
      </c>
      <c r="AN7" s="632"/>
      <c r="AO7" s="632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450375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17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36" t="s">
        <v>211</v>
      </c>
      <c r="U8" s="636" t="s">
        <v>211</v>
      </c>
      <c r="V8" s="818"/>
      <c r="W8" s="434"/>
      <c r="X8" s="434"/>
      <c r="Y8" s="434"/>
      <c r="Z8" s="632"/>
      <c r="AA8" s="632"/>
      <c r="AB8" s="632"/>
      <c r="AC8" s="632"/>
      <c r="AD8" s="632"/>
      <c r="AM8" s="275">
        <v>0.41944444444444445</v>
      </c>
      <c r="AN8" s="632"/>
      <c r="AO8" s="632"/>
    </row>
    <row r="9" spans="1:45" ht="14.5" customHeight="1" thickBot="1" x14ac:dyDescent="0.4">
      <c r="A9" s="530" t="s">
        <v>349</v>
      </c>
      <c r="B9" s="528" t="s">
        <v>180</v>
      </c>
      <c r="C9" s="86">
        <v>181.96451612903229</v>
      </c>
      <c r="D9" s="86">
        <v>-2.7833333333333314</v>
      </c>
      <c r="E9" s="86">
        <v>15.655789473684212</v>
      </c>
      <c r="F9" s="167">
        <v>693300</v>
      </c>
      <c r="G9" s="167">
        <v>180627</v>
      </c>
      <c r="H9" s="532" t="s">
        <v>55</v>
      </c>
      <c r="I9" s="167">
        <v>19.899999999999999</v>
      </c>
      <c r="J9" s="532">
        <v>12000</v>
      </c>
      <c r="K9" s="167">
        <v>16.55</v>
      </c>
      <c r="L9" s="535">
        <v>4740450</v>
      </c>
      <c r="M9" s="534">
        <v>11900.75</v>
      </c>
      <c r="N9" s="816">
        <v>11850</v>
      </c>
      <c r="O9" s="435">
        <v>11.899999999999999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36" t="e">
        <v>#REF!</v>
      </c>
      <c r="U9" s="636" t="e">
        <v>#REF!</v>
      </c>
      <c r="V9" s="818" t="e">
        <v>#REF!</v>
      </c>
      <c r="W9" s="434"/>
      <c r="X9" s="434"/>
      <c r="Y9" s="434"/>
      <c r="Z9" s="632"/>
      <c r="AA9" s="632"/>
      <c r="AB9" s="718" t="s">
        <v>165</v>
      </c>
      <c r="AC9" s="719"/>
      <c r="AD9" s="719"/>
      <c r="AM9" s="275">
        <v>0.42708333333333331</v>
      </c>
      <c r="AN9" s="632"/>
      <c r="AO9" s="632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504075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17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36" t="s">
        <v>211</v>
      </c>
      <c r="U10" s="636" t="s">
        <v>211</v>
      </c>
      <c r="V10" s="818"/>
      <c r="W10" s="434"/>
      <c r="X10" s="434"/>
      <c r="Y10" s="434"/>
      <c r="Z10" s="632"/>
      <c r="AA10" s="632"/>
      <c r="AB10" s="718" t="s">
        <v>365</v>
      </c>
      <c r="AC10" s="719"/>
      <c r="AD10" s="719"/>
      <c r="AM10" s="275">
        <v>0.42986111111111108</v>
      </c>
      <c r="AN10" s="632"/>
      <c r="AO10" s="632"/>
    </row>
    <row r="11" spans="1:45" ht="14.5" customHeight="1" thickBot="1" x14ac:dyDescent="0.4">
      <c r="A11" s="530" t="s">
        <v>439</v>
      </c>
      <c r="B11" s="528" t="s">
        <v>180</v>
      </c>
      <c r="C11" s="86">
        <v>180.16048387096771</v>
      </c>
      <c r="D11" s="86">
        <v>-3.1666666666666679</v>
      </c>
      <c r="E11" s="86">
        <v>15.476842105263156</v>
      </c>
      <c r="F11" s="167">
        <v>779700</v>
      </c>
      <c r="G11" s="167">
        <v>180627</v>
      </c>
      <c r="H11" s="532" t="s">
        <v>55</v>
      </c>
      <c r="I11" s="167">
        <v>20.260000000000002</v>
      </c>
      <c r="J11" s="532">
        <v>12000</v>
      </c>
      <c r="K11" s="167">
        <v>15.75</v>
      </c>
      <c r="L11" s="535">
        <v>4826850</v>
      </c>
      <c r="M11" s="534">
        <v>11901.6</v>
      </c>
      <c r="N11" s="816">
        <v>11850</v>
      </c>
      <c r="O11" s="435">
        <v>11.950000000000001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36" t="e">
        <v>#REF!</v>
      </c>
      <c r="U11" s="636" t="e">
        <v>#REF!</v>
      </c>
      <c r="V11" s="818" t="e">
        <v>#REF!</v>
      </c>
      <c r="W11" s="434"/>
      <c r="X11" s="434"/>
      <c r="Y11" s="434"/>
      <c r="Z11" s="632"/>
      <c r="AA11" s="632"/>
      <c r="AB11" s="718" t="s">
        <v>366</v>
      </c>
      <c r="AC11" s="718"/>
      <c r="AD11" s="718"/>
      <c r="AM11" s="275">
        <v>0.4375</v>
      </c>
      <c r="AN11" s="632"/>
      <c r="AO11" s="632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516975</v>
      </c>
      <c r="G12" s="168">
        <v>85401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17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36" t="s">
        <v>211</v>
      </c>
      <c r="U12" s="636" t="s">
        <v>211</v>
      </c>
      <c r="V12" s="818"/>
      <c r="W12" s="434"/>
      <c r="X12" s="434"/>
      <c r="Y12" s="434"/>
      <c r="Z12" s="632"/>
      <c r="AA12" s="632"/>
      <c r="AB12" s="718" t="s">
        <v>167</v>
      </c>
      <c r="AC12" s="718"/>
      <c r="AD12" s="718"/>
      <c r="AM12" s="275">
        <v>0.44027777777777777</v>
      </c>
      <c r="AN12" s="632"/>
      <c r="AO12" s="632"/>
    </row>
    <row r="13" spans="1:45" ht="14.5" customHeight="1" thickBot="1" x14ac:dyDescent="0.4">
      <c r="A13" s="530" t="s">
        <v>613</v>
      </c>
      <c r="B13" s="528" t="s">
        <v>180</v>
      </c>
      <c r="C13" s="86">
        <v>162.29032258064524</v>
      </c>
      <c r="D13" s="86">
        <v>-1.5833333333333321</v>
      </c>
      <c r="E13" s="86">
        <v>17.405526315789476</v>
      </c>
      <c r="F13" s="167">
        <v>812850</v>
      </c>
      <c r="G13" s="167">
        <v>102531</v>
      </c>
      <c r="H13" s="532" t="s">
        <v>55</v>
      </c>
      <c r="I13" s="167">
        <v>19.64</v>
      </c>
      <c r="J13" s="532">
        <v>12000</v>
      </c>
      <c r="K13" s="167">
        <v>17.45</v>
      </c>
      <c r="L13" s="535">
        <v>4860000</v>
      </c>
      <c r="M13" s="534">
        <v>11917.05</v>
      </c>
      <c r="N13" s="816">
        <v>11850</v>
      </c>
      <c r="O13" s="435">
        <v>11.174999999999999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636" t="e">
        <v>#REF!</v>
      </c>
      <c r="U13" s="636" t="e">
        <v>#REF!</v>
      </c>
      <c r="V13" s="818" t="e">
        <v>#REF!</v>
      </c>
      <c r="W13" s="434"/>
      <c r="X13" s="434"/>
      <c r="Y13" s="434"/>
      <c r="Z13" s="632"/>
      <c r="AA13" s="632"/>
      <c r="AB13" s="718" t="s">
        <v>168</v>
      </c>
      <c r="AC13" s="718"/>
      <c r="AD13" s="718"/>
      <c r="AM13" s="275">
        <v>0.44791666666666669</v>
      </c>
      <c r="AN13" s="632"/>
      <c r="AO13" s="632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596100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17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636" t="s">
        <v>211</v>
      </c>
      <c r="U14" s="636" t="s">
        <v>211</v>
      </c>
      <c r="V14" s="818"/>
      <c r="W14" s="434"/>
      <c r="X14" s="434"/>
      <c r="Y14" s="434"/>
      <c r="AM14" s="275">
        <v>0.45069444444444445</v>
      </c>
      <c r="AN14" s="632"/>
      <c r="AO14" s="632"/>
    </row>
    <row r="15" spans="1:45" ht="14.5" customHeight="1" thickBot="1" x14ac:dyDescent="0.4">
      <c r="A15" s="530" t="s">
        <v>440</v>
      </c>
      <c r="B15" s="528" t="s">
        <v>180</v>
      </c>
      <c r="C15" s="86">
        <v>163.70080645161303</v>
      </c>
      <c r="D15" s="86">
        <v>-1.2499999999999964</v>
      </c>
      <c r="E15" s="86">
        <v>16.377894736842105</v>
      </c>
      <c r="F15" s="167">
        <v>891600</v>
      </c>
      <c r="G15" s="167">
        <v>113775</v>
      </c>
      <c r="H15" s="532" t="s">
        <v>55</v>
      </c>
      <c r="I15" s="167">
        <v>19.53</v>
      </c>
      <c r="J15" s="532">
        <v>12000</v>
      </c>
      <c r="K15" s="167">
        <v>17.850000000000001</v>
      </c>
      <c r="L15" s="535">
        <v>4938750</v>
      </c>
      <c r="M15" s="534">
        <v>11910.25</v>
      </c>
      <c r="N15" s="816">
        <v>11850</v>
      </c>
      <c r="O15" s="435">
        <v>10.999999999999998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36" t="e">
        <v>#REF!</v>
      </c>
      <c r="U15" s="636" t="e">
        <v>#REF!</v>
      </c>
      <c r="V15" s="818" t="e">
        <v>#REF!</v>
      </c>
      <c r="W15" s="434"/>
      <c r="X15" s="434"/>
      <c r="Y15" s="434"/>
      <c r="AM15" s="275">
        <v>0.45833333333333331</v>
      </c>
      <c r="AN15" s="632"/>
      <c r="AO15" s="632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665700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17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36" t="s">
        <v>211</v>
      </c>
      <c r="U16" s="636" t="s">
        <v>211</v>
      </c>
      <c r="V16" s="818"/>
      <c r="W16" s="434"/>
      <c r="X16" s="434"/>
      <c r="Y16" s="434"/>
      <c r="AM16" s="275">
        <v>0.46111111111111108</v>
      </c>
      <c r="AN16" s="632"/>
      <c r="AO16" s="632"/>
    </row>
    <row r="17" spans="1:41" ht="14.5" customHeight="1" thickBot="1" x14ac:dyDescent="0.4">
      <c r="A17" s="530" t="s">
        <v>614</v>
      </c>
      <c r="B17" s="528" t="s">
        <v>180</v>
      </c>
      <c r="C17" s="86">
        <v>168.11693548387098</v>
      </c>
      <c r="D17" s="86">
        <v>0.70833333333333393</v>
      </c>
      <c r="E17" s="86">
        <v>16.243684210526315</v>
      </c>
      <c r="F17" s="167">
        <v>826875</v>
      </c>
      <c r="G17" s="167">
        <v>124859</v>
      </c>
      <c r="H17" s="532" t="s">
        <v>55</v>
      </c>
      <c r="I17" s="167">
        <v>19.39</v>
      </c>
      <c r="J17" s="532">
        <v>12000</v>
      </c>
      <c r="K17" s="167">
        <v>20.05</v>
      </c>
      <c r="L17" s="535">
        <v>4874025</v>
      </c>
      <c r="M17" s="534">
        <v>11922.3</v>
      </c>
      <c r="N17" s="816">
        <v>11850</v>
      </c>
      <c r="O17" s="435">
        <v>10.058333333333332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36" t="e">
        <v>#REF!</v>
      </c>
      <c r="U17" s="636" t="e">
        <v>#REF!</v>
      </c>
      <c r="V17" s="818" t="e">
        <v>#REF!</v>
      </c>
      <c r="W17" s="434"/>
      <c r="X17" s="434"/>
      <c r="Y17" s="434"/>
      <c r="AM17" s="275">
        <v>0.46875</v>
      </c>
      <c r="AN17" s="632"/>
      <c r="AO17" s="632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784275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17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36" t="s">
        <v>211</v>
      </c>
      <c r="U18" s="636" t="s">
        <v>211</v>
      </c>
      <c r="V18" s="818"/>
      <c r="W18" s="434"/>
      <c r="X18" s="434"/>
      <c r="Y18" s="434"/>
      <c r="AM18" s="275">
        <v>0.47152777777777777</v>
      </c>
      <c r="AN18" s="632"/>
      <c r="AO18" s="632"/>
    </row>
    <row r="19" spans="1:41" ht="14.5" customHeight="1" thickBot="1" x14ac:dyDescent="0.4">
      <c r="A19" s="530" t="s">
        <v>615</v>
      </c>
      <c r="B19" s="528" t="s">
        <v>180</v>
      </c>
      <c r="C19" s="86">
        <v>169.73790322580649</v>
      </c>
      <c r="D19" s="86">
        <v>1.0500000000000025</v>
      </c>
      <c r="E19" s="86">
        <v>15.323421052631577</v>
      </c>
      <c r="F19" s="167">
        <v>653625</v>
      </c>
      <c r="G19" s="167">
        <v>143433</v>
      </c>
      <c r="H19" s="532" t="s">
        <v>61</v>
      </c>
      <c r="I19" s="167">
        <v>20.010000000000002</v>
      </c>
      <c r="J19" s="532">
        <v>12000</v>
      </c>
      <c r="K19" s="167">
        <v>20.45</v>
      </c>
      <c r="L19" s="535">
        <v>4700775</v>
      </c>
      <c r="M19" s="534">
        <v>11916.25</v>
      </c>
      <c r="N19" s="816">
        <v>11900</v>
      </c>
      <c r="O19" s="435">
        <v>9.7999999999999989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36" t="e">
        <v>#REF!</v>
      </c>
      <c r="U19" s="636" t="e">
        <v>#REF!</v>
      </c>
      <c r="V19" s="818" t="e">
        <v>#REF!</v>
      </c>
      <c r="W19" s="434"/>
      <c r="X19" s="434"/>
      <c r="Y19" s="434"/>
      <c r="AM19" s="275">
        <v>0.47916666666666669</v>
      </c>
      <c r="AN19" s="632"/>
      <c r="AO19" s="632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1057800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17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36" t="s">
        <v>211</v>
      </c>
      <c r="U20" s="636" t="s">
        <v>211</v>
      </c>
      <c r="V20" s="818"/>
      <c r="W20" s="434"/>
      <c r="X20" s="434"/>
      <c r="Y20" s="434"/>
      <c r="AM20" s="275">
        <v>0.48194444444444445</v>
      </c>
      <c r="AN20" s="632"/>
      <c r="AO20" s="632"/>
    </row>
    <row r="21" spans="1:41" ht="14.5" customHeight="1" thickBot="1" x14ac:dyDescent="0.4">
      <c r="A21" s="530" t="s">
        <v>540</v>
      </c>
      <c r="B21" s="528" t="s">
        <v>180</v>
      </c>
      <c r="C21" s="86">
        <v>170.87983870967741</v>
      </c>
      <c r="D21" s="86">
        <v>1.2750000000000021</v>
      </c>
      <c r="E21" s="86">
        <v>16.022105263157897</v>
      </c>
      <c r="F21" s="167">
        <v>744525</v>
      </c>
      <c r="G21" s="167">
        <v>152365</v>
      </c>
      <c r="H21" s="532" t="s">
        <v>61</v>
      </c>
      <c r="I21" s="167">
        <v>19.78</v>
      </c>
      <c r="J21" s="532">
        <v>12000</v>
      </c>
      <c r="K21" s="167">
        <v>20.9</v>
      </c>
      <c r="L21" s="535">
        <v>4791675</v>
      </c>
      <c r="M21" s="534">
        <v>11918.85</v>
      </c>
      <c r="N21" s="816">
        <v>11900</v>
      </c>
      <c r="O21" s="435">
        <v>9.6666666666666661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636" t="e">
        <v>#REF!</v>
      </c>
      <c r="U21" s="636" t="e">
        <v>#REF!</v>
      </c>
      <c r="V21" s="818" t="e">
        <v>#REF!</v>
      </c>
      <c r="W21" s="434"/>
      <c r="X21" s="434"/>
      <c r="Y21" s="434"/>
      <c r="AM21" s="275">
        <v>0.48958333333333331</v>
      </c>
      <c r="AN21" s="632"/>
      <c r="AO21" s="632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1079625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17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636" t="s">
        <v>211</v>
      </c>
      <c r="U22" s="636" t="s">
        <v>211</v>
      </c>
      <c r="V22" s="818"/>
      <c r="W22" s="434"/>
      <c r="X22" s="434"/>
      <c r="Y22" s="434"/>
      <c r="AM22" s="275">
        <v>0.49236111111111108</v>
      </c>
      <c r="AN22" s="632"/>
      <c r="AO22" s="632"/>
    </row>
    <row r="23" spans="1:41" ht="14.5" customHeight="1" thickBot="1" x14ac:dyDescent="0.4">
      <c r="A23" s="530" t="s">
        <v>616</v>
      </c>
      <c r="B23" s="528" t="s">
        <v>180</v>
      </c>
      <c r="C23" s="86">
        <v>163.49596774193554</v>
      </c>
      <c r="D23" s="86">
        <v>-1.4583333333333321</v>
      </c>
      <c r="E23" s="86">
        <v>15.908947368421053</v>
      </c>
      <c r="F23" s="167">
        <v>795225</v>
      </c>
      <c r="G23" s="167">
        <v>163574</v>
      </c>
      <c r="H23" s="532" t="s">
        <v>61</v>
      </c>
      <c r="I23" s="167">
        <v>19.95</v>
      </c>
      <c r="J23" s="532">
        <v>12000</v>
      </c>
      <c r="K23" s="167">
        <v>17.350000000000001</v>
      </c>
      <c r="L23" s="535">
        <v>4842375</v>
      </c>
      <c r="M23" s="534">
        <v>11904.65</v>
      </c>
      <c r="N23" s="816">
        <v>11900</v>
      </c>
      <c r="O23" s="435">
        <v>10.808333333333332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636" t="e">
        <v>#REF!</v>
      </c>
      <c r="U23" s="636" t="e">
        <v>#REF!</v>
      </c>
      <c r="V23" s="818" t="e">
        <v>#REF!</v>
      </c>
      <c r="W23" s="434"/>
      <c r="X23" s="434"/>
      <c r="Y23" s="434"/>
      <c r="AM23" s="275">
        <v>0.5</v>
      </c>
      <c r="AN23" s="632"/>
      <c r="AO23" s="632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966300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17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636" t="s">
        <v>211</v>
      </c>
      <c r="U24" s="636" t="s">
        <v>211</v>
      </c>
      <c r="V24" s="818"/>
      <c r="W24" s="434"/>
      <c r="X24" s="434"/>
      <c r="Y24" s="434"/>
      <c r="AM24" s="275">
        <v>0.50277777777777777</v>
      </c>
      <c r="AN24" s="632"/>
      <c r="AO24" s="632"/>
    </row>
    <row r="25" spans="1:41" ht="14.5" customHeight="1" thickBot="1" x14ac:dyDescent="0.4">
      <c r="A25" s="530" t="s">
        <v>524</v>
      </c>
      <c r="B25" s="528" t="s">
        <v>180</v>
      </c>
      <c r="C25" s="86">
        <v>163.78709677419363</v>
      </c>
      <c r="D25" s="86">
        <v>-1.5166666666666675</v>
      </c>
      <c r="E25" s="86">
        <v>16.081052631578945</v>
      </c>
      <c r="F25" s="167">
        <v>882375</v>
      </c>
      <c r="G25" s="167">
        <v>173386</v>
      </c>
      <c r="H25" s="532" t="s">
        <v>61</v>
      </c>
      <c r="I25" s="167">
        <v>19.52</v>
      </c>
      <c r="J25" s="532">
        <v>12000</v>
      </c>
      <c r="K25" s="167">
        <v>16.7</v>
      </c>
      <c r="L25" s="535">
        <v>4929525</v>
      </c>
      <c r="M25" s="534">
        <v>11908.55</v>
      </c>
      <c r="N25" s="816">
        <v>11900</v>
      </c>
      <c r="O25" s="435">
        <v>10.666666666666666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636" t="e">
        <v>#REF!</v>
      </c>
      <c r="U25" s="636" t="e">
        <v>#REF!</v>
      </c>
      <c r="V25" s="818" t="e">
        <v>#REF!</v>
      </c>
      <c r="W25" s="434"/>
      <c r="X25" s="434"/>
      <c r="Y25" s="434"/>
      <c r="AM25" s="275">
        <v>0.51041666666666663</v>
      </c>
      <c r="AN25" s="632"/>
      <c r="AO25" s="632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>
        <v>935850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17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636" t="s">
        <v>211</v>
      </c>
      <c r="U26" s="636" t="s">
        <v>211</v>
      </c>
      <c r="V26" s="818"/>
      <c r="W26" s="434"/>
      <c r="X26" s="434"/>
      <c r="Y26" s="434"/>
      <c r="AM26" s="275">
        <v>0.5131944444444444</v>
      </c>
      <c r="AN26" s="632"/>
      <c r="AO26" s="632"/>
    </row>
    <row r="27" spans="1:41" ht="14.5" customHeight="1" thickBot="1" x14ac:dyDescent="0.4">
      <c r="A27" s="530" t="s">
        <v>525</v>
      </c>
      <c r="B27" s="528" t="s">
        <v>180</v>
      </c>
      <c r="C27" s="86">
        <v>128.80887096774197</v>
      </c>
      <c r="D27" s="86">
        <v>-2.2666666666666657</v>
      </c>
      <c r="E27" s="86">
        <v>15.924210526315791</v>
      </c>
      <c r="F27" s="167">
        <v>923925</v>
      </c>
      <c r="G27" s="167">
        <v>182614</v>
      </c>
      <c r="H27" s="532" t="s">
        <v>61</v>
      </c>
      <c r="I27" s="167">
        <v>19.850000000000001</v>
      </c>
      <c r="J27" s="532">
        <v>12000</v>
      </c>
      <c r="K27" s="167">
        <v>15.65</v>
      </c>
      <c r="L27" s="535">
        <v>4971075</v>
      </c>
      <c r="M27" s="534">
        <v>11901.95</v>
      </c>
      <c r="N27" s="816">
        <v>11900</v>
      </c>
      <c r="O27" s="435">
        <v>11.033333333333333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636" t="e">
        <v>#REF!</v>
      </c>
      <c r="U27" s="636" t="e">
        <v>#REF!</v>
      </c>
      <c r="V27" s="818" t="e">
        <v>#REF!</v>
      </c>
      <c r="W27" s="434"/>
      <c r="X27" s="434"/>
      <c r="Y27" s="434"/>
      <c r="AM27" s="275">
        <v>0.52083333333333337</v>
      </c>
      <c r="AN27" s="632"/>
      <c r="AO27" s="632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>
        <v>936825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17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636" t="s">
        <v>211</v>
      </c>
      <c r="U28" s="636" t="s">
        <v>211</v>
      </c>
      <c r="V28" s="818"/>
      <c r="W28" s="434"/>
      <c r="X28" s="434"/>
      <c r="Y28" s="434"/>
      <c r="AM28" s="275">
        <v>0.52361111111111114</v>
      </c>
      <c r="AN28" s="632"/>
      <c r="AO28" s="632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16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636" t="s">
        <v>211</v>
      </c>
      <c r="U29" s="636" t="s">
        <v>211</v>
      </c>
      <c r="V29" s="818" t="s">
        <v>211</v>
      </c>
      <c r="W29" s="434"/>
      <c r="X29" s="434"/>
      <c r="Y29" s="434"/>
      <c r="AM29" s="275">
        <v>0.53125</v>
      </c>
      <c r="AO29" s="632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17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636" t="s">
        <v>211</v>
      </c>
      <c r="U30" s="636" t="s">
        <v>211</v>
      </c>
      <c r="V30" s="818"/>
      <c r="W30" s="434"/>
      <c r="X30" s="434"/>
      <c r="Y30" s="434"/>
      <c r="AM30" s="275">
        <v>0.53402777777777777</v>
      </c>
      <c r="AO30" s="632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16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636" t="s">
        <v>211</v>
      </c>
      <c r="U31" s="636" t="s">
        <v>211</v>
      </c>
      <c r="V31" s="818" t="s">
        <v>211</v>
      </c>
      <c r="W31" s="434"/>
      <c r="X31" s="434"/>
      <c r="Y31" s="434"/>
      <c r="AM31" s="275">
        <v>0.54166666666666663</v>
      </c>
      <c r="AO31" s="632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17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636" t="s">
        <v>211</v>
      </c>
      <c r="U32" s="636" t="s">
        <v>211</v>
      </c>
      <c r="V32" s="818"/>
      <c r="W32" s="434"/>
      <c r="X32" s="434"/>
      <c r="Y32" s="434"/>
      <c r="AM32" s="275">
        <v>0.5444444444444444</v>
      </c>
      <c r="AO32" s="632"/>
    </row>
    <row r="33" spans="1:41" ht="15" customHeight="1" thickBot="1" x14ac:dyDescent="0.4">
      <c r="A33" s="530" t="s">
        <v>418</v>
      </c>
      <c r="B33" s="528" t="s">
        <v>180</v>
      </c>
      <c r="C33" s="86">
        <v>124.29838709677409</v>
      </c>
      <c r="D33" s="86">
        <v>-5.6416666666666675</v>
      </c>
      <c r="E33" s="86">
        <v>18.144473684210524</v>
      </c>
      <c r="F33" s="167">
        <v>1408125</v>
      </c>
      <c r="G33" s="167">
        <v>257295</v>
      </c>
      <c r="H33" s="532" t="s">
        <v>55</v>
      </c>
      <c r="I33" s="167">
        <v>18</v>
      </c>
      <c r="J33" s="532">
        <v>12000</v>
      </c>
      <c r="K33" s="167">
        <v>9.15</v>
      </c>
      <c r="L33" s="535">
        <v>5455275</v>
      </c>
      <c r="M33" s="534">
        <v>11878.6</v>
      </c>
      <c r="N33" s="816">
        <v>11850</v>
      </c>
      <c r="O33" s="435">
        <v>14.350000000000001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636" t="e">
        <v>#REF!</v>
      </c>
      <c r="U33" s="636" t="e">
        <v>#REF!</v>
      </c>
      <c r="V33" s="818" t="e">
        <v>#REF!</v>
      </c>
      <c r="W33" s="434"/>
      <c r="X33" s="434"/>
      <c r="Y33" s="434"/>
      <c r="AM33" s="275">
        <v>0.55208333333333337</v>
      </c>
      <c r="AO33" s="632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418275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17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636" t="s">
        <v>211</v>
      </c>
      <c r="U34" s="636" t="s">
        <v>211</v>
      </c>
      <c r="V34" s="818"/>
      <c r="W34" s="434"/>
      <c r="X34" s="434"/>
      <c r="Y34" s="434"/>
      <c r="AM34" s="275">
        <v>0.55486111111111114</v>
      </c>
      <c r="AO34" s="632"/>
    </row>
    <row r="35" spans="1:41" ht="15" customHeight="1" thickBot="1" x14ac:dyDescent="0.4">
      <c r="A35" s="530" t="s">
        <v>222</v>
      </c>
      <c r="B35" s="528" t="s">
        <v>180</v>
      </c>
      <c r="C35" s="86">
        <v>124.45564516129028</v>
      </c>
      <c r="D35" s="86">
        <v>-5.0416666666666661</v>
      </c>
      <c r="E35" s="86">
        <v>17.231052631578947</v>
      </c>
      <c r="F35" s="167">
        <v>1528275</v>
      </c>
      <c r="G35" s="167">
        <v>275586</v>
      </c>
      <c r="H35" s="532" t="s">
        <v>55</v>
      </c>
      <c r="I35" s="167">
        <v>18.32</v>
      </c>
      <c r="J35" s="532">
        <v>12000</v>
      </c>
      <c r="K35" s="167">
        <v>9.6999999999999993</v>
      </c>
      <c r="L35" s="535">
        <v>5575425</v>
      </c>
      <c r="M35" s="534">
        <v>11881.15</v>
      </c>
      <c r="N35" s="816">
        <v>11850</v>
      </c>
      <c r="O35" s="435">
        <v>14.016666666666666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636" t="e">
        <v>#REF!</v>
      </c>
      <c r="U35" s="636" t="e">
        <v>#REF!</v>
      </c>
      <c r="V35" s="818" t="e">
        <v>#REF!</v>
      </c>
      <c r="W35" s="434"/>
      <c r="X35" s="434"/>
      <c r="Y35" s="434"/>
      <c r="AM35" s="275">
        <v>0.5625</v>
      </c>
      <c r="AO35" s="632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352725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17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636" t="s">
        <v>211</v>
      </c>
      <c r="U36" s="636" t="s">
        <v>211</v>
      </c>
      <c r="V36" s="818"/>
      <c r="W36" s="434"/>
      <c r="X36" s="434"/>
      <c r="Y36" s="434"/>
      <c r="AM36" s="275">
        <v>0.56527777777777777</v>
      </c>
      <c r="AO36" s="632"/>
    </row>
    <row r="37" spans="1:41" ht="15" customHeight="1" thickBot="1" x14ac:dyDescent="0.4">
      <c r="A37" s="530" t="s">
        <v>617</v>
      </c>
      <c r="B37" s="528" t="s">
        <v>180</v>
      </c>
      <c r="C37" s="86">
        <v>129.99516129032241</v>
      </c>
      <c r="D37" s="86">
        <v>-1.3416666666666668</v>
      </c>
      <c r="E37" s="86">
        <v>17.119736842105262</v>
      </c>
      <c r="F37" s="167">
        <v>1462125</v>
      </c>
      <c r="G37" s="167">
        <v>292009</v>
      </c>
      <c r="H37" s="532" t="s">
        <v>55</v>
      </c>
      <c r="I37" s="167">
        <v>18.309999999999999</v>
      </c>
      <c r="J37" s="532">
        <v>12000</v>
      </c>
      <c r="K37" s="167">
        <v>11.6</v>
      </c>
      <c r="L37" s="535">
        <v>5509275</v>
      </c>
      <c r="M37" s="534">
        <v>11888.95</v>
      </c>
      <c r="N37" s="816">
        <v>11850</v>
      </c>
      <c r="O37" s="435">
        <v>11.783333333333331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36" t="e">
        <v>#REF!</v>
      </c>
      <c r="U37" s="636" t="e">
        <v>#REF!</v>
      </c>
      <c r="V37" s="818" t="e">
        <v>#REF!</v>
      </c>
      <c r="W37" s="434"/>
      <c r="X37" s="434"/>
      <c r="Y37" s="434"/>
      <c r="AM37" s="275">
        <v>0.57291666666666663</v>
      </c>
      <c r="AO37" s="632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380550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17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36" t="s">
        <v>211</v>
      </c>
      <c r="U38" s="636" t="s">
        <v>211</v>
      </c>
      <c r="V38" s="818"/>
      <c r="W38" s="434"/>
      <c r="X38" s="434"/>
      <c r="Y38" s="434"/>
      <c r="AM38" s="275">
        <v>0.5756944444444444</v>
      </c>
      <c r="AO38" s="632"/>
    </row>
    <row r="39" spans="1:41" ht="15" customHeight="1" thickBot="1" x14ac:dyDescent="0.4">
      <c r="A39" s="530" t="s">
        <v>211</v>
      </c>
      <c r="B39" s="528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532" t="s">
        <v>211</v>
      </c>
      <c r="I39" s="167" t="s">
        <v>211</v>
      </c>
      <c r="J39" s="532" t="s">
        <v>211</v>
      </c>
      <c r="K39" s="167" t="s">
        <v>211</v>
      </c>
      <c r="L39" s="535" t="s">
        <v>211</v>
      </c>
      <c r="M39" s="534" t="s">
        <v>211</v>
      </c>
      <c r="N39" s="816" t="s">
        <v>211</v>
      </c>
      <c r="O39" s="435" t="s">
        <v>211</v>
      </c>
      <c r="P39" s="534" t="s">
        <v>211</v>
      </c>
      <c r="Q39" s="534" t="s">
        <v>211</v>
      </c>
      <c r="R39" s="534" t="s">
        <v>211</v>
      </c>
      <c r="S39" s="88" t="s">
        <v>211</v>
      </c>
      <c r="T39" s="416" t="s">
        <v>211</v>
      </c>
      <c r="U39" s="636" t="s">
        <v>211</v>
      </c>
      <c r="V39" s="818" t="s">
        <v>211</v>
      </c>
      <c r="W39" s="434"/>
      <c r="X39" s="434"/>
      <c r="Y39" s="434"/>
      <c r="AM39" s="275">
        <v>0.58333333333333337</v>
      </c>
      <c r="AO39" s="632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 t="s">
        <v>211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17"/>
      <c r="O40" s="435" t="s">
        <v>211</v>
      </c>
      <c r="P40" s="534" t="s">
        <v>211</v>
      </c>
      <c r="Q40" s="534" t="s">
        <v>211</v>
      </c>
      <c r="R40" s="534" t="s">
        <v>211</v>
      </c>
      <c r="S40" s="92" t="s">
        <v>211</v>
      </c>
      <c r="T40" s="637" t="s">
        <v>211</v>
      </c>
      <c r="U40" s="417" t="s">
        <v>211</v>
      </c>
      <c r="V40" s="818"/>
      <c r="W40" s="434"/>
      <c r="X40" s="434"/>
      <c r="Y40" s="434"/>
      <c r="AM40" s="275">
        <v>0.58611111111111114</v>
      </c>
      <c r="AO40" s="632"/>
    </row>
    <row r="41" spans="1:41" ht="15" customHeight="1" thickBot="1" x14ac:dyDescent="0.4">
      <c r="A41" s="530" t="s">
        <v>211</v>
      </c>
      <c r="B41" s="528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532" t="s">
        <v>211</v>
      </c>
      <c r="I41" s="167" t="s">
        <v>211</v>
      </c>
      <c r="J41" s="532" t="s">
        <v>211</v>
      </c>
      <c r="K41" s="167" t="s">
        <v>211</v>
      </c>
      <c r="L41" s="535" t="s">
        <v>211</v>
      </c>
      <c r="M41" s="435" t="s">
        <v>211</v>
      </c>
      <c r="N41" s="816" t="s">
        <v>211</v>
      </c>
      <c r="O41" s="435" t="s">
        <v>211</v>
      </c>
      <c r="P41" s="534" t="s">
        <v>211</v>
      </c>
      <c r="Q41" s="534" t="s">
        <v>211</v>
      </c>
      <c r="R41" s="534" t="s">
        <v>211</v>
      </c>
      <c r="S41" s="88" t="s">
        <v>211</v>
      </c>
      <c r="T41" s="636" t="s">
        <v>211</v>
      </c>
      <c r="U41" s="636" t="s">
        <v>211</v>
      </c>
      <c r="V41" s="818" t="s">
        <v>211</v>
      </c>
      <c r="W41" s="434"/>
      <c r="X41" s="434"/>
      <c r="Y41" s="434"/>
      <c r="AM41" s="275">
        <v>0.59375</v>
      </c>
      <c r="AO41" s="632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 t="s">
        <v>211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17"/>
      <c r="O42" s="435" t="s">
        <v>211</v>
      </c>
      <c r="P42" s="534" t="s">
        <v>211</v>
      </c>
      <c r="Q42" s="534" t="s">
        <v>211</v>
      </c>
      <c r="R42" s="534" t="s">
        <v>211</v>
      </c>
      <c r="S42" s="92" t="s">
        <v>211</v>
      </c>
      <c r="T42" s="413" t="s">
        <v>211</v>
      </c>
      <c r="U42" s="413" t="s">
        <v>211</v>
      </c>
      <c r="V42" s="818"/>
      <c r="W42" s="434"/>
      <c r="X42" s="434"/>
      <c r="Y42" s="434"/>
      <c r="AM42" s="275">
        <v>0.59652777777777777</v>
      </c>
      <c r="AO42" s="632"/>
    </row>
    <row r="43" spans="1:41" ht="15" customHeight="1" thickBot="1" x14ac:dyDescent="0.4">
      <c r="A43" s="530" t="s">
        <v>211</v>
      </c>
      <c r="B43" s="528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532" t="s">
        <v>211</v>
      </c>
      <c r="I43" s="167" t="s">
        <v>211</v>
      </c>
      <c r="J43" s="532" t="s">
        <v>211</v>
      </c>
      <c r="K43" s="167" t="s">
        <v>211</v>
      </c>
      <c r="L43" s="535" t="s">
        <v>211</v>
      </c>
      <c r="M43" s="534" t="s">
        <v>211</v>
      </c>
      <c r="N43" s="816" t="s">
        <v>211</v>
      </c>
      <c r="O43" s="435" t="s">
        <v>211</v>
      </c>
      <c r="P43" s="534" t="s">
        <v>211</v>
      </c>
      <c r="Q43" s="534" t="s">
        <v>211</v>
      </c>
      <c r="R43" s="534" t="s">
        <v>211</v>
      </c>
      <c r="S43" s="88" t="s">
        <v>211</v>
      </c>
      <c r="T43" s="636" t="s">
        <v>211</v>
      </c>
      <c r="U43" s="636" t="s">
        <v>211</v>
      </c>
      <c r="V43" s="818" t="s">
        <v>211</v>
      </c>
      <c r="W43" s="434"/>
      <c r="X43" s="434"/>
      <c r="Y43" s="434"/>
      <c r="AM43" s="275">
        <v>0.60416666666666663</v>
      </c>
      <c r="AO43" s="632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 t="s">
        <v>211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17"/>
      <c r="O44" s="435" t="s">
        <v>211</v>
      </c>
      <c r="P44" s="534" t="s">
        <v>211</v>
      </c>
      <c r="Q44" s="534" t="s">
        <v>211</v>
      </c>
      <c r="R44" s="534" t="s">
        <v>211</v>
      </c>
      <c r="S44" s="92" t="s">
        <v>211</v>
      </c>
      <c r="T44" s="413" t="s">
        <v>211</v>
      </c>
      <c r="U44" s="413" t="s">
        <v>211</v>
      </c>
      <c r="V44" s="818"/>
      <c r="W44" s="434"/>
      <c r="X44" s="434"/>
      <c r="Y44" s="434"/>
      <c r="AM44" s="275">
        <v>0.6069444444444444</v>
      </c>
      <c r="AO44" s="632"/>
    </row>
    <row r="45" spans="1:41" ht="15" customHeight="1" thickBot="1" x14ac:dyDescent="0.4">
      <c r="A45" s="530" t="s">
        <v>354</v>
      </c>
      <c r="B45" s="528" t="s">
        <v>180</v>
      </c>
      <c r="C45" s="86">
        <v>0</v>
      </c>
      <c r="D45" s="86" t="e">
        <v>#NUM!</v>
      </c>
      <c r="E45" s="86">
        <v>0</v>
      </c>
      <c r="F45" s="167">
        <v>0</v>
      </c>
      <c r="G45" s="167">
        <v>0</v>
      </c>
      <c r="H45" s="532" t="s">
        <v>55</v>
      </c>
      <c r="I45" s="167">
        <v>0</v>
      </c>
      <c r="J45" s="532">
        <v>0</v>
      </c>
      <c r="K45" s="167">
        <v>0</v>
      </c>
      <c r="L45" s="535" t="e">
        <v>#NUM!</v>
      </c>
      <c r="M45" s="534">
        <v>11887.55</v>
      </c>
      <c r="N45" s="816">
        <v>11900</v>
      </c>
      <c r="O45" s="435" t="e">
        <v>#NUM!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36" t="e">
        <v>#REF!</v>
      </c>
      <c r="U45" s="636" t="e">
        <v>#REF!</v>
      </c>
      <c r="V45" s="818" t="e">
        <v>#REF!</v>
      </c>
      <c r="W45" s="434"/>
      <c r="X45" s="434"/>
      <c r="Y45" s="434"/>
      <c r="AM45" s="275">
        <v>0.61458333333333337</v>
      </c>
      <c r="AO45" s="632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0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17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18"/>
      <c r="W46" s="434"/>
      <c r="X46" s="434"/>
      <c r="Y46" s="434"/>
      <c r="AM46" s="275">
        <v>0.61736111111111114</v>
      </c>
      <c r="AO46" s="632"/>
    </row>
    <row r="47" spans="1:41" ht="15" customHeight="1" thickBot="1" x14ac:dyDescent="0.4">
      <c r="A47" s="530" t="s">
        <v>338</v>
      </c>
      <c r="B47" s="528" t="s">
        <v>180</v>
      </c>
      <c r="C47" s="86">
        <v>128.44596774193553</v>
      </c>
      <c r="D47" s="86">
        <v>-6.9583333333333313</v>
      </c>
      <c r="E47" s="86">
        <v>0</v>
      </c>
      <c r="F47" s="167">
        <v>1847775</v>
      </c>
      <c r="G47" s="167">
        <v>439390</v>
      </c>
      <c r="H47" s="532" t="s">
        <v>55</v>
      </c>
      <c r="I47" s="167">
        <v>17.79</v>
      </c>
      <c r="J47" s="532">
        <v>12000</v>
      </c>
      <c r="K47" s="167">
        <v>6.2</v>
      </c>
      <c r="L47" s="535">
        <v>5894925</v>
      </c>
      <c r="M47" s="435">
        <v>11864.55</v>
      </c>
      <c r="N47" s="816">
        <v>11800</v>
      </c>
      <c r="O47" s="435">
        <v>13.299999999999999</v>
      </c>
      <c r="P47" s="534" t="s">
        <v>211</v>
      </c>
      <c r="Q47" s="534" t="s">
        <v>211</v>
      </c>
      <c r="R47" s="534" t="s">
        <v>211</v>
      </c>
      <c r="S47" s="818" t="e">
        <v>#REF!</v>
      </c>
      <c r="T47" s="636" t="e">
        <v>#REF!</v>
      </c>
      <c r="U47" s="414" t="e">
        <v>#REF!</v>
      </c>
      <c r="V47" s="818" t="e">
        <v>#REF!</v>
      </c>
      <c r="W47" s="434"/>
      <c r="X47" s="434"/>
      <c r="Y47" s="434"/>
      <c r="AM47" s="275">
        <v>0.625</v>
      </c>
      <c r="AO47" s="632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-244575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17"/>
      <c r="O48" s="435" t="s">
        <v>211</v>
      </c>
      <c r="P48" s="534" t="s">
        <v>211</v>
      </c>
      <c r="Q48" s="534" t="s">
        <v>211</v>
      </c>
      <c r="R48" s="534" t="s">
        <v>211</v>
      </c>
      <c r="S48" s="818" t="e">
        <v>#REF!</v>
      </c>
      <c r="T48" s="413" t="s">
        <v>211</v>
      </c>
      <c r="U48" s="629" t="s">
        <v>211</v>
      </c>
      <c r="V48" s="818"/>
      <c r="W48" s="434"/>
      <c r="X48" s="434"/>
      <c r="Y48" s="434"/>
      <c r="AM48" s="275">
        <v>0.62777777777777777</v>
      </c>
      <c r="AO48" s="632"/>
    </row>
    <row r="49" spans="1:41" ht="15" customHeight="1" thickBot="1" x14ac:dyDescent="0.4">
      <c r="A49" s="530" t="s">
        <v>618</v>
      </c>
      <c r="B49" s="528" t="s">
        <v>180</v>
      </c>
      <c r="C49" s="86">
        <v>127.84112903225801</v>
      </c>
      <c r="D49" s="86">
        <v>-7.7000000000000011</v>
      </c>
      <c r="E49" s="86">
        <v>0</v>
      </c>
      <c r="F49" s="167">
        <v>1769850</v>
      </c>
      <c r="G49" s="167">
        <v>475229</v>
      </c>
      <c r="H49" s="532" t="s">
        <v>55</v>
      </c>
      <c r="I49" s="167">
        <v>17.98</v>
      </c>
      <c r="J49" s="532">
        <v>12000</v>
      </c>
      <c r="K49" s="167">
        <v>5.8</v>
      </c>
      <c r="L49" s="535">
        <v>5817000</v>
      </c>
      <c r="M49" s="435">
        <v>11859.3</v>
      </c>
      <c r="N49" s="816">
        <v>11800</v>
      </c>
      <c r="O49" s="435">
        <v>13.700000000000001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36" t="e">
        <v>#REF!</v>
      </c>
      <c r="U49" s="636" t="e">
        <v>#REF!</v>
      </c>
      <c r="V49" s="818" t="e">
        <v>#REF!</v>
      </c>
      <c r="W49" s="434"/>
      <c r="X49" s="434"/>
      <c r="Y49" s="434"/>
      <c r="AM49" s="275">
        <v>0.63541666666666663</v>
      </c>
      <c r="AO49" s="632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-315675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17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18"/>
      <c r="W50" s="434"/>
      <c r="X50" s="434"/>
      <c r="Y50" s="434"/>
      <c r="AM50" s="275">
        <v>0.6381944444444444</v>
      </c>
      <c r="AO50" s="632"/>
    </row>
    <row r="51" spans="1:41" ht="15" customHeight="1" thickBot="1" x14ac:dyDescent="0.4">
      <c r="A51" s="530" t="s">
        <v>230</v>
      </c>
      <c r="B51" s="528" t="s">
        <v>180</v>
      </c>
      <c r="C51" s="86">
        <v>107.87661290322569</v>
      </c>
      <c r="D51" s="86">
        <v>-6.5583333333333327</v>
      </c>
      <c r="E51" s="86">
        <v>13.642105263157895</v>
      </c>
      <c r="F51" s="167">
        <v>1445625</v>
      </c>
      <c r="G51" s="167">
        <v>508392</v>
      </c>
      <c r="H51" s="532" t="s">
        <v>55</v>
      </c>
      <c r="I51" s="167">
        <v>16.64</v>
      </c>
      <c r="J51" s="532">
        <v>12000</v>
      </c>
      <c r="K51" s="167">
        <v>4.8</v>
      </c>
      <c r="L51" s="535">
        <v>5492775</v>
      </c>
      <c r="M51" s="534">
        <v>11861.95</v>
      </c>
      <c r="N51" s="816">
        <v>11800</v>
      </c>
      <c r="O51" s="435">
        <v>12.266666666666666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36" t="e">
        <v>#REF!</v>
      </c>
      <c r="U51" s="636" t="e">
        <v>#REF!</v>
      </c>
      <c r="V51" s="818" t="e">
        <v>#REF!</v>
      </c>
      <c r="W51" s="434"/>
      <c r="X51" s="434"/>
      <c r="Y51" s="434"/>
      <c r="AM51" s="275">
        <v>0.64583333333333337</v>
      </c>
      <c r="AO51" s="632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-518775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17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18"/>
      <c r="W52" s="434"/>
      <c r="X52" s="434"/>
      <c r="Y52" s="434"/>
      <c r="AM52" s="275">
        <v>0.64861111111111114</v>
      </c>
      <c r="AO52" s="632"/>
    </row>
    <row r="55" spans="1:41" x14ac:dyDescent="0.35">
      <c r="L55" s="630">
        <v>0</v>
      </c>
    </row>
    <row r="56" spans="1:41" x14ac:dyDescent="0.35">
      <c r="L56" s="630">
        <v>0</v>
      </c>
    </row>
  </sheetData>
  <mergeCells count="61">
    <mergeCell ref="N3:N4"/>
    <mergeCell ref="V3:V4"/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A5CB0-1470-4157-9A8A-C6C94433BC36}">
  <dimension ref="A1:F20"/>
  <sheetViews>
    <sheetView workbookViewId="0">
      <selection activeCell="F2" sqref="F2"/>
    </sheetView>
  </sheetViews>
  <sheetFormatPr defaultRowHeight="14.5" x14ac:dyDescent="0.35"/>
  <cols>
    <col min="6" max="6" width="12.54296875" customWidth="1"/>
  </cols>
  <sheetData>
    <row r="1" spans="1:6" ht="15" thickBot="1" x14ac:dyDescent="0.4">
      <c r="A1" s="179" t="s">
        <v>3</v>
      </c>
      <c r="B1" s="179" t="s">
        <v>53</v>
      </c>
      <c r="C1" s="179" t="s">
        <v>612</v>
      </c>
    </row>
    <row r="2" spans="1:6" ht="15" thickBot="1" x14ac:dyDescent="0.4">
      <c r="A2" s="86">
        <v>17.934473684210523</v>
      </c>
      <c r="B2" s="86">
        <v>144.42500000000001</v>
      </c>
      <c r="C2">
        <v>11925.35</v>
      </c>
      <c r="F2">
        <f>CORREL(B2:B20,C2:C20)</f>
        <v>0.64929171506978467</v>
      </c>
    </row>
    <row r="3" spans="1:6" ht="15" thickBot="1" x14ac:dyDescent="0.4">
      <c r="A3" s="86">
        <v>16.731842105263159</v>
      </c>
      <c r="B3" s="86">
        <v>122.67741935483868</v>
      </c>
      <c r="C3">
        <v>11915.5</v>
      </c>
      <c r="E3" t="s">
        <v>3</v>
      </c>
      <c r="F3">
        <f>CORREL(A2:A20,C2:C20)</f>
        <v>0.7028494259152297</v>
      </c>
    </row>
    <row r="4" spans="1:6" ht="15" thickBot="1" x14ac:dyDescent="0.4">
      <c r="A4" s="86">
        <v>16.507368421052629</v>
      </c>
      <c r="B4" s="86">
        <v>183.05080645161291</v>
      </c>
      <c r="C4">
        <v>11908</v>
      </c>
    </row>
    <row r="5" spans="1:6" ht="15" thickBot="1" x14ac:dyDescent="0.4">
      <c r="A5" s="86">
        <v>15.655789473684212</v>
      </c>
      <c r="B5" s="86">
        <v>181.96451612903229</v>
      </c>
      <c r="C5">
        <v>11900.75</v>
      </c>
    </row>
    <row r="6" spans="1:6" ht="15" thickBot="1" x14ac:dyDescent="0.4">
      <c r="A6" s="86">
        <v>15.476842105263156</v>
      </c>
      <c r="B6" s="86">
        <v>180.16048387096771</v>
      </c>
      <c r="C6">
        <v>11901.6</v>
      </c>
    </row>
    <row r="7" spans="1:6" ht="15" thickBot="1" x14ac:dyDescent="0.4">
      <c r="A7" s="86">
        <v>17.405526315789476</v>
      </c>
      <c r="B7" s="86">
        <v>162.29032258064524</v>
      </c>
      <c r="C7">
        <v>11917.05</v>
      </c>
    </row>
    <row r="8" spans="1:6" ht="15" thickBot="1" x14ac:dyDescent="0.4">
      <c r="A8" s="86">
        <v>16.377894736842105</v>
      </c>
      <c r="B8" s="86">
        <v>163.70080645161303</v>
      </c>
      <c r="C8">
        <v>11910.25</v>
      </c>
    </row>
    <row r="9" spans="1:6" ht="15" thickBot="1" x14ac:dyDescent="0.4">
      <c r="A9" s="86">
        <v>16.243684210526315</v>
      </c>
      <c r="B9" s="86">
        <v>168.11693548387098</v>
      </c>
      <c r="C9">
        <v>11922.3</v>
      </c>
    </row>
    <row r="10" spans="1:6" ht="15" thickBot="1" x14ac:dyDescent="0.4">
      <c r="A10" s="86">
        <v>15.323421052631577</v>
      </c>
      <c r="B10" s="86">
        <v>169.73790322580649</v>
      </c>
      <c r="C10">
        <v>11916.25</v>
      </c>
    </row>
    <row r="11" spans="1:6" ht="15" thickBot="1" x14ac:dyDescent="0.4">
      <c r="A11" s="86">
        <v>16.022105263157897</v>
      </c>
      <c r="B11" s="86">
        <v>170.87983870967741</v>
      </c>
      <c r="C11">
        <v>11918.85</v>
      </c>
    </row>
    <row r="12" spans="1:6" ht="15" thickBot="1" x14ac:dyDescent="0.4">
      <c r="A12" s="86">
        <v>15.908947368421053</v>
      </c>
      <c r="B12" s="86">
        <v>163.49596774193554</v>
      </c>
      <c r="C12">
        <v>11904.65</v>
      </c>
    </row>
    <row r="13" spans="1:6" ht="15" thickBot="1" x14ac:dyDescent="0.4">
      <c r="A13" s="86">
        <v>16.081052631578945</v>
      </c>
      <c r="B13" s="86">
        <v>163.78709677419363</v>
      </c>
      <c r="C13">
        <v>11908.55</v>
      </c>
    </row>
    <row r="14" spans="1:6" ht="15" thickBot="1" x14ac:dyDescent="0.4">
      <c r="A14" s="86">
        <v>15.924210526315791</v>
      </c>
      <c r="B14" s="86">
        <v>128.80887096774197</v>
      </c>
      <c r="C14">
        <v>11901.95</v>
      </c>
    </row>
    <row r="15" spans="1:6" ht="15" thickBot="1" x14ac:dyDescent="0.4">
      <c r="A15" s="86">
        <v>18.144473684210524</v>
      </c>
      <c r="B15" s="86">
        <v>124.29838709677409</v>
      </c>
      <c r="C15">
        <v>11878.6</v>
      </c>
    </row>
    <row r="16" spans="1:6" ht="15" thickBot="1" x14ac:dyDescent="0.4">
      <c r="A16" s="86">
        <v>17.231052631578947</v>
      </c>
      <c r="B16" s="86">
        <v>124.45564516129028</v>
      </c>
      <c r="C16">
        <v>11881.15</v>
      </c>
    </row>
    <row r="17" spans="1:3" ht="15" thickBot="1" x14ac:dyDescent="0.4">
      <c r="A17" s="86">
        <v>17.119736842105262</v>
      </c>
      <c r="B17" s="86">
        <v>129.99516129032241</v>
      </c>
      <c r="C17">
        <v>11888.95</v>
      </c>
    </row>
    <row r="18" spans="1:3" ht="15" thickBot="1" x14ac:dyDescent="0.4">
      <c r="A18" s="86">
        <v>13.642105263157895</v>
      </c>
      <c r="B18" s="86">
        <v>128.44596774193553</v>
      </c>
      <c r="C18">
        <v>11887.55</v>
      </c>
    </row>
    <row r="19" spans="1:3" ht="15" thickBot="1" x14ac:dyDescent="0.4">
      <c r="A19" s="86">
        <v>0</v>
      </c>
      <c r="B19" s="86">
        <v>127.84112903225801</v>
      </c>
      <c r="C19">
        <v>11864.55</v>
      </c>
    </row>
    <row r="20" spans="1:3" x14ac:dyDescent="0.35">
      <c r="A20" s="86">
        <v>0</v>
      </c>
      <c r="B20" s="86">
        <v>107.87661290322569</v>
      </c>
      <c r="C20">
        <v>11859.3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FF520-9338-4616-B935-D636C9116099}">
  <dimension ref="A1:AS52"/>
  <sheetViews>
    <sheetView workbookViewId="0">
      <selection activeCell="D5" sqref="D5"/>
    </sheetView>
  </sheetViews>
  <sheetFormatPr defaultColWidth="9.1796875" defaultRowHeight="14.5" x14ac:dyDescent="0.35"/>
  <cols>
    <col min="1" max="1" width="9.1796875" style="622"/>
    <col min="2" max="2" width="9.1796875" style="274"/>
    <col min="3" max="3" width="5.453125" style="622" customWidth="1"/>
    <col min="4" max="4" width="8.453125" style="622" customWidth="1"/>
    <col min="5" max="5" width="8.7265625" style="622" customWidth="1"/>
    <col min="6" max="6" width="12.7265625" style="621" customWidth="1"/>
    <col min="7" max="7" width="13" style="621" customWidth="1"/>
    <col min="8" max="9" width="6.453125" style="622" customWidth="1"/>
    <col min="10" max="10" width="10.08984375" style="622" customWidth="1"/>
    <col min="11" max="11" width="8" style="622" customWidth="1"/>
    <col min="12" max="12" width="13.54296875" style="621" customWidth="1"/>
    <col min="13" max="13" width="8.26953125" style="622" customWidth="1"/>
    <col min="14" max="14" width="9.453125" style="622" hidden="1" customWidth="1"/>
    <col min="15" max="15" width="12.453125" style="622" bestFit="1" customWidth="1"/>
    <col min="16" max="18" width="9.1796875" style="622"/>
    <col min="19" max="19" width="5.453125" style="622" hidden="1" customWidth="1"/>
    <col min="20" max="20" width="6.81640625" style="622" hidden="1" customWidth="1"/>
    <col min="21" max="22" width="0" style="622" hidden="1" customWidth="1"/>
    <col min="23" max="25" width="9.1796875" style="622"/>
    <col min="26" max="26" width="9.453125" style="622" customWidth="1"/>
    <col min="27" max="38" width="9.1796875" style="622"/>
    <col min="39" max="40" width="7.90625" style="622" bestFit="1" customWidth="1"/>
    <col min="41" max="41" width="9.6328125" style="622" bestFit="1" customWidth="1"/>
    <col min="42" max="44" width="9.1796875" style="622"/>
    <col min="45" max="45" width="0" style="622" hidden="1" customWidth="1"/>
    <col min="46" max="16384" width="9.1796875" style="622"/>
  </cols>
  <sheetData>
    <row r="1" spans="1:45" ht="14.5" customHeight="1" thickBot="1" x14ac:dyDescent="0.4">
      <c r="A1" s="80"/>
      <c r="B1" s="273"/>
      <c r="C1" s="647" t="s">
        <v>53</v>
      </c>
      <c r="D1" s="643"/>
      <c r="E1" s="537"/>
      <c r="F1" s="537"/>
      <c r="G1" s="537"/>
      <c r="H1" s="626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">
        <v>601</v>
      </c>
      <c r="R1" s="814"/>
      <c r="S1" s="810" t="s">
        <v>87</v>
      </c>
      <c r="T1" s="811"/>
      <c r="U1" s="811"/>
      <c r="V1" s="815"/>
      <c r="W1" s="432"/>
      <c r="X1" s="432"/>
      <c r="Y1" s="432"/>
      <c r="Z1" s="623"/>
      <c r="AA1" s="623"/>
      <c r="AB1" s="623"/>
      <c r="AC1" s="623"/>
      <c r="AD1" s="623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624" t="s">
        <v>530</v>
      </c>
      <c r="D2" s="625" t="s">
        <v>531</v>
      </c>
      <c r="E2" s="625" t="s">
        <v>3</v>
      </c>
      <c r="F2" s="166" t="s">
        <v>35</v>
      </c>
      <c r="G2" s="166" t="s">
        <v>37</v>
      </c>
      <c r="H2" s="626" t="s">
        <v>43</v>
      </c>
      <c r="I2" s="81" t="s">
        <v>88</v>
      </c>
      <c r="J2" s="624" t="s">
        <v>14</v>
      </c>
      <c r="K2" s="625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23"/>
      <c r="AA2" s="623"/>
      <c r="AB2" s="271" t="s">
        <v>97</v>
      </c>
      <c r="AC2" s="272" t="s">
        <v>98</v>
      </c>
      <c r="AD2" s="623"/>
      <c r="AS2" s="623" t="s">
        <v>99</v>
      </c>
    </row>
    <row r="3" spans="1:45" ht="14.5" customHeight="1" thickBot="1" x14ac:dyDescent="0.4">
      <c r="A3" s="530" t="s">
        <v>211</v>
      </c>
      <c r="B3" s="52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532" t="s">
        <v>211</v>
      </c>
      <c r="I3" s="167" t="s">
        <v>211</v>
      </c>
      <c r="J3" s="532" t="s">
        <v>211</v>
      </c>
      <c r="K3" s="167" t="s">
        <v>211</v>
      </c>
      <c r="L3" s="535" t="s">
        <v>211</v>
      </c>
      <c r="M3" s="534" t="s">
        <v>211</v>
      </c>
      <c r="N3" s="816" t="s">
        <v>211</v>
      </c>
      <c r="O3" s="435" t="s">
        <v>211</v>
      </c>
      <c r="P3" s="534" t="s">
        <v>211</v>
      </c>
      <c r="Q3" s="534" t="s">
        <v>211</v>
      </c>
      <c r="R3" s="534" t="s">
        <v>211</v>
      </c>
      <c r="S3" s="88" t="s">
        <v>211</v>
      </c>
      <c r="T3" s="627" t="s">
        <v>211</v>
      </c>
      <c r="U3" s="627" t="s">
        <v>211</v>
      </c>
      <c r="V3" s="818" t="s">
        <v>211</v>
      </c>
      <c r="W3" s="434"/>
      <c r="X3" s="434"/>
      <c r="Y3" s="434"/>
      <c r="Z3" s="623"/>
      <c r="AA3" s="623"/>
      <c r="AB3" s="623"/>
      <c r="AC3" s="623"/>
      <c r="AD3" s="623"/>
      <c r="AL3" s="623" t="s">
        <v>171</v>
      </c>
      <c r="AM3" s="275">
        <v>0.39583333333333331</v>
      </c>
      <c r="AN3" s="89">
        <v>43614.393250000001</v>
      </c>
      <c r="AO3" s="623" t="s">
        <v>364</v>
      </c>
      <c r="AS3" s="623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 t="s">
        <v>211</v>
      </c>
      <c r="G4" s="168" t="s">
        <v>211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17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211</v>
      </c>
      <c r="T4" s="627" t="s">
        <v>211</v>
      </c>
      <c r="U4" s="627" t="s">
        <v>211</v>
      </c>
      <c r="V4" s="818"/>
      <c r="W4" s="434"/>
      <c r="X4" s="434"/>
      <c r="Y4" s="434"/>
      <c r="Z4" s="623"/>
      <c r="AA4" s="623"/>
      <c r="AB4" s="623"/>
      <c r="AC4" s="623"/>
      <c r="AD4" s="623"/>
      <c r="AL4" s="623" t="s">
        <v>172</v>
      </c>
      <c r="AM4" s="275">
        <v>0.39861111111111108</v>
      </c>
      <c r="AN4" s="623"/>
      <c r="AO4" s="623"/>
    </row>
    <row r="5" spans="1:45" ht="14.5" customHeight="1" thickBot="1" x14ac:dyDescent="0.4">
      <c r="A5" s="530" t="s">
        <v>602</v>
      </c>
      <c r="B5" s="528" t="s">
        <v>180</v>
      </c>
      <c r="C5" s="86">
        <v>134.34032258064508</v>
      </c>
      <c r="D5" s="86">
        <v>-8.9833333333333361</v>
      </c>
      <c r="E5" s="86">
        <v>17.637368421052631</v>
      </c>
      <c r="F5" s="167">
        <v>557025</v>
      </c>
      <c r="G5" s="167">
        <v>180627</v>
      </c>
      <c r="H5" s="532" t="s">
        <v>55</v>
      </c>
      <c r="I5" s="167">
        <v>19.05</v>
      </c>
      <c r="J5" s="532">
        <v>12500</v>
      </c>
      <c r="K5" s="167">
        <v>1</v>
      </c>
      <c r="L5" s="535">
        <v>4352325</v>
      </c>
      <c r="M5" s="435">
        <v>11901.5</v>
      </c>
      <c r="N5" s="816">
        <v>11800</v>
      </c>
      <c r="O5" s="435">
        <v>22.150000000000002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27" t="e">
        <v>#REF!</v>
      </c>
      <c r="U5" s="627" t="e">
        <v>#REF!</v>
      </c>
      <c r="V5" s="818" t="e">
        <v>#REF!</v>
      </c>
      <c r="W5" s="434"/>
      <c r="X5" s="434"/>
      <c r="Y5" s="434"/>
      <c r="Z5" s="623"/>
      <c r="AA5" s="623"/>
      <c r="AB5" s="623"/>
      <c r="AC5" s="623"/>
      <c r="AD5" s="623"/>
      <c r="AM5" s="275">
        <v>0.40625</v>
      </c>
      <c r="AN5" s="623"/>
      <c r="AO5" s="623" t="s">
        <v>364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464325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17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27" t="s">
        <v>211</v>
      </c>
      <c r="U6" s="627" t="s">
        <v>211</v>
      </c>
      <c r="V6" s="818"/>
      <c r="W6" s="434"/>
      <c r="X6" s="434"/>
      <c r="Y6" s="434"/>
      <c r="Z6" s="623"/>
      <c r="AA6" s="623"/>
      <c r="AB6" s="623"/>
      <c r="AC6" s="623"/>
      <c r="AD6" s="623"/>
      <c r="AM6" s="275">
        <v>0.40902777777777777</v>
      </c>
      <c r="AN6" s="623"/>
      <c r="AO6" s="623"/>
    </row>
    <row r="7" spans="1:45" ht="14.5" customHeight="1" thickBot="1" x14ac:dyDescent="0.4">
      <c r="A7" s="530" t="s">
        <v>209</v>
      </c>
      <c r="B7" s="528" t="s">
        <v>180</v>
      </c>
      <c r="C7" s="86">
        <v>173.85806451612905</v>
      </c>
      <c r="D7" s="86">
        <v>-4.4083333333333332</v>
      </c>
      <c r="E7" s="86">
        <v>17.150789473684206</v>
      </c>
      <c r="F7" s="167">
        <v>655425</v>
      </c>
      <c r="G7" s="167">
        <v>180627</v>
      </c>
      <c r="H7" s="532" t="s">
        <v>55</v>
      </c>
      <c r="I7" s="167">
        <v>18.61</v>
      </c>
      <c r="J7" s="532">
        <v>12500</v>
      </c>
      <c r="K7" s="167">
        <v>1.05</v>
      </c>
      <c r="L7" s="535">
        <v>4449000</v>
      </c>
      <c r="M7" s="534">
        <v>11914.1</v>
      </c>
      <c r="N7" s="816">
        <v>11800</v>
      </c>
      <c r="O7" s="435">
        <v>19.733333333333331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27" t="e">
        <v>#REF!</v>
      </c>
      <c r="U7" s="627" t="e">
        <v>#REF!</v>
      </c>
      <c r="V7" s="818" t="e">
        <v>#REF!</v>
      </c>
      <c r="W7" s="434"/>
      <c r="X7" s="434"/>
      <c r="Y7" s="434"/>
      <c r="Z7" s="623"/>
      <c r="AA7" s="623"/>
      <c r="AB7" s="623"/>
      <c r="AC7" s="623"/>
      <c r="AD7" s="623"/>
      <c r="AM7" s="275">
        <v>0.41666666666666669</v>
      </c>
      <c r="AN7" s="623"/>
      <c r="AO7" s="623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558750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17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27" t="s">
        <v>211</v>
      </c>
      <c r="U8" s="627" t="s">
        <v>211</v>
      </c>
      <c r="V8" s="818"/>
      <c r="W8" s="434"/>
      <c r="X8" s="434"/>
      <c r="Y8" s="434"/>
      <c r="Z8" s="623"/>
      <c r="AA8" s="623"/>
      <c r="AB8" s="623"/>
      <c r="AC8" s="623"/>
      <c r="AD8" s="623"/>
      <c r="AM8" s="275">
        <v>0.41944444444444445</v>
      </c>
      <c r="AN8" s="623"/>
      <c r="AO8" s="623"/>
    </row>
    <row r="9" spans="1:45" ht="14.5" customHeight="1" thickBot="1" x14ac:dyDescent="0.4">
      <c r="A9" s="530" t="s">
        <v>423</v>
      </c>
      <c r="B9" s="528" t="s">
        <v>180</v>
      </c>
      <c r="C9" s="86">
        <v>127.47903225806445</v>
      </c>
      <c r="D9" s="86">
        <v>-8.1083333333333361</v>
      </c>
      <c r="E9" s="86">
        <v>17.751842105263158</v>
      </c>
      <c r="F9" s="167">
        <v>726975</v>
      </c>
      <c r="G9" s="167">
        <v>180627</v>
      </c>
      <c r="H9" s="532" t="s">
        <v>55</v>
      </c>
      <c r="I9" s="167">
        <v>18.79</v>
      </c>
      <c r="J9" s="532">
        <v>12500</v>
      </c>
      <c r="K9" s="167">
        <v>0.95</v>
      </c>
      <c r="L9" s="535">
        <v>4466250</v>
      </c>
      <c r="M9" s="534">
        <v>11897.75</v>
      </c>
      <c r="N9" s="816">
        <v>11800</v>
      </c>
      <c r="O9" s="435">
        <v>21.650000000000002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27" t="e">
        <v>#REF!</v>
      </c>
      <c r="U9" s="627" t="e">
        <v>#REF!</v>
      </c>
      <c r="V9" s="818" t="e">
        <v>#REF!</v>
      </c>
      <c r="W9" s="434"/>
      <c r="X9" s="434"/>
      <c r="Y9" s="434"/>
      <c r="Z9" s="623"/>
      <c r="AA9" s="623"/>
      <c r="AB9" s="718" t="s">
        <v>165</v>
      </c>
      <c r="AC9" s="719"/>
      <c r="AD9" s="719"/>
      <c r="AM9" s="275">
        <v>0.42708333333333331</v>
      </c>
      <c r="AN9" s="623"/>
      <c r="AO9" s="623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604875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17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27" t="s">
        <v>211</v>
      </c>
      <c r="U10" s="627" t="s">
        <v>211</v>
      </c>
      <c r="V10" s="818"/>
      <c r="W10" s="434"/>
      <c r="X10" s="434"/>
      <c r="Y10" s="434"/>
      <c r="Z10" s="623"/>
      <c r="AA10" s="623"/>
      <c r="AB10" s="718" t="s">
        <v>365</v>
      </c>
      <c r="AC10" s="719"/>
      <c r="AD10" s="719"/>
      <c r="AM10" s="275">
        <v>0.42986111111111108</v>
      </c>
      <c r="AN10" s="623"/>
      <c r="AO10" s="623"/>
    </row>
    <row r="11" spans="1:45" ht="14.5" customHeight="1" thickBot="1" x14ac:dyDescent="0.4">
      <c r="A11" s="530" t="s">
        <v>342</v>
      </c>
      <c r="B11" s="528" t="s">
        <v>180</v>
      </c>
      <c r="C11" s="86">
        <v>149.61370967741925</v>
      </c>
      <c r="D11" s="86">
        <v>-3.8583333333333325</v>
      </c>
      <c r="E11" s="86">
        <v>16.54921052631579</v>
      </c>
      <c r="F11" s="167">
        <v>818775</v>
      </c>
      <c r="G11" s="167">
        <v>180627</v>
      </c>
      <c r="H11" s="532" t="s">
        <v>55</v>
      </c>
      <c r="I11" s="167">
        <v>18.37</v>
      </c>
      <c r="J11" s="532">
        <v>12000</v>
      </c>
      <c r="K11" s="167">
        <v>34.85</v>
      </c>
      <c r="L11" s="535">
        <v>4531425</v>
      </c>
      <c r="M11" s="534">
        <v>11921.7</v>
      </c>
      <c r="N11" s="816">
        <v>11800</v>
      </c>
      <c r="O11" s="435">
        <v>19.841666666666665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27" t="e">
        <v>#REF!</v>
      </c>
      <c r="U11" s="627" t="e">
        <v>#REF!</v>
      </c>
      <c r="V11" s="818" t="e">
        <v>#REF!</v>
      </c>
      <c r="W11" s="434"/>
      <c r="X11" s="434"/>
      <c r="Y11" s="434"/>
      <c r="Z11" s="623"/>
      <c r="AA11" s="623"/>
      <c r="AB11" s="718" t="s">
        <v>366</v>
      </c>
      <c r="AC11" s="718"/>
      <c r="AD11" s="718"/>
      <c r="AM11" s="275">
        <v>0.4375</v>
      </c>
      <c r="AN11" s="623"/>
      <c r="AO11" s="623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605625</v>
      </c>
      <c r="G12" s="168">
        <v>91578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17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27" t="s">
        <v>211</v>
      </c>
      <c r="U12" s="627" t="s">
        <v>211</v>
      </c>
      <c r="V12" s="818"/>
      <c r="W12" s="434"/>
      <c r="X12" s="434"/>
      <c r="Y12" s="434"/>
      <c r="Z12" s="623"/>
      <c r="AA12" s="623"/>
      <c r="AB12" s="718" t="s">
        <v>167</v>
      </c>
      <c r="AC12" s="718"/>
      <c r="AD12" s="718"/>
      <c r="AM12" s="275">
        <v>0.44027777777777777</v>
      </c>
      <c r="AN12" s="623"/>
      <c r="AO12" s="623"/>
    </row>
    <row r="13" spans="1:45" ht="14.5" customHeight="1" thickBot="1" x14ac:dyDescent="0.4">
      <c r="A13" s="530" t="s">
        <v>410</v>
      </c>
      <c r="B13" s="528" t="s">
        <v>180</v>
      </c>
      <c r="C13" s="86">
        <v>176.02499999999992</v>
      </c>
      <c r="D13" s="86">
        <v>-2.8000000000000007</v>
      </c>
      <c r="E13" s="86">
        <v>15.16026315789474</v>
      </c>
      <c r="F13" s="167">
        <v>827550</v>
      </c>
      <c r="G13" s="167">
        <v>108806</v>
      </c>
      <c r="H13" s="532" t="s">
        <v>55</v>
      </c>
      <c r="I13" s="167">
        <v>18.43</v>
      </c>
      <c r="J13" s="532">
        <v>12000</v>
      </c>
      <c r="K13" s="167">
        <v>35.6</v>
      </c>
      <c r="L13" s="535">
        <v>4540200</v>
      </c>
      <c r="M13" s="534">
        <v>11921.85</v>
      </c>
      <c r="N13" s="816">
        <v>11800</v>
      </c>
      <c r="O13" s="435">
        <v>18.958333333333332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627" t="e">
        <v>#REF!</v>
      </c>
      <c r="U13" s="627" t="e">
        <v>#REF!</v>
      </c>
      <c r="V13" s="818" t="e">
        <v>#REF!</v>
      </c>
      <c r="W13" s="434"/>
      <c r="X13" s="434"/>
      <c r="Y13" s="434"/>
      <c r="Z13" s="623"/>
      <c r="AA13" s="623"/>
      <c r="AB13" s="718" t="s">
        <v>168</v>
      </c>
      <c r="AC13" s="718"/>
      <c r="AD13" s="718"/>
      <c r="AM13" s="275">
        <v>0.44791666666666669</v>
      </c>
      <c r="AN13" s="623"/>
      <c r="AO13" s="623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678825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17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627" t="s">
        <v>211</v>
      </c>
      <c r="U14" s="627" t="s">
        <v>211</v>
      </c>
      <c r="V14" s="818"/>
      <c r="W14" s="434"/>
      <c r="X14" s="434"/>
      <c r="Y14" s="434"/>
      <c r="AM14" s="275">
        <v>0.45069444444444445</v>
      </c>
      <c r="AN14" s="623"/>
      <c r="AO14" s="623"/>
    </row>
    <row r="15" spans="1:45" ht="14.5" customHeight="1" thickBot="1" x14ac:dyDescent="0.4">
      <c r="A15" s="530" t="s">
        <v>603</v>
      </c>
      <c r="B15" s="528" t="s">
        <v>180</v>
      </c>
      <c r="C15" s="86">
        <v>177.54274193548372</v>
      </c>
      <c r="D15" s="86">
        <v>-1.8833333333333329</v>
      </c>
      <c r="E15" s="86">
        <v>16.387368421052628</v>
      </c>
      <c r="F15" s="167">
        <v>826875</v>
      </c>
      <c r="G15" s="167">
        <v>113453</v>
      </c>
      <c r="H15" s="532" t="s">
        <v>55</v>
      </c>
      <c r="I15" s="167">
        <v>19.100000000000001</v>
      </c>
      <c r="J15" s="532">
        <v>12000</v>
      </c>
      <c r="K15" s="167">
        <v>36.25</v>
      </c>
      <c r="L15" s="535">
        <v>4539525</v>
      </c>
      <c r="M15" s="534">
        <v>11919.8</v>
      </c>
      <c r="N15" s="816">
        <v>11800</v>
      </c>
      <c r="O15" s="435">
        <v>18.366666666666664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27" t="e">
        <v>#REF!</v>
      </c>
      <c r="U15" s="627" t="e">
        <v>#REF!</v>
      </c>
      <c r="V15" s="818" t="e">
        <v>#REF!</v>
      </c>
      <c r="W15" s="434"/>
      <c r="X15" s="434"/>
      <c r="Y15" s="434"/>
      <c r="AM15" s="275">
        <v>0.45833333333333331</v>
      </c>
      <c r="AN15" s="623"/>
      <c r="AO15" s="623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704250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17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27" t="s">
        <v>211</v>
      </c>
      <c r="U16" s="627" t="s">
        <v>211</v>
      </c>
      <c r="V16" s="818"/>
      <c r="W16" s="434"/>
      <c r="X16" s="434"/>
      <c r="Y16" s="434"/>
      <c r="AM16" s="275">
        <v>0.46111111111111108</v>
      </c>
      <c r="AN16" s="623"/>
      <c r="AO16" s="623"/>
    </row>
    <row r="17" spans="1:41" ht="14.5" customHeight="1" thickBot="1" x14ac:dyDescent="0.4">
      <c r="A17" s="530" t="s">
        <v>604</v>
      </c>
      <c r="B17" s="528" t="s">
        <v>180</v>
      </c>
      <c r="C17" s="86">
        <v>173.36451612903207</v>
      </c>
      <c r="D17" s="86">
        <v>-1.0749999999999993</v>
      </c>
      <c r="E17" s="86">
        <v>17.346052631578946</v>
      </c>
      <c r="F17" s="167">
        <v>748950</v>
      </c>
      <c r="G17" s="167">
        <v>126528</v>
      </c>
      <c r="H17" s="532" t="s">
        <v>55</v>
      </c>
      <c r="I17" s="167">
        <v>19.09</v>
      </c>
      <c r="J17" s="532">
        <v>12000</v>
      </c>
      <c r="K17" s="167">
        <v>36.85</v>
      </c>
      <c r="L17" s="535">
        <v>4461600</v>
      </c>
      <c r="M17" s="534">
        <v>11919.3</v>
      </c>
      <c r="N17" s="816">
        <v>11800</v>
      </c>
      <c r="O17" s="435">
        <v>17.708333333333332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27" t="e">
        <v>#REF!</v>
      </c>
      <c r="U17" s="627" t="e">
        <v>#REF!</v>
      </c>
      <c r="V17" s="818" t="e">
        <v>#REF!</v>
      </c>
      <c r="W17" s="434"/>
      <c r="X17" s="434"/>
      <c r="Y17" s="434"/>
      <c r="AM17" s="275">
        <v>0.46875</v>
      </c>
      <c r="AN17" s="623"/>
      <c r="AO17" s="623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740175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17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27" t="s">
        <v>211</v>
      </c>
      <c r="U18" s="627" t="s">
        <v>211</v>
      </c>
      <c r="V18" s="818"/>
      <c r="W18" s="434"/>
      <c r="X18" s="434"/>
      <c r="Y18" s="434"/>
      <c r="AM18" s="275">
        <v>0.47152777777777777</v>
      </c>
      <c r="AN18" s="623"/>
      <c r="AO18" s="623"/>
    </row>
    <row r="19" spans="1:41" ht="14.5" customHeight="1" thickBot="1" x14ac:dyDescent="0.4">
      <c r="A19" s="530" t="s">
        <v>216</v>
      </c>
      <c r="B19" s="528" t="s">
        <v>180</v>
      </c>
      <c r="C19" s="86">
        <v>173.39032258064515</v>
      </c>
      <c r="D19" s="86">
        <v>-0.45000000000000284</v>
      </c>
      <c r="E19" s="86">
        <v>17.033157894736846</v>
      </c>
      <c r="F19" s="167">
        <v>760725</v>
      </c>
      <c r="G19" s="167">
        <v>134602</v>
      </c>
      <c r="H19" s="532" t="s">
        <v>61</v>
      </c>
      <c r="I19" s="167">
        <v>18.989999999999998</v>
      </c>
      <c r="J19" s="532">
        <v>12000</v>
      </c>
      <c r="K19" s="167">
        <v>37.6</v>
      </c>
      <c r="L19" s="535">
        <v>4473375</v>
      </c>
      <c r="M19" s="534">
        <v>11920.3</v>
      </c>
      <c r="N19" s="816">
        <v>11850</v>
      </c>
      <c r="O19" s="435">
        <v>17.308333333333334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27" t="e">
        <v>#REF!</v>
      </c>
      <c r="U19" s="627" t="e">
        <v>#REF!</v>
      </c>
      <c r="V19" s="818" t="e">
        <v>#REF!</v>
      </c>
      <c r="W19" s="434"/>
      <c r="X19" s="434"/>
      <c r="Y19" s="434"/>
      <c r="AM19" s="275">
        <v>0.47916666666666669</v>
      </c>
      <c r="AN19" s="623"/>
      <c r="AO19" s="623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777975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17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27" t="s">
        <v>211</v>
      </c>
      <c r="U20" s="627" t="s">
        <v>211</v>
      </c>
      <c r="V20" s="818"/>
      <c r="W20" s="434"/>
      <c r="X20" s="434"/>
      <c r="Y20" s="434"/>
      <c r="AM20" s="275">
        <v>0.48194444444444445</v>
      </c>
      <c r="AN20" s="623"/>
      <c r="AO20" s="623"/>
    </row>
    <row r="21" spans="1:41" ht="14.5" customHeight="1" thickBot="1" x14ac:dyDescent="0.4">
      <c r="A21" s="530" t="s">
        <v>211</v>
      </c>
      <c r="B21" s="528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532" t="s">
        <v>211</v>
      </c>
      <c r="I21" s="167" t="s">
        <v>211</v>
      </c>
      <c r="J21" s="532" t="s">
        <v>211</v>
      </c>
      <c r="K21" s="167" t="s">
        <v>211</v>
      </c>
      <c r="L21" s="535" t="s">
        <v>211</v>
      </c>
      <c r="M21" s="534" t="s">
        <v>211</v>
      </c>
      <c r="N21" s="816" t="s">
        <v>211</v>
      </c>
      <c r="O21" s="435" t="s">
        <v>211</v>
      </c>
      <c r="P21" s="534" t="s">
        <v>211</v>
      </c>
      <c r="Q21" s="534" t="s">
        <v>211</v>
      </c>
      <c r="R21" s="534" t="s">
        <v>211</v>
      </c>
      <c r="S21" s="88" t="s">
        <v>211</v>
      </c>
      <c r="T21" s="627" t="s">
        <v>211</v>
      </c>
      <c r="U21" s="627" t="s">
        <v>211</v>
      </c>
      <c r="V21" s="818" t="s">
        <v>211</v>
      </c>
      <c r="W21" s="434"/>
      <c r="X21" s="434"/>
      <c r="Y21" s="434"/>
      <c r="AM21" s="275">
        <v>0.48958333333333331</v>
      </c>
      <c r="AN21" s="623"/>
      <c r="AO21" s="623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 t="s">
        <v>211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17"/>
      <c r="O22" s="435" t="s">
        <v>211</v>
      </c>
      <c r="P22" s="534" t="s">
        <v>211</v>
      </c>
      <c r="Q22" s="534" t="s">
        <v>211</v>
      </c>
      <c r="R22" s="534" t="s">
        <v>211</v>
      </c>
      <c r="S22" s="92" t="s">
        <v>211</v>
      </c>
      <c r="T22" s="627" t="s">
        <v>211</v>
      </c>
      <c r="U22" s="627" t="s">
        <v>211</v>
      </c>
      <c r="V22" s="818"/>
      <c r="W22" s="434"/>
      <c r="X22" s="434"/>
      <c r="Y22" s="434"/>
      <c r="AM22" s="275">
        <v>0.49236111111111108</v>
      </c>
      <c r="AN22" s="623"/>
      <c r="AO22" s="623"/>
    </row>
    <row r="23" spans="1:41" ht="14.5" customHeight="1" thickBot="1" x14ac:dyDescent="0.4">
      <c r="A23" s="530" t="s">
        <v>211</v>
      </c>
      <c r="B23" s="528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532" t="s">
        <v>211</v>
      </c>
      <c r="I23" s="167" t="s">
        <v>211</v>
      </c>
      <c r="J23" s="532" t="s">
        <v>211</v>
      </c>
      <c r="K23" s="167" t="s">
        <v>211</v>
      </c>
      <c r="L23" s="535" t="s">
        <v>211</v>
      </c>
      <c r="M23" s="534" t="s">
        <v>211</v>
      </c>
      <c r="N23" s="816" t="s">
        <v>211</v>
      </c>
      <c r="O23" s="435" t="s">
        <v>211</v>
      </c>
      <c r="P23" s="534" t="s">
        <v>211</v>
      </c>
      <c r="Q23" s="534" t="s">
        <v>211</v>
      </c>
      <c r="R23" s="534" t="s">
        <v>211</v>
      </c>
      <c r="S23" s="88" t="s">
        <v>211</v>
      </c>
      <c r="T23" s="627" t="s">
        <v>211</v>
      </c>
      <c r="U23" s="627" t="s">
        <v>211</v>
      </c>
      <c r="V23" s="818" t="s">
        <v>211</v>
      </c>
      <c r="W23" s="434"/>
      <c r="X23" s="434"/>
      <c r="Y23" s="434"/>
      <c r="AM23" s="275">
        <v>0.5</v>
      </c>
      <c r="AN23" s="623"/>
      <c r="AO23" s="623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 t="s">
        <v>211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17"/>
      <c r="O24" s="435" t="s">
        <v>211</v>
      </c>
      <c r="P24" s="534" t="s">
        <v>211</v>
      </c>
      <c r="Q24" s="534" t="s">
        <v>211</v>
      </c>
      <c r="R24" s="534" t="s">
        <v>211</v>
      </c>
      <c r="S24" s="92" t="s">
        <v>211</v>
      </c>
      <c r="T24" s="627" t="s">
        <v>211</v>
      </c>
      <c r="U24" s="627" t="s">
        <v>211</v>
      </c>
      <c r="V24" s="818"/>
      <c r="W24" s="434"/>
      <c r="X24" s="434"/>
      <c r="Y24" s="434"/>
      <c r="AM24" s="275">
        <v>0.50277777777777777</v>
      </c>
      <c r="AN24" s="623"/>
      <c r="AO24" s="623"/>
    </row>
    <row r="25" spans="1:41" ht="14.5" customHeight="1" thickBot="1" x14ac:dyDescent="0.4">
      <c r="A25" s="530" t="s">
        <v>605</v>
      </c>
      <c r="B25" s="528" t="s">
        <v>180</v>
      </c>
      <c r="C25" s="86">
        <v>155.32499999999993</v>
      </c>
      <c r="D25" s="86">
        <v>-4.7249999999999996</v>
      </c>
      <c r="E25" s="86">
        <v>16.858947368421056</v>
      </c>
      <c r="F25" s="167">
        <v>862950</v>
      </c>
      <c r="G25" s="167">
        <v>165319</v>
      </c>
      <c r="H25" s="532" t="s">
        <v>55</v>
      </c>
      <c r="I25" s="167">
        <v>18.96</v>
      </c>
      <c r="J25" s="532">
        <v>12000</v>
      </c>
      <c r="K25" s="167">
        <v>31.3</v>
      </c>
      <c r="L25" s="535">
        <v>4575600</v>
      </c>
      <c r="M25" s="534">
        <v>11907.8</v>
      </c>
      <c r="N25" s="816">
        <v>11850</v>
      </c>
      <c r="O25" s="435">
        <v>19.083333333333332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627" t="e">
        <v>#REF!</v>
      </c>
      <c r="U25" s="627" t="e">
        <v>#REF!</v>
      </c>
      <c r="V25" s="818" t="e">
        <v>#REF!</v>
      </c>
      <c r="W25" s="434"/>
      <c r="X25" s="434"/>
      <c r="Y25" s="434"/>
      <c r="AM25" s="275">
        <v>0.51041666666666663</v>
      </c>
      <c r="AN25" s="623"/>
      <c r="AO25" s="623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>
        <v>771750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17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627" t="s">
        <v>211</v>
      </c>
      <c r="U26" s="627" t="s">
        <v>211</v>
      </c>
      <c r="V26" s="818"/>
      <c r="W26" s="434"/>
      <c r="X26" s="434"/>
      <c r="Y26" s="434"/>
      <c r="AM26" s="275">
        <v>0.5131944444444444</v>
      </c>
      <c r="AN26" s="623"/>
      <c r="AO26" s="623"/>
    </row>
    <row r="27" spans="1:41" ht="14.5" customHeight="1" thickBot="1" x14ac:dyDescent="0.4">
      <c r="A27" s="530" t="s">
        <v>606</v>
      </c>
      <c r="B27" s="528" t="s">
        <v>180</v>
      </c>
      <c r="C27" s="86">
        <v>154.46370967741922</v>
      </c>
      <c r="D27" s="86">
        <v>-3.93333333333333</v>
      </c>
      <c r="E27" s="86">
        <v>17.272368421052633</v>
      </c>
      <c r="F27" s="167">
        <v>877650</v>
      </c>
      <c r="G27" s="167">
        <v>171255</v>
      </c>
      <c r="H27" s="532" t="s">
        <v>55</v>
      </c>
      <c r="I27" s="167">
        <v>18.09</v>
      </c>
      <c r="J27" s="532">
        <v>12000</v>
      </c>
      <c r="K27" s="167">
        <v>31.1</v>
      </c>
      <c r="L27" s="535">
        <v>4590300</v>
      </c>
      <c r="M27" s="534">
        <v>11916.5</v>
      </c>
      <c r="N27" s="816">
        <v>11850</v>
      </c>
      <c r="O27" s="435">
        <v>18.283333333333331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627" t="e">
        <v>#REF!</v>
      </c>
      <c r="U27" s="627" t="e">
        <v>#REF!</v>
      </c>
      <c r="V27" s="818" t="e">
        <v>#REF!</v>
      </c>
      <c r="W27" s="434"/>
      <c r="X27" s="434"/>
      <c r="Y27" s="434"/>
      <c r="AM27" s="275">
        <v>0.52083333333333337</v>
      </c>
      <c r="AN27" s="623"/>
      <c r="AO27" s="623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>
        <v>794100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17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627" t="s">
        <v>211</v>
      </c>
      <c r="U28" s="627" t="s">
        <v>211</v>
      </c>
      <c r="V28" s="818"/>
      <c r="W28" s="434"/>
      <c r="X28" s="434"/>
      <c r="Y28" s="434"/>
      <c r="AM28" s="275">
        <v>0.52361111111111114</v>
      </c>
      <c r="AN28" s="623"/>
      <c r="AO28" s="623"/>
    </row>
    <row r="29" spans="1:41" ht="15" customHeight="1" thickBot="1" x14ac:dyDescent="0.4">
      <c r="A29" s="530" t="s">
        <v>607</v>
      </c>
      <c r="B29" s="528" t="s">
        <v>180</v>
      </c>
      <c r="C29" s="86">
        <v>145.09596774193534</v>
      </c>
      <c r="D29" s="86">
        <v>-8.8416666666666668</v>
      </c>
      <c r="E29" s="86">
        <v>16.111842105263158</v>
      </c>
      <c r="F29" s="167">
        <v>912675</v>
      </c>
      <c r="G29" s="167">
        <v>188156</v>
      </c>
      <c r="H29" s="532" t="s">
        <v>55</v>
      </c>
      <c r="I29" s="167">
        <v>18.399999999999999</v>
      </c>
      <c r="J29" s="532">
        <v>12000</v>
      </c>
      <c r="K29" s="167">
        <v>26.3</v>
      </c>
      <c r="L29" s="535">
        <v>4625325</v>
      </c>
      <c r="M29" s="534">
        <v>11888.4</v>
      </c>
      <c r="N29" s="816">
        <v>11800</v>
      </c>
      <c r="O29" s="435">
        <v>21.275000000000002</v>
      </c>
      <c r="P29" s="534" t="s">
        <v>211</v>
      </c>
      <c r="Q29" s="534" t="s">
        <v>211</v>
      </c>
      <c r="R29" s="534" t="s">
        <v>211</v>
      </c>
      <c r="S29" s="88" t="e">
        <v>#REF!</v>
      </c>
      <c r="T29" s="627" t="e">
        <v>#REF!</v>
      </c>
      <c r="U29" s="627" t="e">
        <v>#REF!</v>
      </c>
      <c r="V29" s="818" t="e">
        <v>#REF!</v>
      </c>
      <c r="W29" s="434"/>
      <c r="X29" s="434"/>
      <c r="Y29" s="434"/>
      <c r="AM29" s="275">
        <v>0.53125</v>
      </c>
      <c r="AO29" s="623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>
        <v>693525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17"/>
      <c r="O30" s="435" t="s">
        <v>211</v>
      </c>
      <c r="P30" s="534" t="s">
        <v>211</v>
      </c>
      <c r="Q30" s="534" t="s">
        <v>211</v>
      </c>
      <c r="R30" s="534" t="s">
        <v>211</v>
      </c>
      <c r="S30" s="92" t="e">
        <v>#REF!</v>
      </c>
      <c r="T30" s="627" t="s">
        <v>211</v>
      </c>
      <c r="U30" s="627" t="s">
        <v>211</v>
      </c>
      <c r="V30" s="818"/>
      <c r="W30" s="434"/>
      <c r="X30" s="434"/>
      <c r="Y30" s="434"/>
      <c r="AM30" s="275">
        <v>0.53402777777777777</v>
      </c>
      <c r="AO30" s="623"/>
    </row>
    <row r="31" spans="1:41" ht="15" customHeight="1" thickBot="1" x14ac:dyDescent="0.4">
      <c r="A31" s="530" t="s">
        <v>608</v>
      </c>
      <c r="B31" s="528" t="s">
        <v>180</v>
      </c>
      <c r="C31" s="86">
        <v>147.54516129032251</v>
      </c>
      <c r="D31" s="86">
        <v>-6.5500000000000025</v>
      </c>
      <c r="E31" s="86">
        <v>16.229736842105261</v>
      </c>
      <c r="F31" s="167">
        <v>1037250</v>
      </c>
      <c r="G31" s="167">
        <v>216348</v>
      </c>
      <c r="H31" s="532" t="s">
        <v>55</v>
      </c>
      <c r="I31" s="167">
        <v>17.399999999999999</v>
      </c>
      <c r="J31" s="532">
        <v>12000</v>
      </c>
      <c r="K31" s="167">
        <v>25.65</v>
      </c>
      <c r="L31" s="535">
        <v>4749900</v>
      </c>
      <c r="M31" s="534">
        <v>11887.15</v>
      </c>
      <c r="N31" s="816">
        <v>11800</v>
      </c>
      <c r="O31" s="435">
        <v>19.400000000000002</v>
      </c>
      <c r="P31" s="534" t="s">
        <v>211</v>
      </c>
      <c r="Q31" s="534" t="s">
        <v>211</v>
      </c>
      <c r="R31" s="534" t="s">
        <v>211</v>
      </c>
      <c r="S31" s="88" t="e">
        <v>#REF!</v>
      </c>
      <c r="T31" s="627" t="e">
        <v>#REF!</v>
      </c>
      <c r="U31" s="627" t="e">
        <v>#REF!</v>
      </c>
      <c r="V31" s="818" t="e">
        <v>#REF!</v>
      </c>
      <c r="W31" s="434"/>
      <c r="X31" s="434"/>
      <c r="Y31" s="434"/>
      <c r="AM31" s="275">
        <v>0.54166666666666663</v>
      </c>
      <c r="AO31" s="623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>
        <v>572025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17"/>
      <c r="O32" s="435" t="s">
        <v>211</v>
      </c>
      <c r="P32" s="534" t="s">
        <v>211</v>
      </c>
      <c r="Q32" s="534" t="s">
        <v>211</v>
      </c>
      <c r="R32" s="534" t="s">
        <v>211</v>
      </c>
      <c r="S32" s="92" t="e">
        <v>#REF!</v>
      </c>
      <c r="T32" s="627" t="s">
        <v>211</v>
      </c>
      <c r="U32" s="627" t="s">
        <v>211</v>
      </c>
      <c r="V32" s="818"/>
      <c r="W32" s="434"/>
      <c r="X32" s="434"/>
      <c r="Y32" s="434"/>
      <c r="AM32" s="275">
        <v>0.5444444444444444</v>
      </c>
      <c r="AO32" s="623"/>
    </row>
    <row r="33" spans="1:41" ht="15" customHeight="1" thickBot="1" x14ac:dyDescent="0.4">
      <c r="A33" s="530" t="s">
        <v>609</v>
      </c>
      <c r="B33" s="528" t="s">
        <v>180</v>
      </c>
      <c r="C33" s="86">
        <v>155.78790322580633</v>
      </c>
      <c r="D33" s="86">
        <v>-1.608333333333329</v>
      </c>
      <c r="E33" s="86">
        <v>15.91421052631579</v>
      </c>
      <c r="F33" s="167">
        <v>1005975</v>
      </c>
      <c r="G33" s="167">
        <v>232182</v>
      </c>
      <c r="H33" s="532" t="s">
        <v>55</v>
      </c>
      <c r="I33" s="167">
        <v>17.420000000000002</v>
      </c>
      <c r="J33" s="532">
        <v>12000</v>
      </c>
      <c r="K33" s="167">
        <v>31.95</v>
      </c>
      <c r="L33" s="535">
        <v>4718625</v>
      </c>
      <c r="M33" s="534">
        <v>11918.5</v>
      </c>
      <c r="N33" s="816">
        <v>11800</v>
      </c>
      <c r="O33" s="435">
        <v>16.899999999999999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627" t="e">
        <v>#REF!</v>
      </c>
      <c r="U33" s="627" t="e">
        <v>#REF!</v>
      </c>
      <c r="V33" s="818" t="e">
        <v>#REF!</v>
      </c>
      <c r="W33" s="434"/>
      <c r="X33" s="434"/>
      <c r="Y33" s="434"/>
      <c r="AM33" s="275">
        <v>0.55208333333333337</v>
      </c>
      <c r="AO33" s="623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601875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17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627" t="s">
        <v>211</v>
      </c>
      <c r="U34" s="627" t="s">
        <v>211</v>
      </c>
      <c r="V34" s="818"/>
      <c r="W34" s="434"/>
      <c r="X34" s="434"/>
      <c r="Y34" s="434"/>
      <c r="AM34" s="275">
        <v>0.55486111111111114</v>
      </c>
      <c r="AO34" s="623"/>
    </row>
    <row r="35" spans="1:41" ht="15" customHeight="1" thickBot="1" x14ac:dyDescent="0.4">
      <c r="A35" s="530" t="s">
        <v>610</v>
      </c>
      <c r="B35" s="528" t="s">
        <v>180</v>
      </c>
      <c r="C35" s="86">
        <v>156.40241935483874</v>
      </c>
      <c r="D35" s="86">
        <v>-1.483333333333329</v>
      </c>
      <c r="E35" s="86">
        <v>16.331842105263156</v>
      </c>
      <c r="F35" s="167">
        <v>990750</v>
      </c>
      <c r="G35" s="167">
        <v>246432</v>
      </c>
      <c r="H35" s="532" t="s">
        <v>55</v>
      </c>
      <c r="I35" s="167">
        <v>17.489999999999998</v>
      </c>
      <c r="J35" s="532">
        <v>12000</v>
      </c>
      <c r="K35" s="167">
        <v>31.5</v>
      </c>
      <c r="L35" s="535">
        <v>4703400</v>
      </c>
      <c r="M35" s="534">
        <v>11919.5</v>
      </c>
      <c r="N35" s="816">
        <v>11800</v>
      </c>
      <c r="O35" s="435">
        <v>16.483333333333331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627" t="e">
        <v>#REF!</v>
      </c>
      <c r="U35" s="627" t="e">
        <v>#REF!</v>
      </c>
      <c r="V35" s="818" t="e">
        <v>#REF!</v>
      </c>
      <c r="W35" s="434"/>
      <c r="X35" s="434"/>
      <c r="Y35" s="434"/>
      <c r="AM35" s="275">
        <v>0.5625</v>
      </c>
      <c r="AO35" s="623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677925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17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627" t="s">
        <v>211</v>
      </c>
      <c r="U36" s="627" t="s">
        <v>211</v>
      </c>
      <c r="V36" s="818"/>
      <c r="W36" s="434"/>
      <c r="X36" s="434"/>
      <c r="Y36" s="434"/>
      <c r="AM36" s="275">
        <v>0.56527777777777777</v>
      </c>
      <c r="AO36" s="623"/>
    </row>
    <row r="37" spans="1:41" ht="15" customHeight="1" thickBot="1" x14ac:dyDescent="0.4">
      <c r="A37" s="530" t="s">
        <v>558</v>
      </c>
      <c r="B37" s="528" t="s">
        <v>180</v>
      </c>
      <c r="C37" s="86">
        <v>149.79999999999984</v>
      </c>
      <c r="D37" s="86">
        <v>-6.7916666666666661</v>
      </c>
      <c r="E37" s="86">
        <v>15.190263157894737</v>
      </c>
      <c r="F37" s="167">
        <v>969000</v>
      </c>
      <c r="G37" s="167">
        <v>260725</v>
      </c>
      <c r="H37" s="532" t="s">
        <v>55</v>
      </c>
      <c r="I37" s="167">
        <v>17.27</v>
      </c>
      <c r="J37" s="532">
        <v>12000</v>
      </c>
      <c r="K37" s="167">
        <v>25.65</v>
      </c>
      <c r="L37" s="535">
        <v>4681650</v>
      </c>
      <c r="M37" s="534">
        <v>11900.1</v>
      </c>
      <c r="N37" s="816">
        <v>11800</v>
      </c>
      <c r="O37" s="435">
        <v>19.399999999999999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27" t="e">
        <v>#REF!</v>
      </c>
      <c r="U37" s="627" t="e">
        <v>#REF!</v>
      </c>
      <c r="V37" s="818" t="e">
        <v>#REF!</v>
      </c>
      <c r="W37" s="434"/>
      <c r="X37" s="434"/>
      <c r="Y37" s="434"/>
      <c r="AM37" s="275">
        <v>0.57291666666666663</v>
      </c>
      <c r="AO37" s="623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704625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17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27" t="s">
        <v>211</v>
      </c>
      <c r="U38" s="627" t="s">
        <v>211</v>
      </c>
      <c r="V38" s="818"/>
      <c r="W38" s="434"/>
      <c r="X38" s="434"/>
      <c r="Y38" s="434"/>
      <c r="AM38" s="275">
        <v>0.5756944444444444</v>
      </c>
      <c r="AO38" s="623"/>
    </row>
    <row r="39" spans="1:41" ht="15" customHeight="1" thickBot="1" x14ac:dyDescent="0.4">
      <c r="A39" s="530" t="s">
        <v>430</v>
      </c>
      <c r="B39" s="528" t="s">
        <v>180</v>
      </c>
      <c r="C39" s="86">
        <v>146.08306451612893</v>
      </c>
      <c r="D39" s="86">
        <v>-7.7999999999999989</v>
      </c>
      <c r="E39" s="86">
        <v>16.907368421052631</v>
      </c>
      <c r="F39" s="167">
        <v>1032225</v>
      </c>
      <c r="G39" s="167">
        <v>276538</v>
      </c>
      <c r="H39" s="532" t="s">
        <v>55</v>
      </c>
      <c r="I39" s="167">
        <v>17.59</v>
      </c>
      <c r="J39" s="532">
        <v>12000</v>
      </c>
      <c r="K39" s="167">
        <v>24.75</v>
      </c>
      <c r="L39" s="535">
        <v>4744875</v>
      </c>
      <c r="M39" s="534">
        <v>11893.4</v>
      </c>
      <c r="N39" s="816">
        <v>11800</v>
      </c>
      <c r="O39" s="435">
        <v>19.849999999999998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627" t="e">
        <v>#REF!</v>
      </c>
      <c r="V39" s="818" t="e">
        <v>#REF!</v>
      </c>
      <c r="W39" s="434"/>
      <c r="X39" s="434"/>
      <c r="Y39" s="434"/>
      <c r="AM39" s="275">
        <v>0.58333333333333337</v>
      </c>
      <c r="AO39" s="623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642225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17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628" t="s">
        <v>211</v>
      </c>
      <c r="U40" s="417" t="s">
        <v>211</v>
      </c>
      <c r="V40" s="818"/>
      <c r="W40" s="434"/>
      <c r="X40" s="434"/>
      <c r="Y40" s="434"/>
      <c r="AM40" s="275">
        <v>0.58611111111111114</v>
      </c>
      <c r="AO40" s="623"/>
    </row>
    <row r="41" spans="1:41" ht="15" customHeight="1" thickBot="1" x14ac:dyDescent="0.4">
      <c r="A41" s="530" t="s">
        <v>611</v>
      </c>
      <c r="B41" s="528" t="s">
        <v>180</v>
      </c>
      <c r="C41" s="86">
        <v>146.77983870967728</v>
      </c>
      <c r="D41" s="86">
        <v>-6.9333333333333336</v>
      </c>
      <c r="E41" s="86">
        <v>15.827631578947368</v>
      </c>
      <c r="F41" s="167">
        <v>1065150</v>
      </c>
      <c r="G41" s="167">
        <v>285487</v>
      </c>
      <c r="H41" s="532" t="s">
        <v>55</v>
      </c>
      <c r="I41" s="167">
        <v>16.89</v>
      </c>
      <c r="J41" s="532">
        <v>12000</v>
      </c>
      <c r="K41" s="167">
        <v>24.85</v>
      </c>
      <c r="L41" s="535">
        <v>4777800</v>
      </c>
      <c r="M41" s="435">
        <v>11901</v>
      </c>
      <c r="N41" s="816">
        <v>11800</v>
      </c>
      <c r="O41" s="435">
        <v>19.175000000000001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627" t="e">
        <v>#REF!</v>
      </c>
      <c r="U41" s="627" t="e">
        <v>#REF!</v>
      </c>
      <c r="V41" s="818" t="e">
        <v>#REF!</v>
      </c>
      <c r="W41" s="434"/>
      <c r="X41" s="434"/>
      <c r="Y41" s="434"/>
      <c r="AM41" s="275">
        <v>0.59375</v>
      </c>
      <c r="AO41" s="623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633825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17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18"/>
      <c r="W42" s="434"/>
      <c r="X42" s="434"/>
      <c r="Y42" s="434"/>
      <c r="AM42" s="275">
        <v>0.59652777777777777</v>
      </c>
      <c r="AO42" s="623"/>
    </row>
    <row r="43" spans="1:41" ht="15" customHeight="1" thickBot="1" x14ac:dyDescent="0.4">
      <c r="A43" s="530" t="s">
        <v>226</v>
      </c>
      <c r="B43" s="528" t="s">
        <v>180</v>
      </c>
      <c r="C43" s="86">
        <v>131.3201612903226</v>
      </c>
      <c r="D43" s="86">
        <v>-13.641666666666669</v>
      </c>
      <c r="E43" s="86">
        <v>15.616052631578949</v>
      </c>
      <c r="F43" s="167">
        <v>1170975</v>
      </c>
      <c r="G43" s="167">
        <v>310424</v>
      </c>
      <c r="H43" s="532" t="s">
        <v>55</v>
      </c>
      <c r="I43" s="167">
        <v>17.16</v>
      </c>
      <c r="J43" s="532">
        <v>12000</v>
      </c>
      <c r="K43" s="167">
        <v>17.350000000000001</v>
      </c>
      <c r="L43" s="535">
        <v>4883625</v>
      </c>
      <c r="M43" s="534">
        <v>11869.2</v>
      </c>
      <c r="N43" s="816">
        <v>11800</v>
      </c>
      <c r="O43" s="435">
        <v>22.658333333333335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627" t="e">
        <v>#REF!</v>
      </c>
      <c r="U43" s="627" t="e">
        <v>#REF!</v>
      </c>
      <c r="V43" s="818" t="e">
        <v>#REF!</v>
      </c>
      <c r="W43" s="434"/>
      <c r="X43" s="434"/>
      <c r="Y43" s="434"/>
      <c r="AM43" s="275">
        <v>0.60416666666666663</v>
      </c>
      <c r="AO43" s="623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546750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17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18"/>
      <c r="W44" s="434"/>
      <c r="X44" s="434"/>
      <c r="Y44" s="434"/>
      <c r="AM44" s="275">
        <v>0.6069444444444444</v>
      </c>
      <c r="AO44" s="623"/>
    </row>
    <row r="45" spans="1:41" ht="15" customHeight="1" thickBot="1" x14ac:dyDescent="0.4">
      <c r="A45" s="530" t="s">
        <v>405</v>
      </c>
      <c r="B45" s="528" t="s">
        <v>180</v>
      </c>
      <c r="C45" s="86">
        <v>126.73145161290321</v>
      </c>
      <c r="D45" s="86">
        <v>-7.0833333333333321</v>
      </c>
      <c r="E45" s="86">
        <v>15.885789473684209</v>
      </c>
      <c r="F45" s="167">
        <v>1113900</v>
      </c>
      <c r="G45" s="167">
        <v>330672</v>
      </c>
      <c r="H45" s="532" t="s">
        <v>55</v>
      </c>
      <c r="I45" s="167">
        <v>17.05</v>
      </c>
      <c r="J45" s="532">
        <v>12000</v>
      </c>
      <c r="K45" s="167">
        <v>22.5</v>
      </c>
      <c r="L45" s="535">
        <v>4826550</v>
      </c>
      <c r="M45" s="534">
        <v>11888.5</v>
      </c>
      <c r="N45" s="816">
        <v>11800</v>
      </c>
      <c r="O45" s="435">
        <v>17.233333333333331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27" t="e">
        <v>#REF!</v>
      </c>
      <c r="U45" s="627" t="e">
        <v>#REF!</v>
      </c>
      <c r="V45" s="818" t="e">
        <v>#REF!</v>
      </c>
      <c r="W45" s="434"/>
      <c r="X45" s="434"/>
      <c r="Y45" s="434"/>
      <c r="AM45" s="275">
        <v>0.61458333333333337</v>
      </c>
      <c r="AO45" s="623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473325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17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18"/>
      <c r="W46" s="434"/>
      <c r="X46" s="434"/>
      <c r="Y46" s="434"/>
      <c r="AM46" s="275">
        <v>0.61736111111111114</v>
      </c>
      <c r="AO46" s="623"/>
    </row>
    <row r="47" spans="1:41" ht="15" customHeight="1" thickBot="1" x14ac:dyDescent="0.4">
      <c r="A47" s="530" t="s">
        <v>448</v>
      </c>
      <c r="B47" s="528" t="s">
        <v>180</v>
      </c>
      <c r="C47" s="86">
        <v>125.39677419354842</v>
      </c>
      <c r="D47" s="86">
        <v>-7.6000000000000014</v>
      </c>
      <c r="E47" s="86">
        <v>15.918157894736844</v>
      </c>
      <c r="F47" s="167">
        <v>1004325</v>
      </c>
      <c r="G47" s="167">
        <v>355551</v>
      </c>
      <c r="H47" s="532" t="s">
        <v>55</v>
      </c>
      <c r="I47" s="167">
        <v>17.55</v>
      </c>
      <c r="J47" s="532">
        <v>12000</v>
      </c>
      <c r="K47" s="167">
        <v>21.45</v>
      </c>
      <c r="L47" s="535">
        <v>4716975</v>
      </c>
      <c r="M47" s="435">
        <v>11885.6</v>
      </c>
      <c r="N47" s="816">
        <v>11800</v>
      </c>
      <c r="O47" s="435">
        <v>17.275000000000002</v>
      </c>
      <c r="P47" s="534" t="s">
        <v>211</v>
      </c>
      <c r="Q47" s="534" t="s">
        <v>211</v>
      </c>
      <c r="R47" s="534" t="s">
        <v>211</v>
      </c>
      <c r="S47" s="818" t="e">
        <v>#REF!</v>
      </c>
      <c r="T47" s="627" t="e">
        <v>#REF!</v>
      </c>
      <c r="U47" s="414" t="e">
        <v>#REF!</v>
      </c>
      <c r="V47" s="818" t="e">
        <v>#REF!</v>
      </c>
      <c r="W47" s="434"/>
      <c r="X47" s="434"/>
      <c r="Y47" s="434"/>
      <c r="AM47" s="275">
        <v>0.625</v>
      </c>
      <c r="AO47" s="623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456675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17"/>
      <c r="O48" s="435" t="s">
        <v>211</v>
      </c>
      <c r="P48" s="534" t="s">
        <v>211</v>
      </c>
      <c r="Q48" s="534" t="s">
        <v>211</v>
      </c>
      <c r="R48" s="534" t="s">
        <v>211</v>
      </c>
      <c r="S48" s="818" t="e">
        <v>#REF!</v>
      </c>
      <c r="T48" s="413" t="s">
        <v>211</v>
      </c>
      <c r="U48" s="620" t="s">
        <v>211</v>
      </c>
      <c r="V48" s="818"/>
      <c r="W48" s="434"/>
      <c r="X48" s="434"/>
      <c r="Y48" s="434"/>
      <c r="AM48" s="275">
        <v>0.62777777777777777</v>
      </c>
      <c r="AO48" s="623"/>
    </row>
    <row r="49" spans="1:41" ht="15" customHeight="1" thickBot="1" x14ac:dyDescent="0.4">
      <c r="A49" s="530" t="s">
        <v>434</v>
      </c>
      <c r="B49" s="528" t="s">
        <v>180</v>
      </c>
      <c r="C49" s="86">
        <v>169.85806451612882</v>
      </c>
      <c r="D49" s="86">
        <v>2.6583333333333332</v>
      </c>
      <c r="E49" s="86">
        <v>15.521315789473686</v>
      </c>
      <c r="F49" s="167">
        <v>648750</v>
      </c>
      <c r="G49" s="167">
        <v>417883</v>
      </c>
      <c r="H49" s="532" t="s">
        <v>55</v>
      </c>
      <c r="I49" s="167">
        <v>17.940000000000001</v>
      </c>
      <c r="J49" s="532">
        <v>12000</v>
      </c>
      <c r="K49" s="167">
        <v>34.6</v>
      </c>
      <c r="L49" s="535">
        <v>4361400</v>
      </c>
      <c r="M49" s="435">
        <v>11932.05</v>
      </c>
      <c r="N49" s="816">
        <v>11800</v>
      </c>
      <c r="O49" s="435">
        <v>11.466666666666667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27" t="e">
        <v>#REF!</v>
      </c>
      <c r="U49" s="627" t="e">
        <v>#REF!</v>
      </c>
      <c r="V49" s="818" t="e">
        <v>#REF!</v>
      </c>
      <c r="W49" s="434"/>
      <c r="X49" s="434"/>
      <c r="Y49" s="434"/>
      <c r="AM49" s="275">
        <v>0.63541666666666663</v>
      </c>
      <c r="AO49" s="623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522975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17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18"/>
      <c r="W50" s="434"/>
      <c r="X50" s="434"/>
      <c r="Y50" s="434"/>
      <c r="AM50" s="275">
        <v>0.6381944444444444</v>
      </c>
      <c r="AO50" s="623"/>
    </row>
    <row r="51" spans="1:41" ht="15" customHeight="1" thickBot="1" x14ac:dyDescent="0.4">
      <c r="A51" s="530" t="s">
        <v>515</v>
      </c>
      <c r="B51" s="528" t="s">
        <v>180</v>
      </c>
      <c r="C51" s="86">
        <v>171.4161290322582</v>
      </c>
      <c r="D51" s="86">
        <v>5.8166666666666664</v>
      </c>
      <c r="E51" s="86">
        <v>15.766578947368421</v>
      </c>
      <c r="F51" s="167">
        <v>-585825</v>
      </c>
      <c r="G51" s="167">
        <v>35385</v>
      </c>
      <c r="H51" s="532" t="s">
        <v>55</v>
      </c>
      <c r="I51" s="167">
        <v>44.27</v>
      </c>
      <c r="J51" s="532">
        <v>12000</v>
      </c>
      <c r="K51" s="167">
        <v>39.049999999999997</v>
      </c>
      <c r="L51" s="535">
        <v>4101150</v>
      </c>
      <c r="M51" s="534">
        <v>11936.8</v>
      </c>
      <c r="N51" s="816">
        <v>11800</v>
      </c>
      <c r="O51" s="435">
        <v>9.5333333333333332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27" t="e">
        <v>#REF!</v>
      </c>
      <c r="U51" s="627" t="e">
        <v>#REF!</v>
      </c>
      <c r="V51" s="818" t="e">
        <v>#REF!</v>
      </c>
      <c r="W51" s="434"/>
      <c r="X51" s="434"/>
      <c r="Y51" s="434"/>
      <c r="AM51" s="275">
        <v>0.64583333333333337</v>
      </c>
      <c r="AO51" s="623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548400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17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18"/>
      <c r="W52" s="434"/>
      <c r="X52" s="434"/>
      <c r="Y52" s="434"/>
      <c r="AM52" s="275">
        <v>0.64861111111111114</v>
      </c>
      <c r="AO52" s="623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B48D2-A765-4B0C-B0EC-8C4039AFA674}">
  <dimension ref="A1:AS52"/>
  <sheetViews>
    <sheetView topLeftCell="A46" workbookViewId="0">
      <selection activeCell="E16" sqref="E16"/>
    </sheetView>
  </sheetViews>
  <sheetFormatPr defaultColWidth="9.1796875" defaultRowHeight="14.5" x14ac:dyDescent="0.35"/>
  <cols>
    <col min="1" max="1" width="9.1796875" style="581"/>
    <col min="2" max="2" width="9.1796875" style="274"/>
    <col min="3" max="3" width="5.453125" style="581" customWidth="1"/>
    <col min="4" max="4" width="8.453125" style="581" customWidth="1"/>
    <col min="5" max="5" width="8.7265625" style="581" customWidth="1"/>
    <col min="6" max="6" width="12.7265625" style="580" customWidth="1"/>
    <col min="7" max="7" width="13" style="580" customWidth="1"/>
    <col min="8" max="9" width="6.453125" style="581" customWidth="1"/>
    <col min="10" max="10" width="10.08984375" style="581" customWidth="1"/>
    <col min="11" max="11" width="8" style="581" customWidth="1"/>
    <col min="12" max="12" width="13.54296875" style="580" customWidth="1"/>
    <col min="13" max="13" width="8.26953125" style="581" customWidth="1"/>
    <col min="14" max="14" width="9.453125" style="581" hidden="1" customWidth="1"/>
    <col min="15" max="15" width="12.453125" style="581" bestFit="1" customWidth="1"/>
    <col min="16" max="18" width="9.1796875" style="581"/>
    <col min="19" max="19" width="5.453125" style="581" hidden="1" customWidth="1"/>
    <col min="20" max="20" width="6.81640625" style="581" hidden="1" customWidth="1"/>
    <col min="21" max="22" width="0" style="581" hidden="1" customWidth="1"/>
    <col min="23" max="25" width="9.1796875" style="581"/>
    <col min="26" max="26" width="9.453125" style="581" customWidth="1"/>
    <col min="27" max="38" width="9.1796875" style="581"/>
    <col min="39" max="40" width="7.90625" style="581" bestFit="1" customWidth="1"/>
    <col min="41" max="41" width="9.6328125" style="581" bestFit="1" customWidth="1"/>
    <col min="42" max="44" width="9.1796875" style="581"/>
    <col min="45" max="45" width="0" style="581" hidden="1" customWidth="1"/>
    <col min="46" max="16384" width="9.1796875" style="581"/>
  </cols>
  <sheetData>
    <row r="1" spans="1:45" ht="14.5" customHeight="1" thickBot="1" x14ac:dyDescent="0.4">
      <c r="A1" s="80"/>
      <c r="B1" s="273"/>
      <c r="C1" s="647" t="s">
        <v>53</v>
      </c>
      <c r="D1" s="643"/>
      <c r="E1" s="537"/>
      <c r="F1" s="537"/>
      <c r="G1" s="537"/>
      <c r="H1" s="585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">
        <v>567</v>
      </c>
      <c r="R1" s="814"/>
      <c r="S1" s="810" t="s">
        <v>87</v>
      </c>
      <c r="T1" s="811"/>
      <c r="U1" s="811"/>
      <c r="V1" s="815"/>
      <c r="W1" s="432"/>
      <c r="X1" s="432"/>
      <c r="Y1" s="432"/>
      <c r="Z1" s="582"/>
      <c r="AA1" s="582"/>
      <c r="AB1" s="582"/>
      <c r="AC1" s="582"/>
      <c r="AD1" s="582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583" t="s">
        <v>530</v>
      </c>
      <c r="D2" s="584" t="s">
        <v>531</v>
      </c>
      <c r="E2" s="584" t="s">
        <v>3</v>
      </c>
      <c r="F2" s="166" t="s">
        <v>35</v>
      </c>
      <c r="G2" s="166" t="s">
        <v>37</v>
      </c>
      <c r="H2" s="585" t="s">
        <v>43</v>
      </c>
      <c r="I2" s="81" t="s">
        <v>88</v>
      </c>
      <c r="J2" s="583" t="s">
        <v>14</v>
      </c>
      <c r="K2" s="584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82"/>
      <c r="AA2" s="582"/>
      <c r="AB2" s="271" t="s">
        <v>97</v>
      </c>
      <c r="AC2" s="272" t="s">
        <v>98</v>
      </c>
      <c r="AD2" s="582"/>
      <c r="AS2" s="582" t="s">
        <v>99</v>
      </c>
    </row>
    <row r="3" spans="1:45" ht="14.5" customHeight="1" thickBot="1" x14ac:dyDescent="0.4">
      <c r="A3" s="530" t="s">
        <v>568</v>
      </c>
      <c r="B3" s="528" t="s">
        <v>180</v>
      </c>
      <c r="C3" s="86">
        <v>167.66451612903228</v>
      </c>
      <c r="D3" s="86">
        <v>18.524999999999995</v>
      </c>
      <c r="E3" s="86">
        <v>17.135789473684213</v>
      </c>
      <c r="F3" s="167">
        <v>185925</v>
      </c>
      <c r="G3" s="167">
        <v>180627</v>
      </c>
      <c r="H3" s="532" t="s">
        <v>55</v>
      </c>
      <c r="I3" s="167">
        <v>18.57</v>
      </c>
      <c r="J3" s="532">
        <v>12500</v>
      </c>
      <c r="K3" s="167">
        <v>1.45</v>
      </c>
      <c r="L3" s="535">
        <v>4740075</v>
      </c>
      <c r="M3" s="534">
        <v>11859.5</v>
      </c>
      <c r="N3" s="816">
        <v>11750</v>
      </c>
      <c r="O3" s="435">
        <v>18.524999999999995</v>
      </c>
      <c r="P3" s="534" t="s">
        <v>211</v>
      </c>
      <c r="Q3" s="534" t="s">
        <v>211</v>
      </c>
      <c r="R3" s="534" t="s">
        <v>211</v>
      </c>
      <c r="S3" s="88" t="s">
        <v>41</v>
      </c>
      <c r="T3" s="586" t="e">
        <v>#REF!</v>
      </c>
      <c r="U3" s="586" t="e">
        <v>#REF!</v>
      </c>
      <c r="V3" s="818" t="e">
        <v>#REF!</v>
      </c>
      <c r="W3" s="434"/>
      <c r="X3" s="434"/>
      <c r="Y3" s="434"/>
      <c r="Z3" s="582"/>
      <c r="AA3" s="582"/>
      <c r="AB3" s="582"/>
      <c r="AC3" s="582"/>
      <c r="AD3" s="582"/>
      <c r="AL3" s="582" t="s">
        <v>171</v>
      </c>
      <c r="AM3" s="275">
        <v>0.39583333333333331</v>
      </c>
      <c r="AN3" s="89">
        <v>43612.927016898146</v>
      </c>
      <c r="AO3" s="582" t="s">
        <v>207</v>
      </c>
      <c r="AS3" s="582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273000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17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586" t="s">
        <v>211</v>
      </c>
      <c r="U4" s="586" t="s">
        <v>211</v>
      </c>
      <c r="V4" s="818"/>
      <c r="W4" s="434"/>
      <c r="X4" s="434"/>
      <c r="Y4" s="434"/>
      <c r="Z4" s="582"/>
      <c r="AA4" s="582"/>
      <c r="AB4" s="582"/>
      <c r="AC4" s="582"/>
      <c r="AD4" s="582"/>
      <c r="AL4" s="582" t="s">
        <v>172</v>
      </c>
      <c r="AM4" s="275">
        <v>0.39861111111111108</v>
      </c>
      <c r="AN4" s="582"/>
      <c r="AO4" s="582"/>
    </row>
    <row r="5" spans="1:45" ht="14.5" customHeight="1" thickBot="1" x14ac:dyDescent="0.4">
      <c r="A5" s="530" t="s">
        <v>569</v>
      </c>
      <c r="B5" s="528" t="s">
        <v>180</v>
      </c>
      <c r="C5" s="86">
        <v>183.99999999999994</v>
      </c>
      <c r="D5" s="86">
        <v>23.141666666666662</v>
      </c>
      <c r="E5" s="86">
        <v>16.620526315789473</v>
      </c>
      <c r="F5" s="167">
        <v>288525</v>
      </c>
      <c r="G5" s="167">
        <v>180627</v>
      </c>
      <c r="H5" s="532" t="s">
        <v>55</v>
      </c>
      <c r="I5" s="167">
        <v>17.63</v>
      </c>
      <c r="J5" s="532">
        <v>12500</v>
      </c>
      <c r="K5" s="167">
        <v>1.6</v>
      </c>
      <c r="L5" s="535">
        <v>4775025</v>
      </c>
      <c r="M5" s="435">
        <v>11879.15</v>
      </c>
      <c r="N5" s="816">
        <v>11800</v>
      </c>
      <c r="O5" s="435">
        <v>23.141666666666662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586" t="e">
        <v>#REF!</v>
      </c>
      <c r="U5" s="586" t="e">
        <v>#REF!</v>
      </c>
      <c r="V5" s="818" t="e">
        <v>#REF!</v>
      </c>
      <c r="W5" s="434"/>
      <c r="X5" s="434"/>
      <c r="Y5" s="434"/>
      <c r="Z5" s="582"/>
      <c r="AA5" s="582"/>
      <c r="AB5" s="582"/>
      <c r="AC5" s="582"/>
      <c r="AD5" s="582"/>
      <c r="AM5" s="275">
        <v>0.40625</v>
      </c>
      <c r="AN5" s="582"/>
      <c r="AO5" s="582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461250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17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586" t="s">
        <v>211</v>
      </c>
      <c r="U6" s="586" t="s">
        <v>211</v>
      </c>
      <c r="V6" s="818"/>
      <c r="W6" s="434"/>
      <c r="X6" s="434"/>
      <c r="Y6" s="434"/>
      <c r="Z6" s="582"/>
      <c r="AA6" s="582"/>
      <c r="AB6" s="582"/>
      <c r="AC6" s="582"/>
      <c r="AD6" s="582"/>
      <c r="AM6" s="275">
        <v>0.40902777777777777</v>
      </c>
      <c r="AN6" s="582"/>
      <c r="AO6" s="582"/>
    </row>
    <row r="7" spans="1:45" ht="14.5" customHeight="1" thickBot="1" x14ac:dyDescent="0.4">
      <c r="A7" s="530" t="s">
        <v>394</v>
      </c>
      <c r="B7" s="528" t="s">
        <v>180</v>
      </c>
      <c r="C7" s="86">
        <v>190.32016129032263</v>
      </c>
      <c r="D7" s="86">
        <v>29.349999999999994</v>
      </c>
      <c r="E7" s="86">
        <v>16.687105263157889</v>
      </c>
      <c r="F7" s="167">
        <v>337350</v>
      </c>
      <c r="G7" s="167">
        <v>180627</v>
      </c>
      <c r="H7" s="532" t="s">
        <v>55</v>
      </c>
      <c r="I7" s="167">
        <v>17.260000000000002</v>
      </c>
      <c r="J7" s="532">
        <v>12500</v>
      </c>
      <c r="K7" s="167">
        <v>1.65</v>
      </c>
      <c r="L7" s="535">
        <v>4771950</v>
      </c>
      <c r="M7" s="534">
        <v>11895.5</v>
      </c>
      <c r="N7" s="816">
        <v>11800</v>
      </c>
      <c r="O7" s="435">
        <v>29.349999999999994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586" t="e">
        <v>#REF!</v>
      </c>
      <c r="U7" s="586" t="e">
        <v>#REF!</v>
      </c>
      <c r="V7" s="818" t="e">
        <v>#REF!</v>
      </c>
      <c r="W7" s="434"/>
      <c r="X7" s="434"/>
      <c r="Y7" s="434"/>
      <c r="Z7" s="582"/>
      <c r="AA7" s="582"/>
      <c r="AB7" s="582"/>
      <c r="AC7" s="582"/>
      <c r="AD7" s="582"/>
      <c r="AM7" s="275">
        <v>0.41666666666666669</v>
      </c>
      <c r="AN7" s="582"/>
      <c r="AO7" s="582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564150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17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586" t="s">
        <v>211</v>
      </c>
      <c r="U8" s="586" t="s">
        <v>211</v>
      </c>
      <c r="V8" s="818"/>
      <c r="W8" s="434"/>
      <c r="X8" s="434"/>
      <c r="Y8" s="434"/>
      <c r="Z8" s="582"/>
      <c r="AA8" s="582"/>
      <c r="AB8" s="582"/>
      <c r="AC8" s="582"/>
      <c r="AD8" s="582"/>
      <c r="AM8" s="275">
        <v>0.41944444444444445</v>
      </c>
      <c r="AN8" s="582"/>
      <c r="AO8" s="582"/>
    </row>
    <row r="9" spans="1:45" ht="14.5" customHeight="1" thickBot="1" x14ac:dyDescent="0.4">
      <c r="A9" s="530" t="s">
        <v>570</v>
      </c>
      <c r="B9" s="528" t="s">
        <v>180</v>
      </c>
      <c r="C9" s="86">
        <v>181.95887096774197</v>
      </c>
      <c r="D9" s="86">
        <v>27.450000000000003</v>
      </c>
      <c r="E9" s="86">
        <v>16.902368421052632</v>
      </c>
      <c r="F9" s="167">
        <v>355800</v>
      </c>
      <c r="G9" s="167">
        <v>180627</v>
      </c>
      <c r="H9" s="532" t="s">
        <v>55</v>
      </c>
      <c r="I9" s="167">
        <v>17.77</v>
      </c>
      <c r="J9" s="532">
        <v>12500</v>
      </c>
      <c r="K9" s="167">
        <v>1.55</v>
      </c>
      <c r="L9" s="535">
        <v>4782900</v>
      </c>
      <c r="M9" s="534">
        <v>11886.9</v>
      </c>
      <c r="N9" s="816">
        <v>11800</v>
      </c>
      <c r="O9" s="435">
        <v>27.450000000000003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586" t="e">
        <v>#REF!</v>
      </c>
      <c r="U9" s="586" t="e">
        <v>#REF!</v>
      </c>
      <c r="V9" s="818" t="e">
        <v>#REF!</v>
      </c>
      <c r="W9" s="434"/>
      <c r="X9" s="434"/>
      <c r="Y9" s="434"/>
      <c r="Z9" s="582"/>
      <c r="AA9" s="582"/>
      <c r="AB9" s="718" t="s">
        <v>165</v>
      </c>
      <c r="AC9" s="719"/>
      <c r="AD9" s="719"/>
      <c r="AM9" s="275">
        <v>0.42708333333333331</v>
      </c>
      <c r="AN9" s="582"/>
      <c r="AO9" s="582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679575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17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586" t="s">
        <v>211</v>
      </c>
      <c r="U10" s="586" t="s">
        <v>211</v>
      </c>
      <c r="V10" s="818"/>
      <c r="W10" s="434"/>
      <c r="X10" s="434"/>
      <c r="Y10" s="434"/>
      <c r="Z10" s="582"/>
      <c r="AA10" s="582"/>
      <c r="AB10" s="718" t="s">
        <v>365</v>
      </c>
      <c r="AC10" s="719"/>
      <c r="AD10" s="719"/>
      <c r="AM10" s="275">
        <v>0.42986111111111108</v>
      </c>
      <c r="AN10" s="582"/>
      <c r="AO10" s="582"/>
    </row>
    <row r="11" spans="1:45" ht="14.5" customHeight="1" thickBot="1" x14ac:dyDescent="0.4">
      <c r="A11" s="530" t="s">
        <v>571</v>
      </c>
      <c r="B11" s="528" t="s">
        <v>180</v>
      </c>
      <c r="C11" s="86">
        <v>180.64032258064518</v>
      </c>
      <c r="D11" s="86">
        <v>25.058333333333334</v>
      </c>
      <c r="E11" s="86">
        <v>16.310526315789474</v>
      </c>
      <c r="F11" s="167">
        <v>412350</v>
      </c>
      <c r="G11" s="167">
        <v>180627</v>
      </c>
      <c r="H11" s="532" t="s">
        <v>61</v>
      </c>
      <c r="I11" s="167">
        <v>17.63</v>
      </c>
      <c r="J11" s="532">
        <v>12500</v>
      </c>
      <c r="K11" s="167">
        <v>1.55</v>
      </c>
      <c r="L11" s="535">
        <v>4781550</v>
      </c>
      <c r="M11" s="534">
        <v>11887.2</v>
      </c>
      <c r="N11" s="816">
        <v>11800</v>
      </c>
      <c r="O11" s="435">
        <v>25.058333333333334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586" t="e">
        <v>#REF!</v>
      </c>
      <c r="U11" s="586" t="e">
        <v>#REF!</v>
      </c>
      <c r="V11" s="818" t="e">
        <v>#REF!</v>
      </c>
      <c r="W11" s="434"/>
      <c r="X11" s="434"/>
      <c r="Y11" s="434"/>
      <c r="Z11" s="582"/>
      <c r="AA11" s="582"/>
      <c r="AB11" s="718" t="s">
        <v>366</v>
      </c>
      <c r="AC11" s="718"/>
      <c r="AD11" s="718"/>
      <c r="AM11" s="275">
        <v>0.4375</v>
      </c>
      <c r="AN11" s="582"/>
      <c r="AO11" s="582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700650</v>
      </c>
      <c r="G12" s="168">
        <v>66742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17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586" t="s">
        <v>211</v>
      </c>
      <c r="U12" s="586" t="s">
        <v>211</v>
      </c>
      <c r="V12" s="818"/>
      <c r="W12" s="434"/>
      <c r="X12" s="434"/>
      <c r="Y12" s="434"/>
      <c r="Z12" s="582"/>
      <c r="AA12" s="582"/>
      <c r="AB12" s="718" t="s">
        <v>167</v>
      </c>
      <c r="AC12" s="718"/>
      <c r="AD12" s="718"/>
      <c r="AM12" s="275">
        <v>0.44027777777777777</v>
      </c>
      <c r="AN12" s="582"/>
      <c r="AO12" s="582"/>
    </row>
    <row r="13" spans="1:45" ht="14.5" customHeight="1" thickBot="1" x14ac:dyDescent="0.4">
      <c r="A13" s="530" t="s">
        <v>572</v>
      </c>
      <c r="B13" s="528" t="s">
        <v>180</v>
      </c>
      <c r="C13" s="86">
        <v>159.55322580645174</v>
      </c>
      <c r="D13" s="86">
        <v>24.683333333333337</v>
      </c>
      <c r="E13" s="86">
        <v>15.986578947368422</v>
      </c>
      <c r="F13" s="167">
        <v>444525</v>
      </c>
      <c r="G13" s="167">
        <v>80409</v>
      </c>
      <c r="H13" s="532" t="s">
        <v>61</v>
      </c>
      <c r="I13" s="167">
        <v>16.97</v>
      </c>
      <c r="J13" s="532">
        <v>12500</v>
      </c>
      <c r="K13" s="167">
        <v>1.6</v>
      </c>
      <c r="L13" s="535">
        <v>4789125</v>
      </c>
      <c r="M13" s="534">
        <v>11883.5</v>
      </c>
      <c r="N13" s="816">
        <v>11800</v>
      </c>
      <c r="O13" s="435">
        <v>24.683333333333337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586" t="e">
        <v>#REF!</v>
      </c>
      <c r="U13" s="586" t="e">
        <v>#REF!</v>
      </c>
      <c r="V13" s="818" t="e">
        <v>#REF!</v>
      </c>
      <c r="W13" s="434"/>
      <c r="X13" s="434"/>
      <c r="Y13" s="434"/>
      <c r="Z13" s="582"/>
      <c r="AA13" s="582"/>
      <c r="AB13" s="718" t="s">
        <v>168</v>
      </c>
      <c r="AC13" s="718"/>
      <c r="AD13" s="718"/>
      <c r="AM13" s="275">
        <v>0.44791666666666669</v>
      </c>
      <c r="AN13" s="582"/>
      <c r="AO13" s="582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761700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17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586" t="s">
        <v>211</v>
      </c>
      <c r="U14" s="586" t="s">
        <v>211</v>
      </c>
      <c r="V14" s="818"/>
      <c r="W14" s="434"/>
      <c r="X14" s="434"/>
      <c r="Y14" s="434"/>
      <c r="AM14" s="275">
        <v>0.45069444444444445</v>
      </c>
      <c r="AN14" s="582"/>
      <c r="AO14" s="582"/>
    </row>
    <row r="15" spans="1:45" ht="14.5" customHeight="1" thickBot="1" x14ac:dyDescent="0.4">
      <c r="A15" s="530" t="s">
        <v>573</v>
      </c>
      <c r="B15" s="528" t="s">
        <v>180</v>
      </c>
      <c r="C15" s="86">
        <v>177.79032258064495</v>
      </c>
      <c r="D15" s="86">
        <v>24.766666666666673</v>
      </c>
      <c r="E15" s="86">
        <v>17.241578947368424</v>
      </c>
      <c r="F15" s="167">
        <v>510525</v>
      </c>
      <c r="G15" s="167">
        <v>95107</v>
      </c>
      <c r="H15" s="532" t="s">
        <v>61</v>
      </c>
      <c r="I15" s="167">
        <v>17.670000000000002</v>
      </c>
      <c r="J15" s="532">
        <v>12500</v>
      </c>
      <c r="K15" s="167">
        <v>1.6</v>
      </c>
      <c r="L15" s="535">
        <v>4767000</v>
      </c>
      <c r="M15" s="534">
        <v>11881.25</v>
      </c>
      <c r="N15" s="816">
        <v>11800</v>
      </c>
      <c r="O15" s="435">
        <v>24.766666666666673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586" t="e">
        <v>#REF!</v>
      </c>
      <c r="U15" s="586" t="e">
        <v>#REF!</v>
      </c>
      <c r="V15" s="818" t="e">
        <v>#REF!</v>
      </c>
      <c r="W15" s="434"/>
      <c r="X15" s="434"/>
      <c r="Y15" s="434"/>
      <c r="AM15" s="275">
        <v>0.45833333333333331</v>
      </c>
      <c r="AN15" s="582"/>
      <c r="AO15" s="582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815550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17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586" t="s">
        <v>211</v>
      </c>
      <c r="U16" s="586" t="s">
        <v>211</v>
      </c>
      <c r="V16" s="818"/>
      <c r="W16" s="434"/>
      <c r="X16" s="434"/>
      <c r="Y16" s="434"/>
      <c r="AM16" s="275">
        <v>0.46111111111111108</v>
      </c>
      <c r="AN16" s="582"/>
      <c r="AO16" s="582"/>
    </row>
    <row r="17" spans="1:41" ht="14.5" customHeight="1" thickBot="1" x14ac:dyDescent="0.4">
      <c r="A17" s="530" t="s">
        <v>574</v>
      </c>
      <c r="B17" s="528" t="s">
        <v>180</v>
      </c>
      <c r="C17" s="86">
        <v>201.45564516129028</v>
      </c>
      <c r="D17" s="86">
        <v>25.916666666666664</v>
      </c>
      <c r="E17" s="86">
        <v>16.277631578947368</v>
      </c>
      <c r="F17" s="167">
        <v>513375</v>
      </c>
      <c r="G17" s="167">
        <v>98689</v>
      </c>
      <c r="H17" s="532" t="s">
        <v>61</v>
      </c>
      <c r="I17" s="167">
        <v>17.399999999999999</v>
      </c>
      <c r="J17" s="532">
        <v>12500</v>
      </c>
      <c r="K17" s="167">
        <v>1.55</v>
      </c>
      <c r="L17" s="535">
        <v>4758525</v>
      </c>
      <c r="M17" s="534">
        <v>11890.3</v>
      </c>
      <c r="N17" s="816">
        <v>11800</v>
      </c>
      <c r="O17" s="435">
        <v>25.916666666666664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586" t="e">
        <v>#REF!</v>
      </c>
      <c r="U17" s="586" t="e">
        <v>#REF!</v>
      </c>
      <c r="V17" s="818" t="e">
        <v>#REF!</v>
      </c>
      <c r="W17" s="434"/>
      <c r="X17" s="434"/>
      <c r="Y17" s="434"/>
      <c r="AM17" s="275">
        <v>0.46875</v>
      </c>
      <c r="AN17" s="582"/>
      <c r="AO17" s="582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814725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17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586" t="s">
        <v>211</v>
      </c>
      <c r="U18" s="586" t="s">
        <v>211</v>
      </c>
      <c r="V18" s="818"/>
      <c r="W18" s="434"/>
      <c r="X18" s="434"/>
      <c r="Y18" s="434"/>
      <c r="AM18" s="275">
        <v>0.47152777777777777</v>
      </c>
      <c r="AN18" s="582"/>
      <c r="AO18" s="582"/>
    </row>
    <row r="19" spans="1:41" ht="14.5" customHeight="1" thickBot="1" x14ac:dyDescent="0.4">
      <c r="A19" s="530" t="s">
        <v>552</v>
      </c>
      <c r="B19" s="528" t="s">
        <v>180</v>
      </c>
      <c r="C19" s="86">
        <v>215.625</v>
      </c>
      <c r="D19" s="86">
        <v>37.35</v>
      </c>
      <c r="E19" s="86">
        <v>16.192105263157895</v>
      </c>
      <c r="F19" s="167">
        <v>457500</v>
      </c>
      <c r="G19" s="167">
        <v>113998</v>
      </c>
      <c r="H19" s="532" t="s">
        <v>61</v>
      </c>
      <c r="I19" s="167">
        <v>17.43</v>
      </c>
      <c r="J19" s="532">
        <v>12500</v>
      </c>
      <c r="K19" s="167">
        <v>1.65</v>
      </c>
      <c r="L19" s="535">
        <v>4737225</v>
      </c>
      <c r="M19" s="534">
        <v>11915.6</v>
      </c>
      <c r="N19" s="816">
        <v>11800</v>
      </c>
      <c r="O19" s="435">
        <v>37.35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586" t="e">
        <v>#REF!</v>
      </c>
      <c r="U19" s="586" t="e">
        <v>#REF!</v>
      </c>
      <c r="V19" s="818" t="e">
        <v>#REF!</v>
      </c>
      <c r="W19" s="434"/>
      <c r="X19" s="434"/>
      <c r="Y19" s="434"/>
      <c r="AM19" s="275">
        <v>0.47916666666666669</v>
      </c>
      <c r="AN19" s="582"/>
      <c r="AO19" s="582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861975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17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586" t="s">
        <v>211</v>
      </c>
      <c r="U20" s="586" t="s">
        <v>211</v>
      </c>
      <c r="V20" s="818"/>
      <c r="W20" s="434"/>
      <c r="X20" s="434"/>
      <c r="Y20" s="434"/>
      <c r="AM20" s="275">
        <v>0.48194444444444445</v>
      </c>
      <c r="AN20" s="582"/>
      <c r="AO20" s="582"/>
    </row>
    <row r="21" spans="1:41" ht="14.5" customHeight="1" thickBot="1" x14ac:dyDescent="0.4">
      <c r="A21" s="530" t="s">
        <v>211</v>
      </c>
      <c r="B21" s="528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532" t="s">
        <v>211</v>
      </c>
      <c r="I21" s="167" t="s">
        <v>211</v>
      </c>
      <c r="J21" s="532" t="s">
        <v>211</v>
      </c>
      <c r="K21" s="167" t="s">
        <v>211</v>
      </c>
      <c r="L21" s="535" t="s">
        <v>211</v>
      </c>
      <c r="M21" s="534" t="s">
        <v>211</v>
      </c>
      <c r="N21" s="816" t="s">
        <v>211</v>
      </c>
      <c r="O21" s="435" t="s">
        <v>211</v>
      </c>
      <c r="P21" s="534" t="s">
        <v>211</v>
      </c>
      <c r="Q21" s="534" t="s">
        <v>211</v>
      </c>
      <c r="R21" s="534" t="s">
        <v>211</v>
      </c>
      <c r="S21" s="88" t="s">
        <v>211</v>
      </c>
      <c r="T21" s="586" t="s">
        <v>211</v>
      </c>
      <c r="U21" s="586" t="s">
        <v>211</v>
      </c>
      <c r="V21" s="818" t="s">
        <v>211</v>
      </c>
      <c r="W21" s="434"/>
      <c r="X21" s="434"/>
      <c r="Y21" s="434"/>
      <c r="AM21" s="275">
        <v>0.48958333333333331</v>
      </c>
      <c r="AN21" s="582"/>
      <c r="AO21" s="582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 t="s">
        <v>211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17"/>
      <c r="O22" s="435" t="s">
        <v>211</v>
      </c>
      <c r="P22" s="534" t="s">
        <v>211</v>
      </c>
      <c r="Q22" s="534" t="s">
        <v>211</v>
      </c>
      <c r="R22" s="534" t="s">
        <v>211</v>
      </c>
      <c r="S22" s="92" t="s">
        <v>211</v>
      </c>
      <c r="T22" s="586" t="s">
        <v>211</v>
      </c>
      <c r="U22" s="586" t="s">
        <v>211</v>
      </c>
      <c r="V22" s="818"/>
      <c r="W22" s="434"/>
      <c r="X22" s="434"/>
      <c r="Y22" s="434"/>
      <c r="AM22" s="275">
        <v>0.49236111111111108</v>
      </c>
      <c r="AN22" s="582"/>
      <c r="AO22" s="582"/>
    </row>
    <row r="23" spans="1:41" ht="14.5" customHeight="1" thickBot="1" x14ac:dyDescent="0.4">
      <c r="A23" s="530" t="s">
        <v>211</v>
      </c>
      <c r="B23" s="528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532" t="s">
        <v>211</v>
      </c>
      <c r="I23" s="167" t="s">
        <v>211</v>
      </c>
      <c r="J23" s="532" t="s">
        <v>211</v>
      </c>
      <c r="K23" s="167" t="s">
        <v>211</v>
      </c>
      <c r="L23" s="535" t="s">
        <v>211</v>
      </c>
      <c r="M23" s="534" t="s">
        <v>211</v>
      </c>
      <c r="N23" s="816" t="s">
        <v>211</v>
      </c>
      <c r="O23" s="435" t="s">
        <v>211</v>
      </c>
      <c r="P23" s="534" t="s">
        <v>211</v>
      </c>
      <c r="Q23" s="534" t="s">
        <v>211</v>
      </c>
      <c r="R23" s="534" t="s">
        <v>211</v>
      </c>
      <c r="S23" s="88" t="s">
        <v>211</v>
      </c>
      <c r="T23" s="586" t="s">
        <v>211</v>
      </c>
      <c r="U23" s="586" t="s">
        <v>211</v>
      </c>
      <c r="V23" s="818" t="s">
        <v>211</v>
      </c>
      <c r="W23" s="434"/>
      <c r="X23" s="434"/>
      <c r="Y23" s="434"/>
      <c r="AM23" s="275">
        <v>0.5</v>
      </c>
      <c r="AN23" s="582"/>
      <c r="AO23" s="582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 t="s">
        <v>211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17"/>
      <c r="O24" s="435" t="s">
        <v>211</v>
      </c>
      <c r="P24" s="534" t="s">
        <v>211</v>
      </c>
      <c r="Q24" s="534" t="s">
        <v>211</v>
      </c>
      <c r="R24" s="534" t="s">
        <v>211</v>
      </c>
      <c r="S24" s="92" t="s">
        <v>211</v>
      </c>
      <c r="T24" s="586" t="s">
        <v>211</v>
      </c>
      <c r="U24" s="586" t="s">
        <v>211</v>
      </c>
      <c r="V24" s="818"/>
      <c r="W24" s="434"/>
      <c r="X24" s="434"/>
      <c r="Y24" s="434"/>
      <c r="AM24" s="275">
        <v>0.50277777777777777</v>
      </c>
      <c r="AN24" s="582"/>
      <c r="AO24" s="582"/>
    </row>
    <row r="25" spans="1:41" ht="14.5" customHeight="1" thickBot="1" x14ac:dyDescent="0.4">
      <c r="A25" s="530" t="s">
        <v>211</v>
      </c>
      <c r="B25" s="528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32" t="s">
        <v>211</v>
      </c>
      <c r="I25" s="167" t="s">
        <v>211</v>
      </c>
      <c r="J25" s="532" t="s">
        <v>211</v>
      </c>
      <c r="K25" s="167" t="s">
        <v>211</v>
      </c>
      <c r="L25" s="535" t="s">
        <v>211</v>
      </c>
      <c r="M25" s="534" t="s">
        <v>211</v>
      </c>
      <c r="N25" s="816" t="s">
        <v>211</v>
      </c>
      <c r="O25" s="435" t="s">
        <v>211</v>
      </c>
      <c r="P25" s="534" t="s">
        <v>211</v>
      </c>
      <c r="Q25" s="534" t="s">
        <v>211</v>
      </c>
      <c r="R25" s="534" t="s">
        <v>211</v>
      </c>
      <c r="S25" s="88" t="s">
        <v>211</v>
      </c>
      <c r="T25" s="586" t="s">
        <v>211</v>
      </c>
      <c r="U25" s="586" t="s">
        <v>211</v>
      </c>
      <c r="V25" s="818" t="s">
        <v>211</v>
      </c>
      <c r="W25" s="434"/>
      <c r="X25" s="434"/>
      <c r="Y25" s="434"/>
      <c r="AM25" s="275">
        <v>0.51041666666666663</v>
      </c>
      <c r="AN25" s="582"/>
      <c r="AO25" s="582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17"/>
      <c r="O26" s="435" t="s">
        <v>211</v>
      </c>
      <c r="P26" s="534" t="s">
        <v>211</v>
      </c>
      <c r="Q26" s="534" t="s">
        <v>211</v>
      </c>
      <c r="R26" s="534" t="s">
        <v>211</v>
      </c>
      <c r="S26" s="92" t="s">
        <v>211</v>
      </c>
      <c r="T26" s="586" t="s">
        <v>211</v>
      </c>
      <c r="U26" s="586" t="s">
        <v>211</v>
      </c>
      <c r="V26" s="818"/>
      <c r="W26" s="434"/>
      <c r="X26" s="434"/>
      <c r="Y26" s="434"/>
      <c r="AM26" s="275">
        <v>0.5131944444444444</v>
      </c>
      <c r="AN26" s="582"/>
      <c r="AO26" s="582"/>
    </row>
    <row r="27" spans="1:41" ht="14.5" customHeight="1" thickBot="1" x14ac:dyDescent="0.4">
      <c r="A27" s="530" t="s">
        <v>575</v>
      </c>
      <c r="B27" s="528" t="s">
        <v>180</v>
      </c>
      <c r="C27" s="86">
        <v>210.71693548387094</v>
      </c>
      <c r="D27" s="86">
        <v>14.375000000000002</v>
      </c>
      <c r="E27" s="86">
        <v>14.748947368421049</v>
      </c>
      <c r="F27" s="167">
        <v>388725</v>
      </c>
      <c r="G27" s="167">
        <v>139511</v>
      </c>
      <c r="H27" s="532" t="s">
        <v>61</v>
      </c>
      <c r="I27" s="167">
        <v>17.260000000000002</v>
      </c>
      <c r="J27" s="532">
        <v>12500</v>
      </c>
      <c r="K27" s="167">
        <v>1.65</v>
      </c>
      <c r="L27" s="535">
        <v>4662075</v>
      </c>
      <c r="M27" s="534">
        <v>11916.4</v>
      </c>
      <c r="N27" s="816">
        <v>11800</v>
      </c>
      <c r="O27" s="435">
        <v>14.375000000000002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586" t="e">
        <v>#REF!</v>
      </c>
      <c r="U27" s="586" t="e">
        <v>#REF!</v>
      </c>
      <c r="V27" s="818" t="e">
        <v>#REF!</v>
      </c>
      <c r="W27" s="434"/>
      <c r="X27" s="434"/>
      <c r="Y27" s="434"/>
      <c r="AM27" s="275">
        <v>0.52083333333333337</v>
      </c>
      <c r="AN27" s="582"/>
      <c r="AO27" s="582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>
        <v>1097400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17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586" t="s">
        <v>211</v>
      </c>
      <c r="U28" s="586" t="s">
        <v>211</v>
      </c>
      <c r="V28" s="818"/>
      <c r="W28" s="434"/>
      <c r="X28" s="434"/>
      <c r="Y28" s="434"/>
      <c r="AM28" s="275">
        <v>0.52361111111111114</v>
      </c>
      <c r="AN28" s="582"/>
      <c r="AO28" s="582"/>
    </row>
    <row r="29" spans="1:41" ht="15" customHeight="1" thickBot="1" x14ac:dyDescent="0.4">
      <c r="A29" s="530" t="s">
        <v>576</v>
      </c>
      <c r="B29" s="528" t="s">
        <v>180</v>
      </c>
      <c r="C29" s="86">
        <v>262.03387096774202</v>
      </c>
      <c r="D29" s="86">
        <v>18.575000000000003</v>
      </c>
      <c r="E29" s="86">
        <v>15.816842105263159</v>
      </c>
      <c r="F29" s="167">
        <v>363975</v>
      </c>
      <c r="G29" s="167">
        <v>148665</v>
      </c>
      <c r="H29" s="532" t="s">
        <v>61</v>
      </c>
      <c r="I29" s="167">
        <v>17.78</v>
      </c>
      <c r="J29" s="532">
        <v>12500</v>
      </c>
      <c r="K29" s="167">
        <v>1.85</v>
      </c>
      <c r="L29" s="535">
        <v>4658625</v>
      </c>
      <c r="M29" s="534">
        <v>11946</v>
      </c>
      <c r="N29" s="816">
        <v>11800</v>
      </c>
      <c r="O29" s="435">
        <v>18.575000000000003</v>
      </c>
      <c r="P29" s="534" t="s">
        <v>211</v>
      </c>
      <c r="Q29" s="534" t="s">
        <v>211</v>
      </c>
      <c r="R29" s="534" t="s">
        <v>211</v>
      </c>
      <c r="S29" s="88" t="e">
        <v>#REF!</v>
      </c>
      <c r="T29" s="586" t="e">
        <v>#REF!</v>
      </c>
      <c r="U29" s="586" t="e">
        <v>#REF!</v>
      </c>
      <c r="V29" s="818" t="e">
        <v>#REF!</v>
      </c>
      <c r="W29" s="434"/>
      <c r="X29" s="434"/>
      <c r="Y29" s="434"/>
      <c r="AM29" s="275">
        <v>0.53125</v>
      </c>
      <c r="AO29" s="582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>
        <v>1101000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17"/>
      <c r="O30" s="435" t="s">
        <v>211</v>
      </c>
      <c r="P30" s="534" t="s">
        <v>211</v>
      </c>
      <c r="Q30" s="534" t="s">
        <v>211</v>
      </c>
      <c r="R30" s="534" t="s">
        <v>211</v>
      </c>
      <c r="S30" s="92" t="e">
        <v>#REF!</v>
      </c>
      <c r="T30" s="586" t="s">
        <v>211</v>
      </c>
      <c r="U30" s="586" t="s">
        <v>211</v>
      </c>
      <c r="V30" s="818"/>
      <c r="W30" s="434"/>
      <c r="X30" s="434"/>
      <c r="Y30" s="434"/>
      <c r="AM30" s="275">
        <v>0.53402777777777777</v>
      </c>
      <c r="AO30" s="582"/>
    </row>
    <row r="31" spans="1:41" ht="15" customHeight="1" thickBot="1" x14ac:dyDescent="0.4">
      <c r="A31" s="530" t="s">
        <v>577</v>
      </c>
      <c r="B31" s="528" t="s">
        <v>180</v>
      </c>
      <c r="C31" s="86">
        <v>253.01612903225802</v>
      </c>
      <c r="D31" s="86">
        <v>12.450000000000001</v>
      </c>
      <c r="E31" s="86">
        <v>15.732631578947366</v>
      </c>
      <c r="F31" s="167">
        <v>391650</v>
      </c>
      <c r="G31" s="167">
        <v>40745</v>
      </c>
      <c r="H31" s="532" t="s">
        <v>61</v>
      </c>
      <c r="I31" s="167">
        <v>18.86</v>
      </c>
      <c r="J31" s="532">
        <v>12500</v>
      </c>
      <c r="K31" s="167">
        <v>1.8</v>
      </c>
      <c r="L31" s="535">
        <v>4660725</v>
      </c>
      <c r="M31" s="534">
        <v>11913.65</v>
      </c>
      <c r="N31" s="816">
        <v>11800</v>
      </c>
      <c r="O31" s="435">
        <v>12.450000000000001</v>
      </c>
      <c r="P31" s="534" t="s">
        <v>211</v>
      </c>
      <c r="Q31" s="534" t="s">
        <v>211</v>
      </c>
      <c r="R31" s="534" t="s">
        <v>211</v>
      </c>
      <c r="S31" s="88" t="e">
        <v>#REF!</v>
      </c>
      <c r="T31" s="586" t="e">
        <v>#REF!</v>
      </c>
      <c r="U31" s="586" t="e">
        <v>#REF!</v>
      </c>
      <c r="V31" s="818" t="e">
        <v>#REF!</v>
      </c>
      <c r="W31" s="434"/>
      <c r="X31" s="434"/>
      <c r="Y31" s="434"/>
      <c r="AM31" s="275">
        <v>0.54166666666666663</v>
      </c>
      <c r="AO31" s="582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>
        <v>1163775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17"/>
      <c r="O32" s="435" t="s">
        <v>211</v>
      </c>
      <c r="P32" s="534" t="s">
        <v>211</v>
      </c>
      <c r="Q32" s="534" t="s">
        <v>211</v>
      </c>
      <c r="R32" s="534" t="s">
        <v>211</v>
      </c>
      <c r="S32" s="92" t="e">
        <v>#REF!</v>
      </c>
      <c r="T32" s="586" t="s">
        <v>211</v>
      </c>
      <c r="U32" s="586" t="s">
        <v>211</v>
      </c>
      <c r="V32" s="818"/>
      <c r="W32" s="434"/>
      <c r="X32" s="434"/>
      <c r="Y32" s="434"/>
      <c r="AM32" s="275">
        <v>0.5444444444444444</v>
      </c>
      <c r="AO32" s="582"/>
    </row>
    <row r="33" spans="1:41" ht="15" customHeight="1" thickBot="1" x14ac:dyDescent="0.4">
      <c r="A33" s="530" t="s">
        <v>578</v>
      </c>
      <c r="B33" s="528" t="s">
        <v>180</v>
      </c>
      <c r="C33" s="86">
        <v>259.90483870967734</v>
      </c>
      <c r="D33" s="86">
        <v>17.333333333333329</v>
      </c>
      <c r="E33" s="86">
        <v>15.463421052631579</v>
      </c>
      <c r="F33" s="167">
        <v>411525</v>
      </c>
      <c r="G33" s="167">
        <v>235508</v>
      </c>
      <c r="H33" s="532" t="s">
        <v>61</v>
      </c>
      <c r="I33" s="167">
        <v>17.18</v>
      </c>
      <c r="J33" s="532">
        <v>12500</v>
      </c>
      <c r="K33" s="167">
        <v>1.75</v>
      </c>
      <c r="L33" s="535">
        <v>4631550</v>
      </c>
      <c r="M33" s="534">
        <v>11943.05</v>
      </c>
      <c r="N33" s="816">
        <v>11800</v>
      </c>
      <c r="O33" s="435">
        <v>17.333333333333329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586" t="e">
        <v>#REF!</v>
      </c>
      <c r="U33" s="586" t="e">
        <v>#REF!</v>
      </c>
      <c r="V33" s="818" t="e">
        <v>#REF!</v>
      </c>
      <c r="W33" s="434"/>
      <c r="X33" s="434"/>
      <c r="Y33" s="434"/>
      <c r="AM33" s="275">
        <v>0.55208333333333337</v>
      </c>
      <c r="AO33" s="582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1206375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17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586" t="s">
        <v>211</v>
      </c>
      <c r="U34" s="586" t="s">
        <v>211</v>
      </c>
      <c r="V34" s="818"/>
      <c r="W34" s="434"/>
      <c r="X34" s="434"/>
      <c r="Y34" s="434"/>
      <c r="AM34" s="275">
        <v>0.55486111111111114</v>
      </c>
      <c r="AO34" s="582"/>
    </row>
    <row r="35" spans="1:41" ht="15" customHeight="1" thickBot="1" x14ac:dyDescent="0.4">
      <c r="A35" s="530" t="s">
        <v>579</v>
      </c>
      <c r="B35" s="528" t="s">
        <v>180</v>
      </c>
      <c r="C35" s="86">
        <v>258.2862903225805</v>
      </c>
      <c r="D35" s="86">
        <v>16.316666666666663</v>
      </c>
      <c r="E35" s="86">
        <v>15.681578947368424</v>
      </c>
      <c r="F35" s="167">
        <v>506475</v>
      </c>
      <c r="G35" s="167">
        <v>248514</v>
      </c>
      <c r="H35" s="532" t="s">
        <v>61</v>
      </c>
      <c r="I35" s="167">
        <v>17.510000000000002</v>
      </c>
      <c r="J35" s="532">
        <v>12500</v>
      </c>
      <c r="K35" s="167">
        <v>1.7</v>
      </c>
      <c r="L35" s="535">
        <v>4617525</v>
      </c>
      <c r="M35" s="534">
        <v>11941.9</v>
      </c>
      <c r="N35" s="816">
        <v>11800</v>
      </c>
      <c r="O35" s="435">
        <v>16.316666666666663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586" t="e">
        <v>#REF!</v>
      </c>
      <c r="U35" s="586" t="e">
        <v>#REF!</v>
      </c>
      <c r="V35" s="818" t="e">
        <v>#REF!</v>
      </c>
      <c r="W35" s="434"/>
      <c r="X35" s="434"/>
      <c r="Y35" s="434"/>
      <c r="AM35" s="275">
        <v>0.5625</v>
      </c>
      <c r="AO35" s="582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1227825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17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586" t="s">
        <v>211</v>
      </c>
      <c r="U36" s="586" t="s">
        <v>211</v>
      </c>
      <c r="V36" s="818"/>
      <c r="W36" s="434"/>
      <c r="X36" s="434"/>
      <c r="Y36" s="434"/>
      <c r="AM36" s="275">
        <v>0.56527777777777777</v>
      </c>
      <c r="AO36" s="582"/>
    </row>
    <row r="37" spans="1:41" ht="15" customHeight="1" thickBot="1" x14ac:dyDescent="0.4">
      <c r="A37" s="530" t="s">
        <v>211</v>
      </c>
      <c r="B37" s="528" t="s">
        <v>211</v>
      </c>
      <c r="C37" s="86" t="s">
        <v>211</v>
      </c>
      <c r="D37" s="86" t="s">
        <v>211</v>
      </c>
      <c r="E37" s="86" t="s">
        <v>211</v>
      </c>
      <c r="F37" s="167" t="s">
        <v>211</v>
      </c>
      <c r="G37" s="167" t="s">
        <v>211</v>
      </c>
      <c r="H37" s="532" t="s">
        <v>211</v>
      </c>
      <c r="I37" s="167" t="s">
        <v>211</v>
      </c>
      <c r="J37" s="532" t="s">
        <v>211</v>
      </c>
      <c r="K37" s="167" t="s">
        <v>211</v>
      </c>
      <c r="L37" s="535" t="s">
        <v>211</v>
      </c>
      <c r="M37" s="534" t="s">
        <v>211</v>
      </c>
      <c r="N37" s="816" t="s">
        <v>211</v>
      </c>
      <c r="O37" s="435" t="s">
        <v>211</v>
      </c>
      <c r="P37" s="534" t="s">
        <v>211</v>
      </c>
      <c r="Q37" s="534" t="s">
        <v>211</v>
      </c>
      <c r="R37" s="534" t="s">
        <v>211</v>
      </c>
      <c r="S37" s="88" t="s">
        <v>211</v>
      </c>
      <c r="T37" s="586" t="s">
        <v>211</v>
      </c>
      <c r="U37" s="586" t="s">
        <v>211</v>
      </c>
      <c r="V37" s="818" t="s">
        <v>211</v>
      </c>
      <c r="W37" s="434"/>
      <c r="X37" s="434"/>
      <c r="Y37" s="434"/>
      <c r="AM37" s="275">
        <v>0.57291666666666663</v>
      </c>
      <c r="AO37" s="582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 t="s">
        <v>211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17"/>
      <c r="O38" s="435" t="s">
        <v>211</v>
      </c>
      <c r="P38" s="534" t="s">
        <v>211</v>
      </c>
      <c r="Q38" s="534" t="s">
        <v>211</v>
      </c>
      <c r="R38" s="534" t="s">
        <v>211</v>
      </c>
      <c r="S38" s="92" t="s">
        <v>211</v>
      </c>
      <c r="T38" s="586" t="s">
        <v>211</v>
      </c>
      <c r="U38" s="586" t="s">
        <v>211</v>
      </c>
      <c r="V38" s="818"/>
      <c r="W38" s="434"/>
      <c r="X38" s="434"/>
      <c r="Y38" s="434"/>
      <c r="AM38" s="275">
        <v>0.5756944444444444</v>
      </c>
      <c r="AO38" s="582"/>
    </row>
    <row r="39" spans="1:41" ht="15" customHeight="1" thickBot="1" x14ac:dyDescent="0.4">
      <c r="A39" s="530" t="s">
        <v>211</v>
      </c>
      <c r="B39" s="528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532" t="s">
        <v>211</v>
      </c>
      <c r="I39" s="167" t="s">
        <v>211</v>
      </c>
      <c r="J39" s="532" t="s">
        <v>211</v>
      </c>
      <c r="K39" s="167" t="s">
        <v>211</v>
      </c>
      <c r="L39" s="535" t="s">
        <v>211</v>
      </c>
      <c r="M39" s="534" t="s">
        <v>211</v>
      </c>
      <c r="N39" s="816" t="s">
        <v>211</v>
      </c>
      <c r="O39" s="435" t="s">
        <v>211</v>
      </c>
      <c r="P39" s="534" t="s">
        <v>211</v>
      </c>
      <c r="Q39" s="534" t="s">
        <v>211</v>
      </c>
      <c r="R39" s="534" t="s">
        <v>211</v>
      </c>
      <c r="S39" s="88" t="s">
        <v>211</v>
      </c>
      <c r="T39" s="416" t="s">
        <v>211</v>
      </c>
      <c r="U39" s="586" t="s">
        <v>211</v>
      </c>
      <c r="V39" s="818" t="s">
        <v>211</v>
      </c>
      <c r="W39" s="434"/>
      <c r="X39" s="434"/>
      <c r="Y39" s="434"/>
      <c r="AM39" s="275">
        <v>0.58333333333333337</v>
      </c>
      <c r="AO39" s="582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 t="s">
        <v>211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17"/>
      <c r="O40" s="435" t="s">
        <v>211</v>
      </c>
      <c r="P40" s="534" t="s">
        <v>211</v>
      </c>
      <c r="Q40" s="534" t="s">
        <v>211</v>
      </c>
      <c r="R40" s="534" t="s">
        <v>211</v>
      </c>
      <c r="S40" s="92" t="s">
        <v>211</v>
      </c>
      <c r="T40" s="587" t="s">
        <v>211</v>
      </c>
      <c r="U40" s="417" t="s">
        <v>211</v>
      </c>
      <c r="V40" s="818"/>
      <c r="W40" s="434"/>
      <c r="X40" s="434"/>
      <c r="Y40" s="434"/>
      <c r="AM40" s="275">
        <v>0.58611111111111114</v>
      </c>
      <c r="AO40" s="582"/>
    </row>
    <row r="41" spans="1:41" ht="15" customHeight="1" thickBot="1" x14ac:dyDescent="0.4">
      <c r="A41" s="530" t="s">
        <v>580</v>
      </c>
      <c r="B41" s="528" t="s">
        <v>180</v>
      </c>
      <c r="C41" s="86">
        <v>256.87177419354828</v>
      </c>
      <c r="D41" s="86">
        <v>14.999999999999996</v>
      </c>
      <c r="E41" s="86">
        <v>15.34578947368421</v>
      </c>
      <c r="F41" s="167">
        <v>641475</v>
      </c>
      <c r="G41" s="167">
        <v>281906</v>
      </c>
      <c r="H41" s="532" t="s">
        <v>61</v>
      </c>
      <c r="I41" s="167">
        <v>16.850000000000001</v>
      </c>
      <c r="J41" s="532">
        <v>12500</v>
      </c>
      <c r="K41" s="167">
        <v>1.6</v>
      </c>
      <c r="L41" s="535">
        <v>4580025</v>
      </c>
      <c r="M41" s="435">
        <v>11946.7</v>
      </c>
      <c r="N41" s="816">
        <v>11800</v>
      </c>
      <c r="O41" s="435">
        <v>14.999999999999996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586" t="e">
        <v>#REF!</v>
      </c>
      <c r="U41" s="586" t="e">
        <v>#REF!</v>
      </c>
      <c r="V41" s="818" t="e">
        <v>#REF!</v>
      </c>
      <c r="W41" s="434"/>
      <c r="X41" s="434"/>
      <c r="Y41" s="434"/>
      <c r="AM41" s="275">
        <v>0.59375</v>
      </c>
      <c r="AO41" s="582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1225350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17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18"/>
      <c r="W42" s="434"/>
      <c r="X42" s="434"/>
      <c r="Y42" s="434"/>
      <c r="AM42" s="275">
        <v>0.59652777777777777</v>
      </c>
      <c r="AO42" s="582"/>
    </row>
    <row r="43" spans="1:41" ht="15" customHeight="1" thickBot="1" x14ac:dyDescent="0.4">
      <c r="A43" s="530" t="s">
        <v>581</v>
      </c>
      <c r="B43" s="528" t="s">
        <v>180</v>
      </c>
      <c r="C43" s="86">
        <v>252.28467741935481</v>
      </c>
      <c r="D43" s="86">
        <v>0.82500000000000284</v>
      </c>
      <c r="E43" s="86">
        <v>15.41</v>
      </c>
      <c r="F43" s="167">
        <v>690675</v>
      </c>
      <c r="G43" s="167">
        <v>301732</v>
      </c>
      <c r="H43" s="532" t="s">
        <v>61</v>
      </c>
      <c r="I43" s="167">
        <v>17.13</v>
      </c>
      <c r="J43" s="532">
        <v>12500</v>
      </c>
      <c r="K43" s="167">
        <v>1.55</v>
      </c>
      <c r="L43" s="535">
        <v>4568400</v>
      </c>
      <c r="M43" s="534">
        <v>11922.2</v>
      </c>
      <c r="N43" s="816">
        <v>11800</v>
      </c>
      <c r="O43" s="435">
        <v>0.82500000000000284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586" t="e">
        <v>#REF!</v>
      </c>
      <c r="U43" s="586" t="e">
        <v>#REF!</v>
      </c>
      <c r="V43" s="818" t="e">
        <v>#REF!</v>
      </c>
      <c r="W43" s="434"/>
      <c r="X43" s="434"/>
      <c r="Y43" s="434"/>
      <c r="AM43" s="275">
        <v>0.60416666666666663</v>
      </c>
      <c r="AO43" s="582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1234650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17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18"/>
      <c r="W44" s="434"/>
      <c r="X44" s="434"/>
      <c r="Y44" s="434"/>
      <c r="AM44" s="275">
        <v>0.6069444444444444</v>
      </c>
      <c r="AO44" s="582"/>
    </row>
    <row r="45" spans="1:41" ht="15" customHeight="1" thickBot="1" x14ac:dyDescent="0.4">
      <c r="A45" s="530" t="s">
        <v>211</v>
      </c>
      <c r="B45" s="528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532" t="s">
        <v>211</v>
      </c>
      <c r="I45" s="167" t="s">
        <v>211</v>
      </c>
      <c r="J45" s="532" t="s">
        <v>211</v>
      </c>
      <c r="K45" s="167" t="s">
        <v>211</v>
      </c>
      <c r="L45" s="535" t="s">
        <v>211</v>
      </c>
      <c r="M45" s="534" t="s">
        <v>211</v>
      </c>
      <c r="N45" s="816" t="s">
        <v>211</v>
      </c>
      <c r="O45" s="435" t="s">
        <v>211</v>
      </c>
      <c r="P45" s="534" t="s">
        <v>211</v>
      </c>
      <c r="Q45" s="534" t="s">
        <v>211</v>
      </c>
      <c r="R45" s="534" t="s">
        <v>211</v>
      </c>
      <c r="S45" s="88" t="s">
        <v>211</v>
      </c>
      <c r="T45" s="586" t="s">
        <v>211</v>
      </c>
      <c r="U45" s="586" t="s">
        <v>211</v>
      </c>
      <c r="V45" s="818" t="s">
        <v>211</v>
      </c>
      <c r="W45" s="434"/>
      <c r="X45" s="434"/>
      <c r="Y45" s="434"/>
      <c r="AM45" s="275">
        <v>0.61458333333333337</v>
      </c>
      <c r="AO45" s="582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 t="s">
        <v>211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17"/>
      <c r="O46" s="435" t="s">
        <v>211</v>
      </c>
      <c r="P46" s="534" t="s">
        <v>211</v>
      </c>
      <c r="Q46" s="534" t="s">
        <v>211</v>
      </c>
      <c r="R46" s="534" t="s">
        <v>211</v>
      </c>
      <c r="S46" s="92" t="s">
        <v>211</v>
      </c>
      <c r="T46" s="413" t="s">
        <v>211</v>
      </c>
      <c r="U46" s="413" t="s">
        <v>211</v>
      </c>
      <c r="V46" s="818"/>
      <c r="W46" s="434"/>
      <c r="X46" s="434"/>
      <c r="Y46" s="434"/>
      <c r="AM46" s="275">
        <v>0.61736111111111114</v>
      </c>
      <c r="AO46" s="582"/>
    </row>
    <row r="47" spans="1:41" ht="15" customHeight="1" thickBot="1" x14ac:dyDescent="0.4">
      <c r="A47" s="530" t="s">
        <v>582</v>
      </c>
      <c r="B47" s="528" t="s">
        <v>180</v>
      </c>
      <c r="C47" s="86">
        <v>242.38387096774196</v>
      </c>
      <c r="D47" s="86">
        <v>2.5499999999999989</v>
      </c>
      <c r="E47" s="86">
        <v>13.733684210526317</v>
      </c>
      <c r="F47" s="167">
        <v>573375</v>
      </c>
      <c r="G47" s="167">
        <v>354757</v>
      </c>
      <c r="H47" s="532" t="s">
        <v>61</v>
      </c>
      <c r="I47" s="167">
        <v>15.35</v>
      </c>
      <c r="J47" s="532">
        <v>12500</v>
      </c>
      <c r="K47" s="167">
        <v>1.6</v>
      </c>
      <c r="L47" s="535">
        <v>4513200</v>
      </c>
      <c r="M47" s="435">
        <v>11928.2</v>
      </c>
      <c r="N47" s="816">
        <v>11800</v>
      </c>
      <c r="O47" s="435">
        <v>2.5499999999999989</v>
      </c>
      <c r="P47" s="534" t="s">
        <v>211</v>
      </c>
      <c r="Q47" s="534" t="s">
        <v>211</v>
      </c>
      <c r="R47" s="534" t="s">
        <v>211</v>
      </c>
      <c r="S47" s="818" t="e">
        <v>#REF!</v>
      </c>
      <c r="T47" s="586" t="e">
        <v>#REF!</v>
      </c>
      <c r="U47" s="414" t="e">
        <v>#REF!</v>
      </c>
      <c r="V47" s="818" t="e">
        <v>#REF!</v>
      </c>
      <c r="W47" s="434"/>
      <c r="X47" s="434"/>
      <c r="Y47" s="434"/>
      <c r="AM47" s="275">
        <v>0.625</v>
      </c>
      <c r="AO47" s="582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1203750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17"/>
      <c r="O48" s="435" t="s">
        <v>211</v>
      </c>
      <c r="P48" s="534" t="s">
        <v>211</v>
      </c>
      <c r="Q48" s="534" t="s">
        <v>211</v>
      </c>
      <c r="R48" s="534" t="s">
        <v>211</v>
      </c>
      <c r="S48" s="818" t="e">
        <v>#REF!</v>
      </c>
      <c r="T48" s="413" t="s">
        <v>211</v>
      </c>
      <c r="U48" s="579" t="s">
        <v>211</v>
      </c>
      <c r="V48" s="818"/>
      <c r="W48" s="434"/>
      <c r="X48" s="434"/>
      <c r="Y48" s="434"/>
      <c r="AM48" s="275">
        <v>0.62777777777777777</v>
      </c>
      <c r="AO48" s="582"/>
    </row>
    <row r="49" spans="1:41" ht="15" customHeight="1" thickBot="1" x14ac:dyDescent="0.4">
      <c r="A49" s="530" t="s">
        <v>583</v>
      </c>
      <c r="B49" s="528" t="s">
        <v>180</v>
      </c>
      <c r="C49" s="86">
        <v>238.73951612903221</v>
      </c>
      <c r="D49" s="86">
        <v>-9.1666666666666785E-2</v>
      </c>
      <c r="E49" s="86">
        <v>13.637894736842107</v>
      </c>
      <c r="F49" s="167">
        <v>388800</v>
      </c>
      <c r="G49" s="167">
        <v>371195</v>
      </c>
      <c r="H49" s="532" t="s">
        <v>61</v>
      </c>
      <c r="I49" s="167">
        <v>15.29</v>
      </c>
      <c r="J49" s="532">
        <v>12500</v>
      </c>
      <c r="K49" s="167">
        <v>1.5</v>
      </c>
      <c r="L49" s="535">
        <v>4501125</v>
      </c>
      <c r="M49" s="435">
        <v>11921.55</v>
      </c>
      <c r="N49" s="816">
        <v>11800</v>
      </c>
      <c r="O49" s="435">
        <v>-9.1666666666666785E-2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586" t="e">
        <v>#REF!</v>
      </c>
      <c r="U49" s="586" t="e">
        <v>#REF!</v>
      </c>
      <c r="V49" s="818" t="e">
        <v>#REF!</v>
      </c>
      <c r="W49" s="434"/>
      <c r="X49" s="434"/>
      <c r="Y49" s="434"/>
      <c r="AM49" s="275">
        <v>0.63541666666666663</v>
      </c>
      <c r="AO49" s="582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1147500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17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18"/>
      <c r="W50" s="434"/>
      <c r="X50" s="434"/>
      <c r="Y50" s="434"/>
      <c r="AM50" s="275">
        <v>0.6381944444444444</v>
      </c>
      <c r="AO50" s="582"/>
    </row>
    <row r="51" spans="1:41" ht="15" customHeight="1" thickBot="1" x14ac:dyDescent="0.4">
      <c r="A51" s="530" t="s">
        <v>584</v>
      </c>
      <c r="B51" s="528" t="s">
        <v>180</v>
      </c>
      <c r="C51" s="86">
        <v>233.30241935483889</v>
      </c>
      <c r="D51" s="86">
        <v>-3.2000000000000011</v>
      </c>
      <c r="E51" s="86">
        <v>13.639999999999997</v>
      </c>
      <c r="F51" s="167">
        <v>433425</v>
      </c>
      <c r="G51" s="167">
        <v>69716</v>
      </c>
      <c r="H51" s="532" t="s">
        <v>61</v>
      </c>
      <c r="I51" s="167">
        <v>18.100000000000001</v>
      </c>
      <c r="J51" s="532">
        <v>12500</v>
      </c>
      <c r="K51" s="167">
        <v>1.55</v>
      </c>
      <c r="L51" s="535">
        <v>4405650</v>
      </c>
      <c r="M51" s="534">
        <v>11920.5</v>
      </c>
      <c r="N51" s="816">
        <v>11800</v>
      </c>
      <c r="O51" s="435">
        <v>-3.2000000000000011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586" t="e">
        <v>#REF!</v>
      </c>
      <c r="U51" s="586" t="e">
        <v>#REF!</v>
      </c>
      <c r="V51" s="818" t="e">
        <v>#REF!</v>
      </c>
      <c r="W51" s="434"/>
      <c r="X51" s="434"/>
      <c r="Y51" s="434"/>
      <c r="AM51" s="275">
        <v>0.64583333333333337</v>
      </c>
      <c r="AO51" s="582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973650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17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18"/>
      <c r="W52" s="434"/>
      <c r="X52" s="434"/>
      <c r="Y52" s="434"/>
      <c r="AM52" s="275">
        <v>0.64861111111111114</v>
      </c>
      <c r="AO52" s="582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12D3E-DFC2-4575-8584-31CB58821B82}">
  <sheetPr codeName="Sheet24"/>
  <dimension ref="A1:AS52"/>
  <sheetViews>
    <sheetView topLeftCell="A40" workbookViewId="0">
      <selection activeCell="I12" sqref="I12"/>
    </sheetView>
  </sheetViews>
  <sheetFormatPr defaultColWidth="9.1796875" defaultRowHeight="14.5" x14ac:dyDescent="0.35"/>
  <cols>
    <col min="1" max="1" width="9.1796875" style="562"/>
    <col min="2" max="2" width="9.1796875" style="274"/>
    <col min="3" max="3" width="5.453125" style="562" customWidth="1"/>
    <col min="4" max="4" width="8.453125" style="562" customWidth="1"/>
    <col min="5" max="5" width="8.7265625" style="562" customWidth="1"/>
    <col min="6" max="6" width="12.7265625" style="561" customWidth="1"/>
    <col min="7" max="7" width="13" style="561" customWidth="1"/>
    <col min="8" max="9" width="6.453125" style="562" customWidth="1"/>
    <col min="10" max="10" width="10.08984375" style="562" customWidth="1"/>
    <col min="11" max="11" width="8" style="562" customWidth="1"/>
    <col min="12" max="12" width="13.54296875" style="561" customWidth="1"/>
    <col min="13" max="13" width="8.26953125" style="562" customWidth="1"/>
    <col min="14" max="14" width="9.453125" style="562" hidden="1" customWidth="1"/>
    <col min="15" max="15" width="12.453125" style="562" bestFit="1" customWidth="1"/>
    <col min="16" max="18" width="9.1796875" style="562"/>
    <col min="19" max="19" width="5.453125" style="562" hidden="1" customWidth="1"/>
    <col min="20" max="20" width="6.81640625" style="562" hidden="1" customWidth="1"/>
    <col min="21" max="22" width="0" style="562" hidden="1" customWidth="1"/>
    <col min="23" max="25" width="9.1796875" style="562"/>
    <col min="26" max="26" width="9.453125" style="562" customWidth="1"/>
    <col min="27" max="38" width="9.1796875" style="562"/>
    <col min="39" max="40" width="7.90625" style="562" bestFit="1" customWidth="1"/>
    <col min="41" max="41" width="9.6328125" style="562" bestFit="1" customWidth="1"/>
    <col min="42" max="44" width="9.1796875" style="562"/>
    <col min="45" max="45" width="0" style="562" hidden="1" customWidth="1"/>
    <col min="46" max="16384" width="9.1796875" style="562"/>
  </cols>
  <sheetData>
    <row r="1" spans="1:45" ht="14.5" customHeight="1" thickBot="1" x14ac:dyDescent="0.4">
      <c r="A1" s="80"/>
      <c r="B1" s="273"/>
      <c r="C1" s="647" t="s">
        <v>53</v>
      </c>
      <c r="D1" s="643"/>
      <c r="E1" s="537"/>
      <c r="F1" s="537"/>
      <c r="G1" s="537"/>
      <c r="H1" s="566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">
        <v>551</v>
      </c>
      <c r="R1" s="814"/>
      <c r="S1" s="810" t="s">
        <v>87</v>
      </c>
      <c r="T1" s="811"/>
      <c r="U1" s="811"/>
      <c r="V1" s="815"/>
      <c r="W1" s="432"/>
      <c r="X1" s="432"/>
      <c r="Y1" s="432"/>
      <c r="Z1" s="563"/>
      <c r="AA1" s="563"/>
      <c r="AB1" s="563"/>
      <c r="AC1" s="563"/>
      <c r="AD1" s="563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564" t="s">
        <v>530</v>
      </c>
      <c r="D2" s="565" t="s">
        <v>531</v>
      </c>
      <c r="E2" s="565" t="s">
        <v>3</v>
      </c>
      <c r="F2" s="166" t="s">
        <v>35</v>
      </c>
      <c r="G2" s="166" t="s">
        <v>37</v>
      </c>
      <c r="H2" s="566" t="s">
        <v>43</v>
      </c>
      <c r="I2" s="81" t="s">
        <v>88</v>
      </c>
      <c r="J2" s="564" t="s">
        <v>14</v>
      </c>
      <c r="K2" s="565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63"/>
      <c r="AA2" s="563"/>
      <c r="AB2" s="271" t="s">
        <v>97</v>
      </c>
      <c r="AC2" s="272" t="s">
        <v>98</v>
      </c>
      <c r="AD2" s="563"/>
      <c r="AS2" s="563" t="s">
        <v>99</v>
      </c>
    </row>
    <row r="3" spans="1:45" ht="14.5" customHeight="1" thickBot="1" x14ac:dyDescent="0.4">
      <c r="A3" s="530" t="s">
        <v>211</v>
      </c>
      <c r="B3" s="52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532" t="s">
        <v>211</v>
      </c>
      <c r="I3" s="167" t="s">
        <v>211</v>
      </c>
      <c r="J3" s="532" t="s">
        <v>211</v>
      </c>
      <c r="K3" s="167" t="s">
        <v>211</v>
      </c>
      <c r="L3" s="535" t="s">
        <v>211</v>
      </c>
      <c r="M3" s="534" t="s">
        <v>211</v>
      </c>
      <c r="N3" s="816" t="s">
        <v>211</v>
      </c>
      <c r="O3" s="435" t="s">
        <v>211</v>
      </c>
      <c r="P3" s="534" t="s">
        <v>211</v>
      </c>
      <c r="Q3" s="534" t="s">
        <v>211</v>
      </c>
      <c r="R3" s="534" t="s">
        <v>211</v>
      </c>
      <c r="S3" s="88" t="s">
        <v>211</v>
      </c>
      <c r="T3" s="567" t="s">
        <v>211</v>
      </c>
      <c r="U3" s="567" t="s">
        <v>211</v>
      </c>
      <c r="V3" s="818" t="s">
        <v>211</v>
      </c>
      <c r="W3" s="434"/>
      <c r="X3" s="434"/>
      <c r="Y3" s="434"/>
      <c r="Z3" s="563"/>
      <c r="AA3" s="563"/>
      <c r="AB3" s="563"/>
      <c r="AC3" s="563"/>
      <c r="AD3" s="563"/>
      <c r="AL3" s="563" t="s">
        <v>171</v>
      </c>
      <c r="AM3" s="275">
        <v>0.39583333333333331</v>
      </c>
      <c r="AN3" s="89">
        <v>43610.934526504629</v>
      </c>
      <c r="AO3" s="563" t="s">
        <v>207</v>
      </c>
      <c r="AS3" s="563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 t="s">
        <v>211</v>
      </c>
      <c r="G4" s="168" t="s">
        <v>211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17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211</v>
      </c>
      <c r="T4" s="567" t="s">
        <v>211</v>
      </c>
      <c r="U4" s="567" t="s">
        <v>211</v>
      </c>
      <c r="V4" s="818"/>
      <c r="W4" s="434"/>
      <c r="X4" s="434"/>
      <c r="Y4" s="434"/>
      <c r="Z4" s="563"/>
      <c r="AA4" s="563"/>
      <c r="AB4" s="563"/>
      <c r="AC4" s="563"/>
      <c r="AD4" s="563"/>
      <c r="AL4" s="563" t="s">
        <v>172</v>
      </c>
      <c r="AM4" s="275">
        <v>0.39861111111111108</v>
      </c>
      <c r="AN4" s="563"/>
      <c r="AO4" s="563"/>
    </row>
    <row r="5" spans="1:45" ht="14.5" customHeight="1" thickBot="1" x14ac:dyDescent="0.4">
      <c r="A5" s="530" t="s">
        <v>211</v>
      </c>
      <c r="B5" s="528" t="s">
        <v>211</v>
      </c>
      <c r="C5" s="86" t="s">
        <v>211</v>
      </c>
      <c r="D5" s="86" t="s">
        <v>211</v>
      </c>
      <c r="E5" s="86" t="s">
        <v>211</v>
      </c>
      <c r="F5" s="167" t="s">
        <v>211</v>
      </c>
      <c r="G5" s="167" t="s">
        <v>211</v>
      </c>
      <c r="H5" s="532" t="s">
        <v>211</v>
      </c>
      <c r="I5" s="167" t="s">
        <v>211</v>
      </c>
      <c r="J5" s="532" t="s">
        <v>211</v>
      </c>
      <c r="K5" s="167" t="s">
        <v>211</v>
      </c>
      <c r="L5" s="535" t="s">
        <v>211</v>
      </c>
      <c r="M5" s="435" t="s">
        <v>211</v>
      </c>
      <c r="N5" s="816" t="s">
        <v>211</v>
      </c>
      <c r="O5" s="435" t="s">
        <v>211</v>
      </c>
      <c r="P5" s="534" t="s">
        <v>211</v>
      </c>
      <c r="Q5" s="534" t="s">
        <v>211</v>
      </c>
      <c r="R5" s="534" t="s">
        <v>211</v>
      </c>
      <c r="S5" s="88" t="s">
        <v>211</v>
      </c>
      <c r="T5" s="567" t="s">
        <v>211</v>
      </c>
      <c r="U5" s="567" t="s">
        <v>211</v>
      </c>
      <c r="V5" s="818" t="s">
        <v>211</v>
      </c>
      <c r="W5" s="434"/>
      <c r="X5" s="434"/>
      <c r="Y5" s="434"/>
      <c r="Z5" s="563"/>
      <c r="AA5" s="563"/>
      <c r="AB5" s="563"/>
      <c r="AC5" s="563"/>
      <c r="AD5" s="563"/>
      <c r="AM5" s="275">
        <v>0.40625</v>
      </c>
      <c r="AN5" s="563"/>
      <c r="AO5" s="563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 t="s">
        <v>211</v>
      </c>
      <c r="G6" s="168" t="s">
        <v>211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17"/>
      <c r="O6" s="435" t="s">
        <v>211</v>
      </c>
      <c r="P6" s="534" t="s">
        <v>211</v>
      </c>
      <c r="Q6" s="534" t="s">
        <v>211</v>
      </c>
      <c r="R6" s="534" t="s">
        <v>211</v>
      </c>
      <c r="S6" s="92" t="s">
        <v>211</v>
      </c>
      <c r="T6" s="567" t="s">
        <v>211</v>
      </c>
      <c r="U6" s="567" t="s">
        <v>211</v>
      </c>
      <c r="V6" s="818"/>
      <c r="W6" s="434"/>
      <c r="X6" s="434"/>
      <c r="Y6" s="434"/>
      <c r="Z6" s="563"/>
      <c r="AA6" s="563"/>
      <c r="AB6" s="563"/>
      <c r="AC6" s="563"/>
      <c r="AD6" s="563"/>
      <c r="AM6" s="275">
        <v>0.40902777777777777</v>
      </c>
      <c r="AN6" s="563"/>
      <c r="AO6" s="563"/>
    </row>
    <row r="7" spans="1:45" ht="14.5" customHeight="1" thickBot="1" x14ac:dyDescent="0.4">
      <c r="A7" s="530" t="s">
        <v>211</v>
      </c>
      <c r="B7" s="528" t="s">
        <v>211</v>
      </c>
      <c r="C7" s="86" t="s">
        <v>211</v>
      </c>
      <c r="D7" s="86" t="s">
        <v>211</v>
      </c>
      <c r="E7" s="86" t="s">
        <v>211</v>
      </c>
      <c r="F7" s="167" t="s">
        <v>211</v>
      </c>
      <c r="G7" s="167" t="s">
        <v>211</v>
      </c>
      <c r="H7" s="532" t="s">
        <v>211</v>
      </c>
      <c r="I7" s="167" t="s">
        <v>211</v>
      </c>
      <c r="J7" s="532" t="s">
        <v>211</v>
      </c>
      <c r="K7" s="167" t="s">
        <v>211</v>
      </c>
      <c r="L7" s="535" t="s">
        <v>211</v>
      </c>
      <c r="M7" s="534" t="s">
        <v>211</v>
      </c>
      <c r="N7" s="816" t="s">
        <v>211</v>
      </c>
      <c r="O7" s="435" t="s">
        <v>211</v>
      </c>
      <c r="P7" s="534" t="s">
        <v>211</v>
      </c>
      <c r="Q7" s="534" t="s">
        <v>211</v>
      </c>
      <c r="R7" s="534" t="s">
        <v>211</v>
      </c>
      <c r="S7" s="88" t="s">
        <v>211</v>
      </c>
      <c r="T7" s="567" t="s">
        <v>211</v>
      </c>
      <c r="U7" s="567" t="s">
        <v>211</v>
      </c>
      <c r="V7" s="818" t="s">
        <v>211</v>
      </c>
      <c r="W7" s="434"/>
      <c r="X7" s="434"/>
      <c r="Y7" s="434"/>
      <c r="Z7" s="563"/>
      <c r="AA7" s="563"/>
      <c r="AB7" s="563"/>
      <c r="AC7" s="563"/>
      <c r="AD7" s="563"/>
      <c r="AM7" s="275">
        <v>0.41666666666666669</v>
      </c>
      <c r="AN7" s="563"/>
      <c r="AO7" s="563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 t="s">
        <v>211</v>
      </c>
      <c r="G8" s="168" t="s">
        <v>211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17"/>
      <c r="O8" s="435" t="s">
        <v>211</v>
      </c>
      <c r="P8" s="534" t="s">
        <v>211</v>
      </c>
      <c r="Q8" s="534" t="s">
        <v>211</v>
      </c>
      <c r="R8" s="534" t="s">
        <v>211</v>
      </c>
      <c r="S8" s="92" t="s">
        <v>211</v>
      </c>
      <c r="T8" s="567" t="s">
        <v>211</v>
      </c>
      <c r="U8" s="567" t="s">
        <v>211</v>
      </c>
      <c r="V8" s="818"/>
      <c r="W8" s="434"/>
      <c r="X8" s="434"/>
      <c r="Y8" s="434"/>
      <c r="Z8" s="563"/>
      <c r="AA8" s="563"/>
      <c r="AB8" s="563"/>
      <c r="AC8" s="563"/>
      <c r="AD8" s="563"/>
      <c r="AM8" s="275">
        <v>0.41944444444444445</v>
      </c>
      <c r="AN8" s="563"/>
      <c r="AO8" s="563"/>
    </row>
    <row r="9" spans="1:45" ht="14.5" customHeight="1" thickBot="1" x14ac:dyDescent="0.4">
      <c r="A9" s="530" t="s">
        <v>211</v>
      </c>
      <c r="B9" s="528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532" t="s">
        <v>211</v>
      </c>
      <c r="I9" s="167" t="s">
        <v>211</v>
      </c>
      <c r="J9" s="532" t="s">
        <v>211</v>
      </c>
      <c r="K9" s="167" t="s">
        <v>211</v>
      </c>
      <c r="L9" s="535" t="s">
        <v>211</v>
      </c>
      <c r="M9" s="534" t="s">
        <v>211</v>
      </c>
      <c r="N9" s="816" t="s">
        <v>211</v>
      </c>
      <c r="O9" s="435" t="s">
        <v>211</v>
      </c>
      <c r="P9" s="534" t="s">
        <v>211</v>
      </c>
      <c r="Q9" s="534" t="s">
        <v>211</v>
      </c>
      <c r="R9" s="534" t="s">
        <v>211</v>
      </c>
      <c r="S9" s="88" t="s">
        <v>211</v>
      </c>
      <c r="T9" s="567" t="s">
        <v>211</v>
      </c>
      <c r="U9" s="567" t="s">
        <v>211</v>
      </c>
      <c r="V9" s="818" t="s">
        <v>211</v>
      </c>
      <c r="W9" s="434"/>
      <c r="X9" s="434"/>
      <c r="Y9" s="434"/>
      <c r="Z9" s="563"/>
      <c r="AA9" s="563"/>
      <c r="AB9" s="718" t="s">
        <v>165</v>
      </c>
      <c r="AC9" s="719"/>
      <c r="AD9" s="719"/>
      <c r="AM9" s="275">
        <v>0.42708333333333331</v>
      </c>
      <c r="AN9" s="563"/>
      <c r="AO9" s="563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 t="s">
        <v>211</v>
      </c>
      <c r="G10" s="168" t="s">
        <v>211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17"/>
      <c r="O10" s="435" t="s">
        <v>211</v>
      </c>
      <c r="P10" s="534" t="s">
        <v>211</v>
      </c>
      <c r="Q10" s="534" t="s">
        <v>211</v>
      </c>
      <c r="R10" s="534" t="s">
        <v>211</v>
      </c>
      <c r="S10" s="92" t="s">
        <v>211</v>
      </c>
      <c r="T10" s="567" t="s">
        <v>211</v>
      </c>
      <c r="U10" s="567" t="s">
        <v>211</v>
      </c>
      <c r="V10" s="818"/>
      <c r="W10" s="434"/>
      <c r="X10" s="434"/>
      <c r="Y10" s="434"/>
      <c r="Z10" s="563"/>
      <c r="AA10" s="563"/>
      <c r="AB10" s="718" t="s">
        <v>365</v>
      </c>
      <c r="AC10" s="719"/>
      <c r="AD10" s="719"/>
      <c r="AM10" s="275">
        <v>0.42986111111111108</v>
      </c>
      <c r="AN10" s="563"/>
      <c r="AO10" s="563"/>
    </row>
    <row r="11" spans="1:45" ht="14.5" customHeight="1" thickBot="1" x14ac:dyDescent="0.4">
      <c r="A11" s="530" t="s">
        <v>211</v>
      </c>
      <c r="B11" s="528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532" t="s">
        <v>211</v>
      </c>
      <c r="I11" s="167" t="s">
        <v>211</v>
      </c>
      <c r="J11" s="532" t="s">
        <v>211</v>
      </c>
      <c r="K11" s="167" t="s">
        <v>211</v>
      </c>
      <c r="L11" s="535" t="s">
        <v>211</v>
      </c>
      <c r="M11" s="534" t="s">
        <v>211</v>
      </c>
      <c r="N11" s="816" t="s">
        <v>211</v>
      </c>
      <c r="O11" s="435" t="s">
        <v>211</v>
      </c>
      <c r="P11" s="534" t="s">
        <v>211</v>
      </c>
      <c r="Q11" s="534" t="s">
        <v>211</v>
      </c>
      <c r="R11" s="534" t="s">
        <v>211</v>
      </c>
      <c r="S11" s="88" t="s">
        <v>211</v>
      </c>
      <c r="T11" s="567" t="s">
        <v>211</v>
      </c>
      <c r="U11" s="567" t="s">
        <v>211</v>
      </c>
      <c r="V11" s="818" t="s">
        <v>211</v>
      </c>
      <c r="W11" s="434"/>
      <c r="X11" s="434"/>
      <c r="Y11" s="434"/>
      <c r="Z11" s="563"/>
      <c r="AA11" s="563"/>
      <c r="AB11" s="718" t="s">
        <v>366</v>
      </c>
      <c r="AC11" s="718"/>
      <c r="AD11" s="718"/>
      <c r="AM11" s="275">
        <v>0.4375</v>
      </c>
      <c r="AN11" s="563"/>
      <c r="AO11" s="563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 t="s">
        <v>211</v>
      </c>
      <c r="G12" s="168" t="s">
        <v>211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17"/>
      <c r="O12" s="435" t="s">
        <v>211</v>
      </c>
      <c r="P12" s="534" t="s">
        <v>211</v>
      </c>
      <c r="Q12" s="534" t="s">
        <v>211</v>
      </c>
      <c r="R12" s="534" t="s">
        <v>211</v>
      </c>
      <c r="S12" s="92" t="s">
        <v>211</v>
      </c>
      <c r="T12" s="567" t="s">
        <v>211</v>
      </c>
      <c r="U12" s="567" t="s">
        <v>211</v>
      </c>
      <c r="V12" s="818"/>
      <c r="W12" s="434"/>
      <c r="X12" s="434"/>
      <c r="Y12" s="434"/>
      <c r="Z12" s="563"/>
      <c r="AA12" s="563"/>
      <c r="AB12" s="718" t="s">
        <v>167</v>
      </c>
      <c r="AC12" s="718"/>
      <c r="AD12" s="718"/>
      <c r="AM12" s="275">
        <v>0.44027777777777777</v>
      </c>
      <c r="AN12" s="563"/>
      <c r="AO12" s="563"/>
    </row>
    <row r="13" spans="1:45" ht="14.5" customHeight="1" thickBot="1" x14ac:dyDescent="0.4">
      <c r="A13" s="530" t="s">
        <v>211</v>
      </c>
      <c r="B13" s="528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532" t="s">
        <v>211</v>
      </c>
      <c r="I13" s="167" t="s">
        <v>211</v>
      </c>
      <c r="J13" s="532" t="s">
        <v>211</v>
      </c>
      <c r="K13" s="167" t="s">
        <v>211</v>
      </c>
      <c r="L13" s="535" t="s">
        <v>211</v>
      </c>
      <c r="M13" s="534" t="s">
        <v>211</v>
      </c>
      <c r="N13" s="816" t="s">
        <v>211</v>
      </c>
      <c r="O13" s="435" t="s">
        <v>211</v>
      </c>
      <c r="P13" s="534" t="s">
        <v>211</v>
      </c>
      <c r="Q13" s="534" t="s">
        <v>211</v>
      </c>
      <c r="R13" s="534" t="s">
        <v>211</v>
      </c>
      <c r="S13" s="88" t="s">
        <v>211</v>
      </c>
      <c r="T13" s="567" t="s">
        <v>211</v>
      </c>
      <c r="U13" s="567" t="s">
        <v>211</v>
      </c>
      <c r="V13" s="818" t="s">
        <v>211</v>
      </c>
      <c r="W13" s="434"/>
      <c r="X13" s="434"/>
      <c r="Y13" s="434"/>
      <c r="Z13" s="563"/>
      <c r="AA13" s="563"/>
      <c r="AB13" s="718" t="s">
        <v>168</v>
      </c>
      <c r="AC13" s="718"/>
      <c r="AD13" s="718"/>
      <c r="AM13" s="275">
        <v>0.44791666666666669</v>
      </c>
      <c r="AN13" s="563"/>
      <c r="AO13" s="563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 t="s">
        <v>211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17"/>
      <c r="O14" s="435" t="s">
        <v>211</v>
      </c>
      <c r="P14" s="534" t="s">
        <v>211</v>
      </c>
      <c r="Q14" s="534" t="s">
        <v>211</v>
      </c>
      <c r="R14" s="534" t="s">
        <v>211</v>
      </c>
      <c r="S14" s="92" t="s">
        <v>211</v>
      </c>
      <c r="T14" s="567" t="s">
        <v>211</v>
      </c>
      <c r="U14" s="567" t="s">
        <v>211</v>
      </c>
      <c r="V14" s="818"/>
      <c r="W14" s="434"/>
      <c r="X14" s="434"/>
      <c r="Y14" s="434"/>
      <c r="AM14" s="275">
        <v>0.45069444444444445</v>
      </c>
      <c r="AN14" s="563"/>
      <c r="AO14" s="563"/>
    </row>
    <row r="15" spans="1:45" ht="14.5" customHeight="1" thickBot="1" x14ac:dyDescent="0.4">
      <c r="A15" s="530" t="s">
        <v>230</v>
      </c>
      <c r="B15" s="528" t="s">
        <v>180</v>
      </c>
      <c r="C15" s="86">
        <v>194.48951612903215</v>
      </c>
      <c r="D15" s="86">
        <v>-16.733333333333334</v>
      </c>
      <c r="E15" s="86">
        <v>88.388684210526307</v>
      </c>
      <c r="F15" s="167">
        <v>552000</v>
      </c>
      <c r="G15" s="167">
        <v>88507</v>
      </c>
      <c r="H15" s="532" t="s">
        <v>55</v>
      </c>
      <c r="I15" s="167">
        <v>94.56</v>
      </c>
      <c r="J15" s="532">
        <v>12500</v>
      </c>
      <c r="K15" s="167">
        <v>29.35</v>
      </c>
      <c r="L15" s="535">
        <v>1683675</v>
      </c>
      <c r="M15" s="534">
        <v>11737.9</v>
      </c>
      <c r="N15" s="816">
        <v>11700</v>
      </c>
      <c r="O15" s="435">
        <v>-16.733333333333334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567" t="e">
        <v>#REF!</v>
      </c>
      <c r="U15" s="567" t="e">
        <v>#REF!</v>
      </c>
      <c r="V15" s="818" t="e">
        <v>#REF!</v>
      </c>
      <c r="W15" s="434"/>
      <c r="X15" s="434"/>
      <c r="Y15" s="434"/>
      <c r="AM15" s="275">
        <v>0.45833333333333331</v>
      </c>
      <c r="AN15" s="563"/>
      <c r="AO15" s="563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270000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17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567" t="s">
        <v>211</v>
      </c>
      <c r="U16" s="567" t="s">
        <v>211</v>
      </c>
      <c r="V16" s="818"/>
      <c r="W16" s="434"/>
      <c r="X16" s="434"/>
      <c r="Y16" s="434"/>
      <c r="AM16" s="275">
        <v>0.46111111111111108</v>
      </c>
      <c r="AN16" s="563"/>
      <c r="AO16" s="563"/>
    </row>
    <row r="17" spans="1:41" ht="14.5" customHeight="1" thickBot="1" x14ac:dyDescent="0.4">
      <c r="A17" s="530" t="s">
        <v>441</v>
      </c>
      <c r="B17" s="528" t="s">
        <v>180</v>
      </c>
      <c r="C17" s="86">
        <v>33.523387096774179</v>
      </c>
      <c r="D17" s="86">
        <v>17.833333333333329</v>
      </c>
      <c r="E17" s="86">
        <v>10.099210526315789</v>
      </c>
      <c r="F17" s="167">
        <v>75975</v>
      </c>
      <c r="G17" s="167">
        <v>6267</v>
      </c>
      <c r="H17" s="532" t="s">
        <v>61</v>
      </c>
      <c r="I17" s="167">
        <v>15.17</v>
      </c>
      <c r="J17" s="532">
        <v>12000</v>
      </c>
      <c r="K17" s="167">
        <v>48</v>
      </c>
      <c r="L17" s="535">
        <v>231150</v>
      </c>
      <c r="M17" s="534">
        <v>11717.8</v>
      </c>
      <c r="N17" s="816">
        <v>11700</v>
      </c>
      <c r="O17" s="435">
        <v>17.833333333333329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567" t="e">
        <v>#REF!</v>
      </c>
      <c r="U17" s="567" t="e">
        <v>#REF!</v>
      </c>
      <c r="V17" s="818" t="e">
        <v>#REF!</v>
      </c>
      <c r="W17" s="434"/>
      <c r="X17" s="434"/>
      <c r="Y17" s="434"/>
      <c r="AM17" s="275">
        <v>0.46875</v>
      </c>
      <c r="AN17" s="563"/>
      <c r="AO17" s="563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135300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17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567" t="s">
        <v>211</v>
      </c>
      <c r="U18" s="567" t="s">
        <v>211</v>
      </c>
      <c r="V18" s="818"/>
      <c r="W18" s="434"/>
      <c r="X18" s="434"/>
      <c r="Y18" s="434"/>
      <c r="AM18" s="275">
        <v>0.47152777777777777</v>
      </c>
      <c r="AN18" s="563"/>
      <c r="AO18" s="563"/>
    </row>
    <row r="19" spans="1:41" ht="14.5" customHeight="1" thickBot="1" x14ac:dyDescent="0.4">
      <c r="A19" s="530" t="s">
        <v>552</v>
      </c>
      <c r="B19" s="528" t="s">
        <v>180</v>
      </c>
      <c r="C19" s="86">
        <v>33.073387096774198</v>
      </c>
      <c r="D19" s="86">
        <v>16.141666666666673</v>
      </c>
      <c r="E19" s="86">
        <v>9.8005263157894724</v>
      </c>
      <c r="F19" s="167">
        <v>79650</v>
      </c>
      <c r="G19" s="167">
        <v>6602</v>
      </c>
      <c r="H19" s="532" t="s">
        <v>61</v>
      </c>
      <c r="I19" s="167">
        <v>15.23</v>
      </c>
      <c r="J19" s="532">
        <v>12000</v>
      </c>
      <c r="K19" s="167">
        <v>46.55</v>
      </c>
      <c r="L19" s="535">
        <v>234825</v>
      </c>
      <c r="M19" s="534">
        <v>11708.35</v>
      </c>
      <c r="N19" s="816">
        <v>11700</v>
      </c>
      <c r="O19" s="435">
        <v>16.141666666666673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567" t="e">
        <v>#REF!</v>
      </c>
      <c r="U19" s="567" t="e">
        <v>#REF!</v>
      </c>
      <c r="V19" s="818" t="e">
        <v>#REF!</v>
      </c>
      <c r="W19" s="434"/>
      <c r="X19" s="434"/>
      <c r="Y19" s="434"/>
      <c r="AM19" s="275">
        <v>0.47916666666666669</v>
      </c>
      <c r="AN19" s="563"/>
      <c r="AO19" s="563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113400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17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567" t="s">
        <v>211</v>
      </c>
      <c r="U20" s="567" t="s">
        <v>211</v>
      </c>
      <c r="V20" s="818"/>
      <c r="W20" s="434"/>
      <c r="X20" s="434"/>
      <c r="Y20" s="434"/>
      <c r="AM20" s="275">
        <v>0.48194444444444445</v>
      </c>
      <c r="AN20" s="563"/>
      <c r="AO20" s="563"/>
    </row>
    <row r="21" spans="1:41" ht="14.5" customHeight="1" thickBot="1" x14ac:dyDescent="0.4">
      <c r="A21" s="530" t="s">
        <v>553</v>
      </c>
      <c r="B21" s="528" t="s">
        <v>180</v>
      </c>
      <c r="C21" s="86">
        <v>36.025806451612887</v>
      </c>
      <c r="D21" s="86">
        <v>29.691666666666656</v>
      </c>
      <c r="E21" s="86">
        <v>9.8239473684210523</v>
      </c>
      <c r="F21" s="167">
        <v>76575</v>
      </c>
      <c r="G21" s="167">
        <v>7093</v>
      </c>
      <c r="H21" s="532" t="s">
        <v>61</v>
      </c>
      <c r="I21" s="167">
        <v>15.33</v>
      </c>
      <c r="J21" s="532">
        <v>12000</v>
      </c>
      <c r="K21" s="167">
        <v>51.7</v>
      </c>
      <c r="L21" s="535">
        <v>231750</v>
      </c>
      <c r="M21" s="534">
        <v>11740.1</v>
      </c>
      <c r="N21" s="816">
        <v>11700</v>
      </c>
      <c r="O21" s="435">
        <v>29.691666666666656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567" t="e">
        <v>#REF!</v>
      </c>
      <c r="U21" s="567" t="e">
        <v>#REF!</v>
      </c>
      <c r="V21" s="818" t="e">
        <v>#REF!</v>
      </c>
      <c r="W21" s="434"/>
      <c r="X21" s="434"/>
      <c r="Y21" s="434"/>
      <c r="AM21" s="275">
        <v>0.48958333333333331</v>
      </c>
      <c r="AN21" s="563"/>
      <c r="AO21" s="563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133875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17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567" t="s">
        <v>211</v>
      </c>
      <c r="U22" s="567" t="s">
        <v>211</v>
      </c>
      <c r="V22" s="818"/>
      <c r="W22" s="434"/>
      <c r="X22" s="434"/>
      <c r="Y22" s="434"/>
      <c r="AM22" s="275">
        <v>0.49236111111111108</v>
      </c>
      <c r="AN22" s="563"/>
      <c r="AO22" s="563"/>
    </row>
    <row r="23" spans="1:41" ht="14.5" customHeight="1" thickBot="1" x14ac:dyDescent="0.4">
      <c r="A23" s="530" t="s">
        <v>554</v>
      </c>
      <c r="B23" s="528" t="s">
        <v>180</v>
      </c>
      <c r="C23" s="86">
        <v>40.075000000000003</v>
      </c>
      <c r="D23" s="86">
        <v>31.633333333333319</v>
      </c>
      <c r="E23" s="86">
        <v>9.6881578947368432</v>
      </c>
      <c r="F23" s="167">
        <v>71850</v>
      </c>
      <c r="G23" s="167">
        <v>7470</v>
      </c>
      <c r="H23" s="532" t="s">
        <v>61</v>
      </c>
      <c r="I23" s="167">
        <v>15.04</v>
      </c>
      <c r="J23" s="532">
        <v>12000</v>
      </c>
      <c r="K23" s="167">
        <v>53.05</v>
      </c>
      <c r="L23" s="535">
        <v>227025</v>
      </c>
      <c r="M23" s="534">
        <v>11745.45</v>
      </c>
      <c r="N23" s="816">
        <v>11700</v>
      </c>
      <c r="O23" s="435">
        <v>31.633333333333319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567" t="e">
        <v>#REF!</v>
      </c>
      <c r="U23" s="567" t="e">
        <v>#REF!</v>
      </c>
      <c r="V23" s="818" t="e">
        <v>#REF!</v>
      </c>
      <c r="W23" s="434"/>
      <c r="X23" s="434"/>
      <c r="Y23" s="434"/>
      <c r="AM23" s="275">
        <v>0.5</v>
      </c>
      <c r="AN23" s="563"/>
      <c r="AO23" s="563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136800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17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567" t="s">
        <v>211</v>
      </c>
      <c r="U24" s="567" t="s">
        <v>211</v>
      </c>
      <c r="V24" s="818"/>
      <c r="W24" s="434"/>
      <c r="X24" s="434"/>
      <c r="Y24" s="434"/>
      <c r="AM24" s="275">
        <v>0.50277777777777777</v>
      </c>
      <c r="AN24" s="563"/>
      <c r="AO24" s="563"/>
    </row>
    <row r="25" spans="1:41" ht="14.5" customHeight="1" thickBot="1" x14ac:dyDescent="0.4">
      <c r="A25" s="530" t="s">
        <v>211</v>
      </c>
      <c r="B25" s="528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32" t="s">
        <v>211</v>
      </c>
      <c r="I25" s="167" t="s">
        <v>211</v>
      </c>
      <c r="J25" s="532" t="s">
        <v>211</v>
      </c>
      <c r="K25" s="167" t="s">
        <v>211</v>
      </c>
      <c r="L25" s="535" t="s">
        <v>211</v>
      </c>
      <c r="M25" s="534" t="s">
        <v>211</v>
      </c>
      <c r="N25" s="816" t="s">
        <v>211</v>
      </c>
      <c r="O25" s="435" t="s">
        <v>211</v>
      </c>
      <c r="P25" s="534" t="s">
        <v>211</v>
      </c>
      <c r="Q25" s="534" t="s">
        <v>211</v>
      </c>
      <c r="R25" s="534" t="s">
        <v>211</v>
      </c>
      <c r="S25" s="88" t="s">
        <v>211</v>
      </c>
      <c r="T25" s="567" t="s">
        <v>211</v>
      </c>
      <c r="U25" s="567" t="s">
        <v>211</v>
      </c>
      <c r="V25" s="818" t="s">
        <v>211</v>
      </c>
      <c r="W25" s="434"/>
      <c r="X25" s="434"/>
      <c r="Y25" s="434"/>
      <c r="AM25" s="275">
        <v>0.51041666666666663</v>
      </c>
      <c r="AN25" s="563"/>
      <c r="AO25" s="563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17"/>
      <c r="O26" s="435" t="s">
        <v>211</v>
      </c>
      <c r="P26" s="534" t="s">
        <v>211</v>
      </c>
      <c r="Q26" s="534" t="s">
        <v>211</v>
      </c>
      <c r="R26" s="534" t="s">
        <v>211</v>
      </c>
      <c r="S26" s="92" t="s">
        <v>211</v>
      </c>
      <c r="T26" s="567" t="s">
        <v>211</v>
      </c>
      <c r="U26" s="567" t="s">
        <v>211</v>
      </c>
      <c r="V26" s="818"/>
      <c r="W26" s="434"/>
      <c r="X26" s="434"/>
      <c r="Y26" s="434"/>
      <c r="AM26" s="275">
        <v>0.5131944444444444</v>
      </c>
      <c r="AN26" s="563"/>
      <c r="AO26" s="563"/>
    </row>
    <row r="27" spans="1:41" ht="14.5" customHeight="1" thickBot="1" x14ac:dyDescent="0.4">
      <c r="A27" s="530" t="s">
        <v>555</v>
      </c>
      <c r="B27" s="528" t="s">
        <v>180</v>
      </c>
      <c r="C27" s="86">
        <v>43.658870967741919</v>
      </c>
      <c r="D27" s="86">
        <v>41.916666666666664</v>
      </c>
      <c r="E27" s="86">
        <v>9.5376315789473693</v>
      </c>
      <c r="F27" s="167">
        <v>62850</v>
      </c>
      <c r="G27" s="167">
        <v>8574</v>
      </c>
      <c r="H27" s="532" t="s">
        <v>61</v>
      </c>
      <c r="I27" s="167">
        <v>14.87</v>
      </c>
      <c r="J27" s="532">
        <v>12000</v>
      </c>
      <c r="K27" s="167">
        <v>56.25</v>
      </c>
      <c r="L27" s="535">
        <v>218025</v>
      </c>
      <c r="M27" s="534">
        <v>11757.25</v>
      </c>
      <c r="N27" s="816">
        <v>11700</v>
      </c>
      <c r="O27" s="435">
        <v>41.916666666666664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567" t="e">
        <v>#REF!</v>
      </c>
      <c r="U27" s="567" t="e">
        <v>#REF!</v>
      </c>
      <c r="V27" s="818" t="e">
        <v>#REF!</v>
      </c>
      <c r="W27" s="434"/>
      <c r="X27" s="434"/>
      <c r="Y27" s="434"/>
      <c r="AM27" s="275">
        <v>0.52083333333333337</v>
      </c>
      <c r="AN27" s="563"/>
      <c r="AO27" s="563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>
        <v>186450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17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567" t="s">
        <v>211</v>
      </c>
      <c r="U28" s="567" t="s">
        <v>211</v>
      </c>
      <c r="V28" s="818"/>
      <c r="W28" s="434"/>
      <c r="X28" s="434"/>
      <c r="Y28" s="434"/>
      <c r="AM28" s="275">
        <v>0.52361111111111114</v>
      </c>
      <c r="AN28" s="563"/>
      <c r="AO28" s="563"/>
    </row>
    <row r="29" spans="1:41" ht="15" customHeight="1" thickBot="1" x14ac:dyDescent="0.4">
      <c r="A29" s="530" t="s">
        <v>332</v>
      </c>
      <c r="B29" s="528" t="s">
        <v>180</v>
      </c>
      <c r="C29" s="86">
        <v>46.393548387096772</v>
      </c>
      <c r="D29" s="86">
        <v>69.133333333333326</v>
      </c>
      <c r="E29" s="86">
        <v>9.542894736842106</v>
      </c>
      <c r="F29" s="167">
        <v>68400</v>
      </c>
      <c r="G29" s="167">
        <v>8982</v>
      </c>
      <c r="H29" s="532" t="s">
        <v>61</v>
      </c>
      <c r="I29" s="167">
        <v>14.8</v>
      </c>
      <c r="J29" s="532">
        <v>12000</v>
      </c>
      <c r="K29" s="167">
        <v>61</v>
      </c>
      <c r="L29" s="535">
        <v>223575</v>
      </c>
      <c r="M29" s="534">
        <v>11780.25</v>
      </c>
      <c r="N29" s="816">
        <v>11700</v>
      </c>
      <c r="O29" s="435">
        <v>69.133333333333326</v>
      </c>
      <c r="P29" s="534" t="s">
        <v>211</v>
      </c>
      <c r="Q29" s="534" t="s">
        <v>211</v>
      </c>
      <c r="R29" s="534" t="s">
        <v>211</v>
      </c>
      <c r="S29" s="88" t="e">
        <v>#REF!</v>
      </c>
      <c r="T29" s="567" t="e">
        <v>#REF!</v>
      </c>
      <c r="U29" s="567" t="e">
        <v>#REF!</v>
      </c>
      <c r="V29" s="818" t="e">
        <v>#REF!</v>
      </c>
      <c r="W29" s="434"/>
      <c r="X29" s="434"/>
      <c r="Y29" s="434"/>
      <c r="AM29" s="275">
        <v>0.53125</v>
      </c>
      <c r="AO29" s="563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>
        <v>191025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17"/>
      <c r="O30" s="435" t="s">
        <v>211</v>
      </c>
      <c r="P30" s="534" t="s">
        <v>211</v>
      </c>
      <c r="Q30" s="534" t="s">
        <v>211</v>
      </c>
      <c r="R30" s="534" t="s">
        <v>211</v>
      </c>
      <c r="S30" s="92" t="e">
        <v>#REF!</v>
      </c>
      <c r="T30" s="567" t="s">
        <v>211</v>
      </c>
      <c r="U30" s="567" t="s">
        <v>211</v>
      </c>
      <c r="V30" s="818"/>
      <c r="W30" s="434"/>
      <c r="X30" s="434"/>
      <c r="Y30" s="434"/>
      <c r="AM30" s="275">
        <v>0.53402777777777777</v>
      </c>
      <c r="AO30" s="563"/>
    </row>
    <row r="31" spans="1:41" ht="15" customHeight="1" thickBot="1" x14ac:dyDescent="0.4">
      <c r="A31" s="530" t="s">
        <v>556</v>
      </c>
      <c r="B31" s="528" t="s">
        <v>180</v>
      </c>
      <c r="C31" s="86">
        <v>47.185483870967744</v>
      </c>
      <c r="D31" s="86">
        <v>51.399999999999984</v>
      </c>
      <c r="E31" s="86">
        <v>9.371052631578948</v>
      </c>
      <c r="F31" s="167">
        <v>58800</v>
      </c>
      <c r="G31" s="167">
        <v>3958</v>
      </c>
      <c r="H31" s="532" t="s">
        <v>61</v>
      </c>
      <c r="I31" s="167">
        <v>14.4</v>
      </c>
      <c r="J31" s="532">
        <v>12000</v>
      </c>
      <c r="K31" s="167">
        <v>62.55</v>
      </c>
      <c r="L31" s="535">
        <v>212100</v>
      </c>
      <c r="M31" s="534">
        <v>11785</v>
      </c>
      <c r="N31" s="816">
        <v>11700</v>
      </c>
      <c r="O31" s="435">
        <v>51.399999999999984</v>
      </c>
      <c r="P31" s="534" t="s">
        <v>211</v>
      </c>
      <c r="Q31" s="534" t="s">
        <v>211</v>
      </c>
      <c r="R31" s="534" t="s">
        <v>211</v>
      </c>
      <c r="S31" s="88" t="e">
        <v>#REF!</v>
      </c>
      <c r="T31" s="567" t="e">
        <v>#REF!</v>
      </c>
      <c r="U31" s="567" t="e">
        <v>#REF!</v>
      </c>
      <c r="V31" s="818" t="e">
        <v>#REF!</v>
      </c>
      <c r="W31" s="434"/>
      <c r="X31" s="434"/>
      <c r="Y31" s="434"/>
      <c r="AM31" s="275">
        <v>0.54166666666666663</v>
      </c>
      <c r="AO31" s="563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>
        <v>190500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17"/>
      <c r="O32" s="435" t="s">
        <v>211</v>
      </c>
      <c r="P32" s="534" t="s">
        <v>211</v>
      </c>
      <c r="Q32" s="534" t="s">
        <v>211</v>
      </c>
      <c r="R32" s="534" t="s">
        <v>211</v>
      </c>
      <c r="S32" s="92" t="e">
        <v>#REF!</v>
      </c>
      <c r="T32" s="567" t="s">
        <v>211</v>
      </c>
      <c r="U32" s="567" t="s">
        <v>211</v>
      </c>
      <c r="V32" s="818"/>
      <c r="W32" s="434"/>
      <c r="X32" s="434"/>
      <c r="Y32" s="434"/>
      <c r="AM32" s="275">
        <v>0.5444444444444444</v>
      </c>
      <c r="AO32" s="563"/>
    </row>
    <row r="33" spans="1:41" ht="15" customHeight="1" thickBot="1" x14ac:dyDescent="0.4">
      <c r="A33" s="530" t="s">
        <v>526</v>
      </c>
      <c r="B33" s="528" t="s">
        <v>180</v>
      </c>
      <c r="C33" s="86">
        <v>55.933064516129036</v>
      </c>
      <c r="D33" s="86">
        <v>73.066666666666663</v>
      </c>
      <c r="E33" s="86">
        <v>10.153157894736843</v>
      </c>
      <c r="F33" s="167">
        <v>67800</v>
      </c>
      <c r="G33" s="167">
        <v>4601</v>
      </c>
      <c r="H33" s="532" t="s">
        <v>61</v>
      </c>
      <c r="I33" s="167">
        <v>14.75</v>
      </c>
      <c r="J33" s="532">
        <v>12000</v>
      </c>
      <c r="K33" s="167">
        <v>78.400000000000006</v>
      </c>
      <c r="L33" s="535">
        <v>196725</v>
      </c>
      <c r="M33" s="534">
        <v>11826.7</v>
      </c>
      <c r="N33" s="816">
        <v>11700</v>
      </c>
      <c r="O33" s="435">
        <v>73.066666666666663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567" t="e">
        <v>#REF!</v>
      </c>
      <c r="U33" s="567" t="e">
        <v>#REF!</v>
      </c>
      <c r="V33" s="818" t="e">
        <v>#REF!</v>
      </c>
      <c r="W33" s="434"/>
      <c r="X33" s="434"/>
      <c r="Y33" s="434"/>
      <c r="AM33" s="275">
        <v>0.55208333333333337</v>
      </c>
      <c r="AO33" s="563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186600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17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567" t="s">
        <v>211</v>
      </c>
      <c r="U34" s="567" t="s">
        <v>211</v>
      </c>
      <c r="V34" s="818"/>
      <c r="W34" s="434"/>
      <c r="X34" s="434"/>
      <c r="Y34" s="434"/>
      <c r="AM34" s="275">
        <v>0.55486111111111114</v>
      </c>
      <c r="AO34" s="563"/>
    </row>
    <row r="35" spans="1:41" ht="15" customHeight="1" thickBot="1" x14ac:dyDescent="0.4">
      <c r="A35" s="530" t="s">
        <v>557</v>
      </c>
      <c r="B35" s="528" t="s">
        <v>180</v>
      </c>
      <c r="C35" s="86">
        <v>60.231451612903243</v>
      </c>
      <c r="D35" s="86">
        <v>61.175000000000004</v>
      </c>
      <c r="E35" s="86">
        <v>10.400526315789474</v>
      </c>
      <c r="F35" s="167">
        <v>65475</v>
      </c>
      <c r="G35" s="167">
        <v>4930</v>
      </c>
      <c r="H35" s="532" t="s">
        <v>61</v>
      </c>
      <c r="I35" s="167">
        <v>15.25</v>
      </c>
      <c r="J35" s="532">
        <v>12000</v>
      </c>
      <c r="K35" s="167">
        <v>72.849999999999994</v>
      </c>
      <c r="L35" s="535">
        <v>190200</v>
      </c>
      <c r="M35" s="534">
        <v>11792.05</v>
      </c>
      <c r="N35" s="816">
        <v>11700</v>
      </c>
      <c r="O35" s="435">
        <v>61.175000000000004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567" t="e">
        <v>#REF!</v>
      </c>
      <c r="U35" s="567" t="e">
        <v>#REF!</v>
      </c>
      <c r="V35" s="818" t="e">
        <v>#REF!</v>
      </c>
      <c r="W35" s="434"/>
      <c r="X35" s="434"/>
      <c r="Y35" s="434"/>
      <c r="AM35" s="275">
        <v>0.5625</v>
      </c>
      <c r="AO35" s="563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191100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17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567" t="s">
        <v>211</v>
      </c>
      <c r="U36" s="567" t="s">
        <v>211</v>
      </c>
      <c r="V36" s="818"/>
      <c r="W36" s="434"/>
      <c r="X36" s="434"/>
      <c r="Y36" s="434"/>
      <c r="AM36" s="275">
        <v>0.56527777777777777</v>
      </c>
      <c r="AO36" s="563"/>
    </row>
    <row r="37" spans="1:41" ht="15" customHeight="1" thickBot="1" x14ac:dyDescent="0.4">
      <c r="A37" s="530" t="s">
        <v>558</v>
      </c>
      <c r="B37" s="528" t="s">
        <v>180</v>
      </c>
      <c r="C37" s="86">
        <v>59.15322580645163</v>
      </c>
      <c r="D37" s="86">
        <v>57.458333333333329</v>
      </c>
      <c r="E37" s="86">
        <v>11.522105263157894</v>
      </c>
      <c r="F37" s="167">
        <v>68175</v>
      </c>
      <c r="G37" s="167">
        <v>5540</v>
      </c>
      <c r="H37" s="532" t="s">
        <v>61</v>
      </c>
      <c r="I37" s="167">
        <v>14.87</v>
      </c>
      <c r="J37" s="532">
        <v>12000</v>
      </c>
      <c r="K37" s="167">
        <v>69.349999999999994</v>
      </c>
      <c r="L37" s="535">
        <v>191475</v>
      </c>
      <c r="M37" s="534">
        <v>11808.45</v>
      </c>
      <c r="N37" s="816">
        <v>11700</v>
      </c>
      <c r="O37" s="435">
        <v>57.458333333333329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567" t="e">
        <v>#REF!</v>
      </c>
      <c r="U37" s="567" t="e">
        <v>#REF!</v>
      </c>
      <c r="V37" s="818" t="e">
        <v>#REF!</v>
      </c>
      <c r="W37" s="434"/>
      <c r="X37" s="434"/>
      <c r="Y37" s="434"/>
      <c r="AM37" s="275">
        <v>0.57291666666666663</v>
      </c>
      <c r="AO37" s="563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195600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17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567" t="s">
        <v>211</v>
      </c>
      <c r="U38" s="567" t="s">
        <v>211</v>
      </c>
      <c r="V38" s="818"/>
      <c r="W38" s="434"/>
      <c r="X38" s="434"/>
      <c r="Y38" s="434"/>
      <c r="AM38" s="275">
        <v>0.5756944444444444</v>
      </c>
      <c r="AO38" s="563"/>
    </row>
    <row r="39" spans="1:41" ht="15" customHeight="1" thickBot="1" x14ac:dyDescent="0.4">
      <c r="A39" s="530" t="s">
        <v>462</v>
      </c>
      <c r="B39" s="528" t="s">
        <v>180</v>
      </c>
      <c r="C39" s="86">
        <v>59.409677419354821</v>
      </c>
      <c r="D39" s="86">
        <v>26.666666666666671</v>
      </c>
      <c r="E39" s="86">
        <v>11.336842105263159</v>
      </c>
      <c r="F39" s="167">
        <v>72075</v>
      </c>
      <c r="G39" s="167">
        <v>5849</v>
      </c>
      <c r="H39" s="532" t="s">
        <v>61</v>
      </c>
      <c r="I39" s="167">
        <v>14.76</v>
      </c>
      <c r="J39" s="532">
        <v>12000</v>
      </c>
      <c r="K39" s="167">
        <v>71.400000000000006</v>
      </c>
      <c r="L39" s="535">
        <v>192150</v>
      </c>
      <c r="M39" s="534">
        <v>11797.95</v>
      </c>
      <c r="N39" s="816">
        <v>11700</v>
      </c>
      <c r="O39" s="435">
        <v>26.666666666666671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567" t="e">
        <v>#REF!</v>
      </c>
      <c r="V39" s="818" t="e">
        <v>#REF!</v>
      </c>
      <c r="W39" s="434"/>
      <c r="X39" s="434"/>
      <c r="Y39" s="434"/>
      <c r="AM39" s="275">
        <v>0.58333333333333337</v>
      </c>
      <c r="AO39" s="563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192525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17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568" t="s">
        <v>211</v>
      </c>
      <c r="U40" s="417" t="s">
        <v>211</v>
      </c>
      <c r="V40" s="818"/>
      <c r="W40" s="434"/>
      <c r="X40" s="434"/>
      <c r="Y40" s="434"/>
      <c r="AM40" s="275">
        <v>0.58611111111111114</v>
      </c>
      <c r="AO40" s="563"/>
    </row>
    <row r="41" spans="1:41" ht="15" customHeight="1" thickBot="1" x14ac:dyDescent="0.4">
      <c r="A41" s="530" t="s">
        <v>559</v>
      </c>
      <c r="B41" s="528" t="s">
        <v>180</v>
      </c>
      <c r="C41" s="86">
        <v>62.993548387096794</v>
      </c>
      <c r="D41" s="86">
        <v>34.924999999999997</v>
      </c>
      <c r="E41" s="86">
        <v>10.168684210526315</v>
      </c>
      <c r="F41" s="167">
        <v>68025</v>
      </c>
      <c r="G41" s="167">
        <v>6477</v>
      </c>
      <c r="H41" s="532" t="s">
        <v>61</v>
      </c>
      <c r="I41" s="167">
        <v>14.82</v>
      </c>
      <c r="J41" s="532">
        <v>12000</v>
      </c>
      <c r="K41" s="167">
        <v>75.8</v>
      </c>
      <c r="L41" s="535">
        <v>189300</v>
      </c>
      <c r="M41" s="435">
        <v>11817.85</v>
      </c>
      <c r="N41" s="816">
        <v>11700</v>
      </c>
      <c r="O41" s="435">
        <v>34.924999999999997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567" t="e">
        <v>#REF!</v>
      </c>
      <c r="U41" s="567" t="e">
        <v>#REF!</v>
      </c>
      <c r="V41" s="818" t="e">
        <v>#REF!</v>
      </c>
      <c r="W41" s="434"/>
      <c r="X41" s="434"/>
      <c r="Y41" s="434"/>
      <c r="AM41" s="275">
        <v>0.59375</v>
      </c>
      <c r="AO41" s="563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199650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17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18"/>
      <c r="W42" s="434"/>
      <c r="X42" s="434"/>
      <c r="Y42" s="434"/>
      <c r="AM42" s="275">
        <v>0.59652777777777777</v>
      </c>
      <c r="AO42" s="563"/>
    </row>
    <row r="43" spans="1:41" ht="15" customHeight="1" thickBot="1" x14ac:dyDescent="0.4">
      <c r="A43" s="530" t="s">
        <v>560</v>
      </c>
      <c r="B43" s="528" t="s">
        <v>180</v>
      </c>
      <c r="C43" s="86">
        <v>60.527419354838699</v>
      </c>
      <c r="D43" s="86">
        <v>35.699999999999996</v>
      </c>
      <c r="E43" s="86">
        <v>11.145789473684211</v>
      </c>
      <c r="F43" s="167">
        <v>75675</v>
      </c>
      <c r="G43" s="167">
        <v>7011</v>
      </c>
      <c r="H43" s="532" t="s">
        <v>61</v>
      </c>
      <c r="I43" s="167">
        <v>14.37</v>
      </c>
      <c r="J43" s="532">
        <v>12000</v>
      </c>
      <c r="K43" s="167">
        <v>77.7</v>
      </c>
      <c r="L43" s="535">
        <v>184800</v>
      </c>
      <c r="M43" s="534">
        <v>11819.7</v>
      </c>
      <c r="N43" s="816">
        <v>11700</v>
      </c>
      <c r="O43" s="435">
        <v>35.699999999999996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567" t="e">
        <v>#REF!</v>
      </c>
      <c r="U43" s="567" t="e">
        <v>#REF!</v>
      </c>
      <c r="V43" s="818" t="e">
        <v>#REF!</v>
      </c>
      <c r="W43" s="434"/>
      <c r="X43" s="434"/>
      <c r="Y43" s="434"/>
      <c r="AM43" s="275">
        <v>0.60416666666666663</v>
      </c>
      <c r="AO43" s="563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206700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17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18"/>
      <c r="W44" s="434"/>
      <c r="X44" s="434"/>
      <c r="Y44" s="434"/>
      <c r="AM44" s="275">
        <v>0.6069444444444444</v>
      </c>
      <c r="AO44" s="563"/>
    </row>
    <row r="45" spans="1:41" ht="15" customHeight="1" thickBot="1" x14ac:dyDescent="0.4">
      <c r="A45" s="530" t="s">
        <v>561</v>
      </c>
      <c r="B45" s="528" t="s">
        <v>180</v>
      </c>
      <c r="C45" s="86">
        <v>58.107258064516159</v>
      </c>
      <c r="D45" s="86">
        <v>8.6416666666666586</v>
      </c>
      <c r="E45" s="86">
        <v>10.925000000000001</v>
      </c>
      <c r="F45" s="167">
        <v>69525</v>
      </c>
      <c r="G45" s="167">
        <v>7429</v>
      </c>
      <c r="H45" s="532" t="s">
        <v>61</v>
      </c>
      <c r="I45" s="167">
        <v>14.62</v>
      </c>
      <c r="J45" s="532">
        <v>12000</v>
      </c>
      <c r="K45" s="167">
        <v>70.25</v>
      </c>
      <c r="L45" s="535">
        <v>189000</v>
      </c>
      <c r="M45" s="534">
        <v>11810.5</v>
      </c>
      <c r="N45" s="816">
        <v>11700</v>
      </c>
      <c r="O45" s="435">
        <v>8.6416666666666586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567" t="e">
        <v>#REF!</v>
      </c>
      <c r="U45" s="567" t="e">
        <v>#REF!</v>
      </c>
      <c r="V45" s="818" t="e">
        <v>#REF!</v>
      </c>
      <c r="W45" s="434"/>
      <c r="X45" s="434"/>
      <c r="Y45" s="434"/>
      <c r="AM45" s="275">
        <v>0.61458333333333337</v>
      </c>
      <c r="AO45" s="563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203775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17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18"/>
      <c r="W46" s="434"/>
      <c r="X46" s="434"/>
      <c r="Y46" s="434"/>
      <c r="AM46" s="275">
        <v>0.61736111111111114</v>
      </c>
      <c r="AO46" s="563"/>
    </row>
    <row r="47" spans="1:41" ht="15" customHeight="1" thickBot="1" x14ac:dyDescent="0.4">
      <c r="A47" s="530" t="s">
        <v>562</v>
      </c>
      <c r="B47" s="528" t="s">
        <v>180</v>
      </c>
      <c r="C47" s="86">
        <v>60.354838709677409</v>
      </c>
      <c r="D47" s="86">
        <v>14.725000000000001</v>
      </c>
      <c r="E47" s="86">
        <v>10.959473684210526</v>
      </c>
      <c r="F47" s="167">
        <v>78300</v>
      </c>
      <c r="G47" s="167">
        <v>7859</v>
      </c>
      <c r="H47" s="532" t="s">
        <v>61</v>
      </c>
      <c r="I47" s="167">
        <v>14.4</v>
      </c>
      <c r="J47" s="532">
        <v>12000</v>
      </c>
      <c r="K47" s="167">
        <v>72.55</v>
      </c>
      <c r="L47" s="535">
        <v>190125</v>
      </c>
      <c r="M47" s="435">
        <v>11827.45</v>
      </c>
      <c r="N47" s="816">
        <v>11700</v>
      </c>
      <c r="O47" s="435">
        <v>14.725000000000001</v>
      </c>
      <c r="P47" s="534" t="s">
        <v>211</v>
      </c>
      <c r="Q47" s="534" t="s">
        <v>211</v>
      </c>
      <c r="R47" s="534" t="s">
        <v>211</v>
      </c>
      <c r="S47" s="818" t="e">
        <v>#REF!</v>
      </c>
      <c r="T47" s="567" t="e">
        <v>#REF!</v>
      </c>
      <c r="U47" s="414" t="e">
        <v>#REF!</v>
      </c>
      <c r="V47" s="818" t="e">
        <v>#REF!</v>
      </c>
      <c r="W47" s="434"/>
      <c r="X47" s="434"/>
      <c r="Y47" s="434"/>
      <c r="AM47" s="275">
        <v>0.625</v>
      </c>
      <c r="AO47" s="563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207450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17"/>
      <c r="O48" s="435" t="s">
        <v>211</v>
      </c>
      <c r="P48" s="534" t="s">
        <v>211</v>
      </c>
      <c r="Q48" s="534" t="s">
        <v>211</v>
      </c>
      <c r="R48" s="534" t="s">
        <v>211</v>
      </c>
      <c r="S48" s="818" t="e">
        <v>#REF!</v>
      </c>
      <c r="T48" s="413" t="s">
        <v>211</v>
      </c>
      <c r="U48" s="560" t="s">
        <v>211</v>
      </c>
      <c r="V48" s="818"/>
      <c r="W48" s="434"/>
      <c r="X48" s="434"/>
      <c r="Y48" s="434"/>
      <c r="AM48" s="275">
        <v>0.62777777777777777</v>
      </c>
      <c r="AO48" s="563"/>
    </row>
    <row r="49" spans="1:41" ht="15" customHeight="1" thickBot="1" x14ac:dyDescent="0.4">
      <c r="A49" s="530" t="s">
        <v>563</v>
      </c>
      <c r="B49" s="528" t="s">
        <v>180</v>
      </c>
      <c r="C49" s="86">
        <v>63.666935483870958</v>
      </c>
      <c r="D49" s="86">
        <v>26.183333333333337</v>
      </c>
      <c r="E49" s="86">
        <v>10.390526315789472</v>
      </c>
      <c r="F49" s="167">
        <v>75150</v>
      </c>
      <c r="G49" s="167">
        <v>8248</v>
      </c>
      <c r="H49" s="532" t="s">
        <v>61</v>
      </c>
      <c r="I49" s="167">
        <v>14.06</v>
      </c>
      <c r="J49" s="532">
        <v>12000</v>
      </c>
      <c r="K49" s="167">
        <v>79.5</v>
      </c>
      <c r="L49" s="535">
        <v>181800</v>
      </c>
      <c r="M49" s="435">
        <v>11841.65</v>
      </c>
      <c r="N49" s="816">
        <v>11800</v>
      </c>
      <c r="O49" s="435">
        <v>26.183333333333337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567" t="e">
        <v>#REF!</v>
      </c>
      <c r="U49" s="567" t="e">
        <v>#REF!</v>
      </c>
      <c r="V49" s="818" t="e">
        <v>#REF!</v>
      </c>
      <c r="W49" s="434"/>
      <c r="X49" s="434"/>
      <c r="Y49" s="434"/>
      <c r="AM49" s="275">
        <v>0.63541666666666663</v>
      </c>
      <c r="AO49" s="563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205800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17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18"/>
      <c r="W50" s="434"/>
      <c r="X50" s="434"/>
      <c r="Y50" s="434"/>
      <c r="AM50" s="275">
        <v>0.6381944444444444</v>
      </c>
      <c r="AO50" s="563"/>
    </row>
    <row r="51" spans="1:41" ht="15" customHeight="1" thickBot="1" x14ac:dyDescent="0.4">
      <c r="A51" s="530" t="s">
        <v>230</v>
      </c>
      <c r="B51" s="528" t="s">
        <v>180</v>
      </c>
      <c r="C51" s="86">
        <v>69.971774193548427</v>
      </c>
      <c r="D51" s="86">
        <v>25.558333333333323</v>
      </c>
      <c r="E51" s="86">
        <v>11.342368421052631</v>
      </c>
      <c r="F51" s="167">
        <v>74475</v>
      </c>
      <c r="G51" s="167">
        <v>8511</v>
      </c>
      <c r="H51" s="532" t="s">
        <v>61</v>
      </c>
      <c r="I51" s="167">
        <v>13.95</v>
      </c>
      <c r="J51" s="532">
        <v>12000</v>
      </c>
      <c r="K51" s="167">
        <v>78.5</v>
      </c>
      <c r="L51" s="535">
        <v>194250</v>
      </c>
      <c r="M51" s="534">
        <v>11845.3</v>
      </c>
      <c r="N51" s="816">
        <v>11800</v>
      </c>
      <c r="O51" s="435">
        <v>25.558333333333323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567" t="e">
        <v>#REF!</v>
      </c>
      <c r="U51" s="567" t="e">
        <v>#REF!</v>
      </c>
      <c r="V51" s="818" t="e">
        <v>#REF!</v>
      </c>
      <c r="W51" s="434"/>
      <c r="X51" s="434"/>
      <c r="Y51" s="434"/>
      <c r="AM51" s="275">
        <v>0.64583333333333337</v>
      </c>
      <c r="AO51" s="563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184575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17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18"/>
      <c r="W52" s="434"/>
      <c r="X52" s="434"/>
      <c r="Y52" s="434"/>
      <c r="AM52" s="275">
        <v>0.64861111111111114</v>
      </c>
      <c r="AO52" s="563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AF7E7-B379-46D4-A534-0B326E62954C}">
  <sheetPr codeName="Sheet25"/>
  <dimension ref="A1:AS52"/>
  <sheetViews>
    <sheetView topLeftCell="A37" workbookViewId="0">
      <selection activeCell="J18" sqref="J18"/>
    </sheetView>
  </sheetViews>
  <sheetFormatPr defaultColWidth="9.1796875" defaultRowHeight="14.5" x14ac:dyDescent="0.35"/>
  <cols>
    <col min="1" max="1" width="9.1796875" style="553"/>
    <col min="2" max="2" width="9.1796875" style="274"/>
    <col min="3" max="3" width="5.453125" style="553" customWidth="1"/>
    <col min="4" max="4" width="8.453125" style="553" customWidth="1"/>
    <col min="5" max="5" width="8.7265625" style="553" customWidth="1"/>
    <col min="6" max="6" width="12.7265625" style="552" customWidth="1"/>
    <col min="7" max="7" width="13" style="552" customWidth="1"/>
    <col min="8" max="9" width="6.453125" style="553" customWidth="1"/>
    <col min="10" max="10" width="10.08984375" style="553" customWidth="1"/>
    <col min="11" max="11" width="8" style="553" customWidth="1"/>
    <col min="12" max="12" width="13.54296875" style="552" customWidth="1"/>
    <col min="13" max="13" width="8.26953125" style="553" customWidth="1"/>
    <col min="14" max="14" width="9.453125" style="553" hidden="1" customWidth="1"/>
    <col min="15" max="15" width="12.453125" style="553" bestFit="1" customWidth="1"/>
    <col min="16" max="18" width="9.1796875" style="553"/>
    <col min="19" max="19" width="5.453125" style="553" hidden="1" customWidth="1"/>
    <col min="20" max="20" width="6.81640625" style="553" hidden="1" customWidth="1"/>
    <col min="21" max="22" width="0" style="553" hidden="1" customWidth="1"/>
    <col min="23" max="25" width="9.1796875" style="553"/>
    <col min="26" max="26" width="9.453125" style="553" customWidth="1"/>
    <col min="27" max="38" width="9.1796875" style="553"/>
    <col min="39" max="40" width="7.90625" style="553" bestFit="1" customWidth="1"/>
    <col min="41" max="41" width="9.6328125" style="553" bestFit="1" customWidth="1"/>
    <col min="42" max="44" width="9.1796875" style="553"/>
    <col min="45" max="45" width="0" style="553" hidden="1" customWidth="1"/>
    <col min="46" max="16384" width="9.1796875" style="553"/>
  </cols>
  <sheetData>
    <row r="1" spans="1:45" ht="14.5" customHeight="1" thickBot="1" x14ac:dyDescent="0.4">
      <c r="A1" s="80"/>
      <c r="B1" s="273"/>
      <c r="C1" s="647" t="s">
        <v>53</v>
      </c>
      <c r="D1" s="643"/>
      <c r="E1" s="537"/>
      <c r="F1" s="537"/>
      <c r="G1" s="537"/>
      <c r="H1" s="557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">
        <v>536</v>
      </c>
      <c r="R1" s="814"/>
      <c r="S1" s="810" t="s">
        <v>87</v>
      </c>
      <c r="T1" s="811"/>
      <c r="U1" s="811"/>
      <c r="V1" s="815"/>
      <c r="W1" s="432"/>
      <c r="X1" s="432"/>
      <c r="Y1" s="432"/>
      <c r="Z1" s="554"/>
      <c r="AA1" s="554"/>
      <c r="AB1" s="554"/>
      <c r="AC1" s="554"/>
      <c r="AD1" s="554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555" t="s">
        <v>530</v>
      </c>
      <c r="D2" s="556" t="s">
        <v>531</v>
      </c>
      <c r="E2" s="556" t="s">
        <v>3</v>
      </c>
      <c r="F2" s="166" t="s">
        <v>35</v>
      </c>
      <c r="G2" s="166" t="s">
        <v>37</v>
      </c>
      <c r="H2" s="557" t="s">
        <v>43</v>
      </c>
      <c r="I2" s="81" t="s">
        <v>88</v>
      </c>
      <c r="J2" s="555" t="s">
        <v>14</v>
      </c>
      <c r="K2" s="556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54"/>
      <c r="AA2" s="554"/>
      <c r="AB2" s="271" t="s">
        <v>97</v>
      </c>
      <c r="AC2" s="272" t="s">
        <v>98</v>
      </c>
      <c r="AD2" s="554"/>
      <c r="AS2" s="554" t="s">
        <v>99</v>
      </c>
    </row>
    <row r="3" spans="1:45" ht="14.5" customHeight="1" thickBot="1" x14ac:dyDescent="0.4">
      <c r="A3" s="530" t="s">
        <v>537</v>
      </c>
      <c r="B3" s="528" t="s">
        <v>180</v>
      </c>
      <c r="C3" s="86">
        <v>32.504838709677443</v>
      </c>
      <c r="D3" s="86">
        <v>-7.0749999999999957</v>
      </c>
      <c r="E3" s="86">
        <v>80.294999999999987</v>
      </c>
      <c r="F3" s="167">
        <v>75150</v>
      </c>
      <c r="G3" s="167">
        <v>180627</v>
      </c>
      <c r="H3" s="532" t="s">
        <v>55</v>
      </c>
      <c r="I3" s="167">
        <v>89.35</v>
      </c>
      <c r="J3" s="532">
        <v>12000</v>
      </c>
      <c r="K3" s="167">
        <v>113.3</v>
      </c>
      <c r="L3" s="535">
        <v>1491150</v>
      </c>
      <c r="M3" s="534">
        <v>11733.95</v>
      </c>
      <c r="N3" s="816">
        <v>11700</v>
      </c>
      <c r="O3" s="435">
        <v>-7.0749999999999957</v>
      </c>
      <c r="P3" s="534" t="s">
        <v>211</v>
      </c>
      <c r="Q3" s="534" t="s">
        <v>211</v>
      </c>
      <c r="R3" s="534" t="s">
        <v>211</v>
      </c>
      <c r="S3" s="88" t="s">
        <v>41</v>
      </c>
      <c r="T3" s="558" t="e">
        <v>#REF!</v>
      </c>
      <c r="U3" s="558" t="e">
        <v>#REF!</v>
      </c>
      <c r="V3" s="818" t="e">
        <v>#REF!</v>
      </c>
      <c r="W3" s="434"/>
      <c r="X3" s="434"/>
      <c r="Y3" s="434"/>
      <c r="Z3" s="554"/>
      <c r="AA3" s="554"/>
      <c r="AB3" s="554"/>
      <c r="AC3" s="554"/>
      <c r="AD3" s="554"/>
      <c r="AL3" s="554" t="s">
        <v>171</v>
      </c>
      <c r="AM3" s="275">
        <v>0.39583333333333331</v>
      </c>
      <c r="AN3" s="89">
        <v>43608.345927546296</v>
      </c>
      <c r="AO3" s="554" t="s">
        <v>207</v>
      </c>
      <c r="AS3" s="554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60225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17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558" t="s">
        <v>211</v>
      </c>
      <c r="U4" s="558" t="s">
        <v>211</v>
      </c>
      <c r="V4" s="818"/>
      <c r="W4" s="434"/>
      <c r="X4" s="434"/>
      <c r="Y4" s="434"/>
      <c r="Z4" s="554"/>
      <c r="AA4" s="554"/>
      <c r="AB4" s="554"/>
      <c r="AC4" s="554"/>
      <c r="AD4" s="554"/>
      <c r="AL4" s="554" t="s">
        <v>172</v>
      </c>
      <c r="AM4" s="275">
        <v>0.39861111111111108</v>
      </c>
      <c r="AN4" s="554"/>
      <c r="AO4" s="554"/>
    </row>
    <row r="5" spans="1:45" ht="14.5" customHeight="1" thickBot="1" x14ac:dyDescent="0.4">
      <c r="A5" s="530" t="s">
        <v>409</v>
      </c>
      <c r="B5" s="528" t="s">
        <v>180</v>
      </c>
      <c r="C5" s="86">
        <v>39.946774193548379</v>
      </c>
      <c r="D5" s="86">
        <v>10.183333333333323</v>
      </c>
      <c r="E5" s="86">
        <v>84.132368421052647</v>
      </c>
      <c r="F5" s="167">
        <v>181200</v>
      </c>
      <c r="G5" s="167">
        <v>180627</v>
      </c>
      <c r="H5" s="532" t="s">
        <v>55</v>
      </c>
      <c r="I5" s="167">
        <v>88.43</v>
      </c>
      <c r="J5" s="532">
        <v>12000</v>
      </c>
      <c r="K5" s="167">
        <v>110.8</v>
      </c>
      <c r="L5" s="535">
        <v>1582350</v>
      </c>
      <c r="M5" s="435">
        <v>11724.1</v>
      </c>
      <c r="N5" s="816">
        <v>11700</v>
      </c>
      <c r="O5" s="435">
        <v>10.183333333333323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558" t="e">
        <v>#REF!</v>
      </c>
      <c r="U5" s="558" t="e">
        <v>#REF!</v>
      </c>
      <c r="V5" s="818" t="e">
        <v>#REF!</v>
      </c>
      <c r="W5" s="434"/>
      <c r="X5" s="434"/>
      <c r="Y5" s="434"/>
      <c r="Z5" s="554"/>
      <c r="AA5" s="554"/>
      <c r="AB5" s="554"/>
      <c r="AC5" s="554"/>
      <c r="AD5" s="554"/>
      <c r="AM5" s="275">
        <v>0.40625</v>
      </c>
      <c r="AN5" s="554"/>
      <c r="AO5" s="554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85725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17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558" t="s">
        <v>211</v>
      </c>
      <c r="U6" s="558" t="s">
        <v>211</v>
      </c>
      <c r="V6" s="818"/>
      <c r="W6" s="434"/>
      <c r="X6" s="434"/>
      <c r="Y6" s="434"/>
      <c r="Z6" s="554"/>
      <c r="AA6" s="554"/>
      <c r="AB6" s="554"/>
      <c r="AC6" s="554"/>
      <c r="AD6" s="554"/>
      <c r="AM6" s="275">
        <v>0.40902777777777777</v>
      </c>
      <c r="AN6" s="554"/>
      <c r="AO6" s="554"/>
    </row>
    <row r="7" spans="1:45" ht="14.5" customHeight="1" thickBot="1" x14ac:dyDescent="0.4">
      <c r="A7" s="530" t="s">
        <v>538</v>
      </c>
      <c r="B7" s="528" t="s">
        <v>180</v>
      </c>
      <c r="C7" s="86">
        <v>39.93951612903227</v>
      </c>
      <c r="D7" s="86">
        <v>-13.708333333333321</v>
      </c>
      <c r="E7" s="86">
        <v>85.087894736842117</v>
      </c>
      <c r="F7" s="167">
        <v>214575</v>
      </c>
      <c r="G7" s="167">
        <v>180627</v>
      </c>
      <c r="H7" s="532" t="s">
        <v>55</v>
      </c>
      <c r="I7" s="167">
        <v>89.12</v>
      </c>
      <c r="J7" s="532">
        <v>12000</v>
      </c>
      <c r="K7" s="167">
        <v>113.15</v>
      </c>
      <c r="L7" s="535">
        <v>1593975</v>
      </c>
      <c r="M7" s="534">
        <v>11718.65</v>
      </c>
      <c r="N7" s="816">
        <v>11700</v>
      </c>
      <c r="O7" s="435">
        <v>-13.708333333333321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558" t="e">
        <v>#REF!</v>
      </c>
      <c r="U7" s="558" t="e">
        <v>#REF!</v>
      </c>
      <c r="V7" s="818" t="e">
        <v>#REF!</v>
      </c>
      <c r="W7" s="434"/>
      <c r="X7" s="434"/>
      <c r="Y7" s="434"/>
      <c r="Z7" s="554"/>
      <c r="AA7" s="554"/>
      <c r="AB7" s="554"/>
      <c r="AC7" s="554"/>
      <c r="AD7" s="554"/>
      <c r="AM7" s="275">
        <v>0.41666666666666669</v>
      </c>
      <c r="AN7" s="554"/>
      <c r="AO7" s="554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89175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17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558" t="s">
        <v>211</v>
      </c>
      <c r="U8" s="558" t="s">
        <v>211</v>
      </c>
      <c r="V8" s="818"/>
      <c r="W8" s="434"/>
      <c r="X8" s="434"/>
      <c r="Y8" s="434"/>
      <c r="Z8" s="554"/>
      <c r="AA8" s="554"/>
      <c r="AB8" s="554"/>
      <c r="AC8" s="554"/>
      <c r="AD8" s="554"/>
      <c r="AM8" s="275">
        <v>0.41944444444444445</v>
      </c>
      <c r="AN8" s="554"/>
      <c r="AO8" s="554"/>
    </row>
    <row r="9" spans="1:45" ht="14.5" customHeight="1" thickBot="1" x14ac:dyDescent="0.4">
      <c r="A9" s="530" t="s">
        <v>539</v>
      </c>
      <c r="B9" s="528" t="s">
        <v>180</v>
      </c>
      <c r="C9" s="86">
        <v>39.453225806451655</v>
      </c>
      <c r="D9" s="86">
        <v>-14.94166666666667</v>
      </c>
      <c r="E9" s="86">
        <v>84.970526315789471</v>
      </c>
      <c r="F9" s="167">
        <v>235800</v>
      </c>
      <c r="G9" s="167">
        <v>180627</v>
      </c>
      <c r="H9" s="532" t="s">
        <v>55</v>
      </c>
      <c r="I9" s="167">
        <v>88.83</v>
      </c>
      <c r="J9" s="532">
        <v>12000</v>
      </c>
      <c r="K9" s="167">
        <v>112.05</v>
      </c>
      <c r="L9" s="535">
        <v>1612125</v>
      </c>
      <c r="M9" s="534">
        <v>11732.8</v>
      </c>
      <c r="N9" s="816">
        <v>11700</v>
      </c>
      <c r="O9" s="435">
        <v>-14.94166666666667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558" t="e">
        <v>#REF!</v>
      </c>
      <c r="U9" s="558" t="e">
        <v>#REF!</v>
      </c>
      <c r="V9" s="818" t="e">
        <v>#REF!</v>
      </c>
      <c r="W9" s="434"/>
      <c r="X9" s="434"/>
      <c r="Y9" s="434"/>
      <c r="Z9" s="554"/>
      <c r="AA9" s="554"/>
      <c r="AB9" s="718" t="s">
        <v>165</v>
      </c>
      <c r="AC9" s="719"/>
      <c r="AD9" s="719"/>
      <c r="AM9" s="275">
        <v>0.42708333333333331</v>
      </c>
      <c r="AN9" s="554"/>
      <c r="AO9" s="554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86925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17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558" t="s">
        <v>211</v>
      </c>
      <c r="U10" s="558" t="s">
        <v>211</v>
      </c>
      <c r="V10" s="818"/>
      <c r="W10" s="434"/>
      <c r="X10" s="434"/>
      <c r="Y10" s="434"/>
      <c r="Z10" s="554"/>
      <c r="AA10" s="554"/>
      <c r="AB10" s="718" t="s">
        <v>365</v>
      </c>
      <c r="AC10" s="719"/>
      <c r="AD10" s="719"/>
      <c r="AM10" s="275">
        <v>0.42986111111111108</v>
      </c>
      <c r="AN10" s="554"/>
      <c r="AO10" s="554"/>
    </row>
    <row r="11" spans="1:45" ht="14.5" customHeight="1" thickBot="1" x14ac:dyDescent="0.4">
      <c r="A11" s="530" t="s">
        <v>342</v>
      </c>
      <c r="B11" s="528" t="s">
        <v>180</v>
      </c>
      <c r="C11" s="86">
        <v>44.019354838709717</v>
      </c>
      <c r="D11" s="86">
        <v>14.066666666666663</v>
      </c>
      <c r="E11" s="86">
        <v>78.44</v>
      </c>
      <c r="F11" s="167">
        <v>234450</v>
      </c>
      <c r="G11" s="167">
        <v>180627</v>
      </c>
      <c r="H11" s="532" t="s">
        <v>55</v>
      </c>
      <c r="I11" s="167">
        <v>86.84</v>
      </c>
      <c r="J11" s="532">
        <v>12000</v>
      </c>
      <c r="K11" s="167">
        <v>117.1</v>
      </c>
      <c r="L11" s="535">
        <v>1625925</v>
      </c>
      <c r="M11" s="534">
        <v>11750.95</v>
      </c>
      <c r="N11" s="816">
        <v>11700</v>
      </c>
      <c r="O11" s="435">
        <v>14.066666666666663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558" t="e">
        <v>#REF!</v>
      </c>
      <c r="U11" s="558" t="e">
        <v>#REF!</v>
      </c>
      <c r="V11" s="818" t="e">
        <v>#REF!</v>
      </c>
      <c r="W11" s="434"/>
      <c r="X11" s="434"/>
      <c r="Y11" s="434"/>
      <c r="Z11" s="554"/>
      <c r="AA11" s="554"/>
      <c r="AB11" s="718" t="s">
        <v>366</v>
      </c>
      <c r="AC11" s="718"/>
      <c r="AD11" s="718"/>
      <c r="AM11" s="275">
        <v>0.4375</v>
      </c>
      <c r="AN11" s="554"/>
      <c r="AO11" s="554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112350</v>
      </c>
      <c r="G12" s="168">
        <v>16905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17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558" t="s">
        <v>211</v>
      </c>
      <c r="U12" s="558" t="s">
        <v>211</v>
      </c>
      <c r="V12" s="818"/>
      <c r="W12" s="434"/>
      <c r="X12" s="434"/>
      <c r="Y12" s="434"/>
      <c r="Z12" s="554"/>
      <c r="AA12" s="554"/>
      <c r="AB12" s="718" t="s">
        <v>167</v>
      </c>
      <c r="AC12" s="718"/>
      <c r="AD12" s="718"/>
      <c r="AM12" s="275">
        <v>0.44027777777777777</v>
      </c>
      <c r="AN12" s="554"/>
      <c r="AO12" s="554"/>
    </row>
    <row r="13" spans="1:45" ht="14.5" customHeight="1" thickBot="1" x14ac:dyDescent="0.4">
      <c r="A13" s="530" t="s">
        <v>507</v>
      </c>
      <c r="B13" s="528" t="s">
        <v>180</v>
      </c>
      <c r="C13" s="86">
        <v>47.142741935483855</v>
      </c>
      <c r="D13" s="86">
        <v>15.083333333333343</v>
      </c>
      <c r="E13" s="86">
        <v>79.897894736842119</v>
      </c>
      <c r="F13" s="167">
        <v>220575</v>
      </c>
      <c r="G13" s="167">
        <v>20621</v>
      </c>
      <c r="H13" s="532" t="s">
        <v>55</v>
      </c>
      <c r="I13" s="167">
        <v>87.97</v>
      </c>
      <c r="J13" s="532">
        <v>12000</v>
      </c>
      <c r="K13" s="167">
        <v>119.75</v>
      </c>
      <c r="L13" s="535">
        <v>1591425</v>
      </c>
      <c r="M13" s="534">
        <v>11750.55</v>
      </c>
      <c r="N13" s="816">
        <v>11700</v>
      </c>
      <c r="O13" s="435">
        <v>15.083333333333343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558" t="e">
        <v>#REF!</v>
      </c>
      <c r="U13" s="558" t="e">
        <v>#REF!</v>
      </c>
      <c r="V13" s="818" t="e">
        <v>#REF!</v>
      </c>
      <c r="W13" s="434"/>
      <c r="X13" s="434"/>
      <c r="Y13" s="434"/>
      <c r="Z13" s="554"/>
      <c r="AA13" s="554"/>
      <c r="AB13" s="718" t="s">
        <v>168</v>
      </c>
      <c r="AC13" s="718"/>
      <c r="AD13" s="718"/>
      <c r="AM13" s="275">
        <v>0.44791666666666669</v>
      </c>
      <c r="AN13" s="554"/>
      <c r="AO13" s="554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121725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17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558" t="s">
        <v>211</v>
      </c>
      <c r="U14" s="558" t="s">
        <v>211</v>
      </c>
      <c r="V14" s="818"/>
      <c r="W14" s="434"/>
      <c r="X14" s="434"/>
      <c r="Y14" s="434"/>
      <c r="AM14" s="275">
        <v>0.45069444444444445</v>
      </c>
      <c r="AN14" s="554"/>
      <c r="AO14" s="554"/>
    </row>
    <row r="15" spans="1:45" ht="14.5" customHeight="1" thickBot="1" x14ac:dyDescent="0.4">
      <c r="A15" s="530" t="s">
        <v>343</v>
      </c>
      <c r="B15" s="528" t="s">
        <v>180</v>
      </c>
      <c r="C15" s="86">
        <v>45.066129032258075</v>
      </c>
      <c r="D15" s="86">
        <v>13.275000000000006</v>
      </c>
      <c r="E15" s="86">
        <v>86.619473684210519</v>
      </c>
      <c r="F15" s="167">
        <v>228225</v>
      </c>
      <c r="G15" s="167">
        <v>21967</v>
      </c>
      <c r="H15" s="532" t="s">
        <v>55</v>
      </c>
      <c r="I15" s="167">
        <v>88.33</v>
      </c>
      <c r="J15" s="532">
        <v>12000</v>
      </c>
      <c r="K15" s="167">
        <v>118.8</v>
      </c>
      <c r="L15" s="535">
        <v>1613175</v>
      </c>
      <c r="M15" s="534">
        <v>11739.55</v>
      </c>
      <c r="N15" s="816">
        <v>11700</v>
      </c>
      <c r="O15" s="435">
        <v>13.275000000000006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558" t="e">
        <v>#REF!</v>
      </c>
      <c r="U15" s="558" t="e">
        <v>#REF!</v>
      </c>
      <c r="V15" s="818" t="e">
        <v>#REF!</v>
      </c>
      <c r="W15" s="434"/>
      <c r="X15" s="434"/>
      <c r="Y15" s="434"/>
      <c r="AM15" s="275">
        <v>0.45833333333333331</v>
      </c>
      <c r="AN15" s="554"/>
      <c r="AO15" s="554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122025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17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558" t="s">
        <v>211</v>
      </c>
      <c r="U16" s="558" t="s">
        <v>211</v>
      </c>
      <c r="V16" s="818"/>
      <c r="W16" s="434"/>
      <c r="X16" s="434"/>
      <c r="Y16" s="434"/>
      <c r="AM16" s="275">
        <v>0.46111111111111108</v>
      </c>
      <c r="AN16" s="554"/>
      <c r="AO16" s="554"/>
    </row>
    <row r="17" spans="1:41" ht="14.5" customHeight="1" thickBot="1" x14ac:dyDescent="0.4">
      <c r="A17" s="530" t="s">
        <v>441</v>
      </c>
      <c r="B17" s="528" t="s">
        <v>180</v>
      </c>
      <c r="C17" s="86">
        <v>27.857258064516117</v>
      </c>
      <c r="D17" s="86">
        <v>7.7583333333333258</v>
      </c>
      <c r="E17" s="86">
        <v>87.015263157894736</v>
      </c>
      <c r="F17" s="167">
        <v>236625</v>
      </c>
      <c r="G17" s="167">
        <v>23488</v>
      </c>
      <c r="H17" s="532" t="s">
        <v>55</v>
      </c>
      <c r="I17" s="167">
        <v>89.22</v>
      </c>
      <c r="J17" s="532">
        <v>12000</v>
      </c>
      <c r="K17" s="167">
        <v>115.4</v>
      </c>
      <c r="L17" s="535">
        <v>1633725</v>
      </c>
      <c r="M17" s="534">
        <v>11724.25</v>
      </c>
      <c r="N17" s="816">
        <v>11700</v>
      </c>
      <c r="O17" s="435">
        <v>7.7583333333333258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558" t="e">
        <v>#REF!</v>
      </c>
      <c r="U17" s="558" t="e">
        <v>#REF!</v>
      </c>
      <c r="V17" s="818" t="e">
        <v>#REF!</v>
      </c>
      <c r="W17" s="434"/>
      <c r="X17" s="434"/>
      <c r="Y17" s="434"/>
      <c r="AM17" s="275">
        <v>0.46875</v>
      </c>
      <c r="AN17" s="554"/>
      <c r="AO17" s="554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138150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17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558" t="s">
        <v>211</v>
      </c>
      <c r="U18" s="558" t="s">
        <v>211</v>
      </c>
      <c r="V18" s="818"/>
      <c r="W18" s="434"/>
      <c r="X18" s="434"/>
      <c r="Y18" s="434"/>
      <c r="AM18" s="275">
        <v>0.47152777777777777</v>
      </c>
      <c r="AN18" s="554"/>
      <c r="AO18" s="554"/>
    </row>
    <row r="19" spans="1:41" ht="14.5" customHeight="1" thickBot="1" x14ac:dyDescent="0.4">
      <c r="A19" s="530" t="s">
        <v>509</v>
      </c>
      <c r="B19" s="528" t="s">
        <v>180</v>
      </c>
      <c r="C19" s="86">
        <v>31.867741935483892</v>
      </c>
      <c r="D19" s="86">
        <v>14.849999999999994</v>
      </c>
      <c r="E19" s="86">
        <v>86.966578947368419</v>
      </c>
      <c r="F19" s="167">
        <v>239250</v>
      </c>
      <c r="G19" s="167">
        <v>24753</v>
      </c>
      <c r="H19" s="532" t="s">
        <v>55</v>
      </c>
      <c r="I19" s="167">
        <v>90.04</v>
      </c>
      <c r="J19" s="532">
        <v>12000</v>
      </c>
      <c r="K19" s="167">
        <v>119.65</v>
      </c>
      <c r="L19" s="535">
        <v>1621725</v>
      </c>
      <c r="M19" s="534">
        <v>11736.7</v>
      </c>
      <c r="N19" s="816">
        <v>11700</v>
      </c>
      <c r="O19" s="435">
        <v>14.849999999999994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558" t="e">
        <v>#REF!</v>
      </c>
      <c r="U19" s="558" t="e">
        <v>#REF!</v>
      </c>
      <c r="V19" s="818" t="e">
        <v>#REF!</v>
      </c>
      <c r="W19" s="434"/>
      <c r="X19" s="434"/>
      <c r="Y19" s="434"/>
      <c r="AM19" s="275">
        <v>0.47916666666666669</v>
      </c>
      <c r="AN19" s="554"/>
      <c r="AO19" s="554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142350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17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558" t="s">
        <v>211</v>
      </c>
      <c r="U20" s="558" t="s">
        <v>211</v>
      </c>
      <c r="V20" s="818"/>
      <c r="W20" s="434"/>
      <c r="X20" s="434"/>
      <c r="Y20" s="434"/>
      <c r="AM20" s="275">
        <v>0.48194444444444445</v>
      </c>
      <c r="AN20" s="554"/>
      <c r="AO20" s="554"/>
    </row>
    <row r="21" spans="1:41" ht="14.5" customHeight="1" thickBot="1" x14ac:dyDescent="0.4">
      <c r="A21" s="530" t="s">
        <v>540</v>
      </c>
      <c r="B21" s="528" t="s">
        <v>180</v>
      </c>
      <c r="C21" s="86">
        <v>28.399999999999963</v>
      </c>
      <c r="D21" s="86">
        <v>10.950000000000003</v>
      </c>
      <c r="E21" s="86">
        <v>86.604473684210518</v>
      </c>
      <c r="F21" s="167">
        <v>261975</v>
      </c>
      <c r="G21" s="167">
        <v>25844</v>
      </c>
      <c r="H21" s="532" t="s">
        <v>55</v>
      </c>
      <c r="I21" s="167">
        <v>89.87</v>
      </c>
      <c r="J21" s="532">
        <v>12000</v>
      </c>
      <c r="K21" s="167">
        <v>117</v>
      </c>
      <c r="L21" s="535">
        <v>1646475</v>
      </c>
      <c r="M21" s="534">
        <v>11720.95</v>
      </c>
      <c r="N21" s="816">
        <v>11700</v>
      </c>
      <c r="O21" s="435">
        <v>10.950000000000003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558" t="e">
        <v>#REF!</v>
      </c>
      <c r="U21" s="558" t="e">
        <v>#REF!</v>
      </c>
      <c r="V21" s="818" t="e">
        <v>#REF!</v>
      </c>
      <c r="W21" s="434"/>
      <c r="X21" s="434"/>
      <c r="Y21" s="434"/>
      <c r="AM21" s="275">
        <v>0.48958333333333331</v>
      </c>
      <c r="AN21" s="554"/>
      <c r="AO21" s="554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185475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17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558" t="s">
        <v>211</v>
      </c>
      <c r="U22" s="558" t="s">
        <v>211</v>
      </c>
      <c r="V22" s="818"/>
      <c r="W22" s="434"/>
      <c r="X22" s="434"/>
      <c r="Y22" s="434"/>
      <c r="AM22" s="275">
        <v>0.49236111111111108</v>
      </c>
      <c r="AN22" s="554"/>
      <c r="AO22" s="554"/>
    </row>
    <row r="23" spans="1:41" ht="14.5" customHeight="1" thickBot="1" x14ac:dyDescent="0.4">
      <c r="A23" s="530" t="s">
        <v>413</v>
      </c>
      <c r="B23" s="528" t="s">
        <v>180</v>
      </c>
      <c r="C23" s="86">
        <v>28.816935483870978</v>
      </c>
      <c r="D23" s="86">
        <v>11.25</v>
      </c>
      <c r="E23" s="86">
        <v>86.561052631578931</v>
      </c>
      <c r="F23" s="167">
        <v>254550</v>
      </c>
      <c r="G23" s="167">
        <v>26770</v>
      </c>
      <c r="H23" s="532" t="s">
        <v>55</v>
      </c>
      <c r="I23" s="167">
        <v>90.77</v>
      </c>
      <c r="J23" s="532">
        <v>12000</v>
      </c>
      <c r="K23" s="167">
        <v>118.15</v>
      </c>
      <c r="L23" s="535">
        <v>1651500</v>
      </c>
      <c r="M23" s="534">
        <v>11720.4</v>
      </c>
      <c r="N23" s="816">
        <v>11700</v>
      </c>
      <c r="O23" s="435">
        <v>11.25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558" t="e">
        <v>#REF!</v>
      </c>
      <c r="U23" s="558" t="e">
        <v>#REF!</v>
      </c>
      <c r="V23" s="818" t="e">
        <v>#REF!</v>
      </c>
      <c r="W23" s="434"/>
      <c r="X23" s="434"/>
      <c r="Y23" s="434"/>
      <c r="AM23" s="275">
        <v>0.5</v>
      </c>
      <c r="AN23" s="554"/>
      <c r="AO23" s="554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190275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17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558" t="s">
        <v>211</v>
      </c>
      <c r="U24" s="558" t="s">
        <v>211</v>
      </c>
      <c r="V24" s="818"/>
      <c r="W24" s="434"/>
      <c r="X24" s="434"/>
      <c r="Y24" s="434"/>
      <c r="AM24" s="275">
        <v>0.50277777777777777</v>
      </c>
      <c r="AN24" s="554"/>
      <c r="AO24" s="554"/>
    </row>
    <row r="25" spans="1:41" ht="14.5" customHeight="1" thickBot="1" x14ac:dyDescent="0.4">
      <c r="A25" s="530" t="s">
        <v>211</v>
      </c>
      <c r="B25" s="528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32" t="s">
        <v>211</v>
      </c>
      <c r="I25" s="167" t="s">
        <v>211</v>
      </c>
      <c r="J25" s="532" t="s">
        <v>211</v>
      </c>
      <c r="K25" s="167" t="s">
        <v>211</v>
      </c>
      <c r="L25" s="535" t="s">
        <v>211</v>
      </c>
      <c r="M25" s="534" t="s">
        <v>211</v>
      </c>
      <c r="N25" s="816" t="s">
        <v>211</v>
      </c>
      <c r="O25" s="435" t="s">
        <v>211</v>
      </c>
      <c r="P25" s="534" t="s">
        <v>211</v>
      </c>
      <c r="Q25" s="534" t="s">
        <v>211</v>
      </c>
      <c r="R25" s="534" t="s">
        <v>211</v>
      </c>
      <c r="S25" s="88" t="s">
        <v>211</v>
      </c>
      <c r="T25" s="558" t="s">
        <v>211</v>
      </c>
      <c r="U25" s="558" t="s">
        <v>211</v>
      </c>
      <c r="V25" s="818" t="s">
        <v>211</v>
      </c>
      <c r="W25" s="434"/>
      <c r="X25" s="434"/>
      <c r="Y25" s="434"/>
      <c r="AM25" s="275">
        <v>0.51041666666666663</v>
      </c>
      <c r="AN25" s="554"/>
      <c r="AO25" s="554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17"/>
      <c r="O26" s="435" t="s">
        <v>211</v>
      </c>
      <c r="P26" s="534" t="s">
        <v>211</v>
      </c>
      <c r="Q26" s="534" t="s">
        <v>211</v>
      </c>
      <c r="R26" s="534" t="s">
        <v>211</v>
      </c>
      <c r="S26" s="92" t="s">
        <v>211</v>
      </c>
      <c r="T26" s="558" t="s">
        <v>211</v>
      </c>
      <c r="U26" s="558" t="s">
        <v>211</v>
      </c>
      <c r="V26" s="818"/>
      <c r="W26" s="434"/>
      <c r="X26" s="434"/>
      <c r="Y26" s="434"/>
      <c r="AM26" s="275">
        <v>0.5131944444444444</v>
      </c>
      <c r="AN26" s="554"/>
      <c r="AO26" s="554"/>
    </row>
    <row r="27" spans="1:41" ht="14.5" customHeight="1" thickBot="1" x14ac:dyDescent="0.4">
      <c r="A27" s="530" t="s">
        <v>211</v>
      </c>
      <c r="B27" s="528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532" t="s">
        <v>211</v>
      </c>
      <c r="I27" s="167" t="s">
        <v>211</v>
      </c>
      <c r="J27" s="532" t="s">
        <v>211</v>
      </c>
      <c r="K27" s="167" t="s">
        <v>211</v>
      </c>
      <c r="L27" s="535" t="s">
        <v>211</v>
      </c>
      <c r="M27" s="534" t="s">
        <v>211</v>
      </c>
      <c r="N27" s="816" t="s">
        <v>211</v>
      </c>
      <c r="O27" s="435" t="s">
        <v>211</v>
      </c>
      <c r="P27" s="534" t="s">
        <v>211</v>
      </c>
      <c r="Q27" s="534" t="s">
        <v>211</v>
      </c>
      <c r="R27" s="534" t="s">
        <v>211</v>
      </c>
      <c r="S27" s="88" t="s">
        <v>211</v>
      </c>
      <c r="T27" s="558" t="s">
        <v>211</v>
      </c>
      <c r="U27" s="558" t="s">
        <v>211</v>
      </c>
      <c r="V27" s="818" t="s">
        <v>211</v>
      </c>
      <c r="W27" s="434"/>
      <c r="X27" s="434"/>
      <c r="Y27" s="434"/>
      <c r="AM27" s="275">
        <v>0.52083333333333337</v>
      </c>
      <c r="AN27" s="554"/>
      <c r="AO27" s="554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 t="s">
        <v>211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17"/>
      <c r="O28" s="435" t="s">
        <v>211</v>
      </c>
      <c r="P28" s="534" t="s">
        <v>211</v>
      </c>
      <c r="Q28" s="534" t="s">
        <v>211</v>
      </c>
      <c r="R28" s="534" t="s">
        <v>211</v>
      </c>
      <c r="S28" s="92" t="s">
        <v>211</v>
      </c>
      <c r="T28" s="558" t="s">
        <v>211</v>
      </c>
      <c r="U28" s="558" t="s">
        <v>211</v>
      </c>
      <c r="V28" s="818"/>
      <c r="W28" s="434"/>
      <c r="X28" s="434"/>
      <c r="Y28" s="434"/>
      <c r="AM28" s="275">
        <v>0.52361111111111114</v>
      </c>
      <c r="AN28" s="554"/>
      <c r="AO28" s="554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16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558" t="s">
        <v>211</v>
      </c>
      <c r="U29" s="558" t="s">
        <v>211</v>
      </c>
      <c r="V29" s="818" t="s">
        <v>211</v>
      </c>
      <c r="W29" s="434"/>
      <c r="X29" s="434"/>
      <c r="Y29" s="434"/>
      <c r="AM29" s="275">
        <v>0.53125</v>
      </c>
      <c r="AO29" s="554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17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558" t="s">
        <v>211</v>
      </c>
      <c r="U30" s="558" t="s">
        <v>211</v>
      </c>
      <c r="V30" s="818"/>
      <c r="W30" s="434"/>
      <c r="X30" s="434"/>
      <c r="Y30" s="434"/>
      <c r="AM30" s="275">
        <v>0.53402777777777777</v>
      </c>
      <c r="AO30" s="554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16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558" t="s">
        <v>211</v>
      </c>
      <c r="U31" s="558" t="s">
        <v>211</v>
      </c>
      <c r="V31" s="818" t="s">
        <v>211</v>
      </c>
      <c r="W31" s="434"/>
      <c r="X31" s="434"/>
      <c r="Y31" s="434"/>
      <c r="AM31" s="275">
        <v>0.54166666666666663</v>
      </c>
      <c r="AO31" s="554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17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558" t="s">
        <v>211</v>
      </c>
      <c r="U32" s="558" t="s">
        <v>211</v>
      </c>
      <c r="V32" s="818"/>
      <c r="W32" s="434"/>
      <c r="X32" s="434"/>
      <c r="Y32" s="434"/>
      <c r="AM32" s="275">
        <v>0.5444444444444444</v>
      </c>
      <c r="AO32" s="554"/>
    </row>
    <row r="33" spans="1:41" ht="15" customHeight="1" thickBot="1" x14ac:dyDescent="0.4">
      <c r="A33" s="530" t="s">
        <v>211</v>
      </c>
      <c r="B33" s="528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532" t="s">
        <v>211</v>
      </c>
      <c r="I33" s="167" t="s">
        <v>211</v>
      </c>
      <c r="J33" s="532" t="s">
        <v>211</v>
      </c>
      <c r="K33" s="167" t="s">
        <v>211</v>
      </c>
      <c r="L33" s="535" t="s">
        <v>211</v>
      </c>
      <c r="M33" s="534" t="s">
        <v>211</v>
      </c>
      <c r="N33" s="816" t="s">
        <v>211</v>
      </c>
      <c r="O33" s="435" t="s">
        <v>211</v>
      </c>
      <c r="P33" s="534" t="s">
        <v>211</v>
      </c>
      <c r="Q33" s="534" t="s">
        <v>211</v>
      </c>
      <c r="R33" s="534" t="s">
        <v>211</v>
      </c>
      <c r="S33" s="88" t="s">
        <v>211</v>
      </c>
      <c r="T33" s="558" t="s">
        <v>211</v>
      </c>
      <c r="U33" s="558" t="s">
        <v>211</v>
      </c>
      <c r="V33" s="818" t="s">
        <v>211</v>
      </c>
      <c r="W33" s="434"/>
      <c r="X33" s="434"/>
      <c r="Y33" s="434"/>
      <c r="AM33" s="275">
        <v>0.55208333333333337</v>
      </c>
      <c r="AO33" s="554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 t="s">
        <v>211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17"/>
      <c r="O34" s="435" t="s">
        <v>211</v>
      </c>
      <c r="P34" s="534" t="s">
        <v>211</v>
      </c>
      <c r="Q34" s="534" t="s">
        <v>211</v>
      </c>
      <c r="R34" s="534" t="s">
        <v>211</v>
      </c>
      <c r="S34" s="92" t="s">
        <v>211</v>
      </c>
      <c r="T34" s="558" t="s">
        <v>211</v>
      </c>
      <c r="U34" s="558" t="s">
        <v>211</v>
      </c>
      <c r="V34" s="818"/>
      <c r="W34" s="434"/>
      <c r="X34" s="434"/>
      <c r="Y34" s="434"/>
      <c r="AM34" s="275">
        <v>0.55486111111111114</v>
      </c>
      <c r="AO34" s="554"/>
    </row>
    <row r="35" spans="1:41" ht="15" customHeight="1" thickBot="1" x14ac:dyDescent="0.4">
      <c r="A35" s="530" t="s">
        <v>211</v>
      </c>
      <c r="B35" s="528" t="s">
        <v>211</v>
      </c>
      <c r="C35" s="86" t="s">
        <v>211</v>
      </c>
      <c r="D35" s="86" t="s">
        <v>211</v>
      </c>
      <c r="E35" s="86" t="s">
        <v>211</v>
      </c>
      <c r="F35" s="167" t="s">
        <v>211</v>
      </c>
      <c r="G35" s="167" t="s">
        <v>211</v>
      </c>
      <c r="H35" s="532" t="s">
        <v>211</v>
      </c>
      <c r="I35" s="167" t="s">
        <v>211</v>
      </c>
      <c r="J35" s="532" t="s">
        <v>211</v>
      </c>
      <c r="K35" s="167" t="s">
        <v>211</v>
      </c>
      <c r="L35" s="535" t="s">
        <v>211</v>
      </c>
      <c r="M35" s="534" t="s">
        <v>211</v>
      </c>
      <c r="N35" s="816" t="s">
        <v>211</v>
      </c>
      <c r="O35" s="435" t="s">
        <v>211</v>
      </c>
      <c r="P35" s="534" t="s">
        <v>211</v>
      </c>
      <c r="Q35" s="534" t="s">
        <v>211</v>
      </c>
      <c r="R35" s="534" t="s">
        <v>211</v>
      </c>
      <c r="S35" s="88" t="s">
        <v>211</v>
      </c>
      <c r="T35" s="558" t="s">
        <v>211</v>
      </c>
      <c r="U35" s="558" t="s">
        <v>211</v>
      </c>
      <c r="V35" s="818" t="s">
        <v>211</v>
      </c>
      <c r="W35" s="434"/>
      <c r="X35" s="434"/>
      <c r="Y35" s="434"/>
      <c r="AM35" s="275">
        <v>0.5625</v>
      </c>
      <c r="AO35" s="554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 t="s">
        <v>211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17"/>
      <c r="O36" s="435" t="s">
        <v>211</v>
      </c>
      <c r="P36" s="534" t="s">
        <v>211</v>
      </c>
      <c r="Q36" s="534" t="s">
        <v>211</v>
      </c>
      <c r="R36" s="534" t="s">
        <v>211</v>
      </c>
      <c r="S36" s="92" t="s">
        <v>211</v>
      </c>
      <c r="T36" s="558" t="s">
        <v>211</v>
      </c>
      <c r="U36" s="558" t="s">
        <v>211</v>
      </c>
      <c r="V36" s="818"/>
      <c r="W36" s="434"/>
      <c r="X36" s="434"/>
      <c r="Y36" s="434"/>
      <c r="AM36" s="275">
        <v>0.56527777777777777</v>
      </c>
      <c r="AO36" s="554"/>
    </row>
    <row r="37" spans="1:41" ht="15" customHeight="1" thickBot="1" x14ac:dyDescent="0.4">
      <c r="A37" s="530" t="s">
        <v>211</v>
      </c>
      <c r="B37" s="528" t="s">
        <v>211</v>
      </c>
      <c r="C37" s="86" t="s">
        <v>211</v>
      </c>
      <c r="D37" s="86" t="s">
        <v>211</v>
      </c>
      <c r="E37" s="86" t="s">
        <v>211</v>
      </c>
      <c r="F37" s="167" t="s">
        <v>211</v>
      </c>
      <c r="G37" s="167" t="s">
        <v>211</v>
      </c>
      <c r="H37" s="532" t="s">
        <v>211</v>
      </c>
      <c r="I37" s="167" t="s">
        <v>211</v>
      </c>
      <c r="J37" s="532" t="s">
        <v>211</v>
      </c>
      <c r="K37" s="167" t="s">
        <v>211</v>
      </c>
      <c r="L37" s="535" t="s">
        <v>211</v>
      </c>
      <c r="M37" s="534" t="s">
        <v>211</v>
      </c>
      <c r="N37" s="816" t="s">
        <v>211</v>
      </c>
      <c r="O37" s="435" t="s">
        <v>211</v>
      </c>
      <c r="P37" s="534" t="s">
        <v>211</v>
      </c>
      <c r="Q37" s="534" t="s">
        <v>211</v>
      </c>
      <c r="R37" s="534" t="s">
        <v>211</v>
      </c>
      <c r="S37" s="88" t="s">
        <v>211</v>
      </c>
      <c r="T37" s="558" t="s">
        <v>211</v>
      </c>
      <c r="U37" s="558" t="s">
        <v>211</v>
      </c>
      <c r="V37" s="818" t="s">
        <v>211</v>
      </c>
      <c r="W37" s="434"/>
      <c r="X37" s="434"/>
      <c r="Y37" s="434"/>
      <c r="AM37" s="275">
        <v>0.57291666666666663</v>
      </c>
      <c r="AO37" s="554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 t="s">
        <v>211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17"/>
      <c r="O38" s="435" t="s">
        <v>211</v>
      </c>
      <c r="P38" s="534" t="s">
        <v>211</v>
      </c>
      <c r="Q38" s="534" t="s">
        <v>211</v>
      </c>
      <c r="R38" s="534" t="s">
        <v>211</v>
      </c>
      <c r="S38" s="92" t="s">
        <v>211</v>
      </c>
      <c r="T38" s="558" t="s">
        <v>211</v>
      </c>
      <c r="U38" s="558" t="s">
        <v>211</v>
      </c>
      <c r="V38" s="818"/>
      <c r="W38" s="434"/>
      <c r="X38" s="434"/>
      <c r="Y38" s="434"/>
      <c r="AM38" s="275">
        <v>0.5756944444444444</v>
      </c>
      <c r="AO38" s="554"/>
    </row>
    <row r="39" spans="1:41" ht="15" customHeight="1" thickBot="1" x14ac:dyDescent="0.4">
      <c r="A39" s="530" t="s">
        <v>211</v>
      </c>
      <c r="B39" s="528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532" t="s">
        <v>211</v>
      </c>
      <c r="I39" s="167" t="s">
        <v>211</v>
      </c>
      <c r="J39" s="532" t="s">
        <v>211</v>
      </c>
      <c r="K39" s="167" t="s">
        <v>211</v>
      </c>
      <c r="L39" s="535" t="s">
        <v>211</v>
      </c>
      <c r="M39" s="534" t="s">
        <v>211</v>
      </c>
      <c r="N39" s="816" t="s">
        <v>211</v>
      </c>
      <c r="O39" s="435" t="s">
        <v>211</v>
      </c>
      <c r="P39" s="534" t="s">
        <v>211</v>
      </c>
      <c r="Q39" s="534" t="s">
        <v>211</v>
      </c>
      <c r="R39" s="534" t="s">
        <v>211</v>
      </c>
      <c r="S39" s="88" t="s">
        <v>211</v>
      </c>
      <c r="T39" s="416" t="s">
        <v>211</v>
      </c>
      <c r="U39" s="558" t="s">
        <v>211</v>
      </c>
      <c r="V39" s="818" t="s">
        <v>211</v>
      </c>
      <c r="W39" s="434"/>
      <c r="X39" s="434"/>
      <c r="Y39" s="434"/>
      <c r="AM39" s="275">
        <v>0.58333333333333337</v>
      </c>
      <c r="AO39" s="554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 t="s">
        <v>211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17"/>
      <c r="O40" s="435" t="s">
        <v>211</v>
      </c>
      <c r="P40" s="534" t="s">
        <v>211</v>
      </c>
      <c r="Q40" s="534" t="s">
        <v>211</v>
      </c>
      <c r="R40" s="534" t="s">
        <v>211</v>
      </c>
      <c r="S40" s="92" t="s">
        <v>211</v>
      </c>
      <c r="T40" s="559" t="s">
        <v>211</v>
      </c>
      <c r="U40" s="417" t="s">
        <v>211</v>
      </c>
      <c r="V40" s="818"/>
      <c r="W40" s="434"/>
      <c r="X40" s="434"/>
      <c r="Y40" s="434"/>
      <c r="AM40" s="275">
        <v>0.58611111111111114</v>
      </c>
      <c r="AO40" s="554"/>
    </row>
    <row r="41" spans="1:41" ht="15" customHeight="1" thickBot="1" x14ac:dyDescent="0.4">
      <c r="A41" s="530" t="s">
        <v>211</v>
      </c>
      <c r="B41" s="528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532" t="s">
        <v>211</v>
      </c>
      <c r="I41" s="167" t="s">
        <v>211</v>
      </c>
      <c r="J41" s="532" t="s">
        <v>211</v>
      </c>
      <c r="K41" s="167" t="s">
        <v>211</v>
      </c>
      <c r="L41" s="535" t="s">
        <v>211</v>
      </c>
      <c r="M41" s="435" t="s">
        <v>211</v>
      </c>
      <c r="N41" s="816" t="s">
        <v>211</v>
      </c>
      <c r="O41" s="435" t="s">
        <v>211</v>
      </c>
      <c r="P41" s="534" t="s">
        <v>211</v>
      </c>
      <c r="Q41" s="534" t="s">
        <v>211</v>
      </c>
      <c r="R41" s="534" t="s">
        <v>211</v>
      </c>
      <c r="S41" s="88" t="s">
        <v>211</v>
      </c>
      <c r="T41" s="558" t="s">
        <v>211</v>
      </c>
      <c r="U41" s="558" t="s">
        <v>211</v>
      </c>
      <c r="V41" s="818" t="s">
        <v>211</v>
      </c>
      <c r="W41" s="434"/>
      <c r="X41" s="434"/>
      <c r="Y41" s="434"/>
      <c r="AM41" s="275">
        <v>0.59375</v>
      </c>
      <c r="AO41" s="554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 t="s">
        <v>211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17"/>
      <c r="O42" s="435" t="s">
        <v>211</v>
      </c>
      <c r="P42" s="534" t="s">
        <v>211</v>
      </c>
      <c r="Q42" s="534" t="s">
        <v>211</v>
      </c>
      <c r="R42" s="534" t="s">
        <v>211</v>
      </c>
      <c r="S42" s="92" t="s">
        <v>211</v>
      </c>
      <c r="T42" s="413" t="s">
        <v>211</v>
      </c>
      <c r="U42" s="413" t="s">
        <v>211</v>
      </c>
      <c r="V42" s="818"/>
      <c r="W42" s="434"/>
      <c r="X42" s="434"/>
      <c r="Y42" s="434"/>
      <c r="AM42" s="275">
        <v>0.59652777777777777</v>
      </c>
      <c r="AO42" s="554"/>
    </row>
    <row r="43" spans="1:41" ht="15" customHeight="1" thickBot="1" x14ac:dyDescent="0.4">
      <c r="A43" s="530" t="s">
        <v>211</v>
      </c>
      <c r="B43" s="528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532" t="s">
        <v>211</v>
      </c>
      <c r="I43" s="167" t="s">
        <v>211</v>
      </c>
      <c r="J43" s="532" t="s">
        <v>211</v>
      </c>
      <c r="K43" s="167" t="s">
        <v>211</v>
      </c>
      <c r="L43" s="535" t="s">
        <v>211</v>
      </c>
      <c r="M43" s="534" t="s">
        <v>211</v>
      </c>
      <c r="N43" s="816" t="s">
        <v>211</v>
      </c>
      <c r="O43" s="435" t="s">
        <v>211</v>
      </c>
      <c r="P43" s="534" t="s">
        <v>211</v>
      </c>
      <c r="Q43" s="534" t="s">
        <v>211</v>
      </c>
      <c r="R43" s="534" t="s">
        <v>211</v>
      </c>
      <c r="S43" s="88" t="s">
        <v>211</v>
      </c>
      <c r="T43" s="558" t="s">
        <v>211</v>
      </c>
      <c r="U43" s="558" t="s">
        <v>211</v>
      </c>
      <c r="V43" s="818" t="s">
        <v>211</v>
      </c>
      <c r="W43" s="434"/>
      <c r="X43" s="434"/>
      <c r="Y43" s="434"/>
      <c r="AM43" s="275">
        <v>0.60416666666666663</v>
      </c>
      <c r="AO43" s="554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 t="s">
        <v>211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17"/>
      <c r="O44" s="435" t="s">
        <v>211</v>
      </c>
      <c r="P44" s="534" t="s">
        <v>211</v>
      </c>
      <c r="Q44" s="534" t="s">
        <v>211</v>
      </c>
      <c r="R44" s="534" t="s">
        <v>211</v>
      </c>
      <c r="S44" s="92" t="s">
        <v>211</v>
      </c>
      <c r="T44" s="413" t="s">
        <v>211</v>
      </c>
      <c r="U44" s="413" t="s">
        <v>211</v>
      </c>
      <c r="V44" s="818"/>
      <c r="W44" s="434"/>
      <c r="X44" s="434"/>
      <c r="Y44" s="434"/>
      <c r="AM44" s="275">
        <v>0.6069444444444444</v>
      </c>
      <c r="AO44" s="554"/>
    </row>
    <row r="45" spans="1:41" ht="15" customHeight="1" thickBot="1" x14ac:dyDescent="0.4">
      <c r="A45" s="530" t="s">
        <v>211</v>
      </c>
      <c r="B45" s="528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532" t="s">
        <v>211</v>
      </c>
      <c r="I45" s="167" t="s">
        <v>211</v>
      </c>
      <c r="J45" s="532" t="s">
        <v>211</v>
      </c>
      <c r="K45" s="167" t="s">
        <v>211</v>
      </c>
      <c r="L45" s="535" t="s">
        <v>211</v>
      </c>
      <c r="M45" s="534" t="s">
        <v>211</v>
      </c>
      <c r="N45" s="816" t="s">
        <v>211</v>
      </c>
      <c r="O45" s="435" t="s">
        <v>211</v>
      </c>
      <c r="P45" s="534" t="s">
        <v>211</v>
      </c>
      <c r="Q45" s="534" t="s">
        <v>211</v>
      </c>
      <c r="R45" s="534" t="s">
        <v>211</v>
      </c>
      <c r="S45" s="88" t="s">
        <v>211</v>
      </c>
      <c r="T45" s="558" t="s">
        <v>211</v>
      </c>
      <c r="U45" s="558" t="s">
        <v>211</v>
      </c>
      <c r="V45" s="818" t="s">
        <v>211</v>
      </c>
      <c r="W45" s="434"/>
      <c r="X45" s="434"/>
      <c r="Y45" s="434"/>
      <c r="AM45" s="275">
        <v>0.61458333333333337</v>
      </c>
      <c r="AO45" s="554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 t="s">
        <v>211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17"/>
      <c r="O46" s="435" t="s">
        <v>211</v>
      </c>
      <c r="P46" s="534" t="s">
        <v>211</v>
      </c>
      <c r="Q46" s="534" t="s">
        <v>211</v>
      </c>
      <c r="R46" s="534" t="s">
        <v>211</v>
      </c>
      <c r="S46" s="92" t="s">
        <v>211</v>
      </c>
      <c r="T46" s="413" t="s">
        <v>211</v>
      </c>
      <c r="U46" s="413" t="s">
        <v>211</v>
      </c>
      <c r="V46" s="818"/>
      <c r="W46" s="434"/>
      <c r="X46" s="434"/>
      <c r="Y46" s="434"/>
      <c r="AM46" s="275">
        <v>0.61736111111111114</v>
      </c>
      <c r="AO46" s="554"/>
    </row>
    <row r="47" spans="1:41" ht="15" customHeight="1" thickBot="1" x14ac:dyDescent="0.4">
      <c r="A47" s="530" t="s">
        <v>211</v>
      </c>
      <c r="B47" s="528" t="s">
        <v>211</v>
      </c>
      <c r="C47" s="86" t="s">
        <v>211</v>
      </c>
      <c r="D47" s="86" t="s">
        <v>211</v>
      </c>
      <c r="E47" s="86" t="s">
        <v>211</v>
      </c>
      <c r="F47" s="167" t="s">
        <v>211</v>
      </c>
      <c r="G47" s="167" t="s">
        <v>211</v>
      </c>
      <c r="H47" s="532" t="s">
        <v>211</v>
      </c>
      <c r="I47" s="167" t="s">
        <v>211</v>
      </c>
      <c r="J47" s="532" t="s">
        <v>211</v>
      </c>
      <c r="K47" s="167" t="s">
        <v>211</v>
      </c>
      <c r="L47" s="535" t="s">
        <v>211</v>
      </c>
      <c r="M47" s="435" t="s">
        <v>211</v>
      </c>
      <c r="N47" s="816" t="s">
        <v>211</v>
      </c>
      <c r="O47" s="435" t="s">
        <v>211</v>
      </c>
      <c r="P47" s="534" t="s">
        <v>211</v>
      </c>
      <c r="Q47" s="534" t="s">
        <v>211</v>
      </c>
      <c r="R47" s="534" t="s">
        <v>211</v>
      </c>
      <c r="S47" s="818" t="s">
        <v>211</v>
      </c>
      <c r="T47" s="558" t="s">
        <v>211</v>
      </c>
      <c r="U47" s="414" t="s">
        <v>211</v>
      </c>
      <c r="V47" s="818" t="s">
        <v>211</v>
      </c>
      <c r="W47" s="434"/>
      <c r="X47" s="434"/>
      <c r="Y47" s="434"/>
      <c r="AM47" s="275">
        <v>0.625</v>
      </c>
      <c r="AO47" s="554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 t="s">
        <v>211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17"/>
      <c r="O48" s="435" t="s">
        <v>211</v>
      </c>
      <c r="P48" s="534" t="s">
        <v>211</v>
      </c>
      <c r="Q48" s="534" t="s">
        <v>211</v>
      </c>
      <c r="R48" s="534" t="s">
        <v>211</v>
      </c>
      <c r="S48" s="818" t="s">
        <v>211</v>
      </c>
      <c r="T48" s="413" t="s">
        <v>211</v>
      </c>
      <c r="U48" s="551" t="s">
        <v>211</v>
      </c>
      <c r="V48" s="818"/>
      <c r="W48" s="434"/>
      <c r="X48" s="434"/>
      <c r="Y48" s="434"/>
      <c r="AM48" s="275">
        <v>0.62777777777777777</v>
      </c>
      <c r="AO48" s="554"/>
    </row>
    <row r="49" spans="1:41" ht="15" customHeight="1" thickBot="1" x14ac:dyDescent="0.4">
      <c r="A49" s="530" t="s">
        <v>211</v>
      </c>
      <c r="B49" s="528" t="s">
        <v>211</v>
      </c>
      <c r="C49" s="86" t="s">
        <v>211</v>
      </c>
      <c r="D49" s="86" t="s">
        <v>211</v>
      </c>
      <c r="E49" s="86" t="s">
        <v>211</v>
      </c>
      <c r="F49" s="167" t="s">
        <v>211</v>
      </c>
      <c r="G49" s="167" t="s">
        <v>211</v>
      </c>
      <c r="H49" s="532" t="s">
        <v>211</v>
      </c>
      <c r="I49" s="167" t="s">
        <v>211</v>
      </c>
      <c r="J49" s="532" t="s">
        <v>211</v>
      </c>
      <c r="K49" s="167" t="s">
        <v>211</v>
      </c>
      <c r="L49" s="535" t="s">
        <v>211</v>
      </c>
      <c r="M49" s="435" t="s">
        <v>211</v>
      </c>
      <c r="N49" s="816" t="s">
        <v>211</v>
      </c>
      <c r="O49" s="435" t="s">
        <v>211</v>
      </c>
      <c r="P49" s="534" t="s">
        <v>211</v>
      </c>
      <c r="Q49" s="534" t="s">
        <v>211</v>
      </c>
      <c r="R49" s="534" t="s">
        <v>211</v>
      </c>
      <c r="S49" s="88" t="s">
        <v>211</v>
      </c>
      <c r="T49" s="558" t="s">
        <v>211</v>
      </c>
      <c r="U49" s="558" t="s">
        <v>211</v>
      </c>
      <c r="V49" s="818" t="s">
        <v>211</v>
      </c>
      <c r="W49" s="434"/>
      <c r="X49" s="434"/>
      <c r="Y49" s="434"/>
      <c r="AM49" s="275">
        <v>0.63541666666666663</v>
      </c>
      <c r="AO49" s="554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 t="s">
        <v>211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17"/>
      <c r="O50" s="435" t="s">
        <v>211</v>
      </c>
      <c r="P50" s="534" t="s">
        <v>211</v>
      </c>
      <c r="Q50" s="534" t="s">
        <v>211</v>
      </c>
      <c r="R50" s="534" t="s">
        <v>211</v>
      </c>
      <c r="S50" s="92" t="s">
        <v>211</v>
      </c>
      <c r="T50" s="413" t="s">
        <v>211</v>
      </c>
      <c r="U50" s="413" t="s">
        <v>211</v>
      </c>
      <c r="V50" s="818"/>
      <c r="W50" s="434"/>
      <c r="X50" s="434"/>
      <c r="Y50" s="434"/>
      <c r="AM50" s="275">
        <v>0.6381944444444444</v>
      </c>
      <c r="AO50" s="554"/>
    </row>
    <row r="51" spans="1:41" ht="15" customHeight="1" thickBot="1" x14ac:dyDescent="0.4">
      <c r="A51" s="530" t="s">
        <v>211</v>
      </c>
      <c r="B51" s="528" t="s">
        <v>211</v>
      </c>
      <c r="C51" s="86" t="s">
        <v>211</v>
      </c>
      <c r="D51" s="86" t="s">
        <v>211</v>
      </c>
      <c r="E51" s="86" t="s">
        <v>211</v>
      </c>
      <c r="F51" s="167" t="s">
        <v>211</v>
      </c>
      <c r="G51" s="167" t="s">
        <v>211</v>
      </c>
      <c r="H51" s="532" t="s">
        <v>211</v>
      </c>
      <c r="I51" s="167" t="s">
        <v>211</v>
      </c>
      <c r="J51" s="532" t="s">
        <v>211</v>
      </c>
      <c r="K51" s="167" t="s">
        <v>211</v>
      </c>
      <c r="L51" s="535" t="s">
        <v>211</v>
      </c>
      <c r="M51" s="534" t="s">
        <v>211</v>
      </c>
      <c r="N51" s="816" t="s">
        <v>211</v>
      </c>
      <c r="O51" s="435" t="s">
        <v>211</v>
      </c>
      <c r="P51" s="534" t="s">
        <v>211</v>
      </c>
      <c r="Q51" s="534" t="s">
        <v>211</v>
      </c>
      <c r="R51" s="534" t="s">
        <v>211</v>
      </c>
      <c r="S51" s="88" t="s">
        <v>211</v>
      </c>
      <c r="T51" s="558" t="s">
        <v>211</v>
      </c>
      <c r="U51" s="558" t="s">
        <v>211</v>
      </c>
      <c r="V51" s="818" t="s">
        <v>211</v>
      </c>
      <c r="W51" s="434"/>
      <c r="X51" s="434"/>
      <c r="Y51" s="434"/>
      <c r="AM51" s="275">
        <v>0.64583333333333337</v>
      </c>
      <c r="AO51" s="554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 t="s">
        <v>211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17"/>
      <c r="O52" s="435" t="s">
        <v>211</v>
      </c>
      <c r="P52" s="534" t="s">
        <v>211</v>
      </c>
      <c r="Q52" s="534" t="s">
        <v>211</v>
      </c>
      <c r="R52" s="534" t="s">
        <v>211</v>
      </c>
      <c r="S52" s="92" t="s">
        <v>211</v>
      </c>
      <c r="T52" s="415" t="s">
        <v>211</v>
      </c>
      <c r="U52" s="415" t="s">
        <v>211</v>
      </c>
      <c r="V52" s="818"/>
      <c r="W52" s="434"/>
      <c r="X52" s="434"/>
      <c r="Y52" s="434"/>
      <c r="AM52" s="275">
        <v>0.64861111111111114</v>
      </c>
      <c r="AO52" s="554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018BB-61A6-46E7-A835-A1C8648259A3}">
  <sheetPr codeName="Sheet17"/>
  <dimension ref="A1:AS5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C2" sqref="AC2"/>
    </sheetView>
  </sheetViews>
  <sheetFormatPr defaultColWidth="9.1796875" defaultRowHeight="14.5" x14ac:dyDescent="0.35"/>
  <cols>
    <col min="1" max="1" width="9.1796875" style="405"/>
    <col min="2" max="2" width="9.1796875" style="274"/>
    <col min="3" max="3" width="5.453125" style="405" customWidth="1"/>
    <col min="4" max="4" width="8.453125" style="405" customWidth="1"/>
    <col min="5" max="5" width="8.7265625" style="405" customWidth="1"/>
    <col min="6" max="6" width="12.7265625" style="404" customWidth="1"/>
    <col min="7" max="7" width="13" style="404" customWidth="1"/>
    <col min="8" max="9" width="6.453125" style="405" customWidth="1"/>
    <col min="10" max="10" width="10.08984375" style="405" customWidth="1"/>
    <col min="11" max="11" width="8" style="405" customWidth="1"/>
    <col min="12" max="12" width="13.54296875" style="404" customWidth="1"/>
    <col min="13" max="13" width="8.26953125" style="405" customWidth="1"/>
    <col min="14" max="14" width="9.453125" style="405" hidden="1" customWidth="1"/>
    <col min="15" max="15" width="12.453125" style="419" bestFit="1" customWidth="1"/>
    <col min="16" max="18" width="9.1796875" style="405"/>
    <col min="19" max="19" width="5.453125" style="405" hidden="1" customWidth="1"/>
    <col min="20" max="20" width="6.81640625" style="405" hidden="1" customWidth="1"/>
    <col min="21" max="22" width="0" style="405" hidden="1" customWidth="1"/>
    <col min="23" max="25" width="9.1796875" style="419"/>
    <col min="26" max="26" width="9.453125" style="405" customWidth="1"/>
    <col min="27" max="38" width="9.1796875" style="405"/>
    <col min="39" max="40" width="7.90625" style="405" bestFit="1" customWidth="1"/>
    <col min="41" max="41" width="9.6328125" style="405" bestFit="1" customWidth="1"/>
    <col min="42" max="44" width="9.1796875" style="405"/>
    <col min="45" max="45" width="0" style="405" hidden="1" customWidth="1"/>
    <col min="46" max="16384" width="9.1796875" style="405"/>
  </cols>
  <sheetData>
    <row r="1" spans="1:45" ht="14.5" customHeight="1" thickBot="1" x14ac:dyDescent="0.4">
      <c r="A1" s="80"/>
      <c r="B1" s="273"/>
      <c r="C1" s="647" t="s">
        <v>35</v>
      </c>
      <c r="D1" s="811"/>
      <c r="E1" s="811"/>
      <c r="F1" s="811"/>
      <c r="G1" s="811"/>
      <c r="H1" s="412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tr">
        <f>IF($AC$2="NO",Sheet51!$F$2,"")</f>
        <v>--</v>
      </c>
      <c r="R1" s="814"/>
      <c r="S1" s="810" t="s">
        <v>87</v>
      </c>
      <c r="T1" s="811"/>
      <c r="U1" s="811"/>
      <c r="V1" s="815"/>
      <c r="W1" s="432"/>
      <c r="X1" s="432"/>
      <c r="Y1" s="432"/>
      <c r="Z1" s="406"/>
      <c r="AA1" s="406"/>
      <c r="AB1" s="406"/>
      <c r="AC1" s="406"/>
      <c r="AD1" s="406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411" t="s">
        <v>54</v>
      </c>
      <c r="D2" s="410" t="s">
        <v>14</v>
      </c>
      <c r="E2" s="410" t="s">
        <v>6</v>
      </c>
      <c r="F2" s="166" t="s">
        <v>35</v>
      </c>
      <c r="G2" s="166" t="s">
        <v>37</v>
      </c>
      <c r="H2" s="412" t="s">
        <v>43</v>
      </c>
      <c r="I2" s="81" t="s">
        <v>88</v>
      </c>
      <c r="J2" s="411" t="s">
        <v>14</v>
      </c>
      <c r="K2" s="410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06"/>
      <c r="AA2" s="406"/>
      <c r="AB2" s="271" t="s">
        <v>97</v>
      </c>
      <c r="AC2" s="272" t="s">
        <v>98</v>
      </c>
      <c r="AD2" s="406"/>
      <c r="AS2" s="406" t="s">
        <v>99</v>
      </c>
    </row>
    <row r="3" spans="1:45" ht="14.5" customHeight="1" thickBot="1" x14ac:dyDescent="0.4">
      <c r="A3" s="821" t="str">
        <f ca="1">IF($AC$2="NO",IF(AO3="MinCorrect",Sheet51!$F$1,IF(A3&lt;=TIMEVALUE("00:00:00"),"",A3)),"")</f>
        <v>0</v>
      </c>
      <c r="B3" s="823" t="str">
        <f ca="1">IF($AC$2="NO",IF(AND(AO3="MinCorrect",A3&lt;&gt;" "),MAIN!$I$12,B3),"")</f>
        <v>NIFTY</v>
      </c>
      <c r="C3" s="86" t="str">
        <f ca="1">IF($AC$2="NO",IF(AND(AO3="MinCorrect",A3&lt;&gt;" "),MAIN!$A$5,C3),"")</f>
        <v>CE</v>
      </c>
      <c r="D3" s="86">
        <f ca="1">IF($AC$2="NO",IF(AND(AO3="MinCorrect",A3&lt;&gt;" "),MAIN!$C$5,D3),"")</f>
        <v>737800</v>
      </c>
      <c r="E3" s="86">
        <f ca="1">IF($AC$2="NO",IF(AND(AO3="MinCorrect",A3&lt;&gt;" "),MAIN!$D$5,E3),"")</f>
        <v>0</v>
      </c>
      <c r="F3" s="167">
        <f ca="1">IF($AC$2="NO",IF(AND(AO3="MinCorrect",A3&lt;&gt;" "),MAIN!$E$5,F3),"")</f>
        <v>0</v>
      </c>
      <c r="G3" s="167">
        <f ca="1">IF($AC$2="NO",IF(AND(AO3="MinCorrect",A3&lt;&gt;" "),[3]MAIN!$F$5,G3),"")</f>
        <v>180627</v>
      </c>
      <c r="H3" s="819" t="str">
        <f ca="1">IF($AC$2="NO",IF(AND(AO3="MinCorrect",A3&lt;&gt;" "),[3]MAIN!$E$7,H3),"")</f>
        <v>SELL</v>
      </c>
      <c r="I3" s="167">
        <f ca="1">IF($AC$2="NO",IF(AND(AO3="MinCorrect",A3&lt;&gt;" "),MAIN!$H$5,I3),"")</f>
        <v>0</v>
      </c>
      <c r="J3" s="819">
        <f ca="1">IF($AC$2="NO",IF(AND(AO3="MinCorrect",A3&lt;&gt;" "),MAIN!$L$5,J3),"")</f>
        <v>0</v>
      </c>
      <c r="K3" s="167">
        <f ca="1">IF($AC$2="NO",IF(AND(AO3="MinCorrect",A3&lt;&gt;" "),MAIN!$M$5,K3),"")</f>
        <v>0</v>
      </c>
      <c r="L3" s="819" t="e">
        <f ca="1">IF($AC$2="NO",IF(AND(AO3="MinCorrect",A3&lt;&gt;" "),MAIN!$N$5,L3),"")</f>
        <v>#NUM!</v>
      </c>
      <c r="M3" s="816">
        <f ca="1">IF($AC$2="NO",IF(AND(AO3="MinCorrect",A3&lt;&gt;" "),MAIN!$B$2,M3),"")</f>
        <v>11861.1</v>
      </c>
      <c r="N3" s="816">
        <f ca="1">IF($AC$2="NO",IF(AND(AO3="MinCorrect",A3&lt;&gt;" "),MAIN!$S$2,N3),"")</f>
        <v>11900</v>
      </c>
      <c r="O3" s="435" t="e">
        <f ca="1">IF($AC$2="NO",IF(AND(AO3="MinCorrect",A3&lt;&gt;" "),MAIN!$M$27,O3),"")</f>
        <v>#NUM!</v>
      </c>
      <c r="P3" s="816" t="str">
        <f ca="1">IF($AC$2="NO",IF(AND(AO3="MinCorrect",A3&lt;&gt;" "),MAIN!$F$10,P3),"")</f>
        <v/>
      </c>
      <c r="Q3" s="816" t="str">
        <f ca="1">IF($AC$2="NO",IF(AND(AO3="MinCorrect",A3&lt;&gt;" "),MAIN!$D$10,Q3),"")</f>
        <v/>
      </c>
      <c r="R3" s="816" t="str">
        <f ca="1">IF($AC$2="NO",IF(AND(AO3="MinCorrect",A3&lt;&gt;" "),MAIN!$E$10,R3),"")</f>
        <v/>
      </c>
      <c r="S3" s="88" t="str">
        <f ca="1">IF($AC$2="NO",IF(AND(AO3="MinCorrect",A3&lt;&gt;" "),MAIN!$A$5,S3),"")</f>
        <v>CE</v>
      </c>
      <c r="T3" s="407" t="e">
        <f ca="1">IF($AC$2="NO",IF(AND(AO3="MinCorrect",A3&lt;&gt;" "),MAIN!#REF!,T3),"")</f>
        <v>#REF!</v>
      </c>
      <c r="U3" s="407" t="e">
        <f ca="1">IF($AC$2="NO",IF(AND(AO3="MinCorrect",A3&lt;&gt;" "),MAIN!#REF!,U3),"")</f>
        <v>#REF!</v>
      </c>
      <c r="V3" s="818" t="e">
        <f ca="1">IF($AC$2="NO",IF(AND(AO3="MinCorrect",A3&lt;&gt;" "),MAIN!#REF!,V3),"")</f>
        <v>#REF!</v>
      </c>
      <c r="W3" s="434"/>
      <c r="X3" s="434"/>
      <c r="Y3" s="434"/>
      <c r="Z3" s="406"/>
      <c r="AA3" s="406"/>
      <c r="AB3" s="406"/>
      <c r="AC3" s="406"/>
      <c r="AD3" s="406"/>
      <c r="AL3" s="406" t="s">
        <v>171</v>
      </c>
      <c r="AM3" s="275">
        <v>0.39583333333333331</v>
      </c>
      <c r="AN3" s="89">
        <f ca="1">NOW()</f>
        <v>43615.786170601852</v>
      </c>
      <c r="AO3" s="406" t="str">
        <f ca="1">IF(AND(HOUR(AM3)=(HOUR($AN$3)),(HOUR(AM4)=(HOUR($AN$3)))),IF(AND(MINUTE($AN$3)-MINUTE(AM3)&gt;=0,(MINUTE(AM4)-MINUTE($AN$3)&gt;0)),"Mincorrect","MinFalse"),"Hour False")</f>
        <v>Hour False</v>
      </c>
      <c r="AS3" s="406" t="s">
        <v>98</v>
      </c>
    </row>
    <row r="4" spans="1:45" ht="14.5" customHeight="1" thickBot="1" x14ac:dyDescent="0.4">
      <c r="A4" s="822"/>
      <c r="B4" s="824"/>
      <c r="C4" s="90" t="str">
        <f ca="1">IF($AC$2="NO",IF(AND(AO3="MinCorrect",A3&lt;&gt;" "),MAIN!$A$6,C4),"")</f>
        <v>PE</v>
      </c>
      <c r="D4" s="168">
        <f ca="1">IF($AC$2="NO",IF(AND(AO3="MinCorrect",A3&lt;&gt;" "),MAIN!$C$6,D4),"")</f>
        <v>737800</v>
      </c>
      <c r="E4" s="168" t="str">
        <f ca="1">IF($AC$2="NO",IF(AND(AO4="MinCorrect",A4&lt;&gt;" "),MAIN!$D$5,E4),"")</f>
        <v/>
      </c>
      <c r="F4" s="168">
        <f ca="1">IF($AC$2="NO",IF(AND(AO3="MinCorrect",A3&lt;&gt;" "),MAIN!$E$6,F4),"")</f>
        <v>0</v>
      </c>
      <c r="G4" s="168">
        <f ca="1">IF($AC$2="NO",IF(AND(AO3="MinCorrect",A3&lt;&gt;" "),[3]MAIN!$F$6,G4),"")</f>
        <v>226557</v>
      </c>
      <c r="H4" s="820"/>
      <c r="I4" s="168" t="str">
        <f ca="1">IF($AC$2="NO",IF(AND(AO4="MinCorrect",A4&lt;&gt;" "),MAIN!$H$6,I4),"")</f>
        <v/>
      </c>
      <c r="J4" s="820" t="str">
        <f ca="1">IF($AC$2="NO",IF(AND(AO4="MinCorrect",A4&lt;&gt;" "),MAIN!$L$5,J4),"")</f>
        <v/>
      </c>
      <c r="K4" s="168" t="str">
        <f ca="1">IF($AC$2="NO",IF(AND(AO4="MinCorrect",A4&lt;&gt;" "),MAIN!$M$5,K4),"")</f>
        <v/>
      </c>
      <c r="L4" s="820" t="str">
        <f ca="1">IF($AC$2="NO",IF(AND(AO4="MinCorrect",A4&lt;&gt;" "),MAIN!$N$5,L4),"")</f>
        <v/>
      </c>
      <c r="M4" s="817"/>
      <c r="N4" s="817"/>
      <c r="O4" s="435">
        <f ca="1">IF($AC$2="NO",IF(AND(AO3="MinCorrect",A3&lt;&gt;" "),MAIN!$J$49,O4),"")</f>
        <v>0</v>
      </c>
      <c r="P4" s="817"/>
      <c r="Q4" s="817"/>
      <c r="R4" s="817"/>
      <c r="S4" s="92" t="str">
        <f ca="1">IF($AC$2="NO",IF(AND(AO3="MinCorrect",A3&lt;&gt;" "),MAIN!$A$6,S4),"")</f>
        <v>PE</v>
      </c>
      <c r="T4" s="407" t="str">
        <f ca="1">IF($AC$2="NO",IF(AND(AO4="MinCorrect",A4&lt;&gt;" "),MAIN!#REF!,T4),"")</f>
        <v/>
      </c>
      <c r="U4" s="407" t="str">
        <f ca="1">IF($AC$2="NO",IF(AND(AO4="MinCorrect",A4&lt;&gt;" "),MAIN!#REF!,U4),"")</f>
        <v/>
      </c>
      <c r="V4" s="818"/>
      <c r="W4" s="434"/>
      <c r="X4" s="434"/>
      <c r="Y4" s="434"/>
      <c r="Z4" s="406"/>
      <c r="AA4" s="406"/>
      <c r="AB4" s="406"/>
      <c r="AC4" s="406"/>
      <c r="AD4" s="406"/>
      <c r="AL4" s="406" t="s">
        <v>172</v>
      </c>
      <c r="AM4" s="275">
        <v>0.39861111111111108</v>
      </c>
      <c r="AN4" s="406"/>
      <c r="AO4" s="406"/>
    </row>
    <row r="5" spans="1:45" ht="14.5" customHeight="1" thickBot="1" x14ac:dyDescent="0.4">
      <c r="A5" s="821" t="str">
        <f ca="1">IF($AC$2="NO",IF(AO5="MinCorrect",Sheet51!$F$1,IF(A5&lt;=TIMEVALUE("00:00:00"),"",A5)),"")</f>
        <v>0</v>
      </c>
      <c r="B5" s="823" t="str">
        <f ca="1">IF($AC$2="NO",IF(AND(AO5="MinCorrect",A5&lt;&gt;" "),MAIN!$I$12,B5),"")</f>
        <v>NIFTY</v>
      </c>
      <c r="C5" s="167" t="str">
        <f ca="1">IF($AC$2="NO",IF(AND(AO4="MinCorrect",A4&lt;&gt;" "),MAIN!$A$6,C5),"")</f>
        <v/>
      </c>
      <c r="D5" s="167" t="str">
        <f ca="1">IF($AC$2="NO",IF(AND(AO4="MinCorrect",A4&lt;&gt;" "),MAIN!$C$6,D5),"")</f>
        <v/>
      </c>
      <c r="E5" s="167">
        <f ca="1">IF($AC$2="NO",IF(AND(AO5="MinCorrect",A5&lt;&gt;" "),MAIN!$D$5,E5),"")</f>
        <v>0</v>
      </c>
      <c r="F5" s="167">
        <f ca="1">IF($AC$2="NO",IF(AND(AO5="MinCorrect",A5&lt;&gt;" "),MAIN!$E$5,F5),"")</f>
        <v>0</v>
      </c>
      <c r="G5" s="167">
        <f ca="1">IF($AC$2="NO",IF(AND(AO5="MinCorrect",A5&lt;&gt;" "),[3]MAIN!$F$5,G5),"")</f>
        <v>180627</v>
      </c>
      <c r="H5" s="819" t="str">
        <f ca="1">IF($AC$2="NO",IF(AND(AO5="MinCorrect",A5&lt;&gt;" "),[3]MAIN!$E$7,H5),"")</f>
        <v>SELL</v>
      </c>
      <c r="I5" s="167">
        <f ca="1">IF($AC$2="NO",IF(AND(AO5="MinCorrect",A5&lt;&gt;" "),MAIN!$H$5,I5),"")</f>
        <v>0</v>
      </c>
      <c r="J5" s="819">
        <f ca="1">IF($AC$2="NO",IF(AND(AO5="MinCorrect",A5&lt;&gt;" "),MAIN!$L$5,J5),"")</f>
        <v>0</v>
      </c>
      <c r="K5" s="167">
        <f ca="1">IF($AC$2="NO",IF(AND(AO5="MinCorrect",A5&lt;&gt;" "),MAIN!$M$5,K5),"")</f>
        <v>0</v>
      </c>
      <c r="L5" s="819" t="e">
        <f ca="1">IF($AC$2="NO",IF(AND(AO5="MinCorrect",A5&lt;&gt;" "),MAIN!$N$5,L5),"")</f>
        <v>#NUM!</v>
      </c>
      <c r="M5" s="816">
        <f ca="1">IF($AC$2="NO",IF(AND(AO5="MinCorrect",A5&lt;&gt;" "),MAIN!$B$2,M5),"")</f>
        <v>11861.1</v>
      </c>
      <c r="N5" s="816">
        <f ca="1">IF($AC$2="NO",IF(AND(AO5="MinCorrect",A5&lt;&gt;" "),MAIN!$S$2,N5),"")</f>
        <v>11900</v>
      </c>
      <c r="O5" s="527" t="e">
        <f ca="1">IF($AC$2="NO",IF(AND(AO5="MinCorrect",A5&lt;&gt;" "),MAIN!$M$27,O5),"")</f>
        <v>#NUM!</v>
      </c>
      <c r="P5" s="816" t="str">
        <f ca="1">IF($AC$2="NO",IF(AND(AO5="MinCorrect",A5&lt;&gt;" "),MAIN!$F$10,P5),"")</f>
        <v/>
      </c>
      <c r="Q5" s="816" t="str">
        <f ca="1">IF($AC$2="NO",IF(AND(AO5="MinCorrect",A5&lt;&gt;" "),MAIN!$D$10,Q5),"")</f>
        <v/>
      </c>
      <c r="R5" s="816" t="str">
        <f ca="1">IF($AC$2="NO",IF(AND(AO5="MinCorrect",A5&lt;&gt;" "),MAIN!$E$10,R5),"")</f>
        <v/>
      </c>
      <c r="S5" s="88" t="e">
        <f ca="1">IF($AC$2="NO",IF(AND(AO5="MinCorrect",A5&lt;&gt;" "),[3]MAIN!#REF!,S5),"")</f>
        <v>#REF!</v>
      </c>
      <c r="T5" s="407" t="e">
        <f ca="1">IF($AC$2="NO",IF(AND(AO5="MinCorrect",A5&lt;&gt;" "),MAIN!#REF!,T5),"")</f>
        <v>#REF!</v>
      </c>
      <c r="U5" s="407" t="e">
        <f ca="1">IF($AC$2="NO",IF(AND(AO5="MinCorrect",A5&lt;&gt;" "),MAIN!#REF!,U5),"")</f>
        <v>#REF!</v>
      </c>
      <c r="V5" s="818" t="e">
        <f ca="1">IF($AC$2="NO",IF(AND(AO5="MinCorrect",A5&lt;&gt;" "),MAIN!#REF!,V5),"")</f>
        <v>#REF!</v>
      </c>
      <c r="W5" s="434"/>
      <c r="X5" s="434"/>
      <c r="Y5" s="434"/>
      <c r="Z5" s="406"/>
      <c r="AA5" s="406"/>
      <c r="AB5" s="406"/>
      <c r="AC5" s="406"/>
      <c r="AD5" s="406"/>
      <c r="AM5" s="275">
        <v>0.40625</v>
      </c>
      <c r="AN5" s="406"/>
      <c r="AO5" s="406" t="str">
        <f ca="1">IF(AND(HOUR(AM5)=(HOUR($AN$3)),(HOUR(AM6)=(HOUR($AN$3)))),IF(AND(MINUTE($AN$3)-MINUTE(AM5)&gt;=0,(MINUTE(AM6)-MINUTE($AN$3)&gt;0)),"Mincorrect","MinFalse"),"Hour False")</f>
        <v>Hour False</v>
      </c>
    </row>
    <row r="6" spans="1:45" ht="14.5" customHeight="1" thickBot="1" x14ac:dyDescent="0.4">
      <c r="A6" s="822"/>
      <c r="B6" s="824"/>
      <c r="C6" s="90" t="str">
        <f ca="1">IF($AC$2="NO",IF(AND(AO5="MinCorrect",A5&lt;&gt;" "),MAIN!$A$6,C6),"")</f>
        <v>PE</v>
      </c>
      <c r="D6" s="168">
        <f ca="1">IF($AC$2="NO",IF(AND(AO5="MinCorrect",A5&lt;&gt;" "),MAIN!$C$6,D6),"")</f>
        <v>737800</v>
      </c>
      <c r="E6" s="168" t="str">
        <f ca="1">IF($AC$2="NO",IF(AND(AO6="MinCorrect",A6&lt;&gt;" "),MAIN!$D$5,E6),"")</f>
        <v/>
      </c>
      <c r="F6" s="168">
        <f ca="1">IF($AC$2="NO",IF(AND(AO5="MinCorrect",A5&lt;&gt;" "),MAIN!$E$6,F6),"")</f>
        <v>0</v>
      </c>
      <c r="G6" s="168">
        <f ca="1">IF($AC$2="NO",IF(AND(AO5="MinCorrect",A5&lt;&gt;" "),[3]MAIN!$F$6,G6),"")</f>
        <v>226557</v>
      </c>
      <c r="H6" s="825"/>
      <c r="I6" s="168" t="str">
        <f ca="1">IF($AC$2="NO",IF(AND(AO6="MinCorrect",A6&lt;&gt;" "),MAIN!$H$6,I6),"")</f>
        <v/>
      </c>
      <c r="J6" s="820" t="str">
        <f ca="1">IF($AC$2="NO",IF(AND(AO6="MinCorrect",A6&lt;&gt;" "),MAIN!$L$5,J6),"")</f>
        <v/>
      </c>
      <c r="K6" s="168" t="str">
        <f ca="1">IF($AC$2="NO",IF(AND(AO6="MinCorrect",A6&lt;&gt;" "),MAIN!$M$5,K6),"")</f>
        <v/>
      </c>
      <c r="L6" s="820" t="str">
        <f ca="1">IF($AC$2="NO",IF(AND(AO6="MinCorrect",A6&lt;&gt;" "),MAIN!$N$5,L6),"")</f>
        <v/>
      </c>
      <c r="M6" s="817"/>
      <c r="N6" s="817"/>
      <c r="O6" s="435" t="str">
        <f ca="1">IF($AC$2="NO",IF(AND(AO6="MinCorrect",A5&lt;&gt;" "),MAIN!$J$49,O6),"")</f>
        <v/>
      </c>
      <c r="P6" s="817"/>
      <c r="Q6" s="817"/>
      <c r="R6" s="817"/>
      <c r="S6" s="92" t="e">
        <f ca="1">IF($AC$2="NO",IF(AND(AO5="MinCorrect",A5&lt;&gt;" "),[3]MAIN!#REF!,S6),"")</f>
        <v>#REF!</v>
      </c>
      <c r="T6" s="407" t="str">
        <f ca="1">IF($AC$2="NO",IF(AND(AO6="MinCorrect",A6&lt;&gt;" "),MAIN!#REF!,T6),"")</f>
        <v/>
      </c>
      <c r="U6" s="407" t="str">
        <f ca="1">IF($AC$2="NO",IF(AND(AO6="MinCorrect",A6&lt;&gt;" "),MAIN!#REF!,U6),"")</f>
        <v/>
      </c>
      <c r="V6" s="818"/>
      <c r="W6" s="434"/>
      <c r="X6" s="434"/>
      <c r="Y6" s="434"/>
      <c r="Z6" s="406"/>
      <c r="AA6" s="406"/>
      <c r="AB6" s="406"/>
      <c r="AC6" s="406"/>
      <c r="AD6" s="406"/>
      <c r="AM6" s="275">
        <v>0.40902777777777777</v>
      </c>
      <c r="AN6" s="406"/>
      <c r="AO6" s="406"/>
    </row>
    <row r="7" spans="1:45" ht="14.5" customHeight="1" thickBot="1" x14ac:dyDescent="0.4">
      <c r="A7" s="821" t="str">
        <f ca="1">IF($AC$2="NO",IF(AO7="MinCorrect",Sheet51!$F$1,IF(A7&lt;=TIMEVALUE("00:00:00"),"",A7)),"")</f>
        <v>10:01:50</v>
      </c>
      <c r="B7" s="823" t="str">
        <f ca="1">IF($AC$2="NO",IF(AND(AO7="MinCorrect",A7&lt;&gt;" "),MAIN!$I$12,B7),"")</f>
        <v>NIFTY</v>
      </c>
      <c r="C7" s="167" t="str">
        <f ca="1">IF($AC$2="NO",IF(AND(AO6="MinCorrect",A6&lt;&gt;" "),MAIN!$A$6,C7),"")</f>
        <v/>
      </c>
      <c r="D7" s="167" t="str">
        <f ca="1">IF($AC$2="NO",IF(AND(AO6="MinCorrect",A6&lt;&gt;" "),MAIN!$C$6,D7),"")</f>
        <v/>
      </c>
      <c r="E7" s="167">
        <f ca="1">IF($AC$2="NO",IF(AND(AO7="MinCorrect",A7&lt;&gt;" "),MAIN!$D$5,E7),"")</f>
        <v>3.75</v>
      </c>
      <c r="F7" s="167">
        <f ca="1">IF($AC$2="NO",IF(AND(AO7="MinCorrect",A7&lt;&gt;" "),MAIN!$E$5,F7),"")</f>
        <v>700575</v>
      </c>
      <c r="G7" s="167">
        <f ca="1">IF($AC$2="NO",IF(AND(AO7="MinCorrect",A7&lt;&gt;" "),[3]MAIN!$F$5,G7),"")</f>
        <v>180627</v>
      </c>
      <c r="H7" s="819" t="str">
        <f ca="1">IF($AC$2="NO",IF(AND(AO7="MinCorrect",A7&lt;&gt;" "),[3]MAIN!$E$7,H7),"")</f>
        <v>SELL</v>
      </c>
      <c r="I7" s="167">
        <f ca="1">IF($AC$2="NO",IF(AND(AO7="MinCorrect",A7&lt;&gt;" "),MAIN!$H$5,I7),"")</f>
        <v>0</v>
      </c>
      <c r="J7" s="819">
        <f ca="1">IF($AC$2="NO",IF(AND(AO7="MinCorrect",A7&lt;&gt;" "),MAIN!$L$5,J7),"")</f>
        <v>12000</v>
      </c>
      <c r="K7" s="167">
        <f ca="1">IF($AC$2="NO",IF(AND(AO7="MinCorrect",A7&lt;&gt;" "),MAIN!$M$5,K7),"")</f>
        <v>3.75</v>
      </c>
      <c r="L7" s="819">
        <f ca="1">IF($AC$2="NO",IF(AND(AO7="MinCorrect",A7&lt;&gt;" "),MAIN!$N$5,L7),"")</f>
        <v>6043050</v>
      </c>
      <c r="M7" s="816">
        <f ca="1">IF($AC$2="NO",IF(AND(AO7="MinCorrect",A7&lt;&gt;" "),MAIN!$B$2,M7),"")</f>
        <v>11904.45</v>
      </c>
      <c r="N7" s="816">
        <f ca="1">IF($AC$2="NO",IF(AND(AO7="MinCorrect",A7&lt;&gt;" "),MAIN!$S$2,N7),"")</f>
        <v>11850</v>
      </c>
      <c r="O7" s="527">
        <f ca="1">IF($AC$2="NO",IF(AND(AO7="MinCorrect",A7&lt;&gt;" "),MAIN!$M$27,O7),"")</f>
        <v>6.5916666666666677</v>
      </c>
      <c r="P7" s="816" t="str">
        <f ca="1">IF($AC$2="NO",IF(AND(AO7="MinCorrect",A7&lt;&gt;" "),MAIN!$F$10,P7),"")</f>
        <v/>
      </c>
      <c r="Q7" s="816" t="str">
        <f ca="1">IF($AC$2="NO",IF(AND(AO7="MinCorrect",A7&lt;&gt;" "),MAIN!$D$10,Q7),"")</f>
        <v/>
      </c>
      <c r="R7" s="816" t="str">
        <f ca="1">IF($AC$2="NO",IF(AND(AO7="MinCorrect",A7&lt;&gt;" "),MAIN!$E$10,R7),"")</f>
        <v/>
      </c>
      <c r="S7" s="88" t="e">
        <f ca="1">IF($AC$2="NO",IF(AND(AO7="MinCorrect",A7&lt;&gt;" "),[3]MAIN!#REF!,S7),"")</f>
        <v>#REF!</v>
      </c>
      <c r="T7" s="407" t="e">
        <f ca="1">IF($AC$2="NO",IF(AND(AO7="MinCorrect",A7&lt;&gt;" "),MAIN!#REF!,T7),"")</f>
        <v>#REF!</v>
      </c>
      <c r="U7" s="407" t="e">
        <f ca="1">IF($AC$2="NO",IF(AND(AO7="MinCorrect",A7&lt;&gt;" "),MAIN!#REF!,U7),"")</f>
        <v>#REF!</v>
      </c>
      <c r="V7" s="818" t="e">
        <f ca="1">IF($AC$2="NO",IF(AND(AO7="MinCorrect",A7&lt;&gt;" "),MAIN!#REF!,V7),"")</f>
        <v>#REF!</v>
      </c>
      <c r="W7" s="434"/>
      <c r="X7" s="434"/>
      <c r="Y7" s="434"/>
      <c r="Z7" s="406"/>
      <c r="AA7" s="406"/>
      <c r="AB7" s="406"/>
      <c r="AC7" s="406"/>
      <c r="AD7" s="406"/>
      <c r="AM7" s="275">
        <v>0.41666666666666669</v>
      </c>
      <c r="AN7" s="406"/>
      <c r="AO7" s="406" t="str">
        <f ca="1">IF(AND(HOUR(AM7)=(HOUR($AN$3)),(HOUR(AM8)=(HOUR($AN$3)))),IF(AND(MINUTE($AN$3)-MINUTE(AM7)&gt;=0,(MINUTE(AM8)-MINUTE($AN$3)&gt;0)),"Mincorrect","MinFalse"),"Hour False")</f>
        <v>Hour False</v>
      </c>
    </row>
    <row r="8" spans="1:45" ht="14.5" customHeight="1" thickBot="1" x14ac:dyDescent="0.4">
      <c r="A8" s="822"/>
      <c r="B8" s="824"/>
      <c r="C8" s="90" t="str">
        <f ca="1">IF($AC$2="NO",IF(AND(AO7="MinCorrect",A7&lt;&gt;" "),MAIN!$A$6,C8),"")</f>
        <v>PE</v>
      </c>
      <c r="D8" s="168">
        <f ca="1">IF($AC$2="NO",IF(AND(AO7="MinCorrect",A7&lt;&gt;" "),MAIN!$C$6,D8),"")</f>
        <v>11800</v>
      </c>
      <c r="E8" s="168" t="str">
        <f ca="1">IF($AC$2="NO",IF(AND(AO8="MinCorrect",A8&lt;&gt;" "),MAIN!$D$5,E8),"")</f>
        <v/>
      </c>
      <c r="F8" s="168">
        <f ca="1">IF($AC$2="NO",IF(AND(AO7="MinCorrect",A7&lt;&gt;" "),MAIN!$E$6,F8),"")</f>
        <v>1796850</v>
      </c>
      <c r="G8" s="168">
        <f ca="1">IF($AC$2="NO",IF(AND(AO7="MinCorrect",A7&lt;&gt;" "),[3]MAIN!$F$6,G8),"")</f>
        <v>226557</v>
      </c>
      <c r="H8" s="825"/>
      <c r="I8" s="168" t="str">
        <f ca="1">IF($AC$2="NO",IF(AND(AO8="MinCorrect",A8&lt;&gt;" "),MAIN!$H$6,I8),"")</f>
        <v/>
      </c>
      <c r="J8" s="820" t="str">
        <f ca="1">IF($AC$2="NO",IF(AND(AO8="MinCorrect",A8&lt;&gt;" "),MAIN!$L$5,J8),"")</f>
        <v/>
      </c>
      <c r="K8" s="168" t="str">
        <f ca="1">IF($AC$2="NO",IF(AND(AO8="MinCorrect",A8&lt;&gt;" "),MAIN!$M$5,K8),"")</f>
        <v/>
      </c>
      <c r="L8" s="820" t="str">
        <f ca="1">IF($AC$2="NO",IF(AND(AO8="MinCorrect",A8&lt;&gt;" "),MAIN!$N$5,L8),"")</f>
        <v/>
      </c>
      <c r="M8" s="817"/>
      <c r="N8" s="817"/>
      <c r="O8" s="435" t="str">
        <f ca="1">IF($AC$2="NO",IF(AND(AO8="MinCorrect",A7&lt;&gt;" "),MAIN!$J$49,O8),"")</f>
        <v/>
      </c>
      <c r="P8" s="817"/>
      <c r="Q8" s="817"/>
      <c r="R8" s="817"/>
      <c r="S8" s="92" t="e">
        <f ca="1">IF($AC$2="NO",IF(AND(AO7="MinCorrect",A7&lt;&gt;" "),[3]MAIN!#REF!,S8),"")</f>
        <v>#REF!</v>
      </c>
      <c r="T8" s="407" t="str">
        <f ca="1">IF($AC$2="NO",IF(AND(AO8="MinCorrect",A8&lt;&gt;" "),MAIN!#REF!,T8),"")</f>
        <v/>
      </c>
      <c r="U8" s="407" t="str">
        <f ca="1">IF($AC$2="NO",IF(AND(AO8="MinCorrect",A8&lt;&gt;" "),MAIN!#REF!,U8),"")</f>
        <v/>
      </c>
      <c r="V8" s="818"/>
      <c r="W8" s="434"/>
      <c r="X8" s="434"/>
      <c r="Y8" s="434"/>
      <c r="Z8" s="406"/>
      <c r="AA8" s="406"/>
      <c r="AB8" s="406"/>
      <c r="AC8" s="406"/>
      <c r="AD8" s="406"/>
      <c r="AM8" s="275">
        <v>0.41944444444444445</v>
      </c>
      <c r="AN8" s="406"/>
      <c r="AO8" s="406"/>
    </row>
    <row r="9" spans="1:45" ht="14.5" customHeight="1" thickBot="1" x14ac:dyDescent="0.4">
      <c r="A9" s="821" t="str">
        <f ca="1">IF($AC$2="NO",IF(AO9="MinCorrect",Sheet51!$F$1,IF(A9&lt;=TIMEVALUE("00:00:00"),"",A9)),"")</f>
        <v>10:16:20</v>
      </c>
      <c r="B9" s="823" t="str">
        <f ca="1">IF($AC$2="NO",IF(AND(AO9="MinCorrect",A9&lt;&gt;" "),MAIN!$I$12,B9),"")</f>
        <v>NIFTY</v>
      </c>
      <c r="C9" s="167" t="str">
        <f ca="1">IF($AC$2="NO",IF(AND(AO8="MinCorrect",A8&lt;&gt;" "),MAIN!$A$6,C9),"")</f>
        <v/>
      </c>
      <c r="D9" s="167" t="str">
        <f ca="1">IF($AC$2="NO",IF(AND(AO8="MinCorrect",A8&lt;&gt;" "),MAIN!$C$6,D9),"")</f>
        <v/>
      </c>
      <c r="E9" s="167">
        <f ca="1">IF($AC$2="NO",IF(AND(AO9="MinCorrect",A9&lt;&gt;" "),MAIN!$D$5,E9),"")</f>
        <v>4.05</v>
      </c>
      <c r="F9" s="167">
        <f ca="1">IF($AC$2="NO",IF(AND(AO9="MinCorrect",A9&lt;&gt;" "),MAIN!$E$5,F9),"")</f>
        <v>675975</v>
      </c>
      <c r="G9" s="167">
        <f ca="1">IF($AC$2="NO",IF(AND(AO9="MinCorrect",A9&lt;&gt;" "),[3]MAIN!$F$5,G9),"")</f>
        <v>180627</v>
      </c>
      <c r="H9" s="819" t="str">
        <f ca="1">IF($AC$2="NO",IF(AND(AO9="MinCorrect",A9&lt;&gt;" "),[3]MAIN!$E$7,H9),"")</f>
        <v>SELL</v>
      </c>
      <c r="I9" s="167">
        <f ca="1">IF($AC$2="NO",IF(AND(AO9="MinCorrect",A9&lt;&gt;" "),MAIN!$H$5,I9),"")</f>
        <v>0</v>
      </c>
      <c r="J9" s="819">
        <f ca="1">IF($AC$2="NO",IF(AND(AO9="MinCorrect",A9&lt;&gt;" "),MAIN!$L$5,J9),"")</f>
        <v>12000</v>
      </c>
      <c r="K9" s="167">
        <f ca="1">IF($AC$2="NO",IF(AND(AO9="MinCorrect",A9&lt;&gt;" "),MAIN!$M$5,K9),"")</f>
        <v>4.05</v>
      </c>
      <c r="L9" s="819">
        <f ca="1">IF($AC$2="NO",IF(AND(AO9="MinCorrect",A9&lt;&gt;" "),MAIN!$N$5,L9),"")</f>
        <v>6018450</v>
      </c>
      <c r="M9" s="816">
        <f ca="1">IF($AC$2="NO",IF(AND(AO9="MinCorrect",A9&lt;&gt;" "),MAIN!$B$2,M9),"")</f>
        <v>11915.8</v>
      </c>
      <c r="N9" s="816">
        <f ca="1">IF($AC$2="NO",IF(AND(AO9="MinCorrect",A9&lt;&gt;" "),MAIN!$S$2,N9),"")</f>
        <v>11850</v>
      </c>
      <c r="O9" s="527">
        <f ca="1">IF($AC$2="NO",IF(AND(AO9="MinCorrect",A9&lt;&gt;" "),MAIN!$M$27,O9),"")</f>
        <v>5.3666666666666663</v>
      </c>
      <c r="P9" s="816" t="str">
        <f ca="1">IF($AC$2="NO",IF(AND(AO9="MinCorrect",A9&lt;&gt;" "),MAIN!$F$10,P9),"")</f>
        <v/>
      </c>
      <c r="Q9" s="816" t="str">
        <f ca="1">IF($AC$2="NO",IF(AND(AO9="MinCorrect",A9&lt;&gt;" "),MAIN!$D$10,Q9),"")</f>
        <v/>
      </c>
      <c r="R9" s="816" t="str">
        <f ca="1">IF($AC$2="NO",IF(AND(AO9="MinCorrect",A9&lt;&gt;" "),MAIN!$E$10,R9),"")</f>
        <v/>
      </c>
      <c r="S9" s="88" t="e">
        <f ca="1">IF($AC$2="NO",IF(AND(AO9="MinCorrect",A9&lt;&gt;" "),[3]MAIN!#REF!,S9),"")</f>
        <v>#REF!</v>
      </c>
      <c r="T9" s="407" t="e">
        <f ca="1">IF($AC$2="NO",IF(AND(AO9="MinCorrect",A9&lt;&gt;" "),MAIN!#REF!,T9),"")</f>
        <v>#REF!</v>
      </c>
      <c r="U9" s="407" t="e">
        <f ca="1">IF($AC$2="NO",IF(AND(AO9="MinCorrect",A9&lt;&gt;" "),MAIN!#REF!,U9),"")</f>
        <v>#REF!</v>
      </c>
      <c r="V9" s="818" t="e">
        <f ca="1">IF($AC$2="NO",IF(AND(AO9="MinCorrect",A9&lt;&gt;" "),MAIN!#REF!,V9),"")</f>
        <v>#REF!</v>
      </c>
      <c r="W9" s="434"/>
      <c r="X9" s="434"/>
      <c r="Y9" s="434"/>
      <c r="Z9" s="406"/>
      <c r="AA9" s="406"/>
      <c r="AB9" s="718" t="s">
        <v>165</v>
      </c>
      <c r="AC9" s="719"/>
      <c r="AD9" s="719"/>
      <c r="AM9" s="275">
        <v>0.42708333333333331</v>
      </c>
      <c r="AN9" s="406"/>
      <c r="AO9" s="406" t="str">
        <f ca="1">IF(AND(HOUR(AM9)=(HOUR($AN$3)),(HOUR(AM10)=(HOUR($AN$3)))),IF(AND(MINUTE($AN$3)-MINUTE(AM9)&gt;=0,(MINUTE(AM10)-MINUTE($AN$3)&gt;0)),"Mincorrect","MinFalse"),"Hour False")</f>
        <v>Hour False</v>
      </c>
    </row>
    <row r="10" spans="1:45" ht="14.5" customHeight="1" thickBot="1" x14ac:dyDescent="0.4">
      <c r="A10" s="822"/>
      <c r="B10" s="824"/>
      <c r="C10" s="90" t="str">
        <f ca="1">IF($AC$2="NO",IF(AND(AO9="MinCorrect",A9&lt;&gt;" "),MAIN!$A$6,C10),"")</f>
        <v>PE</v>
      </c>
      <c r="D10" s="168">
        <f ca="1">IF($AC$2="NO",IF(AND(AO9="MinCorrect",A9&lt;&gt;" "),MAIN!$C$6,D10),"")</f>
        <v>11800</v>
      </c>
      <c r="E10" s="168" t="str">
        <f ca="1">IF($AC$2="NO",IF(AND(AO10="MinCorrect",A10&lt;&gt;" "),MAIN!$D$5,E10),"")</f>
        <v/>
      </c>
      <c r="F10" s="168">
        <f ca="1">IF($AC$2="NO",IF(AND(AO9="MinCorrect",A9&lt;&gt;" "),MAIN!$E$6,F10),"")</f>
        <v>2128050</v>
      </c>
      <c r="G10" s="168">
        <f ca="1">IF($AC$2="NO",IF(AND(AO9="MinCorrect",A9&lt;&gt;" "),[3]MAIN!$F$6,G10),"")</f>
        <v>226557</v>
      </c>
      <c r="H10" s="825"/>
      <c r="I10" s="168" t="str">
        <f ca="1">IF($AC$2="NO",IF(AND(AO10="MinCorrect",A10&lt;&gt;" "),MAIN!$H$6,I10),"")</f>
        <v/>
      </c>
      <c r="J10" s="820" t="str">
        <f ca="1">IF($AC$2="NO",IF(AND(AO10="MinCorrect",A10&lt;&gt;" "),MAIN!$L$5,J10),"")</f>
        <v/>
      </c>
      <c r="K10" s="168" t="str">
        <f ca="1">IF($AC$2="NO",IF(AND(AO10="MinCorrect",A10&lt;&gt;" "),MAIN!$M$5,K10),"")</f>
        <v/>
      </c>
      <c r="L10" s="820" t="str">
        <f ca="1">IF($AC$2="NO",IF(AND(AO10="MinCorrect",A10&lt;&gt;" "),MAIN!$N$5,L10),"")</f>
        <v/>
      </c>
      <c r="M10" s="817"/>
      <c r="N10" s="817"/>
      <c r="O10" s="435" t="str">
        <f ca="1">IF($AC$2="NO",IF(AND(AO10="MinCorrect",A9&lt;&gt;" "),MAIN!$J$49,O10),"")</f>
        <v/>
      </c>
      <c r="P10" s="817"/>
      <c r="Q10" s="817"/>
      <c r="R10" s="817"/>
      <c r="S10" s="92" t="e">
        <f ca="1">IF($AC$2="NO",IF(AND(AO9="MinCorrect",A9&lt;&gt;" "),[3]MAIN!#REF!,S10),"")</f>
        <v>#REF!</v>
      </c>
      <c r="T10" s="407" t="str">
        <f ca="1">IF($AC$2="NO",IF(AND(AO10="MinCorrect",A10&lt;&gt;" "),MAIN!#REF!,T10),"")</f>
        <v/>
      </c>
      <c r="U10" s="407" t="str">
        <f ca="1">IF($AC$2="NO",IF(AND(AO10="MinCorrect",A10&lt;&gt;" "),MAIN!#REF!,U10),"")</f>
        <v/>
      </c>
      <c r="V10" s="818"/>
      <c r="W10" s="434"/>
      <c r="X10" s="434"/>
      <c r="Y10" s="434"/>
      <c r="Z10" s="406"/>
      <c r="AA10" s="406"/>
      <c r="AB10" s="718" t="s">
        <v>166</v>
      </c>
      <c r="AC10" s="719"/>
      <c r="AD10" s="719"/>
      <c r="AM10" s="275">
        <v>0.42986111111111108</v>
      </c>
      <c r="AN10" s="406"/>
      <c r="AO10" s="406"/>
    </row>
    <row r="11" spans="1:45" ht="14.5" customHeight="1" thickBot="1" x14ac:dyDescent="0.4">
      <c r="A11" s="821" t="str">
        <f ca="1">IF($AC$2="NO",IF(AO11="MinCorrect",Sheet51!$F$1,IF(A11&lt;=TIMEVALUE("00:00:00"),"",A11)),"")</f>
        <v>10:30:51</v>
      </c>
      <c r="B11" s="823" t="str">
        <f ca="1">IF($AC$2="NO",IF(AND(AO11="MinCorrect",A11&lt;&gt;" "),MAIN!$I$12,B11),"")</f>
        <v>NIFTY</v>
      </c>
      <c r="C11" s="167" t="str">
        <f ca="1">IF($AC$2="NO",IF(AND(AO10="MinCorrect",A10&lt;&gt;" "),MAIN!$A$6,C11),"")</f>
        <v/>
      </c>
      <c r="D11" s="167" t="str">
        <f ca="1">IF($AC$2="NO",IF(AND(AO10="MinCorrect",A10&lt;&gt;" "),MAIN!$C$6,D11),"")</f>
        <v/>
      </c>
      <c r="E11" s="167">
        <f ca="1">IF($AC$2="NO",IF(AND(AO11="MinCorrect",A11&lt;&gt;" "),MAIN!$D$5,E11),"")</f>
        <v>4.55</v>
      </c>
      <c r="F11" s="167">
        <f ca="1">IF($AC$2="NO",IF(AND(AO11="MinCorrect",A11&lt;&gt;" "),MAIN!$E$5,F11),"")</f>
        <v>682425</v>
      </c>
      <c r="G11" s="167">
        <f ca="1">IF($AC$2="NO",IF(AND(AO11="MinCorrect",A11&lt;&gt;" "),[3]MAIN!$F$5,G11),"")</f>
        <v>180627</v>
      </c>
      <c r="H11" s="819" t="str">
        <f ca="1">IF($AC$2="NO",IF(AND(AO11="MinCorrect",A11&lt;&gt;" "),MAIN!$E$7,H11),"")</f>
        <v>BUY</v>
      </c>
      <c r="I11" s="167">
        <f ca="1">IF($AC$2="NO",IF(AND(AO11="MinCorrect",A11&lt;&gt;" "),MAIN!$H$5,I11),"")</f>
        <v>0</v>
      </c>
      <c r="J11" s="819">
        <f ca="1">IF($AC$2="NO",IF(AND(AO11="MinCorrect",A11&lt;&gt;" "),MAIN!$L$5,J11),"")</f>
        <v>12000</v>
      </c>
      <c r="K11" s="167">
        <f ca="1">IF($AC$2="NO",IF(AND(AO11="MinCorrect",A11&lt;&gt;" "),MAIN!$M$5,K11),"")</f>
        <v>4.55</v>
      </c>
      <c r="L11" s="819">
        <f ca="1">IF($AC$2="NO",IF(AND(AO11="MinCorrect",A11&lt;&gt;" "),MAIN!$N$5,L11),"")</f>
        <v>6024900</v>
      </c>
      <c r="M11" s="816">
        <f ca="1">IF($AC$2="NO",IF(AND(AO11="MinCorrect",A11&lt;&gt;" "),MAIN!$B$2,M11),"")</f>
        <v>11921.65</v>
      </c>
      <c r="N11" s="816">
        <f ca="1">IF($AC$2="NO",IF(AND(AO11="MinCorrect",A11&lt;&gt;" "),MAIN!$S$2,N11),"")</f>
        <v>11900</v>
      </c>
      <c r="O11" s="527">
        <f ca="1">IF($AC$2="NO",IF(AND(AO11="MinCorrect",A11&lt;&gt;" "),MAIN!$M$27,O11),"")</f>
        <v>5.0083333333333337</v>
      </c>
      <c r="P11" s="816" t="str">
        <f ca="1">IF($AC$2="NO",IF(AND(AO11="MinCorrect",A11&lt;&gt;" "),MAIN!$F$10,P11),"")</f>
        <v/>
      </c>
      <c r="Q11" s="816" t="str">
        <f ca="1">IF($AC$2="NO",IF(AND(AO11="MinCorrect",A11&lt;&gt;" "),MAIN!$D$10,Q11),"")</f>
        <v/>
      </c>
      <c r="R11" s="816" t="str">
        <f ca="1">IF($AC$2="NO",IF(AND(AO11="MinCorrect",A11&lt;&gt;" "),MAIN!$E$10,R11),"")</f>
        <v/>
      </c>
      <c r="S11" s="88" t="e">
        <f ca="1">IF($AC$2="NO",IF(AND(AO11="MinCorrect",A11&lt;&gt;" "),[3]MAIN!#REF!,S11),"")</f>
        <v>#REF!</v>
      </c>
      <c r="T11" s="407" t="e">
        <f ca="1">IF($AC$2="NO",IF(AND(AO11="MinCorrect",A11&lt;&gt;" "),MAIN!#REF!,T11),"")</f>
        <v>#REF!</v>
      </c>
      <c r="U11" s="407" t="e">
        <f ca="1">IF($AC$2="NO",IF(AND(AO11="MinCorrect",A11&lt;&gt;" "),MAIN!#REF!,U11),"")</f>
        <v>#REF!</v>
      </c>
      <c r="V11" s="818" t="e">
        <f ca="1">IF($AC$2="NO",IF(AND(AO11="MinCorrect",A11&lt;&gt;" "),MAIN!#REF!,V11),"")</f>
        <v>#REF!</v>
      </c>
      <c r="W11" s="434"/>
      <c r="X11" s="434"/>
      <c r="Y11" s="434"/>
      <c r="Z11" s="406"/>
      <c r="AA11" s="406"/>
      <c r="AB11" s="718" t="s">
        <v>169</v>
      </c>
      <c r="AC11" s="718"/>
      <c r="AD11" s="718"/>
      <c r="AM11" s="275">
        <v>0.4375</v>
      </c>
      <c r="AN11" s="406"/>
      <c r="AO11" s="406" t="str">
        <f ca="1">IF(AND(HOUR(AM11)=(HOUR($AN$3)),(HOUR(AM12)=(HOUR($AN$3)))),IF(AND(MINUTE($AN$3)-MINUTE(AM11)&gt;=0,(MINUTE(AM12)-MINUTE($AN$3)&gt;0)),"Mincorrect","MinFalse"),"Hour False")</f>
        <v>Hour False</v>
      </c>
    </row>
    <row r="12" spans="1:45" ht="14.5" customHeight="1" thickBot="1" x14ac:dyDescent="0.4">
      <c r="A12" s="822"/>
      <c r="B12" s="824"/>
      <c r="C12" s="90" t="str">
        <f ca="1">IF($AC$2="NO",IF(AND(AO11="MinCorrect",A11&lt;&gt;" "),MAIN!$A$6,C12),"")</f>
        <v>PE</v>
      </c>
      <c r="D12" s="168">
        <f ca="1">IF($AC$2="NO",IF(AND(AO11="MinCorrect",A11&lt;&gt;" "),MAIN!$C$6,D12),"")</f>
        <v>11800</v>
      </c>
      <c r="E12" s="168" t="str">
        <f ca="1">IF($AC$2="NO",IF(AND(AO12="MinCorrect",A12&lt;&gt;" "),MAIN!$D$5,E12),"")</f>
        <v/>
      </c>
      <c r="F12" s="168">
        <f ca="1">IF($AC$2="NO",IF(AND(AO11="MinCorrect",A11&lt;&gt;" "),MAIN!$E$6,F12),"")</f>
        <v>2298675</v>
      </c>
      <c r="G12" s="168">
        <f ca="1">IF($AC$2="NO",IF(AND(AO11="MinCorrect",A11&lt;&gt;" "),MAIN!$F$6,G12),"")</f>
        <v>198443</v>
      </c>
      <c r="H12" s="825"/>
      <c r="I12" s="168" t="str">
        <f ca="1">IF($AC$2="NO",IF(AND(AO12="MinCorrect",A12&lt;&gt;" "),MAIN!$H$6,I12),"")</f>
        <v/>
      </c>
      <c r="J12" s="820" t="str">
        <f ca="1">IF($AC$2="NO",IF(AND(AO12="MinCorrect",A12&lt;&gt;" "),MAIN!$L$5,J12),"")</f>
        <v/>
      </c>
      <c r="K12" s="168" t="str">
        <f ca="1">IF($AC$2="NO",IF(AND(AO12="MinCorrect",A12&lt;&gt;" "),MAIN!$M$5,K12),"")</f>
        <v/>
      </c>
      <c r="L12" s="820" t="str">
        <f ca="1">IF($AC$2="NO",IF(AND(AO12="MinCorrect",A12&lt;&gt;" "),MAIN!$N$5,L12),"")</f>
        <v/>
      </c>
      <c r="M12" s="817"/>
      <c r="N12" s="817"/>
      <c r="O12" s="435" t="str">
        <f ca="1">IF($AC$2="NO",IF(AND(AO12="MinCorrect",A11&lt;&gt;" "),MAIN!$J$49,O12),"")</f>
        <v/>
      </c>
      <c r="P12" s="817"/>
      <c r="Q12" s="817"/>
      <c r="R12" s="817"/>
      <c r="S12" s="92" t="e">
        <f ca="1">IF($AC$2="NO",IF(AND(AO11="MinCorrect",A11&lt;&gt;" "),[3]MAIN!#REF!,S12),"")</f>
        <v>#REF!</v>
      </c>
      <c r="T12" s="407" t="str">
        <f ca="1">IF($AC$2="NO",IF(AND(AO12="MinCorrect",A12&lt;&gt;" "),MAIN!#REF!,T12),"")</f>
        <v/>
      </c>
      <c r="U12" s="407" t="str">
        <f ca="1">IF($AC$2="NO",IF(AND(AO12="MinCorrect",A12&lt;&gt;" "),MAIN!#REF!,U12),"")</f>
        <v/>
      </c>
      <c r="V12" s="818"/>
      <c r="W12" s="434"/>
      <c r="X12" s="434"/>
      <c r="Y12" s="434"/>
      <c r="Z12" s="406"/>
      <c r="AA12" s="406"/>
      <c r="AB12" s="718" t="s">
        <v>167</v>
      </c>
      <c r="AC12" s="718"/>
      <c r="AD12" s="718"/>
      <c r="AM12" s="275">
        <v>0.44027777777777777</v>
      </c>
      <c r="AN12" s="406"/>
      <c r="AO12" s="406"/>
    </row>
    <row r="13" spans="1:45" ht="14.5" customHeight="1" thickBot="1" x14ac:dyDescent="0.4">
      <c r="A13" s="821" t="str">
        <f ca="1">IF($AC$2="NO",IF(AO13="MinCorrect",Sheet51!$F$1,IF(A13&lt;=TIMEVALUE("00:00:00"),"",A13)),"")</f>
        <v>10:47:21</v>
      </c>
      <c r="B13" s="823" t="str">
        <f ca="1">IF($AC$2="NO",IF(AND(AO13="MinCorrect",A13&lt;&gt;" "),MAIN!$I$12,B13),"")</f>
        <v>NIFTY</v>
      </c>
      <c r="C13" s="167" t="str">
        <f ca="1">IF($AC$2="NO",IF(AND(AO12="MinCorrect",A12&lt;&gt;" "),MAIN!$A$6,C13),"")</f>
        <v/>
      </c>
      <c r="D13" s="167" t="str">
        <f ca="1">IF($AC$2="NO",IF(AND(AO12="MinCorrect",A12&lt;&gt;" "),MAIN!$C$6,D13),"")</f>
        <v/>
      </c>
      <c r="E13" s="167">
        <f ca="1">IF($AC$2="NO",IF(AND(AO13="MinCorrect",A13&lt;&gt;" "),MAIN!$D$5,E13),"")</f>
        <v>3.15</v>
      </c>
      <c r="F13" s="167">
        <f ca="1">IF($AC$2="NO",IF(AND(AO13="MinCorrect",A13&lt;&gt;" "),MAIN!$E$5,F13),"")</f>
        <v>798375</v>
      </c>
      <c r="G13" s="167">
        <f ca="1">IF($AC$2="NO",IF(AND(AO13="MinCorrect",A13&lt;&gt;" "),MAIN!$F$5,G13),"")</f>
        <v>244427</v>
      </c>
      <c r="H13" s="819" t="str">
        <f ca="1">IF($AC$2="NO",IF(AND(AO13="MinCorrect",A13&lt;&gt;" "),MAIN!$E$7,H13),"")</f>
        <v>BUY</v>
      </c>
      <c r="I13" s="167">
        <f ca="1">IF($AC$2="NO",IF(AND(AO13="MinCorrect",A13&lt;&gt;" "),MAIN!$H$5,I13),"")</f>
        <v>0</v>
      </c>
      <c r="J13" s="819">
        <f ca="1">IF($AC$2="NO",IF(AND(AO13="MinCorrect",A13&lt;&gt;" "),MAIN!$L$5,J13),"")</f>
        <v>12000</v>
      </c>
      <c r="K13" s="167">
        <f ca="1">IF($AC$2="NO",IF(AND(AO13="MinCorrect",A13&lt;&gt;" "),MAIN!$M$5,K13),"")</f>
        <v>3.15</v>
      </c>
      <c r="L13" s="819">
        <f ca="1">IF($AC$2="NO",IF(AND(AO13="MinCorrect",A13&lt;&gt;" "),MAIN!$N$5,L13),"")</f>
        <v>6140850</v>
      </c>
      <c r="M13" s="816">
        <f ca="1">IF($AC$2="NO",IF(AND(AO13="MinCorrect",A13&lt;&gt;" "),MAIN!$B$2,M13),"")</f>
        <v>11916.1</v>
      </c>
      <c r="N13" s="816">
        <f ca="1">IF($AC$2="NO",IF(AND(AO13="MinCorrect",A13&lt;&gt;" "),MAIN!$S$2,N13),"")</f>
        <v>11900</v>
      </c>
      <c r="O13" s="527">
        <f ca="1">IF($AC$2="NO",IF(AND(AO13="MinCorrect",A13&lt;&gt;" "),MAIN!$M$27,O13),"")</f>
        <v>5.6333333333333337</v>
      </c>
      <c r="P13" s="816" t="str">
        <f ca="1">IF($AC$2="NO",IF(AND(AO13="MinCorrect",A13&lt;&gt;" "),MAIN!$F$10,P13),"")</f>
        <v/>
      </c>
      <c r="Q13" s="816" t="str">
        <f ca="1">IF($AC$2="NO",IF(AND(AO13="MinCorrect",A13&lt;&gt;" "),MAIN!$D$10,Q13),"")</f>
        <v/>
      </c>
      <c r="R13" s="816" t="str">
        <f ca="1">IF($AC$2="NO",IF(AND(AO13="MinCorrect",A13&lt;&gt;" "),MAIN!$E$10,R13),"")</f>
        <v/>
      </c>
      <c r="S13" s="88" t="e">
        <f ca="1">IF($AC$2="NO",IF(AND(AO13="MinCorrect",A13&lt;&gt;" "),[3]MAIN!#REF!,S13),"")</f>
        <v>#REF!</v>
      </c>
      <c r="T13" s="407" t="e">
        <f ca="1">IF($AC$2="NO",IF(AND(AO13="MinCorrect",A13&lt;&gt;" "),MAIN!#REF!,T13),"")</f>
        <v>#REF!</v>
      </c>
      <c r="U13" s="407" t="e">
        <f ca="1">IF($AC$2="NO",IF(AND(AO13="MinCorrect",A13&lt;&gt;" "),MAIN!#REF!,U13),"")</f>
        <v>#REF!</v>
      </c>
      <c r="V13" s="818" t="e">
        <f ca="1">IF($AC$2="NO",IF(AND(AO13="MinCorrect",A13&lt;&gt;" "),MAIN!#REF!,V13),"")</f>
        <v>#REF!</v>
      </c>
      <c r="W13" s="434"/>
      <c r="X13" s="434"/>
      <c r="Y13" s="434"/>
      <c r="Z13" s="406"/>
      <c r="AA13" s="406"/>
      <c r="AB13" s="718" t="s">
        <v>168</v>
      </c>
      <c r="AC13" s="718"/>
      <c r="AD13" s="718"/>
      <c r="AM13" s="275">
        <v>0.44791666666666669</v>
      </c>
      <c r="AN13" s="406"/>
      <c r="AO13" s="406" t="str">
        <f ca="1">IF(AND(HOUR(AM13)=(HOUR($AN$3)),(HOUR(AM14)=(HOUR($AN$3)))),IF(AND(MINUTE($AN$3)-MINUTE(AM13)&gt;=0,(MINUTE(AM14)-MINUTE($AN$3)&gt;0)),"Mincorrect","MinFalse"),"Hour False")</f>
        <v>Hour False</v>
      </c>
    </row>
    <row r="14" spans="1:45" ht="14.5" customHeight="1" thickBot="1" x14ac:dyDescent="0.4">
      <c r="A14" s="822"/>
      <c r="B14" s="824"/>
      <c r="C14" s="90" t="str">
        <f ca="1">IF($AC$2="NO",IF(AND(AO13="MinCorrect",A13&lt;&gt;" "),MAIN!$A$6,C14),"")</f>
        <v>PE</v>
      </c>
      <c r="D14" s="168">
        <f ca="1">IF($AC$2="NO",IF(AND(AO13="MinCorrect",A13&lt;&gt;" "),MAIN!$C$6,D14),"")</f>
        <v>11800</v>
      </c>
      <c r="E14" s="168" t="str">
        <f ca="1">IF($AC$2="NO",IF(AND(AO14="MinCorrect",A14&lt;&gt;" "),MAIN!$D$5,E14),"")</f>
        <v/>
      </c>
      <c r="F14" s="168">
        <f ca="1">IF($AC$2="NO",IF(AND(AO13="MinCorrect",A13&lt;&gt;" "),MAIN!$E$6,F14),"")</f>
        <v>2372475</v>
      </c>
      <c r="G14" s="168" t="str">
        <f ca="1">IF($AC$2="NO",IF(AND(AO14="MinCorrect",A14&lt;&gt;" "),MAIN!$F$5,G14),"")</f>
        <v/>
      </c>
      <c r="H14" s="825"/>
      <c r="I14" s="168" t="str">
        <f ca="1">IF($AC$2="NO",IF(AND(AO14="MinCorrect",A14&lt;&gt;" "),MAIN!$H$6,I14),"")</f>
        <v/>
      </c>
      <c r="J14" s="820" t="str">
        <f ca="1">IF($AC$2="NO",IF(AND(AO14="MinCorrect",A14&lt;&gt;" "),MAIN!$L$5,J14),"")</f>
        <v/>
      </c>
      <c r="K14" s="168" t="str">
        <f ca="1">IF($AC$2="NO",IF(AND(AO14="MinCorrect",A14&lt;&gt;" "),MAIN!$M$5,K14),"")</f>
        <v/>
      </c>
      <c r="L14" s="820" t="str">
        <f ca="1">IF($AC$2="NO",IF(AND(AO14="MinCorrect",A14&lt;&gt;" "),MAIN!$N$5,L14),"")</f>
        <v/>
      </c>
      <c r="M14" s="817"/>
      <c r="N14" s="817"/>
      <c r="O14" s="435" t="str">
        <f ca="1">IF($AC$2="NO",IF(AND(AO14="MinCorrect",A13&lt;&gt;" "),MAIN!$J$49,O14),"")</f>
        <v/>
      </c>
      <c r="P14" s="817"/>
      <c r="Q14" s="817"/>
      <c r="R14" s="817"/>
      <c r="S14" s="92" t="e">
        <f ca="1">IF($AC$2="NO",IF(AND(AO13="MinCorrect",A13&lt;&gt;" "),[3]MAIN!#REF!,S14),"")</f>
        <v>#REF!</v>
      </c>
      <c r="T14" s="407" t="str">
        <f ca="1">IF($AC$2="NO",IF(AND(AO14="MinCorrect",A14&lt;&gt;" "),MAIN!#REF!,T14),"")</f>
        <v/>
      </c>
      <c r="U14" s="407" t="str">
        <f ca="1">IF($AC$2="NO",IF(AND(AO14="MinCorrect",A14&lt;&gt;" "),MAIN!#REF!,U14),"")</f>
        <v/>
      </c>
      <c r="V14" s="818"/>
      <c r="W14" s="434"/>
      <c r="X14" s="434"/>
      <c r="Y14" s="434"/>
      <c r="AM14" s="275">
        <v>0.45069444444444445</v>
      </c>
      <c r="AN14" s="406"/>
      <c r="AO14" s="406"/>
    </row>
    <row r="15" spans="1:45" ht="14.5" customHeight="1" thickBot="1" x14ac:dyDescent="0.4">
      <c r="A15" s="821" t="str">
        <f ca="1">IF($AC$2="NO",IF(AO15="MinCorrect",Sheet51!$F$1,IF(A15&lt;=TIMEVALUE("00:00:00"),"",A15)),"")</f>
        <v>11:01:22</v>
      </c>
      <c r="B15" s="823" t="str">
        <f ca="1">IF($AC$2="NO",IF(AND(AO15="MinCorrect",A15&lt;&gt;" "),MAIN!$I$12,B15),"")</f>
        <v>NIFTY</v>
      </c>
      <c r="C15" s="167" t="str">
        <f ca="1">IF($AC$2="NO",IF(AND(AO14="MinCorrect",A14&lt;&gt;" "),MAIN!$A$6,C15),"")</f>
        <v/>
      </c>
      <c r="D15" s="167" t="str">
        <f ca="1">IF($AC$2="NO",IF(AND(AO14="MinCorrect",A14&lt;&gt;" "),MAIN!$C$6,D15),"")</f>
        <v/>
      </c>
      <c r="E15" s="167">
        <f ca="1">IF($AC$2="NO",IF(AND(AO15="MinCorrect",A15&lt;&gt;" "),MAIN!$D$5,E15),"")</f>
        <v>3</v>
      </c>
      <c r="F15" s="167">
        <f ca="1">IF($AC$2="NO",IF(AND(AO15="MinCorrect",A15&lt;&gt;" "),MAIN!$E$5,F15),"")</f>
        <v>953325</v>
      </c>
      <c r="G15" s="167">
        <f ca="1">IF($AC$2="NO",IF(AND(AO15="MinCorrect",A15&lt;&gt;" "),MAIN!$F$5,G15),"")</f>
        <v>261991</v>
      </c>
      <c r="H15" s="819" t="str">
        <f ca="1">IF($AC$2="NO",IF(AND(AO15="MinCorrect",A15&lt;&gt;" "),MAIN!$E$7,H15),"")</f>
        <v>BUY</v>
      </c>
      <c r="I15" s="167">
        <f ca="1">IF($AC$2="NO",IF(AND(AO15="MinCorrect",A15&lt;&gt;" "),MAIN!$H$5,I15),"")</f>
        <v>0</v>
      </c>
      <c r="J15" s="819">
        <f ca="1">IF($AC$2="NO",IF(AND(AO15="MinCorrect",A15&lt;&gt;" "),MAIN!$L$5,J15),"")</f>
        <v>12000</v>
      </c>
      <c r="K15" s="167">
        <f ca="1">IF($AC$2="NO",IF(AND(AO15="MinCorrect",A15&lt;&gt;" "),MAIN!$M$5,K15),"")</f>
        <v>3</v>
      </c>
      <c r="L15" s="819">
        <f ca="1">IF($AC$2="NO",IF(AND(AO15="MinCorrect",A15&lt;&gt;" "),MAIN!$N$5,L15),"")</f>
        <v>6295800</v>
      </c>
      <c r="M15" s="816">
        <f ca="1">IF($AC$2="NO",IF(AND(AO15="MinCorrect",A15&lt;&gt;" "),MAIN!$B$2,M15),"")</f>
        <v>11912.7</v>
      </c>
      <c r="N15" s="816">
        <f ca="1">IF($AC$2="NO",IF(AND(AO15="MinCorrect",A15&lt;&gt;" "),MAIN!$S$2,N15),"")</f>
        <v>11900</v>
      </c>
      <c r="O15" s="527">
        <f ca="1">IF($AC$2="NO",IF(AND(AO15="MinCorrect",A15&lt;&gt;" "),MAIN!$M$27,O15),"")</f>
        <v>5.3916666666666666</v>
      </c>
      <c r="P15" s="816" t="str">
        <f ca="1">IF($AC$2="NO",IF(AND(AO15="MinCorrect",A15&lt;&gt;" "),MAIN!$F$10,P15),"")</f>
        <v/>
      </c>
      <c r="Q15" s="816" t="str">
        <f ca="1">IF($AC$2="NO",IF(AND(AO15="MinCorrect",A15&lt;&gt;" "),MAIN!$D$10,Q15),"")</f>
        <v/>
      </c>
      <c r="R15" s="816" t="str">
        <f ca="1">IF($AC$2="NO",IF(AND(AO15="MinCorrect",A15&lt;&gt;" "),MAIN!$E$10,R15),"")</f>
        <v/>
      </c>
      <c r="S15" s="88" t="e">
        <f ca="1">IF($AC$2="NO",IF(AND(AO15="MinCorrect",A15&lt;&gt;" "),[3]MAIN!#REF!,S15),"")</f>
        <v>#REF!</v>
      </c>
      <c r="T15" s="407" t="e">
        <f ca="1">IF($AC$2="NO",IF(AND(AO15="MinCorrect",A15&lt;&gt;" "),MAIN!#REF!,T15),"")</f>
        <v>#REF!</v>
      </c>
      <c r="U15" s="407" t="e">
        <f ca="1">IF($AC$2="NO",IF(AND(AO15="MinCorrect",A15&lt;&gt;" "),MAIN!#REF!,U15),"")</f>
        <v>#REF!</v>
      </c>
      <c r="V15" s="818" t="e">
        <f ca="1">IF($AC$2="NO",IF(AND(AO15="MinCorrect",A15&lt;&gt;" "),MAIN!#REF!,V15),"")</f>
        <v>#REF!</v>
      </c>
      <c r="W15" s="434"/>
      <c r="X15" s="434"/>
      <c r="Y15" s="434"/>
      <c r="AM15" s="275">
        <v>0.45833333333333331</v>
      </c>
      <c r="AN15" s="406"/>
      <c r="AO15" s="406" t="str">
        <f ca="1">IF(AND(HOUR(AM15)=(HOUR($AN$3)),(HOUR(AM16)=(HOUR($AN$3)))),IF(AND(MINUTE($AN$3)-MINUTE(AM15)&gt;=0,(MINUTE(AM16)-MINUTE($AN$3)&gt;0)),"Mincorrect","MinFalse"),"Hour False")</f>
        <v>Hour False</v>
      </c>
    </row>
    <row r="16" spans="1:45" ht="14.5" customHeight="1" thickBot="1" x14ac:dyDescent="0.4">
      <c r="A16" s="822"/>
      <c r="B16" s="824"/>
      <c r="C16" s="90" t="str">
        <f ca="1">IF($AC$2="NO",IF(AND(AO15="MinCorrect",A15&lt;&gt;" "),MAIN!$A$6,C16),"")</f>
        <v>PE</v>
      </c>
      <c r="D16" s="168">
        <f ca="1">IF($AC$2="NO",IF(AND(AO15="MinCorrect",A15&lt;&gt;" "),MAIN!$C$6,D16),"")</f>
        <v>11800</v>
      </c>
      <c r="E16" s="168" t="str">
        <f ca="1">IF($AC$2="NO",IF(AND(AO16="MinCorrect",A16&lt;&gt;" "),MAIN!$D$5,E16),"")</f>
        <v/>
      </c>
      <c r="F16" s="168">
        <f ca="1">IF($AC$2="NO",IF(AND(AO15="MinCorrect",A15&lt;&gt;" "),MAIN!$E$6,F16),"")</f>
        <v>2484600</v>
      </c>
      <c r="G16" s="168" t="str">
        <f ca="1">IF($AC$2="NO",IF(AND(AO16="MinCorrect",A16&lt;&gt;" "),MAIN!$F$5,G16),"")</f>
        <v/>
      </c>
      <c r="H16" s="825"/>
      <c r="I16" s="168" t="str">
        <f ca="1">IF($AC$2="NO",IF(AND(AO16="MinCorrect",A16&lt;&gt;" "),MAIN!$H$6,I16),"")</f>
        <v/>
      </c>
      <c r="J16" s="820" t="str">
        <f ca="1">IF($AC$2="NO",IF(AND(AO16="MinCorrect",A16&lt;&gt;" "),MAIN!$L$5,J16),"")</f>
        <v/>
      </c>
      <c r="K16" s="168" t="str">
        <f ca="1">IF($AC$2="NO",IF(AND(AO16="MinCorrect",A16&lt;&gt;" "),MAIN!$M$5,K16),"")</f>
        <v/>
      </c>
      <c r="L16" s="820" t="str">
        <f ca="1">IF($AC$2="NO",IF(AND(AO16="MinCorrect",A16&lt;&gt;" "),MAIN!$N$5,L16),"")</f>
        <v/>
      </c>
      <c r="M16" s="817"/>
      <c r="N16" s="817"/>
      <c r="O16" s="435" t="str">
        <f ca="1">IF($AC$2="NO",IF(AND(AO16="MinCorrect",A15&lt;&gt;" "),MAIN!$J$49,O16),"")</f>
        <v/>
      </c>
      <c r="P16" s="817"/>
      <c r="Q16" s="817"/>
      <c r="R16" s="817"/>
      <c r="S16" s="92" t="e">
        <f ca="1">IF($AC$2="NO",IF(AND(AO15="MinCorrect",A15&lt;&gt;" "),[3]MAIN!#REF!,S16),"")</f>
        <v>#REF!</v>
      </c>
      <c r="T16" s="407" t="str">
        <f ca="1">IF($AC$2="NO",IF(AND(AO16="MinCorrect",A16&lt;&gt;" "),MAIN!#REF!,T16),"")</f>
        <v/>
      </c>
      <c r="U16" s="407" t="str">
        <f ca="1">IF($AC$2="NO",IF(AND(AO16="MinCorrect",A16&lt;&gt;" "),MAIN!#REF!,U16),"")</f>
        <v/>
      </c>
      <c r="V16" s="818"/>
      <c r="W16" s="434"/>
      <c r="X16" s="434"/>
      <c r="Y16" s="434"/>
      <c r="AM16" s="275">
        <v>0.46111111111111108</v>
      </c>
      <c r="AN16" s="406"/>
      <c r="AO16" s="406"/>
    </row>
    <row r="17" spans="1:41" ht="14.5" customHeight="1" thickBot="1" x14ac:dyDescent="0.4">
      <c r="A17" s="821" t="str">
        <f ca="1">IF($AC$2="NO",IF(AO17="MinCorrect",Sheet51!$F$1,IF(A17&lt;=TIMEVALUE("00:00:00"),"",A17)),"")</f>
        <v>11:15:22</v>
      </c>
      <c r="B17" s="823" t="str">
        <f ca="1">IF($AC$2="NO",IF(AND(AO17="MinCorrect",A17&lt;&gt;" "),MAIN!$I$12,B17),"")</f>
        <v>NIFTY</v>
      </c>
      <c r="C17" s="167" t="str">
        <f ca="1">IF($AC$2="NO",IF(AND(AO16="MinCorrect",A16&lt;&gt;" "),MAIN!$A$6,C17),"")</f>
        <v/>
      </c>
      <c r="D17" s="167" t="str">
        <f ca="1">IF($AC$2="NO",IF(AND(AO16="MinCorrect",A16&lt;&gt;" "),MAIN!$C$6,D17),"")</f>
        <v/>
      </c>
      <c r="E17" s="167">
        <f ca="1">IF($AC$2="NO",IF(AND(AO17="MinCorrect",A17&lt;&gt;" "),MAIN!$D$5,E17),"")</f>
        <v>3.75</v>
      </c>
      <c r="F17" s="167">
        <f ca="1">IF($AC$2="NO",IF(AND(AO17="MinCorrect",A17&lt;&gt;" "),MAIN!$E$5,F17),"")</f>
        <v>840975</v>
      </c>
      <c r="G17" s="167">
        <f ca="1">IF($AC$2="NO",IF(AND(AO17="MinCorrect",A17&lt;&gt;" "),MAIN!$F$5,G17),"")</f>
        <v>277715</v>
      </c>
      <c r="H17" s="819" t="str">
        <f ca="1">IF($AC$2="NO",IF(AND(AO17="MinCorrect",A17&lt;&gt;" "),MAIN!$E$7,H17),"")</f>
        <v>BUY</v>
      </c>
      <c r="I17" s="167">
        <f ca="1">IF($AC$2="NO",IF(AND(AO17="MinCorrect",A17&lt;&gt;" "),MAIN!$H$5,I17),"")</f>
        <v>0</v>
      </c>
      <c r="J17" s="819">
        <f ca="1">IF($AC$2="NO",IF(AND(AO17="MinCorrect",A17&lt;&gt;" "),MAIN!$L$5,J17),"")</f>
        <v>12000</v>
      </c>
      <c r="K17" s="167">
        <f ca="1">IF($AC$2="NO",IF(AND(AO17="MinCorrect",A17&lt;&gt;" "),MAIN!$M$5,K17),"")</f>
        <v>3.75</v>
      </c>
      <c r="L17" s="819">
        <f ca="1">IF($AC$2="NO",IF(AND(AO17="MinCorrect",A17&lt;&gt;" "),MAIN!$N$5,L17),"")</f>
        <v>6183450</v>
      </c>
      <c r="M17" s="816">
        <f ca="1">IF($AC$2="NO",IF(AND(AO17="MinCorrect",A17&lt;&gt;" "),MAIN!$B$2,M17),"")</f>
        <v>11921.2</v>
      </c>
      <c r="N17" s="816">
        <f ca="1">IF($AC$2="NO",IF(AND(AO17="MinCorrect",A17&lt;&gt;" "),MAIN!$S$2,N17),"")</f>
        <v>11900</v>
      </c>
      <c r="O17" s="527">
        <f ca="1">IF($AC$2="NO",IF(AND(AO17="MinCorrect",A17&lt;&gt;" "),MAIN!$M$27,O17),"")</f>
        <v>4.1749999999999998</v>
      </c>
      <c r="P17" s="816" t="str">
        <f ca="1">IF($AC$2="NO",IF(AND(AO17="MinCorrect",A17&lt;&gt;" "),MAIN!$F$10,P17),"")</f>
        <v/>
      </c>
      <c r="Q17" s="816" t="str">
        <f ca="1">IF($AC$2="NO",IF(AND(AO17="MinCorrect",A17&lt;&gt;" "),MAIN!$D$10,Q17),"")</f>
        <v/>
      </c>
      <c r="R17" s="816" t="str">
        <f ca="1">IF($AC$2="NO",IF(AND(AO17="MinCorrect",A17&lt;&gt;" "),MAIN!$E$10,R17),"")</f>
        <v/>
      </c>
      <c r="S17" s="88" t="e">
        <f ca="1">IF($AC$2="NO",IF(AND(AO17="MinCorrect",A17&lt;&gt;" "),[3]MAIN!#REF!,S17),"")</f>
        <v>#REF!</v>
      </c>
      <c r="T17" s="407" t="e">
        <f ca="1">IF($AC$2="NO",IF(AND(AO17="MinCorrect",A17&lt;&gt;" "),MAIN!#REF!,T17),"")</f>
        <v>#REF!</v>
      </c>
      <c r="U17" s="407" t="e">
        <f ca="1">IF($AC$2="NO",IF(AND(AO17="MinCorrect",A17&lt;&gt;" "),MAIN!#REF!,U17),"")</f>
        <v>#REF!</v>
      </c>
      <c r="V17" s="818" t="e">
        <f ca="1">IF($AC$2="NO",IF(AND(AO17="MinCorrect",A17&lt;&gt;" "),MAIN!#REF!,V17),"")</f>
        <v>#REF!</v>
      </c>
      <c r="W17" s="434"/>
      <c r="X17" s="434"/>
      <c r="Y17" s="434"/>
      <c r="AM17" s="275">
        <v>0.46875</v>
      </c>
      <c r="AN17" s="406"/>
      <c r="AO17" s="406" t="str">
        <f ca="1">IF(AND(HOUR(AM17)=(HOUR($AN$3)),(HOUR(AM18)=(HOUR($AN$3)))),IF(AND(MINUTE($AN$3)-MINUTE(AM17)&gt;=0,(MINUTE(AM18)-MINUTE($AN$3)&gt;0)),"Mincorrect","MinFalse"),"Hour False")</f>
        <v>Hour False</v>
      </c>
    </row>
    <row r="18" spans="1:41" ht="14.5" customHeight="1" thickBot="1" x14ac:dyDescent="0.4">
      <c r="A18" s="822"/>
      <c r="B18" s="824"/>
      <c r="C18" s="90" t="str">
        <f ca="1">IF($AC$2="NO",IF(AND(AO17="MinCorrect",A17&lt;&gt;" "),MAIN!$A$6,C18),"")</f>
        <v>PE</v>
      </c>
      <c r="D18" s="168">
        <f ca="1">IF($AC$2="NO",IF(AND(AO17="MinCorrect",A17&lt;&gt;" "),MAIN!$C$6,D18),"")</f>
        <v>11800</v>
      </c>
      <c r="E18" s="168" t="str">
        <f ca="1">IF($AC$2="NO",IF(AND(AO18="MinCorrect",A18&lt;&gt;" "),MAIN!$D$5,E18),"")</f>
        <v/>
      </c>
      <c r="F18" s="168">
        <f ca="1">IF($AC$2="NO",IF(AND(AO17="MinCorrect",A17&lt;&gt;" "),MAIN!$E$6,F18),"")</f>
        <v>2585250</v>
      </c>
      <c r="G18" s="168" t="str">
        <f ca="1">IF($AC$2="NO",IF(AND(AO18="MinCorrect",A18&lt;&gt;" "),MAIN!$F$5,G18),"")</f>
        <v/>
      </c>
      <c r="H18" s="825"/>
      <c r="I18" s="168" t="str">
        <f ca="1">IF($AC$2="NO",IF(AND(AO18="MinCorrect",A18&lt;&gt;" "),MAIN!$H$6,I18),"")</f>
        <v/>
      </c>
      <c r="J18" s="820" t="str">
        <f ca="1">IF($AC$2="NO",IF(AND(AO18="MinCorrect",A18&lt;&gt;" "),MAIN!$L$5,J18),"")</f>
        <v/>
      </c>
      <c r="K18" s="168" t="str">
        <f ca="1">IF($AC$2="NO",IF(AND(AO18="MinCorrect",A18&lt;&gt;" "),MAIN!$M$5,K18),"")</f>
        <v/>
      </c>
      <c r="L18" s="820" t="str">
        <f ca="1">IF($AC$2="NO",IF(AND(AO18="MinCorrect",A18&lt;&gt;" "),MAIN!$N$5,L18),"")</f>
        <v/>
      </c>
      <c r="M18" s="817"/>
      <c r="N18" s="817"/>
      <c r="O18" s="435" t="str">
        <f ca="1">IF($AC$2="NO",IF(AND(AO18="MinCorrect",A17&lt;&gt;" "),MAIN!$J$49,O18),"")</f>
        <v/>
      </c>
      <c r="P18" s="817"/>
      <c r="Q18" s="817"/>
      <c r="R18" s="817"/>
      <c r="S18" s="92" t="e">
        <f ca="1">IF($AC$2="NO",IF(AND(AO17="MinCorrect",A17&lt;&gt;" "),[3]MAIN!#REF!,S18),"")</f>
        <v>#REF!</v>
      </c>
      <c r="T18" s="407" t="str">
        <f ca="1">IF($AC$2="NO",IF(AND(AO18="MinCorrect",A18&lt;&gt;" "),MAIN!#REF!,T18),"")</f>
        <v/>
      </c>
      <c r="U18" s="407" t="str">
        <f ca="1">IF($AC$2="NO",IF(AND(AO18="MinCorrect",A18&lt;&gt;" "),MAIN!#REF!,U18),"")</f>
        <v/>
      </c>
      <c r="V18" s="818"/>
      <c r="W18" s="434"/>
      <c r="X18" s="434"/>
      <c r="Y18" s="434"/>
      <c r="AM18" s="275">
        <v>0.47152777777777777</v>
      </c>
      <c r="AN18" s="406"/>
      <c r="AO18" s="406"/>
    </row>
    <row r="19" spans="1:41" ht="14.5" customHeight="1" thickBot="1" x14ac:dyDescent="0.4">
      <c r="A19" s="821" t="str">
        <f ca="1">IF($AC$2="NO",IF(AO19="MinCorrect",Sheet51!$F$1,IF(A19&lt;=TIMEVALUE("00:00:00"),"",A19)),"")</f>
        <v>11:31:53</v>
      </c>
      <c r="B19" s="823" t="str">
        <f ca="1">IF($AC$2="NO",IF(AND(AO19="MinCorrect",A19&lt;&gt;" "),MAIN!$I$12,B19),"")</f>
        <v>NIFTY</v>
      </c>
      <c r="C19" s="167" t="str">
        <f ca="1">IF($AC$2="NO",IF(AND(AO18="MinCorrect",A18&lt;&gt;" "),MAIN!$A$6,C19),"")</f>
        <v/>
      </c>
      <c r="D19" s="167" t="str">
        <f ca="1">IF($AC$2="NO",IF(AND(AO18="MinCorrect",A18&lt;&gt;" "),MAIN!$C$6,D19),"")</f>
        <v/>
      </c>
      <c r="E19" s="167">
        <f ca="1">IF($AC$2="NO",IF(AND(AO19="MinCorrect",A19&lt;&gt;" "),MAIN!$D$5,E19),"")</f>
        <v>2.9</v>
      </c>
      <c r="F19" s="167">
        <f ca="1">IF($AC$2="NO",IF(AND(AO19="MinCorrect",A19&lt;&gt;" "),MAIN!$E$5,F19),"")</f>
        <v>933075</v>
      </c>
      <c r="G19" s="167">
        <f ca="1">IF($AC$2="NO",IF(AND(AO19="MinCorrect",A19&lt;&gt;" "),MAIN!$F$5,G19),"")</f>
        <v>295788</v>
      </c>
      <c r="H19" s="819" t="str">
        <f ca="1">IF($AC$2="NO",IF(AND(AO19="MinCorrect",A19&lt;&gt;" "),MAIN!$E$7,H19),"")</f>
        <v>BUY</v>
      </c>
      <c r="I19" s="167">
        <f ca="1">IF($AC$2="NO",IF(AND(AO19="MinCorrect",A19&lt;&gt;" "),MAIN!$H$5,I19),"")</f>
        <v>0</v>
      </c>
      <c r="J19" s="819">
        <f ca="1">IF($AC$2="NO",IF(AND(AO19="MinCorrect",A19&lt;&gt;" "),MAIN!$L$5,J19),"")</f>
        <v>12000</v>
      </c>
      <c r="K19" s="167">
        <f ca="1">IF($AC$2="NO",IF(AND(AO19="MinCorrect",A19&lt;&gt;" "),MAIN!$M$5,K19),"")</f>
        <v>2.9</v>
      </c>
      <c r="L19" s="819">
        <f ca="1">IF($AC$2="NO",IF(AND(AO19="MinCorrect",A19&lt;&gt;" "),MAIN!$N$5,L19),"")</f>
        <v>6275550</v>
      </c>
      <c r="M19" s="816">
        <f ca="1">IF($AC$2="NO",IF(AND(AO19="MinCorrect",A19&lt;&gt;" "),MAIN!$B$2,M19),"")</f>
        <v>11914.15</v>
      </c>
      <c r="N19" s="816">
        <f ca="1">IF($AC$2="NO",IF(AND(AO19="MinCorrect",A19&lt;&gt;" "),MAIN!$S$2,N19),"")</f>
        <v>11900</v>
      </c>
      <c r="O19" s="527">
        <f ca="1">IF($AC$2="NO",IF(AND(AO19="MinCorrect",A19&lt;&gt;" "),MAIN!$M$27,O19),"")</f>
        <v>4.7833333333333332</v>
      </c>
      <c r="P19" s="816" t="str">
        <f ca="1">IF($AC$2="NO",IF(AND(AO19="MinCorrect",A19&lt;&gt;" "),MAIN!$F$10,P19),"")</f>
        <v/>
      </c>
      <c r="Q19" s="816" t="str">
        <f ca="1">IF($AC$2="NO",IF(AND(AO19="MinCorrect",A19&lt;&gt;" "),MAIN!$D$10,Q19),"")</f>
        <v/>
      </c>
      <c r="R19" s="816" t="str">
        <f ca="1">IF($AC$2="NO",IF(AND(AO19="MinCorrect",A19&lt;&gt;" "),MAIN!$E$10,R19),"")</f>
        <v/>
      </c>
      <c r="S19" s="88" t="e">
        <f ca="1">IF($AC$2="NO",IF(AND(AO19="MinCorrect",A19&lt;&gt;" "),[3]MAIN!#REF!,S19),"")</f>
        <v>#REF!</v>
      </c>
      <c r="T19" s="407" t="e">
        <f ca="1">IF($AC$2="NO",IF(AND(AO19="MinCorrect",A19&lt;&gt;" "),MAIN!#REF!,T19),"")</f>
        <v>#REF!</v>
      </c>
      <c r="U19" s="407" t="e">
        <f ca="1">IF($AC$2="NO",IF(AND(AO19="MinCorrect",A19&lt;&gt;" "),MAIN!#REF!,U19),"")</f>
        <v>#REF!</v>
      </c>
      <c r="V19" s="818" t="e">
        <f ca="1">IF($AC$2="NO",IF(AND(AO19="MinCorrect",A19&lt;&gt;" "),MAIN!#REF!,V19),"")</f>
        <v>#REF!</v>
      </c>
      <c r="W19" s="434"/>
      <c r="X19" s="434"/>
      <c r="Y19" s="434"/>
      <c r="AM19" s="275">
        <v>0.47916666666666669</v>
      </c>
      <c r="AN19" s="406"/>
      <c r="AO19" s="406" t="str">
        <f ca="1">IF(AND(HOUR(AM19)=(HOUR($AN$3)),(HOUR(AM20)=(HOUR($AN$3)))),IF(AND(MINUTE($AN$3)-MINUTE(AM19)&gt;=0,(MINUTE(AM20)-MINUTE($AN$3)&gt;0)),"Mincorrect","MinFalse"),"Hour False")</f>
        <v>Hour False</v>
      </c>
    </row>
    <row r="20" spans="1:41" ht="14.5" customHeight="1" thickBot="1" x14ac:dyDescent="0.4">
      <c r="A20" s="822"/>
      <c r="B20" s="824"/>
      <c r="C20" s="90" t="str">
        <f ca="1">IF($AC$2="NO",IF(AND(AO19="MinCorrect",A19&lt;&gt;" "),MAIN!$A$6,C20),"")</f>
        <v>PE</v>
      </c>
      <c r="D20" s="168">
        <f ca="1">IF($AC$2="NO",IF(AND(AO19="MinCorrect",A19&lt;&gt;" "),MAIN!$C$6,D20),"")</f>
        <v>11800</v>
      </c>
      <c r="E20" s="168" t="str">
        <f ca="1">IF($AC$2="NO",IF(AND(AO20="MinCorrect",A20&lt;&gt;" "),MAIN!$D$5,E20),"")</f>
        <v/>
      </c>
      <c r="F20" s="168">
        <f ca="1">IF($AC$2="NO",IF(AND(AO19="MinCorrect",A19&lt;&gt;" "),MAIN!$E$6,F20),"")</f>
        <v>2713800</v>
      </c>
      <c r="G20" s="168" t="str">
        <f ca="1">IF($AC$2="NO",IF(AND(AO20="MinCorrect",A20&lt;&gt;" "),MAIN!$F$5,G20),"")</f>
        <v/>
      </c>
      <c r="H20" s="825"/>
      <c r="I20" s="168" t="str">
        <f ca="1">IF($AC$2="NO",IF(AND(AO20="MinCorrect",A20&lt;&gt;" "),MAIN!$H$6,I20),"")</f>
        <v/>
      </c>
      <c r="J20" s="820" t="str">
        <f ca="1">IF($AC$2="NO",IF(AND(AO20="MinCorrect",A20&lt;&gt;" "),MAIN!$L$5,J20),"")</f>
        <v/>
      </c>
      <c r="K20" s="168" t="str">
        <f ca="1">IF($AC$2="NO",IF(AND(AO20="MinCorrect",A20&lt;&gt;" "),MAIN!$M$5,K20),"")</f>
        <v/>
      </c>
      <c r="L20" s="820" t="str">
        <f ca="1">IF($AC$2="NO",IF(AND(AO20="MinCorrect",A20&lt;&gt;" "),MAIN!$N$5,L20),"")</f>
        <v/>
      </c>
      <c r="M20" s="817"/>
      <c r="N20" s="817"/>
      <c r="O20" s="435" t="str">
        <f ca="1">IF($AC$2="NO",IF(AND(AO20="MinCorrect",A19&lt;&gt;" "),MAIN!$J$49,O20),"")</f>
        <v/>
      </c>
      <c r="P20" s="817"/>
      <c r="Q20" s="817"/>
      <c r="R20" s="817"/>
      <c r="S20" s="92" t="e">
        <f ca="1">IF($AC$2="NO",IF(AND(AO19="MinCorrect",A19&lt;&gt;" "),[3]MAIN!#REF!,S20),"")</f>
        <v>#REF!</v>
      </c>
      <c r="T20" s="407" t="str">
        <f ca="1">IF($AC$2="NO",IF(AND(AO20="MinCorrect",A20&lt;&gt;" "),MAIN!#REF!,T20),"")</f>
        <v/>
      </c>
      <c r="U20" s="407" t="str">
        <f ca="1">IF($AC$2="NO",IF(AND(AO20="MinCorrect",A20&lt;&gt;" "),MAIN!#REF!,U20),"")</f>
        <v/>
      </c>
      <c r="V20" s="818"/>
      <c r="W20" s="434"/>
      <c r="X20" s="434"/>
      <c r="Y20" s="434"/>
      <c r="AM20" s="275">
        <v>0.48194444444444445</v>
      </c>
      <c r="AN20" s="406"/>
      <c r="AO20" s="406"/>
    </row>
    <row r="21" spans="1:41" ht="14.5" customHeight="1" thickBot="1" x14ac:dyDescent="0.4">
      <c r="A21" s="821" t="str">
        <f ca="1">IF($AC$2="NO",IF(AO21="MinCorrect",Sheet51!$F$1,IF(A21&lt;=TIMEVALUE("00:00:00"),"",A21)),"")</f>
        <v>11:45:53</v>
      </c>
      <c r="B21" s="823" t="str">
        <f ca="1">IF($AC$2="NO",IF(AND(AO21="MinCorrect",A21&lt;&gt;" "),MAIN!$I$12,B21),"")</f>
        <v>NIFTY</v>
      </c>
      <c r="C21" s="167" t="str">
        <f ca="1">IF($AC$2="NO",IF(AND(AO20="MinCorrect",A20&lt;&gt;" "),MAIN!$A$6,C21),"")</f>
        <v/>
      </c>
      <c r="D21" s="167" t="str">
        <f ca="1">IF($AC$2="NO",IF(AND(AO20="MinCorrect",A20&lt;&gt;" "),MAIN!$C$6,D21),"")</f>
        <v/>
      </c>
      <c r="E21" s="167">
        <f ca="1">IF($AC$2="NO",IF(AND(AO21="MinCorrect",A21&lt;&gt;" "),MAIN!$D$5,E21),"")</f>
        <v>2.5499999999999998</v>
      </c>
      <c r="F21" s="167">
        <f ca="1">IF($AC$2="NO",IF(AND(AO21="MinCorrect",A21&lt;&gt;" "),MAIN!$E$5,F21),"")</f>
        <v>1031925</v>
      </c>
      <c r="G21" s="167">
        <f ca="1">IF($AC$2="NO",IF(AND(AO21="MinCorrect",A21&lt;&gt;" "),MAIN!$F$5,G21),"")</f>
        <v>308393</v>
      </c>
      <c r="H21" s="819" t="str">
        <f ca="1">IF($AC$2="NO",IF(AND(AO21="MinCorrect",A21&lt;&gt;" "),MAIN!$E$7,H21),"")</f>
        <v>BUY</v>
      </c>
      <c r="I21" s="167">
        <f ca="1">IF($AC$2="NO",IF(AND(AO21="MinCorrect",A21&lt;&gt;" "),MAIN!$H$5,I21),"")</f>
        <v>0</v>
      </c>
      <c r="J21" s="819">
        <f ca="1">IF($AC$2="NO",IF(AND(AO21="MinCorrect",A21&lt;&gt;" "),MAIN!$L$5,J21),"")</f>
        <v>12000</v>
      </c>
      <c r="K21" s="167">
        <f ca="1">IF($AC$2="NO",IF(AND(AO21="MinCorrect",A21&lt;&gt;" "),MAIN!$M$5,K21),"")</f>
        <v>2.5499999999999998</v>
      </c>
      <c r="L21" s="819">
        <f ca="1">IF($AC$2="NO",IF(AND(AO21="MinCorrect",A21&lt;&gt;" "),MAIN!$N$5,L21),"")</f>
        <v>6374400</v>
      </c>
      <c r="M21" s="816">
        <f ca="1">IF($AC$2="NO",IF(AND(AO21="MinCorrect",A21&lt;&gt;" "),MAIN!$B$2,M21),"")</f>
        <v>11908.55</v>
      </c>
      <c r="N21" s="816">
        <f ca="1">IF($AC$2="NO",IF(AND(AO21="MinCorrect",A21&lt;&gt;" "),MAIN!$S$2,N21),"")</f>
        <v>11900</v>
      </c>
      <c r="O21" s="527">
        <f ca="1">IF($AC$2="NO",IF(AND(AO21="MinCorrect",A21&lt;&gt;" "),MAIN!$M$27,O21),"")</f>
        <v>5.3</v>
      </c>
      <c r="P21" s="816" t="str">
        <f ca="1">IF($AC$2="NO",IF(AND(AO21="MinCorrect",A21&lt;&gt;" "),MAIN!$F$10,P21),"")</f>
        <v/>
      </c>
      <c r="Q21" s="816" t="str">
        <f ca="1">IF($AC$2="NO",IF(AND(AO21="MinCorrect",A21&lt;&gt;" "),MAIN!$D$10,Q21),"")</f>
        <v/>
      </c>
      <c r="R21" s="816" t="str">
        <f ca="1">IF($AC$2="NO",IF(AND(AO21="MinCorrect",A21&lt;&gt;" "),MAIN!$E$10,R21),"")</f>
        <v/>
      </c>
      <c r="S21" s="88" t="e">
        <f ca="1">IF($AC$2="NO",IF(AND(AO21="MinCorrect",A21&lt;&gt;" "),[3]MAIN!#REF!,S21),"")</f>
        <v>#REF!</v>
      </c>
      <c r="T21" s="407" t="e">
        <f ca="1">IF($AC$2="NO",IF(AND(AO21="MinCorrect",A21&lt;&gt;" "),MAIN!#REF!,T21),"")</f>
        <v>#REF!</v>
      </c>
      <c r="U21" s="407" t="e">
        <f ca="1">IF($AC$2="NO",IF(AND(AO21="MinCorrect",A21&lt;&gt;" "),MAIN!#REF!,U21),"")</f>
        <v>#REF!</v>
      </c>
      <c r="V21" s="818" t="e">
        <f ca="1">IF($AC$2="NO",IF(AND(AO21="MinCorrect",A21&lt;&gt;" "),MAIN!#REF!,V21),"")</f>
        <v>#REF!</v>
      </c>
      <c r="W21" s="434"/>
      <c r="X21" s="434"/>
      <c r="Y21" s="434"/>
      <c r="AM21" s="275">
        <v>0.48958333333333331</v>
      </c>
      <c r="AN21" s="406"/>
      <c r="AO21" s="406" t="str">
        <f ca="1">IF(AND(HOUR(AM21)=(HOUR($AN$3)),(HOUR(AM22)=(HOUR($AN$3)))),IF(AND(MINUTE($AN$3)-MINUTE(AM21)&gt;=0,(MINUTE(AM22)-MINUTE($AN$3)&gt;0)),"Mincorrect","MinFalse"),"Hour False")</f>
        <v>Hour False</v>
      </c>
    </row>
    <row r="22" spans="1:41" ht="14.5" customHeight="1" thickBot="1" x14ac:dyDescent="0.4">
      <c r="A22" s="822"/>
      <c r="B22" s="824"/>
      <c r="C22" s="90" t="str">
        <f ca="1">IF($AC$2="NO",IF(AND(AO21="MinCorrect",A21&lt;&gt;" "),MAIN!$A$6,C22),"")</f>
        <v>PE</v>
      </c>
      <c r="D22" s="168">
        <f ca="1">IF($AC$2="NO",IF(AND(AO21="MinCorrect",A21&lt;&gt;" "),MAIN!$C$6,D22),"")</f>
        <v>11800</v>
      </c>
      <c r="E22" s="168" t="str">
        <f ca="1">IF($AC$2="NO",IF(AND(AO22="MinCorrect",A22&lt;&gt;" "),MAIN!$D$5,E22),"")</f>
        <v/>
      </c>
      <c r="F22" s="168">
        <f ca="1">IF($AC$2="NO",IF(AND(AO21="MinCorrect",A21&lt;&gt;" "),MAIN!$E$6,F22),"")</f>
        <v>2690625</v>
      </c>
      <c r="G22" s="168" t="str">
        <f ca="1">IF($AC$2="NO",IF(AND(AO22="MinCorrect",A22&lt;&gt;" "),MAIN!$F$5,G22),"")</f>
        <v/>
      </c>
      <c r="H22" s="825"/>
      <c r="I22" s="168" t="str">
        <f ca="1">IF($AC$2="NO",IF(AND(AO22="MinCorrect",A22&lt;&gt;" "),MAIN!$H$6,I22),"")</f>
        <v/>
      </c>
      <c r="J22" s="820" t="str">
        <f ca="1">IF($AC$2="NO",IF(AND(AO22="MinCorrect",A22&lt;&gt;" "),MAIN!$L$5,J22),"")</f>
        <v/>
      </c>
      <c r="K22" s="168" t="str">
        <f ca="1">IF($AC$2="NO",IF(AND(AO22="MinCorrect",A22&lt;&gt;" "),MAIN!$M$5,K22),"")</f>
        <v/>
      </c>
      <c r="L22" s="820" t="str">
        <f ca="1">IF($AC$2="NO",IF(AND(AO22="MinCorrect",A22&lt;&gt;" "),MAIN!$N$5,L22),"")</f>
        <v/>
      </c>
      <c r="M22" s="817"/>
      <c r="N22" s="817"/>
      <c r="O22" s="435" t="str">
        <f ca="1">IF($AC$2="NO",IF(AND(AO22="MinCorrect",A21&lt;&gt;" "),MAIN!$J$49,O22),"")</f>
        <v/>
      </c>
      <c r="P22" s="817"/>
      <c r="Q22" s="817"/>
      <c r="R22" s="817"/>
      <c r="S22" s="92" t="e">
        <f ca="1">IF($AC$2="NO",IF(AND(AO21="MinCorrect",A21&lt;&gt;" "),[3]MAIN!#REF!,S22),"")</f>
        <v>#REF!</v>
      </c>
      <c r="T22" s="407" t="str">
        <f ca="1">IF($AC$2="NO",IF(AND(AO22="MinCorrect",A22&lt;&gt;" "),MAIN!#REF!,T22),"")</f>
        <v/>
      </c>
      <c r="U22" s="407" t="str">
        <f ca="1">IF($AC$2="NO",IF(AND(AO22="MinCorrect",A22&lt;&gt;" "),MAIN!#REF!,U22),"")</f>
        <v/>
      </c>
      <c r="V22" s="818"/>
      <c r="W22" s="434"/>
      <c r="X22" s="434"/>
      <c r="Y22" s="434"/>
      <c r="AM22" s="275">
        <v>0.49236111111111108</v>
      </c>
      <c r="AN22" s="406"/>
      <c r="AO22" s="406"/>
    </row>
    <row r="23" spans="1:41" ht="14.5" customHeight="1" thickBot="1" x14ac:dyDescent="0.4">
      <c r="A23" s="821" t="str">
        <f ca="1">IF($AC$2="NO",IF(AO23="MinCorrect",Sheet51!$F$1,IF(A23&lt;=TIMEVALUE("00:00:00"),"",A23)),"")</f>
        <v>12:00:54</v>
      </c>
      <c r="B23" s="823" t="str">
        <f ca="1">IF($AC$2="NO",IF(AND(AO23="MinCorrect",A23&lt;&gt;" "),MAIN!$I$12,B23),"")</f>
        <v>NIFTY</v>
      </c>
      <c r="C23" s="167" t="str">
        <f ca="1">IF($AC$2="NO",IF(AND(AO22="MinCorrect",A22&lt;&gt;" "),MAIN!$A$6,C23),"")</f>
        <v/>
      </c>
      <c r="D23" s="167" t="str">
        <f ca="1">IF($AC$2="NO",IF(AND(AO22="MinCorrect",A22&lt;&gt;" "),MAIN!$C$6,D23),"")</f>
        <v/>
      </c>
      <c r="E23" s="167">
        <f ca="1">IF($AC$2="NO",IF(AND(AO23="MinCorrect",A23&lt;&gt;" "),MAIN!$D$5,E23),"")</f>
        <v>3.05</v>
      </c>
      <c r="F23" s="167">
        <f ca="1">IF($AC$2="NO",IF(AND(AO23="MinCorrect",A23&lt;&gt;" "),MAIN!$E$5,F23),"")</f>
        <v>1102200</v>
      </c>
      <c r="G23" s="167">
        <f ca="1">IF($AC$2="NO",IF(AND(AO23="MinCorrect",A23&lt;&gt;" "),MAIN!$F$5,G23),"")</f>
        <v>327450</v>
      </c>
      <c r="H23" s="819" t="str">
        <f ca="1">IF($AC$2="NO",IF(AND(AO23="MinCorrect",A23&lt;&gt;" "),MAIN!$E$7,H23),"")</f>
        <v>BUY</v>
      </c>
      <c r="I23" s="167">
        <f ca="1">IF($AC$2="NO",IF(AND(AO23="MinCorrect",A23&lt;&gt;" "),MAIN!$H$5,I23),"")</f>
        <v>0</v>
      </c>
      <c r="J23" s="819">
        <f ca="1">IF($AC$2="NO",IF(AND(AO23="MinCorrect",A23&lt;&gt;" "),MAIN!$L$5,J23),"")</f>
        <v>12000</v>
      </c>
      <c r="K23" s="167">
        <f ca="1">IF($AC$2="NO",IF(AND(AO23="MinCorrect",A23&lt;&gt;" "),MAIN!$M$5,K23),"")</f>
        <v>3.05</v>
      </c>
      <c r="L23" s="819">
        <f ca="1">IF($AC$2="NO",IF(AND(AO23="MinCorrect",A23&lt;&gt;" "),MAIN!$N$5,L23),"")</f>
        <v>6444675</v>
      </c>
      <c r="M23" s="816">
        <f ca="1">IF($AC$2="NO",IF(AND(AO23="MinCorrect",A23&lt;&gt;" "),MAIN!$B$2,M23),"")</f>
        <v>11916.2</v>
      </c>
      <c r="N23" s="816">
        <f ca="1">IF($AC$2="NO",IF(AND(AO23="MinCorrect",A23&lt;&gt;" "),MAIN!$S$2,N23),"")</f>
        <v>11900</v>
      </c>
      <c r="O23" s="527">
        <f ca="1">IF($AC$2="NO",IF(AND(AO23="MinCorrect",A23&lt;&gt;" "),MAIN!$M$27,O23),"")</f>
        <v>4.0750000000000002</v>
      </c>
      <c r="P23" s="816" t="str">
        <f ca="1">IF($AC$2="NO",IF(AND(AO23="MinCorrect",A23&lt;&gt;" "),MAIN!$F$10,P23),"")</f>
        <v/>
      </c>
      <c r="Q23" s="816" t="str">
        <f ca="1">IF($AC$2="NO",IF(AND(AO23="MinCorrect",A23&lt;&gt;" "),MAIN!$D$10,Q23),"")</f>
        <v/>
      </c>
      <c r="R23" s="816" t="str">
        <f ca="1">IF($AC$2="NO",IF(AND(AO23="MinCorrect",A23&lt;&gt;" "),MAIN!$E$10,R23),"")</f>
        <v/>
      </c>
      <c r="S23" s="88" t="e">
        <f ca="1">IF($AC$2="NO",IF(AND(AO23="MinCorrect",A23&lt;&gt;" "),[3]MAIN!#REF!,S23),"")</f>
        <v>#REF!</v>
      </c>
      <c r="T23" s="407" t="e">
        <f ca="1">IF($AC$2="NO",IF(AND(AO23="MinCorrect",A23&lt;&gt;" "),MAIN!#REF!,T23),"")</f>
        <v>#REF!</v>
      </c>
      <c r="U23" s="407" t="e">
        <f ca="1">IF($AC$2="NO",IF(AND(AO23="MinCorrect",A23&lt;&gt;" "),MAIN!#REF!,U23),"")</f>
        <v>#REF!</v>
      </c>
      <c r="V23" s="818" t="e">
        <f ca="1">IF($AC$2="NO",IF(AND(AO23="MinCorrect",A23&lt;&gt;" "),MAIN!#REF!,V23),"")</f>
        <v>#REF!</v>
      </c>
      <c r="W23" s="434"/>
      <c r="X23" s="434"/>
      <c r="Y23" s="434"/>
      <c r="AM23" s="275">
        <v>0.5</v>
      </c>
      <c r="AN23" s="406"/>
      <c r="AO23" s="406" t="str">
        <f ca="1">IF(AND(HOUR(AM23)=(HOUR($AN$3)),(HOUR(AM24)=(HOUR($AN$3)))),IF(AND(MINUTE($AN$3)-MINUTE(AM23)&gt;=0,(MINUTE(AM24)-MINUTE($AN$3)&gt;0)),"Mincorrect","MinFalse"),"Hour False")</f>
        <v>Hour False</v>
      </c>
    </row>
    <row r="24" spans="1:41" ht="14.5" customHeight="1" thickBot="1" x14ac:dyDescent="0.4">
      <c r="A24" s="822"/>
      <c r="B24" s="824"/>
      <c r="C24" s="90" t="str">
        <f ca="1">IF($AC$2="NO",IF(AND(AO23="MinCorrect",A23&lt;&gt;" "),MAIN!$A$6,C24),"")</f>
        <v>PE</v>
      </c>
      <c r="D24" s="168">
        <f ca="1">IF($AC$2="NO",IF(AND(AO23="MinCorrect",A23&lt;&gt;" "),MAIN!$C$6,D24),"")</f>
        <v>11800</v>
      </c>
      <c r="E24" s="168" t="str">
        <f ca="1">IF($AC$2="NO",IF(AND(AO24="MinCorrect",A24&lt;&gt;" "),MAIN!$D$5,E24),"")</f>
        <v/>
      </c>
      <c r="F24" s="168">
        <f ca="1">IF($AC$2="NO",IF(AND(AO23="MinCorrect",A23&lt;&gt;" "),MAIN!$E$6,F24),"")</f>
        <v>2607750</v>
      </c>
      <c r="G24" s="168" t="str">
        <f ca="1">IF($AC$2="NO",IF(AND(AO24="MinCorrect",A24&lt;&gt;" "),MAIN!$F$5,G24),"")</f>
        <v/>
      </c>
      <c r="H24" s="825"/>
      <c r="I24" s="168" t="str">
        <f ca="1">IF($AC$2="NO",IF(AND(AO24="MinCorrect",A24&lt;&gt;" "),MAIN!$H$6,I24),"")</f>
        <v/>
      </c>
      <c r="J24" s="820" t="str">
        <f ca="1">IF($AC$2="NO",IF(AND(AO24="MinCorrect",A24&lt;&gt;" "),MAIN!$L$5,J24),"")</f>
        <v/>
      </c>
      <c r="K24" s="168" t="str">
        <f ca="1">IF($AC$2="NO",IF(AND(AO24="MinCorrect",A24&lt;&gt;" "),MAIN!$M$5,K24),"")</f>
        <v/>
      </c>
      <c r="L24" s="820" t="str">
        <f ca="1">IF($AC$2="NO",IF(AND(AO24="MinCorrect",A24&lt;&gt;" "),MAIN!$N$5,L24),"")</f>
        <v/>
      </c>
      <c r="M24" s="817"/>
      <c r="N24" s="817"/>
      <c r="O24" s="435" t="str">
        <f ca="1">IF($AC$2="NO",IF(AND(AO24="MinCorrect",A23&lt;&gt;" "),MAIN!$J$49,O24),"")</f>
        <v/>
      </c>
      <c r="P24" s="817"/>
      <c r="Q24" s="817"/>
      <c r="R24" s="817"/>
      <c r="S24" s="92" t="e">
        <f ca="1">IF($AC$2="NO",IF(AND(AO23="MinCorrect",A23&lt;&gt;" "),[3]MAIN!#REF!,S24),"")</f>
        <v>#REF!</v>
      </c>
      <c r="T24" s="407" t="str">
        <f ca="1">IF($AC$2="NO",IF(AND(AO24="MinCorrect",A24&lt;&gt;" "),MAIN!#REF!,T24),"")</f>
        <v/>
      </c>
      <c r="U24" s="407" t="str">
        <f ca="1">IF($AC$2="NO",IF(AND(AO24="MinCorrect",A24&lt;&gt;" "),MAIN!#REF!,U24),"")</f>
        <v/>
      </c>
      <c r="V24" s="818"/>
      <c r="W24" s="434"/>
      <c r="X24" s="434"/>
      <c r="Y24" s="434"/>
      <c r="AM24" s="275">
        <v>0.50277777777777777</v>
      </c>
      <c r="AN24" s="406"/>
      <c r="AO24" s="406"/>
    </row>
    <row r="25" spans="1:41" ht="14.5" customHeight="1" thickBot="1" x14ac:dyDescent="0.4">
      <c r="A25" s="821" t="str">
        <f ca="1">IF($AC$2="NO",IF(AO25="MinCorrect",Sheet51!$F$1,IF(A25&lt;=TIMEVALUE("00:00:00"),"",A25)),"")</f>
        <v>12:16:24</v>
      </c>
      <c r="B25" s="823" t="str">
        <f ca="1">IF($AC$2="NO",IF(AND(AO25="MinCorrect",A25&lt;&gt;" "),MAIN!$I$12,B25),"")</f>
        <v>NIFTY</v>
      </c>
      <c r="C25" s="167" t="str">
        <f ca="1">IF($AC$2="NO",IF(AND(AO24="MinCorrect",A24&lt;&gt;" "),MAIN!$A$6,C25),"")</f>
        <v/>
      </c>
      <c r="D25" s="167" t="str">
        <f ca="1">IF($AC$2="NO",IF(AND(AO24="MinCorrect",A24&lt;&gt;" "),MAIN!$C$6,D25),"")</f>
        <v/>
      </c>
      <c r="E25" s="167">
        <f ca="1">IF($AC$2="NO",IF(AND(AO25="MinCorrect",A25&lt;&gt;" "),MAIN!$D$5,E25),"")</f>
        <v>16.7</v>
      </c>
      <c r="F25" s="167">
        <f ca="1">IF($AC$2="NO",IF(AND(AO25="MinCorrect",A25&lt;&gt;" "),MAIN!$E$5,F25),"")</f>
        <v>882375</v>
      </c>
      <c r="G25" s="167">
        <f ca="1">IF($AC$2="NO",IF(AND(AO25="MinCorrect",A25&lt;&gt;" "),MAIN!$F$5,G25),"")</f>
        <v>173386</v>
      </c>
      <c r="H25" s="819" t="str">
        <f ca="1">IF($AC$2="NO",IF(AND(AO25="MinCorrect",A25&lt;&gt;" "),MAIN!$E$7,H25),"")</f>
        <v>BUY</v>
      </c>
      <c r="I25" s="167">
        <f ca="1">IF($AC$2="NO",IF(AND(AO25="MinCorrect",A25&lt;&gt;" "),MAIN!$H$5,I25),"")</f>
        <v>19.52</v>
      </c>
      <c r="J25" s="819">
        <f ca="1">IF($AC$2="NO",IF(AND(AO25="MinCorrect",A25&lt;&gt;" "),MAIN!$L$5,J25),"")</f>
        <v>12000</v>
      </c>
      <c r="K25" s="167">
        <f ca="1">IF($AC$2="NO",IF(AND(AO25="MinCorrect",A25&lt;&gt;" "),MAIN!$M$5,K25),"")</f>
        <v>16.7</v>
      </c>
      <c r="L25" s="819">
        <f ca="1">IF($AC$2="NO",IF(AND(AO25="MinCorrect",A25&lt;&gt;" "),MAIN!$N$5,L25),"")</f>
        <v>4929525</v>
      </c>
      <c r="M25" s="816">
        <f ca="1">IF($AC$2="NO",IF(AND(AO25="MinCorrect",A25&lt;&gt;" "),MAIN!$B$2,M25),"")</f>
        <v>11908.55</v>
      </c>
      <c r="N25" s="816">
        <f ca="1">IF($AC$2="NO",IF(AND(AO25="MinCorrect",A25&lt;&gt;" "),MAIN!$S$2,N25),"")</f>
        <v>11900</v>
      </c>
      <c r="O25" s="435">
        <f ca="1">IF($AC$2="NO",IF(AND(AO25="MinCorrect",A25&lt;&gt;" "),MAIN!$M$27,O25),"")</f>
        <v>10.666666666666666</v>
      </c>
      <c r="P25" s="816" t="str">
        <f ca="1">IF($AC$2="NO",IF(AND(AO25="MinCorrect",A25&lt;&gt;" "),MAIN!$F$10,P25),"")</f>
        <v/>
      </c>
      <c r="Q25" s="816" t="str">
        <f ca="1">IF($AC$2="NO",IF(AND(AO25="MinCorrect",A25&lt;&gt;" "),MAIN!$D$10,Q25),"")</f>
        <v/>
      </c>
      <c r="R25" s="816" t="str">
        <f ca="1">IF($AC$2="NO",IF(AND(AO25="MinCorrect",A25&lt;&gt;" "),MAIN!$E$10,R25),"")</f>
        <v/>
      </c>
      <c r="S25" s="88" t="e">
        <f ca="1">IF($AC$2="NO",IF(AND(AO25="MinCorrect",A25&lt;&gt;" "),[3]MAIN!#REF!,S25),"")</f>
        <v>#REF!</v>
      </c>
      <c r="T25" s="407" t="e">
        <f ca="1">IF($AC$2="NO",IF(AND(AO25="MinCorrect",A25&lt;&gt;" "),MAIN!#REF!,T25),"")</f>
        <v>#REF!</v>
      </c>
      <c r="U25" s="407" t="e">
        <f ca="1">IF($AC$2="NO",IF(AND(AO25="MinCorrect",A25&lt;&gt;" "),MAIN!#REF!,U25),"")</f>
        <v>#REF!</v>
      </c>
      <c r="V25" s="818" t="e">
        <f ca="1">IF($AC$2="NO",IF(AND(AO25="MinCorrect",A25&lt;&gt;" "),MAIN!#REF!,V25),"")</f>
        <v>#REF!</v>
      </c>
      <c r="W25" s="434"/>
      <c r="X25" s="434"/>
      <c r="Y25" s="434"/>
      <c r="AM25" s="275">
        <v>0.51041666666666663</v>
      </c>
      <c r="AN25" s="406"/>
      <c r="AO25" s="406" t="str">
        <f ca="1">IF(AND(HOUR(AM25)=(HOUR($AN$3)),(HOUR(AM26)=(HOUR($AN$3)))),IF(AND(MINUTE($AN$3)-MINUTE(AM25)&gt;=0,(MINUTE(AM26)-MINUTE($AN$3)&gt;0)),"Mincorrect","MinFalse"),"Hour False")</f>
        <v>Hour False</v>
      </c>
    </row>
    <row r="26" spans="1:41" ht="14.5" customHeight="1" thickBot="1" x14ac:dyDescent="0.4">
      <c r="A26" s="822"/>
      <c r="B26" s="824"/>
      <c r="C26" s="90" t="str">
        <f ca="1">IF($AC$2="NO",IF(AND(AO25="MinCorrect",A25&lt;&gt;" "),MAIN!$A$6,C26),"")</f>
        <v>PE</v>
      </c>
      <c r="D26" s="168">
        <f ca="1">IF($AC$2="NO",IF(AND(AO25="MinCorrect",A25&lt;&gt;" "),MAIN!$C$6,D26),"")</f>
        <v>11900</v>
      </c>
      <c r="E26" s="168" t="str">
        <f ca="1">IF($AC$2="NO",IF(AND(AO26="MinCorrect",A26&lt;&gt;" "),MAIN!$D$5,E26),"")</f>
        <v/>
      </c>
      <c r="F26" s="168">
        <f ca="1">IF($AC$2="NO",IF(AND(AO25="MinCorrect",A25&lt;&gt;" "),MAIN!$E$6,F26),"")</f>
        <v>935850</v>
      </c>
      <c r="G26" s="168" t="str">
        <f ca="1">IF($AC$2="NO",IF(AND(AO26="MinCorrect",A26&lt;&gt;" "),MAIN!$F$5,G26),"")</f>
        <v/>
      </c>
      <c r="H26" s="825"/>
      <c r="I26" s="168" t="str">
        <f ca="1">IF($AC$2="NO",IF(AND(AO26="MinCorrect",A26&lt;&gt;" "),MAIN!$H$6,I26),"")</f>
        <v/>
      </c>
      <c r="J26" s="820" t="str">
        <f ca="1">IF($AC$2="NO",IF(AND(AO26="MinCorrect",A26&lt;&gt;" "),MAIN!$L$5,J26),"")</f>
        <v/>
      </c>
      <c r="K26" s="168" t="str">
        <f ca="1">IF($AC$2="NO",IF(AND(AO26="MinCorrect",A26&lt;&gt;" "),MAIN!$M$5,K26),"")</f>
        <v/>
      </c>
      <c r="L26" s="820" t="str">
        <f ca="1">IF($AC$2="NO",IF(AND(AO26="MinCorrect",A26&lt;&gt;" "),MAIN!$N$5,L26),"")</f>
        <v/>
      </c>
      <c r="M26" s="817"/>
      <c r="N26" s="817"/>
      <c r="O26" s="435" t="str">
        <f ca="1">IF($AC$2="NO",IF(AND(AO26="MinCorrect",A25&lt;&gt;" "),MAIN!$J$49,O26),"")</f>
        <v/>
      </c>
      <c r="P26" s="817"/>
      <c r="Q26" s="817"/>
      <c r="R26" s="817"/>
      <c r="S26" s="92" t="e">
        <f ca="1">IF($AC$2="NO",IF(AND(AO25="MinCorrect",A25&lt;&gt;" "),[3]MAIN!#REF!,S26),"")</f>
        <v>#REF!</v>
      </c>
      <c r="T26" s="407" t="str">
        <f ca="1">IF($AC$2="NO",IF(AND(AO26="MinCorrect",A26&lt;&gt;" "),MAIN!#REF!,T26),"")</f>
        <v/>
      </c>
      <c r="U26" s="407" t="str">
        <f ca="1">IF($AC$2="NO",IF(AND(AO26="MinCorrect",A26&lt;&gt;" "),MAIN!#REF!,U26),"")</f>
        <v/>
      </c>
      <c r="V26" s="818"/>
      <c r="W26" s="434"/>
      <c r="X26" s="434"/>
      <c r="Y26" s="434"/>
      <c r="AM26" s="275">
        <v>0.5131944444444444</v>
      </c>
      <c r="AN26" s="406"/>
      <c r="AO26" s="406"/>
    </row>
    <row r="27" spans="1:41" ht="14.5" customHeight="1" thickBot="1" x14ac:dyDescent="0.4">
      <c r="A27" s="821" t="str">
        <f ca="1">IF($AC$2="NO",IF(AO27="MinCorrect",Sheet51!$F$1,IF(A27&lt;=TIMEVALUE("00:00:00"),"",A27)),"")</f>
        <v>12:27:54</v>
      </c>
      <c r="B27" s="823" t="str">
        <f ca="1">IF($AC$2="NO",IF(AND(AO27="MinCorrect",A27&lt;&gt;" "),MAIN!$I$12,B27),"")</f>
        <v>NIFTY</v>
      </c>
      <c r="C27" s="167" t="str">
        <f ca="1">IF($AC$2="NO",IF(AND(AO26="MinCorrect",A26&lt;&gt;" "),MAIN!$A$6,C27),"")</f>
        <v/>
      </c>
      <c r="D27" s="167" t="str">
        <f ca="1">IF($AC$2="NO",IF(AND(AO26="MinCorrect",A26&lt;&gt;" "),MAIN!$C$6,D27),"")</f>
        <v/>
      </c>
      <c r="E27" s="167">
        <f ca="1">IF($AC$2="NO",IF(AND(AO27="MinCorrect",A27&lt;&gt;" "),MAIN!$D$5,E27),"")</f>
        <v>15.65</v>
      </c>
      <c r="F27" s="167">
        <f ca="1">IF($AC$2="NO",IF(AND(AO27="MinCorrect",A27&lt;&gt;" "),MAIN!$E$5,F27),"")</f>
        <v>923925</v>
      </c>
      <c r="G27" s="167">
        <f ca="1">IF($AC$2="NO",IF(AND(AO27="MinCorrect",A27&lt;&gt;" "),MAIN!$F$5,G27),"")</f>
        <v>182614</v>
      </c>
      <c r="H27" s="819" t="str">
        <f ca="1">IF($AC$2="NO",IF(AND(AO27="MinCorrect",A27&lt;&gt;" "),MAIN!$E$7,H27),"")</f>
        <v>BUY</v>
      </c>
      <c r="I27" s="167">
        <f ca="1">IF($AC$2="NO",IF(AND(AO27="MinCorrect",A27&lt;&gt;" "),MAIN!$H$5,I27),"")</f>
        <v>19.850000000000001</v>
      </c>
      <c r="J27" s="819">
        <f ca="1">IF($AC$2="NO",IF(AND(AO27="MinCorrect",A27&lt;&gt;" "),MAIN!$L$5,J27),"")</f>
        <v>12000</v>
      </c>
      <c r="K27" s="167">
        <f ca="1">IF($AC$2="NO",IF(AND(AO27="MinCorrect",A27&lt;&gt;" "),MAIN!$M$5,K27),"")</f>
        <v>15.65</v>
      </c>
      <c r="L27" s="819">
        <f ca="1">IF($AC$2="NO",IF(AND(AO27="MinCorrect",A27&lt;&gt;" "),MAIN!$N$5,L27),"")</f>
        <v>4971075</v>
      </c>
      <c r="M27" s="816">
        <f ca="1">IF($AC$2="NO",IF(AND(AO27="MinCorrect",A27&lt;&gt;" "),MAIN!$B$2,M27),"")</f>
        <v>11901.95</v>
      </c>
      <c r="N27" s="816">
        <f ca="1">IF($AC$2="NO",IF(AND(AO27="MinCorrect",A27&lt;&gt;" "),MAIN!$S$2,N27),"")</f>
        <v>11900</v>
      </c>
      <c r="O27" s="527">
        <f ca="1">IF($AC$2="NO",IF(AND(AO27="MinCorrect",A27&lt;&gt;" "),MAIN!$M$27,O27),"")</f>
        <v>11.033333333333333</v>
      </c>
      <c r="P27" s="816" t="str">
        <f ca="1">IF($AC$2="NO",IF(AND(AO27="MinCorrect",A27&lt;&gt;" "),MAIN!$F$10,P27),"")</f>
        <v/>
      </c>
      <c r="Q27" s="816" t="str">
        <f ca="1">IF($AC$2="NO",IF(AND(AO27="MinCorrect",A27&lt;&gt;" "),MAIN!$D$10,Q27),"")</f>
        <v/>
      </c>
      <c r="R27" s="816" t="str">
        <f ca="1">IF($AC$2="NO",IF(AND(AO27="MinCorrect",A27&lt;&gt;" "),MAIN!$E$10,R27),"")</f>
        <v/>
      </c>
      <c r="S27" s="88" t="e">
        <f ca="1">IF($AC$2="NO",IF(AND(AO27="MinCorrect",A27&lt;&gt;" "),[3]MAIN!#REF!,S27),"")</f>
        <v>#REF!</v>
      </c>
      <c r="T27" s="407" t="e">
        <f ca="1">IF($AC$2="NO",IF(AND(AO27="MinCorrect",A27&lt;&gt;" "),MAIN!#REF!,T27),"")</f>
        <v>#REF!</v>
      </c>
      <c r="U27" s="407" t="e">
        <f ca="1">IF($AC$2="NO",IF(AND(AO27="MinCorrect",A27&lt;&gt;" "),MAIN!#REF!,U27),"")</f>
        <v>#REF!</v>
      </c>
      <c r="V27" s="818" t="e">
        <f ca="1">IF($AC$2="NO",IF(AND(AO27="MinCorrect",A27&lt;&gt;" "),MAIN!#REF!,V27),"")</f>
        <v>#REF!</v>
      </c>
      <c r="W27" s="434"/>
      <c r="X27" s="434"/>
      <c r="Y27" s="434"/>
      <c r="AM27" s="275">
        <v>0.52083333333333337</v>
      </c>
      <c r="AN27" s="406"/>
      <c r="AO27" s="406" t="str">
        <f ca="1">IF(AND(HOUR(AM27)=(HOUR($AN$3)),(HOUR(AM28)=(HOUR($AN$3)))),IF(AND(MINUTE($AN$3)-MINUTE(AM27)&gt;=0,(MINUTE(AM28)-MINUTE($AN$3)&gt;0)),"Mincorrect","MinFalse"),"Hour False")</f>
        <v>Hour False</v>
      </c>
    </row>
    <row r="28" spans="1:41" ht="14.5" customHeight="1" thickBot="1" x14ac:dyDescent="0.4">
      <c r="A28" s="822"/>
      <c r="B28" s="824"/>
      <c r="C28" s="90" t="str">
        <f ca="1">IF($AC$2="NO",IF(AND(AO27="MinCorrect",A27&lt;&gt;" "),MAIN!$A$6,C28),"")</f>
        <v>PE</v>
      </c>
      <c r="D28" s="168">
        <f ca="1">IF($AC$2="NO",IF(AND(AO27="MinCorrect",A27&lt;&gt;" "),MAIN!$C$6,D28),"")</f>
        <v>11900</v>
      </c>
      <c r="E28" s="168" t="str">
        <f ca="1">IF($AC$2="NO",IF(AND(AO28="MinCorrect",A28&lt;&gt;" "),MAIN!$D$5,E28),"")</f>
        <v/>
      </c>
      <c r="F28" s="168">
        <f ca="1">IF($AC$2="NO",IF(AND(AO27="MinCorrect",A27&lt;&gt;" "),MAIN!$E$6,F28),"")</f>
        <v>936825</v>
      </c>
      <c r="G28" s="168" t="str">
        <f ca="1">IF($AC$2="NO",IF(AND(AO28="MinCorrect",A28&lt;&gt;" "),MAIN!$F$5,G28),"")</f>
        <v/>
      </c>
      <c r="H28" s="825"/>
      <c r="I28" s="168" t="str">
        <f ca="1">IF($AC$2="NO",IF(AND(AO28="MinCorrect",A28&lt;&gt;" "),MAIN!$H$6,I28),"")</f>
        <v/>
      </c>
      <c r="J28" s="820" t="str">
        <f ca="1">IF($AC$2="NO",IF(AND(AO28="MinCorrect",A28&lt;&gt;" "),MAIN!$L$5,J28),"")</f>
        <v/>
      </c>
      <c r="K28" s="168" t="str">
        <f ca="1">IF($AC$2="NO",IF(AND(AO28="MinCorrect",A28&lt;&gt;" "),MAIN!$M$5,K28),"")</f>
        <v/>
      </c>
      <c r="L28" s="820" t="str">
        <f ca="1">IF($AC$2="NO",IF(AND(AO28="MinCorrect",A28&lt;&gt;" "),MAIN!$N$5,L28),"")</f>
        <v/>
      </c>
      <c r="M28" s="817"/>
      <c r="N28" s="817"/>
      <c r="O28" s="435" t="str">
        <f ca="1">IF($AC$2="NO",IF(AND(AO28="MinCorrect",A27&lt;&gt;" "),MAIN!$J$49,O28),"")</f>
        <v/>
      </c>
      <c r="P28" s="817"/>
      <c r="Q28" s="817"/>
      <c r="R28" s="817"/>
      <c r="S28" s="92" t="e">
        <f ca="1">IF($AC$2="NO",IF(AND(AO27="MinCorrect",A27&lt;&gt;" "),[3]MAIN!#REF!,S28),"")</f>
        <v>#REF!</v>
      </c>
      <c r="T28" s="407" t="str">
        <f ca="1">IF($AC$2="NO",IF(AND(AO28="MinCorrect",A28&lt;&gt;" "),MAIN!#REF!,T28),"")</f>
        <v/>
      </c>
      <c r="U28" s="407" t="str">
        <f ca="1">IF($AC$2="NO",IF(AND(AO28="MinCorrect",A28&lt;&gt;" "),MAIN!#REF!,U28),"")</f>
        <v/>
      </c>
      <c r="V28" s="818"/>
      <c r="W28" s="434"/>
      <c r="X28" s="434"/>
      <c r="Y28" s="434"/>
      <c r="AM28" s="275">
        <v>0.52361111111111114</v>
      </c>
      <c r="AN28" s="406"/>
      <c r="AO28" s="406"/>
    </row>
    <row r="29" spans="1:41" ht="15" customHeight="1" thickBot="1" x14ac:dyDescent="0.4">
      <c r="A29" s="821" t="str">
        <f ca="1">IF($AC$2="NO",IF(AO29="MinCorrect",Sheet51!$F$1,IF(A29&lt;=TIMEVALUE("00:00:00"),"",A29)),"")</f>
        <v>12:45:55</v>
      </c>
      <c r="B29" s="823" t="str">
        <f ca="1">IF($AC$2="NO",IF(AND(AO29="MinCorrect",A29&lt;&gt;" "),MAIN!$I$12,B29),"")</f>
        <v>NIFTY</v>
      </c>
      <c r="C29" s="167" t="str">
        <f ca="1">IF($AC$2="NO",IF(AND(AO28="MinCorrect",A28&lt;&gt;" "),MAIN!$A$6,C29),"")</f>
        <v/>
      </c>
      <c r="D29" s="167" t="str">
        <f ca="1">IF($AC$2="NO",IF(AND(AO28="MinCorrect",A28&lt;&gt;" "),MAIN!$C$6,D29),"")</f>
        <v/>
      </c>
      <c r="E29" s="167">
        <f ca="1">IF($AC$2="NO",IF(AND(AO29="MinCorrect",A29&lt;&gt;" "),MAIN!$D$5,E29),"")</f>
        <v>26.3</v>
      </c>
      <c r="F29" s="167">
        <f ca="1">IF($AC$2="NO",IF(AND(AO29="MinCorrect",A29&lt;&gt;" "),MAIN!$E$5,F29),"")</f>
        <v>912675</v>
      </c>
      <c r="G29" s="167">
        <f ca="1">IF($AC$2="NO",IF(AND(AO29="MinCorrect",A29&lt;&gt;" "),MAIN!$F$5,G29),"")</f>
        <v>188156</v>
      </c>
      <c r="H29" s="819" t="str">
        <f ca="1">IF($AC$2="NO",IF(AND(AO29="MinCorrect",A29&lt;&gt;" "),MAIN!$E$7,H29),"")</f>
        <v>SELL</v>
      </c>
      <c r="I29" s="167">
        <f ca="1">IF($AC$2="NO",IF(AND(AO29="MinCorrect",A29&lt;&gt;" "),MAIN!$H$5,I29),"")</f>
        <v>18.399999999999999</v>
      </c>
      <c r="J29" s="819">
        <f ca="1">IF($AC$2="NO",IF(AND(AO29="MinCorrect",A29&lt;&gt;" "),MAIN!$L$5,J29),"")</f>
        <v>12000</v>
      </c>
      <c r="K29" s="167">
        <f ca="1">IF($AC$2="NO",IF(AND(AO29="MinCorrect",A29&lt;&gt;" "),MAIN!$M$5,K29),"")</f>
        <v>26.3</v>
      </c>
      <c r="L29" s="819">
        <f ca="1">IF($AC$2="NO",IF(AND(AO29="MinCorrect",A29&lt;&gt;" "),MAIN!$N$5,L29),"")</f>
        <v>4625325</v>
      </c>
      <c r="M29" s="816">
        <f ca="1">IF($AC$2="NO",IF(AND(AO29="MinCorrect",A29&lt;&gt;" "),MAIN!$B$2,M29),"")</f>
        <v>11888.4</v>
      </c>
      <c r="N29" s="816">
        <f ca="1">IF($AC$2="NO",IF(AND(AO29="MinCorrect",A29&lt;&gt;" "),MAIN!$S$2,N29),"")</f>
        <v>11800</v>
      </c>
      <c r="O29" s="435">
        <f ca="1">IF($AC$2="NO",IF(AND(AO29="MinCorrect",A29&lt;&gt;" "),MAIN!$M$27,O29),"")</f>
        <v>21.275000000000002</v>
      </c>
      <c r="P29" s="816" t="str">
        <f ca="1">IF($AC$2="NO",IF(AND(AO29="MinCorrect",A29&lt;&gt;" "),MAIN!$F$10,P29),"")</f>
        <v/>
      </c>
      <c r="Q29" s="816" t="str">
        <f ca="1">IF($AC$2="NO",IF(AND(AO29="MinCorrect",A29&lt;&gt;" "),MAIN!$D$10,Q29),"")</f>
        <v/>
      </c>
      <c r="R29" s="816" t="str">
        <f ca="1">IF($AC$2="NO",IF(AND(AO29="MinCorrect",A29&lt;&gt;" "),MAIN!$E$10,R29),"")</f>
        <v/>
      </c>
      <c r="S29" s="88" t="e">
        <f ca="1">IF($AC$2="NO",IF(AND(AO29="MinCorrect",A29&lt;&gt;" "),[3]MAIN!#REF!,S29),"")</f>
        <v>#REF!</v>
      </c>
      <c r="T29" s="407" t="e">
        <f ca="1">IF($AC$2="NO",IF(AND(AO29="MinCorrect",A29&lt;&gt;" "),MAIN!#REF!,T29),"")</f>
        <v>#REF!</v>
      </c>
      <c r="U29" s="407" t="e">
        <f ca="1">IF($AC$2="NO",IF(AND(AO29="MinCorrect",A29&lt;&gt;" "),MAIN!#REF!,U29),"")</f>
        <v>#REF!</v>
      </c>
      <c r="V29" s="818" t="e">
        <f ca="1">IF($AC$2="NO",IF(AND(AO29="MinCorrect",A29&lt;&gt;" "),MAIN!#REF!,V29),"")</f>
        <v>#REF!</v>
      </c>
      <c r="W29" s="434"/>
      <c r="X29" s="434"/>
      <c r="Y29" s="434"/>
      <c r="AM29" s="275">
        <v>0.53125</v>
      </c>
      <c r="AO29" s="406" t="str">
        <f ca="1">IF(AND(HOUR(AM29)=(HOUR($AN$3)),(HOUR(AM30)=(HOUR($AN$3)))),IF(AND(MINUTE($AN$3)-MINUTE(AM29)&gt;=0,(MINUTE(AM30)-MINUTE($AN$3)&gt;0)),"Mincorrect","MinFalse"),"Hour False")</f>
        <v>Hour False</v>
      </c>
    </row>
    <row r="30" spans="1:41" ht="15" customHeight="1" thickBot="1" x14ac:dyDescent="0.4">
      <c r="A30" s="822"/>
      <c r="B30" s="824"/>
      <c r="C30" s="90" t="str">
        <f ca="1">IF($AC$2="NO",IF(AND(AO29="MinCorrect",A29&lt;&gt;" "),MAIN!$A$6,C30),"")</f>
        <v>PE</v>
      </c>
      <c r="D30" s="168">
        <f ca="1">IF($AC$2="NO",IF(AND(AO29="MinCorrect",A29&lt;&gt;" "),MAIN!$C$6,D30),"")</f>
        <v>11900</v>
      </c>
      <c r="E30" s="168" t="str">
        <f ca="1">IF($AC$2="NO",IF(AND(AO30="MinCorrect",A30&lt;&gt;" "),MAIN!$D$5,E30),"")</f>
        <v/>
      </c>
      <c r="F30" s="168">
        <f ca="1">IF($AC$2="NO",IF(AND(AO29="MinCorrect",A29&lt;&gt;" "),MAIN!$E$6,F30),"")</f>
        <v>693525</v>
      </c>
      <c r="G30" s="168" t="str">
        <f ca="1">IF($AC$2="NO",IF(AND(AO30="MinCorrect",A30&lt;&gt;" "),MAIN!$F$5,G30),"")</f>
        <v/>
      </c>
      <c r="H30" s="825"/>
      <c r="I30" s="168" t="str">
        <f ca="1">IF($AC$2="NO",IF(AND(AO30="MinCorrect",A30&lt;&gt;" "),MAIN!$H$6,I30),"")</f>
        <v/>
      </c>
      <c r="J30" s="820" t="str">
        <f ca="1">IF($AC$2="NO",IF(AND(AO30="MinCorrect",A30&lt;&gt;" "),MAIN!$L$5,J30),"")</f>
        <v/>
      </c>
      <c r="K30" s="168" t="str">
        <f ca="1">IF($AC$2="NO",IF(AND(AO30="MinCorrect",A30&lt;&gt;" "),MAIN!$M$5,K30),"")</f>
        <v/>
      </c>
      <c r="L30" s="820" t="str">
        <f ca="1">IF($AC$2="NO",IF(AND(AO30="MinCorrect",A30&lt;&gt;" "),MAIN!$N$5,L30),"")</f>
        <v/>
      </c>
      <c r="M30" s="817"/>
      <c r="N30" s="817"/>
      <c r="O30" s="435" t="str">
        <f ca="1">IF($AC$2="NO",IF(AND(AO30="MinCorrect",A29&lt;&gt;" "),MAIN!$J$49,O30),"")</f>
        <v/>
      </c>
      <c r="P30" s="817"/>
      <c r="Q30" s="817"/>
      <c r="R30" s="817"/>
      <c r="S30" s="92" t="e">
        <f ca="1">IF($AC$2="NO",IF(AND(AO29="MinCorrect",A29&lt;&gt;" "),[3]MAIN!#REF!,S30),"")</f>
        <v>#REF!</v>
      </c>
      <c r="T30" s="407" t="str">
        <f ca="1">IF($AC$2="NO",IF(AND(AO30="MinCorrect",A30&lt;&gt;" "),MAIN!#REF!,T30),"")</f>
        <v/>
      </c>
      <c r="U30" s="407" t="str">
        <f ca="1">IF($AC$2="NO",IF(AND(AO30="MinCorrect",A30&lt;&gt;" "),MAIN!#REF!,U30),"")</f>
        <v/>
      </c>
      <c r="V30" s="818"/>
      <c r="W30" s="434"/>
      <c r="X30" s="434"/>
      <c r="Y30" s="434"/>
      <c r="AM30" s="275">
        <v>0.53402777777777777</v>
      </c>
      <c r="AO30" s="406"/>
    </row>
    <row r="31" spans="1:41" ht="15" customHeight="1" thickBot="1" x14ac:dyDescent="0.4">
      <c r="A31" s="821" t="str">
        <f ca="1">IF($AC$2="NO",IF(AO31="MinCorrect",Sheet51!$F$1,IF(A31&lt;=TIMEVALUE("00:00:00"),"",A31)),"")</f>
        <v>12:59:55</v>
      </c>
      <c r="B31" s="823" t="str">
        <f ca="1">IF($AC$2="NO",IF(AND(AO31="MinCorrect",A31&lt;&gt;" "),MAIN!$I$12,B31),"")</f>
        <v>NIFTY</v>
      </c>
      <c r="C31" s="167" t="str">
        <f ca="1">IF($AC$2="NO",IF(AND(AO30="MinCorrect",A30&lt;&gt;" "),MAIN!$A$6,C31),"")</f>
        <v/>
      </c>
      <c r="D31" s="167" t="str">
        <f ca="1">IF($AC$2="NO",IF(AND(AO30="MinCorrect",A30&lt;&gt;" "),MAIN!$C$6,D31),"")</f>
        <v/>
      </c>
      <c r="E31" s="167">
        <f ca="1">IF($AC$2="NO",IF(AND(AO31="MinCorrect",A31&lt;&gt;" "),MAIN!$D$5,E31),"")</f>
        <v>25.65</v>
      </c>
      <c r="F31" s="167">
        <f ca="1">IF($AC$2="NO",IF(AND(AO31="MinCorrect",A31&lt;&gt;" "),MAIN!$E$5,F31),"")</f>
        <v>1037250</v>
      </c>
      <c r="G31" s="167">
        <f ca="1">IF($AC$2="NO",IF(AND(AO31="MinCorrect",A31&lt;&gt;" "),MAIN!$F$5,G31),"")</f>
        <v>216348</v>
      </c>
      <c r="H31" s="819" t="str">
        <f ca="1">IF($AC$2="NO",IF(AND(AO31="MinCorrect",A31&lt;&gt;" "),MAIN!$E$7,H31),"")</f>
        <v>SELL</v>
      </c>
      <c r="I31" s="167">
        <f ca="1">IF($AC$2="NO",IF(AND(AO31="MinCorrect",A31&lt;&gt;" "),MAIN!$H$5,I31),"")</f>
        <v>17.399999999999999</v>
      </c>
      <c r="J31" s="819">
        <f ca="1">IF($AC$2="NO",IF(AND(AO31="MinCorrect",A31&lt;&gt;" "),MAIN!$L$5,J31),"")</f>
        <v>12000</v>
      </c>
      <c r="K31" s="167">
        <f ca="1">IF($AC$2="NO",IF(AND(AO31="MinCorrect",A31&lt;&gt;" "),MAIN!$M$5,K31),"")</f>
        <v>25.65</v>
      </c>
      <c r="L31" s="819">
        <f ca="1">IF($AC$2="NO",IF(AND(AO31="MinCorrect",A31&lt;&gt;" "),MAIN!$N$5,L31),"")</f>
        <v>4749900</v>
      </c>
      <c r="M31" s="816">
        <f ca="1">IF($AC$2="NO",IF(AND(AO31="MinCorrect",A31&lt;&gt;" "),MAIN!$B$2,M31),"")</f>
        <v>11887.15</v>
      </c>
      <c r="N31" s="816">
        <f ca="1">IF($AC$2="NO",IF(AND(AO31="MinCorrect",A31&lt;&gt;" "),MAIN!$S$2,N31),"")</f>
        <v>11800</v>
      </c>
      <c r="O31" s="527">
        <f ca="1">IF($AC$2="NO",IF(AND(AO31="MinCorrect",A31&lt;&gt;" "),MAIN!$M$27,O31),"")</f>
        <v>19.400000000000002</v>
      </c>
      <c r="P31" s="816" t="str">
        <f ca="1">IF($AC$2="NO",IF(AND(AO31="MinCorrect",A31&lt;&gt;" "),MAIN!$F$10,P31),"")</f>
        <v/>
      </c>
      <c r="Q31" s="816" t="str">
        <f ca="1">IF($AC$2="NO",IF(AND(AO31="MinCorrect",A31&lt;&gt;" "),MAIN!$D$10,Q31),"")</f>
        <v/>
      </c>
      <c r="R31" s="816" t="str">
        <f ca="1">IF($AC$2="NO",IF(AND(AO31="MinCorrect",A31&lt;&gt;" "),MAIN!$E$10,R31),"")</f>
        <v/>
      </c>
      <c r="S31" s="88" t="e">
        <f ca="1">IF($AC$2="NO",IF(AND(AO31="MinCorrect",A31&lt;&gt;" "),[3]MAIN!#REF!,S31),"")</f>
        <v>#REF!</v>
      </c>
      <c r="T31" s="407" t="e">
        <f ca="1">IF($AC$2="NO",IF(AND(AO31="MinCorrect",A31&lt;&gt;" "),MAIN!#REF!,T31),"")</f>
        <v>#REF!</v>
      </c>
      <c r="U31" s="407" t="e">
        <f ca="1">IF($AC$2="NO",IF(AND(AO31="MinCorrect",A31&lt;&gt;" "),MAIN!#REF!,U31),"")</f>
        <v>#REF!</v>
      </c>
      <c r="V31" s="818" t="e">
        <f ca="1">IF($AC$2="NO",IF(AND(AO31="MinCorrect",A31&lt;&gt;" "),MAIN!#REF!,V31),"")</f>
        <v>#REF!</v>
      </c>
      <c r="W31" s="434"/>
      <c r="X31" s="434"/>
      <c r="Y31" s="434"/>
      <c r="AM31" s="275">
        <v>0.54166666666666663</v>
      </c>
      <c r="AO31" s="406" t="str">
        <f ca="1">IF(AND(HOUR(AM31)=(HOUR($AN$3)),(HOUR(AM32)=(HOUR($AN$3)))),IF(AND(MINUTE($AN$3)-MINUTE(AM31)&gt;=0,(MINUTE(AM32)-MINUTE($AN$3)&gt;0)),"Mincorrect","MinFalse"),"Hour False")</f>
        <v>Hour False</v>
      </c>
    </row>
    <row r="32" spans="1:41" ht="15" customHeight="1" thickBot="1" x14ac:dyDescent="0.4">
      <c r="A32" s="822"/>
      <c r="B32" s="824"/>
      <c r="C32" s="90" t="str">
        <f ca="1">IF($AC$2="NO",IF(AND(AO31="MinCorrect",A31&lt;&gt;" "),MAIN!$A$6,C32),"")</f>
        <v>PE</v>
      </c>
      <c r="D32" s="168">
        <f ca="1">IF($AC$2="NO",IF(AND(AO31="MinCorrect",A31&lt;&gt;" "),MAIN!$C$6,D32),"")</f>
        <v>11750</v>
      </c>
      <c r="E32" s="168" t="str">
        <f ca="1">IF($AC$2="NO",IF(AND(AO32="MinCorrect",A32&lt;&gt;" "),MAIN!$D$5,E32),"")</f>
        <v/>
      </c>
      <c r="F32" s="168">
        <f ca="1">IF($AC$2="NO",IF(AND(AO31="MinCorrect",A31&lt;&gt;" "),MAIN!$E$6,F32),"")</f>
        <v>572025</v>
      </c>
      <c r="G32" s="168" t="str">
        <f ca="1">IF($AC$2="NO",IF(AND(AO32="MinCorrect",A32&lt;&gt;" "),MAIN!$F$5,G32),"")</f>
        <v/>
      </c>
      <c r="H32" s="825"/>
      <c r="I32" s="168" t="str">
        <f ca="1">IF($AC$2="NO",IF(AND(AO32="MinCorrect",A32&lt;&gt;" "),MAIN!$H$6,I32),"")</f>
        <v/>
      </c>
      <c r="J32" s="820" t="str">
        <f ca="1">IF($AC$2="NO",IF(AND(AO32="MinCorrect",A32&lt;&gt;" "),MAIN!$L$5,J32),"")</f>
        <v/>
      </c>
      <c r="K32" s="168" t="str">
        <f ca="1">IF($AC$2="NO",IF(AND(AO32="MinCorrect",A32&lt;&gt;" "),MAIN!$M$5,K32),"")</f>
        <v/>
      </c>
      <c r="L32" s="820" t="str">
        <f ca="1">IF($AC$2="NO",IF(AND(AO32="MinCorrect",A32&lt;&gt;" "),MAIN!$N$5,L32),"")</f>
        <v/>
      </c>
      <c r="M32" s="817"/>
      <c r="N32" s="817"/>
      <c r="O32" s="435">
        <f ca="1">IF($AC$2="NO",IF(AND(AO31="MinCorrect",A31&lt;&gt;" "),MAIN!$J$49,O32),"")</f>
        <v>16.229736842105261</v>
      </c>
      <c r="P32" s="817"/>
      <c r="Q32" s="817"/>
      <c r="R32" s="817"/>
      <c r="S32" s="92" t="e">
        <f ca="1">IF($AC$2="NO",IF(AND(AO31="MinCorrect",A31&lt;&gt;" "),[3]MAIN!#REF!,S32),"")</f>
        <v>#REF!</v>
      </c>
      <c r="T32" s="407" t="str">
        <f ca="1">IF($AC$2="NO",IF(AND(AO32="MinCorrect",A32&lt;&gt;" "),MAIN!#REF!,T32),"")</f>
        <v/>
      </c>
      <c r="U32" s="407" t="str">
        <f ca="1">IF($AC$2="NO",IF(AND(AO32="MinCorrect",A32&lt;&gt;" "),MAIN!#REF!,U32),"")</f>
        <v/>
      </c>
      <c r="V32" s="818"/>
      <c r="W32" s="434"/>
      <c r="X32" s="434"/>
      <c r="Y32" s="434"/>
      <c r="AM32" s="275">
        <v>0.5444444444444444</v>
      </c>
      <c r="AO32" s="406"/>
    </row>
    <row r="33" spans="1:41" ht="15" customHeight="1" thickBot="1" x14ac:dyDescent="0.4">
      <c r="A33" s="821" t="str">
        <f ca="1">IF($AC$2="NO",IF(AO33="MinCorrect",Sheet51!$F$1,IF(A33&lt;=TIMEVALUE("00:00:00"),"",A33)),"")</f>
        <v>13:15:56</v>
      </c>
      <c r="B33" s="823" t="str">
        <f ca="1">IF($AC$2="NO",IF(AND(AO33="MinCorrect",A33&lt;&gt;" "),MAIN!$I$12,B33),"")</f>
        <v>NIFTY</v>
      </c>
      <c r="C33" s="167" t="str">
        <f ca="1">IF($AC$2="NO",IF(AND(AO32="MinCorrect",A32&lt;&gt;" "),MAIN!$A$6,C33),"")</f>
        <v/>
      </c>
      <c r="D33" s="167" t="str">
        <f ca="1">IF($AC$2="NO",IF(AND(AO32="MinCorrect",A32&lt;&gt;" "),MAIN!$C$6,D33),"")</f>
        <v/>
      </c>
      <c r="E33" s="167">
        <f ca="1">IF($AC$2="NO",IF(AND(AO33="MinCorrect",A33&lt;&gt;" "),MAIN!$D$5,E33),"")</f>
        <v>9.15</v>
      </c>
      <c r="F33" s="167">
        <f ca="1">IF($AC$2="NO",IF(AND(AO33="MinCorrect",A33&lt;&gt;" "),MAIN!$E$5,F33),"")</f>
        <v>1408125</v>
      </c>
      <c r="G33" s="167">
        <f ca="1">IF($AC$2="NO",IF(AND(AO33="MinCorrect",A33&lt;&gt;" "),MAIN!$F$5,G33),"")</f>
        <v>257295</v>
      </c>
      <c r="H33" s="819" t="str">
        <f ca="1">IF($AC$2="NO",IF(AND(AO33="MinCorrect",A33&lt;&gt;" "),MAIN!$E$7,H33),"")</f>
        <v>SELL</v>
      </c>
      <c r="I33" s="167">
        <f ca="1">IF($AC$2="NO",IF(AND(AO33="MinCorrect",A33&lt;&gt;" "),MAIN!$H$5,I33),"")</f>
        <v>18</v>
      </c>
      <c r="J33" s="819">
        <f ca="1">IF($AC$2="NO",IF(AND(AO33="MinCorrect",A33&lt;&gt;" "),MAIN!$L$5,J33),"")</f>
        <v>12000</v>
      </c>
      <c r="K33" s="167">
        <f ca="1">IF($AC$2="NO",IF(AND(AO33="MinCorrect",A33&lt;&gt;" "),MAIN!$M$5,K33),"")</f>
        <v>9.15</v>
      </c>
      <c r="L33" s="819">
        <f ca="1">IF($AC$2="NO",IF(AND(AO33="MinCorrect",A33&lt;&gt;" "),MAIN!$N$5,L33),"")</f>
        <v>5455275</v>
      </c>
      <c r="M33" s="816">
        <f ca="1">IF($AC$2="NO",IF(AND(AO33="MinCorrect",A33&lt;&gt;" "),MAIN!$B$2,M33),"")</f>
        <v>11878.6</v>
      </c>
      <c r="N33" s="816">
        <f ca="1">IF($AC$2="NO",IF(AND(AO33="MinCorrect",A33&lt;&gt;" "),MAIN!$S$2,N33),"")</f>
        <v>11850</v>
      </c>
      <c r="O33" s="527">
        <f ca="1">IF($AC$2="NO",IF(AND(AO33="MinCorrect",A33&lt;&gt;" "),MAIN!$M$27,O33),"")</f>
        <v>14.350000000000001</v>
      </c>
      <c r="P33" s="816" t="str">
        <f ca="1">IF($AC$2="NO",IF(AND(AO33="MinCorrect",A33&lt;&gt;" "),MAIN!$F$10,P33),"")</f>
        <v/>
      </c>
      <c r="Q33" s="816" t="str">
        <f ca="1">IF($AC$2="NO",IF(AND(AO33="MinCorrect",A33&lt;&gt;" "),MAIN!$D$10,Q33),"")</f>
        <v/>
      </c>
      <c r="R33" s="816" t="str">
        <f ca="1">IF($AC$2="NO",IF(AND(AO33="MinCorrect",A33&lt;&gt;" "),MAIN!$E$10,R33),"")</f>
        <v/>
      </c>
      <c r="S33" s="88" t="e">
        <f ca="1">IF($AC$2="NO",IF(AND(AO33="MinCorrect",A33&lt;&gt;" "),[3]MAIN!#REF!,S33),"")</f>
        <v>#REF!</v>
      </c>
      <c r="T33" s="407" t="e">
        <f ca="1">IF($AC$2="NO",IF(AND(AO33="MinCorrect",A33&lt;&gt;" "),MAIN!#REF!,T33),"")</f>
        <v>#REF!</v>
      </c>
      <c r="U33" s="407" t="e">
        <f ca="1">IF($AC$2="NO",IF(AND(AO33="MinCorrect",A33&lt;&gt;" "),MAIN!#REF!,U33),"")</f>
        <v>#REF!</v>
      </c>
      <c r="V33" s="818" t="e">
        <f ca="1">IF($AC$2="NO",IF(AND(AO33="MinCorrect",A33&lt;&gt;" "),MAIN!#REF!,V33),"")</f>
        <v>#REF!</v>
      </c>
      <c r="W33" s="434"/>
      <c r="X33" s="434"/>
      <c r="Y33" s="434"/>
      <c r="AM33" s="275">
        <v>0.55208333333333337</v>
      </c>
      <c r="AO33" s="406" t="str">
        <f ca="1">IF(AND(HOUR(AM33)=(HOUR($AN$3)),(HOUR(AM34)=(HOUR($AN$3)))),IF(AND(MINUTE($AN$3)-MINUTE(AM33)&gt;=0,(MINUTE(AM34)-MINUTE($AN$3)&gt;0)),"Mincorrect","MinFalse"),"Hour False")</f>
        <v>Hour False</v>
      </c>
    </row>
    <row r="34" spans="1:41" ht="15" customHeight="1" thickBot="1" x14ac:dyDescent="0.4">
      <c r="A34" s="822"/>
      <c r="B34" s="824"/>
      <c r="C34" s="90" t="str">
        <f ca="1">IF($AC$2="NO",IF(AND(AO33="MinCorrect",A33&lt;&gt;" "),MAIN!$A$6,C34),"")</f>
        <v>PE</v>
      </c>
      <c r="D34" s="168">
        <f ca="1">IF($AC$2="NO",IF(AND(AO33="MinCorrect",A33&lt;&gt;" "),MAIN!$C$6,D34),"")</f>
        <v>11900</v>
      </c>
      <c r="E34" s="168" t="str">
        <f ca="1">IF($AC$2="NO",IF(AND(AO34="MinCorrect",A34&lt;&gt;" "),MAIN!$D$5,E34),"")</f>
        <v/>
      </c>
      <c r="F34" s="168">
        <f ca="1">IF($AC$2="NO",IF(AND(AO33="MinCorrect",A33&lt;&gt;" "),MAIN!$E$6,F34),"")</f>
        <v>418275</v>
      </c>
      <c r="G34" s="168" t="str">
        <f ca="1">IF($AC$2="NO",IF(AND(AO34="MinCorrect",A34&lt;&gt;" "),MAIN!$F$5,G34),"")</f>
        <v/>
      </c>
      <c r="H34" s="825"/>
      <c r="I34" s="168" t="str">
        <f ca="1">IF($AC$2="NO",IF(AND(AO34="MinCorrect",A34&lt;&gt;" "),MAIN!$H$6,I34),"")</f>
        <v/>
      </c>
      <c r="J34" s="820" t="str">
        <f ca="1">IF($AC$2="NO",IF(AND(AO34="MinCorrect",A34&lt;&gt;" "),MAIN!$L$5,J34),"")</f>
        <v/>
      </c>
      <c r="K34" s="168" t="str">
        <f ca="1">IF($AC$2="NO",IF(AND(AO34="MinCorrect",A34&lt;&gt;" "),MAIN!$M$5,K34),"")</f>
        <v/>
      </c>
      <c r="L34" s="820" t="str">
        <f ca="1">IF($AC$2="NO",IF(AND(AO34="MinCorrect",A34&lt;&gt;" "),MAIN!$N$5,L34),"")</f>
        <v/>
      </c>
      <c r="M34" s="817"/>
      <c r="N34" s="817"/>
      <c r="O34" s="435" t="str">
        <f ca="1">IF($AC$2="NO",IF(AND(AO34="MinCorrect",A33&lt;&gt;" "),MAIN!$J$49,O34),"")</f>
        <v/>
      </c>
      <c r="P34" s="817"/>
      <c r="Q34" s="817"/>
      <c r="R34" s="817"/>
      <c r="S34" s="92" t="e">
        <f ca="1">IF($AC$2="NO",IF(AND(AO33="MinCorrect",A33&lt;&gt;" "),[3]MAIN!#REF!,S34),"")</f>
        <v>#REF!</v>
      </c>
      <c r="T34" s="407" t="str">
        <f ca="1">IF($AC$2="NO",IF(AND(AO34="MinCorrect",A34&lt;&gt;" "),MAIN!#REF!,T34),"")</f>
        <v/>
      </c>
      <c r="U34" s="407" t="str">
        <f ca="1">IF($AC$2="NO",IF(AND(AO34="MinCorrect",A34&lt;&gt;" "),MAIN!#REF!,U34),"")</f>
        <v/>
      </c>
      <c r="V34" s="818"/>
      <c r="W34" s="434"/>
      <c r="X34" s="434"/>
      <c r="Y34" s="434"/>
      <c r="AM34" s="275">
        <v>0.55486111111111114</v>
      </c>
      <c r="AO34" s="406"/>
    </row>
    <row r="35" spans="1:41" ht="15" customHeight="1" thickBot="1" x14ac:dyDescent="0.4">
      <c r="A35" s="821" t="str">
        <f ca="1">IF($AC$2="NO",IF(AO35="MinCorrect",Sheet51!$F$1,IF(A35&lt;=TIMEVALUE("00:00:00"),"",A35)),"")</f>
        <v>0</v>
      </c>
      <c r="B35" s="823" t="str">
        <f ca="1">IF($AC$2="NO",IF(AND(AO35="MinCorrect",A35&lt;&gt;" "),MAIN!$I$12,B35),"")</f>
        <v>NIFTY</v>
      </c>
      <c r="C35" s="167" t="str">
        <f ca="1">IF($AC$2="NO",IF(AND(AO34="MinCorrect",A34&lt;&gt;" "),MAIN!$A$6,C35),"")</f>
        <v/>
      </c>
      <c r="D35" s="167" t="str">
        <f ca="1">IF($AC$2="NO",IF(AND(AO34="MinCorrect",A34&lt;&gt;" "),MAIN!$C$6,D35),"")</f>
        <v/>
      </c>
      <c r="E35" s="167">
        <f ca="1">IF($AC$2="NO",IF(AND(AO35="MinCorrect",A35&lt;&gt;" "),MAIN!$D$5,E35),"")</f>
        <v>0</v>
      </c>
      <c r="F35" s="167">
        <f ca="1">IF($AC$2="NO",IF(AND(AO35="MinCorrect",A35&lt;&gt;" "),MAIN!$E$5,F35),"")</f>
        <v>0</v>
      </c>
      <c r="G35" s="167">
        <f ca="1">IF($AC$2="NO",IF(AND(AO35="MinCorrect",A35&lt;&gt;" "),MAIN!$F$5,G35),"")</f>
        <v>0</v>
      </c>
      <c r="H35" s="819" t="str">
        <f ca="1">IF($AC$2="NO",IF(AND(AO35="MinCorrect",A35&lt;&gt;" "),MAIN!$E$7,H35),"")</f>
        <v>SELL</v>
      </c>
      <c r="I35" s="167">
        <f ca="1">IF($AC$2="NO",IF(AND(AO35="MinCorrect",A35&lt;&gt;" "),MAIN!$H$5,I35),"")</f>
        <v>0</v>
      </c>
      <c r="J35" s="819">
        <f ca="1">IF($AC$2="NO",IF(AND(AO35="MinCorrect",A35&lt;&gt;" "),MAIN!$L$5,J35),"")</f>
        <v>0</v>
      </c>
      <c r="K35" s="167">
        <f ca="1">IF($AC$2="NO",IF(AND(AO35="MinCorrect",A35&lt;&gt;" "),MAIN!$M$5,K35),"")</f>
        <v>0</v>
      </c>
      <c r="L35" s="819" t="e">
        <f ca="1">IF($AC$2="NO",IF(AND(AO35="MinCorrect",A35&lt;&gt;" "),MAIN!$N$5,L35),"")</f>
        <v>#NUM!</v>
      </c>
      <c r="M35" s="816">
        <f ca="1">IF($AC$2="NO",IF(AND(AO35="MinCorrect",A35&lt;&gt;" "),MAIN!$B$2,M35),"")</f>
        <v>11954</v>
      </c>
      <c r="N35" s="816">
        <f ca="1">IF($AC$2="NO",IF(AND(AO35="MinCorrect",A35&lt;&gt;" "),MAIN!$S$2,N35),"")</f>
        <v>12000</v>
      </c>
      <c r="O35" s="527" t="e">
        <f ca="1">IF($AC$2="NO",IF(AND(AO35="MinCorrect",A35&lt;&gt;" "),MAIN!$M$27,O35),"")</f>
        <v>#NUM!</v>
      </c>
      <c r="P35" s="816" t="str">
        <f ca="1">IF($AC$2="NO",IF(AND(AO35="MinCorrect",A35&lt;&gt;" "),MAIN!$F$10,P35),"")</f>
        <v/>
      </c>
      <c r="Q35" s="816" t="str">
        <f ca="1">IF($AC$2="NO",IF(AND(AO35="MinCorrect",A35&lt;&gt;" "),MAIN!$D$10,Q35),"")</f>
        <v/>
      </c>
      <c r="R35" s="816" t="str">
        <f ca="1">IF($AC$2="NO",IF(AND(AO35="MinCorrect",A35&lt;&gt;" "),MAIN!$E$10,R35),"")</f>
        <v/>
      </c>
      <c r="S35" s="88" t="e">
        <f ca="1">IF($AC$2="NO",IF(AND(AO35="MinCorrect",A35&lt;&gt;" "),[3]MAIN!#REF!,S35),"")</f>
        <v>#REF!</v>
      </c>
      <c r="T35" s="407" t="e">
        <f ca="1">IF($AC$2="NO",IF(AND(AO35="MinCorrect",A35&lt;&gt;" "),MAIN!#REF!,T35),"")</f>
        <v>#REF!</v>
      </c>
      <c r="U35" s="407" t="e">
        <f ca="1">IF($AC$2="NO",IF(AND(AO35="MinCorrect",A35&lt;&gt;" "),MAIN!#REF!,U35),"")</f>
        <v>#REF!</v>
      </c>
      <c r="V35" s="818" t="e">
        <f ca="1">IF($AC$2="NO",IF(AND(AO35="MinCorrect",A35&lt;&gt;" "),MAIN!#REF!,V35),"")</f>
        <v>#REF!</v>
      </c>
      <c r="W35" s="434"/>
      <c r="X35" s="434"/>
      <c r="Y35" s="434"/>
      <c r="AM35" s="275">
        <v>0.5625</v>
      </c>
      <c r="AO35" s="406" t="str">
        <f ca="1">IF(AND(HOUR(AM35)=(HOUR($AN$3)),(HOUR(AM36)=(HOUR($AN$3)))),IF(AND(MINUTE($AN$3)-MINUTE(AM35)&gt;=0,(MINUTE(AM36)-MINUTE($AN$3)&gt;0)),"Mincorrect","MinFalse"),"Hour False")</f>
        <v>Hour False</v>
      </c>
    </row>
    <row r="36" spans="1:41" ht="15" customHeight="1" thickBot="1" x14ac:dyDescent="0.4">
      <c r="A36" s="822"/>
      <c r="B36" s="824"/>
      <c r="C36" s="90" t="str">
        <f ca="1">IF($AC$2="NO",IF(AND(AO35="MinCorrect",A35&lt;&gt;" "),MAIN!$A$6,C36),"")</f>
        <v>PE</v>
      </c>
      <c r="D36" s="168">
        <f ca="1">IF($AC$2="NO",IF(AND(AO35="MinCorrect",A35&lt;&gt;" "),MAIN!$C$6,D36),"")</f>
        <v>744000</v>
      </c>
      <c r="E36" s="168" t="str">
        <f ca="1">IF($AC$2="NO",IF(AND(AO36="MinCorrect",A36&lt;&gt;" "),MAIN!$D$5,E36),"")</f>
        <v/>
      </c>
      <c r="F36" s="168">
        <f ca="1">IF($AC$2="NO",IF(AND(AO35="MinCorrect",A35&lt;&gt;" "),MAIN!$E$6,F36),"")</f>
        <v>0</v>
      </c>
      <c r="G36" s="168" t="str">
        <f ca="1">IF($AC$2="NO",IF(AND(AO36="MinCorrect",A36&lt;&gt;" "),MAIN!$F$5,G36),"")</f>
        <v/>
      </c>
      <c r="H36" s="825"/>
      <c r="I36" s="168" t="str">
        <f ca="1">IF($AC$2="NO",IF(AND(AO36="MinCorrect",A36&lt;&gt;" "),MAIN!$H$6,I36),"")</f>
        <v/>
      </c>
      <c r="J36" s="820" t="str">
        <f ca="1">IF($AC$2="NO",IF(AND(AO36="MinCorrect",A36&lt;&gt;" "),MAIN!$L$5,J36),"")</f>
        <v/>
      </c>
      <c r="K36" s="168" t="str">
        <f ca="1">IF($AC$2="NO",IF(AND(AO36="MinCorrect",A36&lt;&gt;" "),MAIN!$M$5,K36),"")</f>
        <v/>
      </c>
      <c r="L36" s="820" t="str">
        <f ca="1">IF($AC$2="NO",IF(AND(AO36="MinCorrect",A36&lt;&gt;" "),MAIN!$N$5,L36),"")</f>
        <v/>
      </c>
      <c r="M36" s="817"/>
      <c r="N36" s="817"/>
      <c r="O36" s="527">
        <f ca="1">IF($AC$2="NO",IF(AND(AO35="MinCorrect",A35&lt;&gt;" "),MAIN!$J$49,O36),"")</f>
        <v>0</v>
      </c>
      <c r="P36" s="817"/>
      <c r="Q36" s="817"/>
      <c r="R36" s="817"/>
      <c r="S36" s="92" t="e">
        <f ca="1">IF($AC$2="NO",IF(AND(AO35="MinCorrect",A35&lt;&gt;" "),[3]MAIN!#REF!,S36),"")</f>
        <v>#REF!</v>
      </c>
      <c r="T36" s="407" t="str">
        <f ca="1">IF($AC$2="NO",IF(AND(AO36="MinCorrect",A36&lt;&gt;" "),MAIN!#REF!,T36),"")</f>
        <v/>
      </c>
      <c r="U36" s="407" t="str">
        <f ca="1">IF($AC$2="NO",IF(AND(AO36="MinCorrect",A36&lt;&gt;" "),MAIN!#REF!,U36),"")</f>
        <v/>
      </c>
      <c r="V36" s="818"/>
      <c r="W36" s="434"/>
      <c r="X36" s="434"/>
      <c r="Y36" s="434"/>
      <c r="AM36" s="275">
        <v>0.56527777777777777</v>
      </c>
      <c r="AO36" s="406"/>
    </row>
    <row r="37" spans="1:41" ht="15" customHeight="1" thickBot="1" x14ac:dyDescent="0.4">
      <c r="A37" s="821" t="str">
        <f ca="1">IF($AC$2="NO",IF(AO37="MinCorrect",Sheet51!$F$1,IF(A37&lt;=TIMEVALUE("00:00:00"),"",A37)),"")</f>
        <v>13:40:57</v>
      </c>
      <c r="B37" s="823" t="str">
        <f ca="1">IF($AC$2="NO",IF(AND(AO37="MinCorrect",A37&lt;&gt;" "),MAIN!$I$12,B37),"")</f>
        <v>NIFTY</v>
      </c>
      <c r="C37" s="167" t="str">
        <f ca="1">IF($AC$2="NO",IF(AND(AO36="MinCorrect",A36&lt;&gt;" "),MAIN!$A$6,C37),"")</f>
        <v/>
      </c>
      <c r="D37" s="167" t="str">
        <f ca="1">IF($AC$2="NO",IF(AND(AO36="MinCorrect",A36&lt;&gt;" "),MAIN!$C$6,D37),"")</f>
        <v/>
      </c>
      <c r="E37" s="167">
        <f ca="1">IF($AC$2="NO",IF(AND(AO37="MinCorrect",A37&lt;&gt;" "),MAIN!$D$5,E37),"")</f>
        <v>7.75</v>
      </c>
      <c r="F37" s="167">
        <f ca="1">IF($AC$2="NO",IF(AND(AO37="MinCorrect",A37&lt;&gt;" "),MAIN!$E$5,F37),"")</f>
        <v>644100</v>
      </c>
      <c r="G37" s="167">
        <f ca="1">IF($AC$2="NO",IF(AND(AO37="MinCorrect",A37&lt;&gt;" "),MAIN!$F$5,G37),"")</f>
        <v>603412</v>
      </c>
      <c r="H37" s="819" t="str">
        <f ca="1">IF($AC$2="NO",IF(AND(AO37="MinCorrect",A37&lt;&gt;" "),MAIN!$E$7,H37),"")</f>
        <v>BUY</v>
      </c>
      <c r="I37" s="167">
        <f ca="1">IF($AC$2="NO",IF(AND(AO37="MinCorrect",A37&lt;&gt;" "),MAIN!$H$5,I37),"")</f>
        <v>0</v>
      </c>
      <c r="J37" s="819">
        <f ca="1">IF($AC$2="NO",IF(AND(AO37="MinCorrect",A37&lt;&gt;" "),MAIN!$L$5,J37),"")</f>
        <v>12000</v>
      </c>
      <c r="K37" s="167">
        <f ca="1">IF($AC$2="NO",IF(AND(AO37="MinCorrect",A37&lt;&gt;" "),MAIN!$M$5,K37),"")</f>
        <v>7.75</v>
      </c>
      <c r="L37" s="819">
        <f ca="1">IF($AC$2="NO",IF(AND(AO37="MinCorrect",A37&lt;&gt;" "),MAIN!$N$5,L37),"")</f>
        <v>5986575</v>
      </c>
      <c r="M37" s="816">
        <f ca="1">IF($AC$2="NO",IF(AND(AO37="MinCorrect",A37&lt;&gt;" "),MAIN!$B$2,M37),"")</f>
        <v>11964.1</v>
      </c>
      <c r="N37" s="816">
        <f ca="1">IF($AC$2="NO",IF(AND(AO37="MinCorrect",A37&lt;&gt;" "),MAIN!$S$2,N37),"")</f>
        <v>11900</v>
      </c>
      <c r="O37" s="435">
        <f ca="1">IF($AC$2="NO",IF(AND(AO37="MinCorrect",A37&lt;&gt;" "),MAIN!$M$27,O37),"")</f>
        <v>2.5916666666666668</v>
      </c>
      <c r="P37" s="816" t="str">
        <f ca="1">IF($AC$2="NO",IF(AND(AO37="MinCorrect",A37&lt;&gt;" "),MAIN!$F$10,P37),"")</f>
        <v/>
      </c>
      <c r="Q37" s="816" t="str">
        <f ca="1">IF($AC$2="NO",IF(AND(AO37="MinCorrect",A37&lt;&gt;" "),MAIN!$D$10,Q37),"")</f>
        <v/>
      </c>
      <c r="R37" s="816" t="str">
        <f ca="1">IF($AC$2="NO",IF(AND(AO37="MinCorrect",A37&lt;&gt;" "),MAIN!$E$10,R37),"")</f>
        <v/>
      </c>
      <c r="S37" s="88" t="e">
        <f ca="1">IF($AC$2="NO",IF(AND(AO37="MinCorrect",A37&lt;&gt;" "),[3]MAIN!#REF!,S37),"")</f>
        <v>#REF!</v>
      </c>
      <c r="T37" s="407" t="e">
        <f ca="1">IF($AC$2="NO",IF(AND(AO37="MinCorrect",A37&lt;&gt;" "),MAIN!#REF!,T37),"")</f>
        <v>#REF!</v>
      </c>
      <c r="U37" s="407" t="e">
        <f ca="1">IF($AC$2="NO",IF(AND(AO37="MinCorrect",A37&lt;&gt;" "),MAIN!#REF!,U37),"")</f>
        <v>#REF!</v>
      </c>
      <c r="V37" s="818" t="e">
        <f ca="1">IF($AC$2="NO",IF(AND(AO37="MinCorrect",A37&lt;&gt;" "),MAIN!#REF!,V37),"")</f>
        <v>#REF!</v>
      </c>
      <c r="W37" s="434"/>
      <c r="X37" s="434"/>
      <c r="Y37" s="434"/>
      <c r="AM37" s="275">
        <v>0.57291666666666663</v>
      </c>
      <c r="AO37" s="406" t="str">
        <f ca="1">IF(AND(HOUR(AM37)=(HOUR($AN$3)),(HOUR(AM38)=(HOUR($AN$3)))),IF(AND(MINUTE($AN$3)-MINUTE(AM37)&gt;=0,(MINUTE(AM38)-MINUTE($AN$3)&gt;0)),"Mincorrect","MinFalse"),"Hour False")</f>
        <v>Hour False</v>
      </c>
    </row>
    <row r="38" spans="1:41" ht="15" customHeight="1" thickBot="1" x14ac:dyDescent="0.4">
      <c r="A38" s="822"/>
      <c r="B38" s="824"/>
      <c r="C38" s="90" t="str">
        <f ca="1">IF($AC$2="NO",IF(AND(AO37="MinCorrect",A37&lt;&gt;" "),MAIN!$A$6,C38),"")</f>
        <v>PE</v>
      </c>
      <c r="D38" s="168">
        <f ca="1">IF($AC$2="NO",IF(AND(AO37="MinCorrect",A37&lt;&gt;" "),MAIN!$C$6,D38),"")</f>
        <v>11900</v>
      </c>
      <c r="E38" s="168" t="str">
        <f ca="1">IF($AC$2="NO",IF(AND(AO38="MinCorrect",A38&lt;&gt;" "),MAIN!$D$5,E38),"")</f>
        <v/>
      </c>
      <c r="F38" s="168">
        <f ca="1">IF($AC$2="NO",IF(AND(AO37="MinCorrect",A37&lt;&gt;" "),MAIN!$E$6,F38),"")</f>
        <v>4035000</v>
      </c>
      <c r="G38" s="168" t="str">
        <f ca="1">IF($AC$2="NO",IF(AND(AO38="MinCorrect",A38&lt;&gt;" "),MAIN!$F$5,G38),"")</f>
        <v/>
      </c>
      <c r="H38" s="825"/>
      <c r="I38" s="168" t="str">
        <f ca="1">IF($AC$2="NO",IF(AND(AO38="MinCorrect",A38&lt;&gt;" "),MAIN!$H$6,I38),"")</f>
        <v/>
      </c>
      <c r="J38" s="820" t="str">
        <f ca="1">IF($AC$2="NO",IF(AND(AO38="MinCorrect",A38&lt;&gt;" "),MAIN!$L$5,J38),"")</f>
        <v/>
      </c>
      <c r="K38" s="168" t="str">
        <f ca="1">IF($AC$2="NO",IF(AND(AO38="MinCorrect",A38&lt;&gt;" "),MAIN!$M$5,K38),"")</f>
        <v/>
      </c>
      <c r="L38" s="820" t="str">
        <f ca="1">IF($AC$2="NO",IF(AND(AO38="MinCorrect",A38&lt;&gt;" "),MAIN!$N$5,L38),"")</f>
        <v/>
      </c>
      <c r="M38" s="817"/>
      <c r="N38" s="817"/>
      <c r="O38" s="527">
        <f ca="1">IF($AC$2="NO",IF(AND(AO37="MinCorrect",A37&lt;&gt;" "),MAIN!$J$49,O38),"")</f>
        <v>0</v>
      </c>
      <c r="P38" s="817"/>
      <c r="Q38" s="817"/>
      <c r="R38" s="817"/>
      <c r="S38" s="92" t="e">
        <f ca="1">IF($AC$2="NO",IF(AND(AO37="MinCorrect",A37&lt;&gt;" "),[3]MAIN!#REF!,S38),"")</f>
        <v>#REF!</v>
      </c>
      <c r="T38" s="407" t="str">
        <f ca="1">IF($AC$2="NO",IF(AND(AO38="MinCorrect",A38&lt;&gt;" "),MAIN!#REF!,T38),"")</f>
        <v/>
      </c>
      <c r="U38" s="407" t="str">
        <f ca="1">IF($AC$2="NO",IF(AND(AO38="MinCorrect",A38&lt;&gt;" "),MAIN!#REF!,U38),"")</f>
        <v/>
      </c>
      <c r="V38" s="818"/>
      <c r="W38" s="434"/>
      <c r="X38" s="434"/>
      <c r="Y38" s="434"/>
      <c r="AM38" s="275">
        <v>0.5756944444444444</v>
      </c>
      <c r="AO38" s="406"/>
    </row>
    <row r="39" spans="1:41" ht="15" customHeight="1" thickBot="1" x14ac:dyDescent="0.4">
      <c r="A39" s="821" t="str">
        <f ca="1">IF($AC$2="NO",IF(AO39="MinCorrect",Sheet51!$F$1,IF(A39&lt;=TIMEVALUE("00:00:00"),"",A39)),"")</f>
        <v>13:55:27</v>
      </c>
      <c r="B39" s="823" t="str">
        <f ca="1">IF($AC$2="NO",IF(AND(AO39="MinCorrect",A39&lt;&gt;" "),MAIN!$I$12,B39),"")</f>
        <v>NIFTY</v>
      </c>
      <c r="C39" s="167" t="str">
        <f ca="1">IF($AC$2="NO",IF(AND(AO38="MinCorrect",A38&lt;&gt;" "),MAIN!$A$6,C39),"")</f>
        <v/>
      </c>
      <c r="D39" s="167" t="str">
        <f ca="1">IF($AC$2="NO",IF(AND(AO38="MinCorrect",A38&lt;&gt;" "),MAIN!$C$6,D39),"")</f>
        <v/>
      </c>
      <c r="E39" s="167">
        <f ca="1">IF($AC$2="NO",IF(AND(AO39="MinCorrect",A39&lt;&gt;" "),MAIN!$D$5,E39),"")</f>
        <v>0.65</v>
      </c>
      <c r="F39" s="167">
        <f ca="1">IF($AC$2="NO",IF(AND(AO39="MinCorrect",A39&lt;&gt;" "),MAIN!$E$5,F39),"")</f>
        <v>722625</v>
      </c>
      <c r="G39" s="167">
        <f ca="1">IF($AC$2="NO",IF(AND(AO39="MinCorrect",A39&lt;&gt;" "),MAIN!$F$5,G39),"")</f>
        <v>141242</v>
      </c>
      <c r="H39" s="819" t="str">
        <f ca="1">IF($AC$2="NO",IF(AND(AO39="MinCorrect",A39&lt;&gt;" "),MAIN!$E$7,H39),"")</f>
        <v>BUY</v>
      </c>
      <c r="I39" s="167">
        <f ca="1">IF($AC$2="NO",IF(AND(AO39="MinCorrect",A39&lt;&gt;" "),MAIN!$H$5,I39),"")</f>
        <v>0</v>
      </c>
      <c r="J39" s="819">
        <f ca="1">IF($AC$2="NO",IF(AND(AO39="MinCorrect",A39&lt;&gt;" "),MAIN!$L$5,J39),"")</f>
        <v>12000</v>
      </c>
      <c r="K39" s="167">
        <f ca="1">IF($AC$2="NO",IF(AND(AO39="MinCorrect",A39&lt;&gt;" "),MAIN!$M$5,K39),"")</f>
        <v>4.95</v>
      </c>
      <c r="L39" s="819">
        <f ca="1">IF($AC$2="NO",IF(AND(AO39="MinCorrect",A39&lt;&gt;" "),MAIN!$N$5,L39),"")</f>
        <v>5879700</v>
      </c>
      <c r="M39" s="816">
        <f ca="1">IF($AC$2="NO",IF(AND(AO39="MinCorrect",A39&lt;&gt;" "),MAIN!$B$2,M39),"")</f>
        <v>11951.9</v>
      </c>
      <c r="N39" s="816">
        <f ca="1">IF($AC$2="NO",IF(AND(AO39="MinCorrect",A39&lt;&gt;" "),MAIN!$S$2,N39),"")</f>
        <v>11900</v>
      </c>
      <c r="O39" s="527">
        <f ca="1">IF($AC$2="NO",IF(AND(AO39="MinCorrect",A39&lt;&gt;" "),MAIN!$M$27,O39),"")</f>
        <v>3.1166666666666667</v>
      </c>
      <c r="P39" s="816" t="str">
        <f ca="1">IF($AC$2="NO",IF(AND(AO39="MinCorrect",A39&lt;&gt;" "),MAIN!$F$10,P39),"")</f>
        <v/>
      </c>
      <c r="Q39" s="816" t="str">
        <f ca="1">IF($AC$2="NO",IF(AND(AO39="MinCorrect",A39&lt;&gt;" "),MAIN!$D$10,Q39),"")</f>
        <v/>
      </c>
      <c r="R39" s="816" t="str">
        <f ca="1">IF($AC$2="NO",IF(AND(AO39="MinCorrect",A39&lt;&gt;" "),MAIN!$E$10,R39),"")</f>
        <v/>
      </c>
      <c r="S39" s="88" t="e">
        <f ca="1">IF($AC$2="NO",IF(AND(AO39="MinCorrect",A39&lt;&gt;" "),[3]MAIN!#REF!,S39),"")</f>
        <v>#REF!</v>
      </c>
      <c r="T39" s="416" t="e">
        <f ca="1">IF($AC$2="NO",IF(AND(AO39="MinCorrect",A39&lt;&gt;" "),MAIN!#REF!,T39),"")</f>
        <v>#REF!</v>
      </c>
      <c r="U39" s="407" t="e">
        <f ca="1">IF($AC$2="NO",IF(AND(AO39="MinCorrect",A39&lt;&gt;" "),MAIN!#REF!,U39),"")</f>
        <v>#REF!</v>
      </c>
      <c r="V39" s="818" t="e">
        <f ca="1">IF($AC$2="NO",IF(AND(AO39="MinCorrect",A39&lt;&gt;" "),MAIN!#REF!,V39),"")</f>
        <v>#REF!</v>
      </c>
      <c r="W39" s="434"/>
      <c r="X39" s="434"/>
      <c r="Y39" s="434"/>
      <c r="AM39" s="275">
        <v>0.58333333333333337</v>
      </c>
      <c r="AO39" s="406" t="str">
        <f ca="1">IF(AND(HOUR(AM39)=(HOUR($AN$3)),(HOUR(AM40)=(HOUR($AN$3)))),IF(AND(MINUTE($AN$3)-MINUTE(AM39)&gt;=0,(MINUTE(AM40)-MINUTE($AN$3)&gt;0)),"Mincorrect","MinFalse"),"Hour False")</f>
        <v>Hour False</v>
      </c>
    </row>
    <row r="40" spans="1:41" ht="15" customHeight="1" thickBot="1" x14ac:dyDescent="0.4">
      <c r="A40" s="822"/>
      <c r="B40" s="824"/>
      <c r="C40" s="90" t="str">
        <f ca="1">IF($AC$2="NO",IF(AND(AO39="MinCorrect",A39&lt;&gt;" "),MAIN!$A$6,C40),"")</f>
        <v>PE</v>
      </c>
      <c r="D40" s="168">
        <f ca="1">IF($AC$2="NO",IF(AND(AO39="MinCorrect",A39&lt;&gt;" "),MAIN!$C$6,D40),"")</f>
        <v>11900</v>
      </c>
      <c r="E40" s="168" t="str">
        <f ca="1">IF($AC$2="NO",IF(AND(AO40="MinCorrect",A40&lt;&gt;" "),MAIN!$D$5,E40),"")</f>
        <v/>
      </c>
      <c r="F40" s="168">
        <f ca="1">IF($AC$2="NO",IF(AND(AO39="MinCorrect",A39&lt;&gt;" "),MAIN!$E$6,F40),"")</f>
        <v>4183050</v>
      </c>
      <c r="G40" s="168" t="str">
        <f ca="1">IF($AC$2="NO",IF(AND(AO40="MinCorrect",A40&lt;&gt;" "),MAIN!$F$5,G40),"")</f>
        <v/>
      </c>
      <c r="H40" s="825"/>
      <c r="I40" s="168" t="str">
        <f ca="1">IF($AC$2="NO",IF(AND(AO40="MinCorrect",A40&lt;&gt;" "),MAIN!$H$6,I40),"")</f>
        <v/>
      </c>
      <c r="J40" s="820" t="str">
        <f ca="1">IF($AC$2="NO",IF(AND(AO40="MinCorrect",A40&lt;&gt;" "),MAIN!$L$5,J40),"")</f>
        <v/>
      </c>
      <c r="K40" s="168" t="str">
        <f ca="1">IF($AC$2="NO",IF(AND(AO40="MinCorrect",A40&lt;&gt;" "),MAIN!$M$5,K40),"")</f>
        <v/>
      </c>
      <c r="L40" s="820" t="str">
        <f ca="1">IF($AC$2="NO",IF(AND(AO40="MinCorrect",A40&lt;&gt;" "),MAIN!$N$5,L40),"")</f>
        <v/>
      </c>
      <c r="M40" s="817"/>
      <c r="N40" s="817"/>
      <c r="O40" s="527">
        <f ca="1">IF($AC$2="NO",IF(AND(AO39="MinCorrect",A39&lt;&gt;" "),MAIN!$J$49,O40),"")</f>
        <v>0</v>
      </c>
      <c r="P40" s="817"/>
      <c r="Q40" s="817"/>
      <c r="R40" s="817"/>
      <c r="S40" s="92" t="e">
        <f ca="1">IF($AC$2="NO",IF(AND(AO39="MinCorrect",A39&lt;&gt;" "),[3]MAIN!#REF!,S40),"")</f>
        <v>#REF!</v>
      </c>
      <c r="T40" s="408" t="str">
        <f ca="1">IF($AC$2="NO",IF(AND(AO40="MinCorrect",A40&lt;&gt;" "),MAIN!#REF!,T40),"")</f>
        <v/>
      </c>
      <c r="U40" s="417" t="str">
        <f ca="1">IF($AC$2="NO",IF(AND(AO40="MinCorrect",A40&lt;&gt;" "),MAIN!#REF!,U40),"")</f>
        <v/>
      </c>
      <c r="V40" s="818"/>
      <c r="W40" s="434"/>
      <c r="X40" s="434"/>
      <c r="Y40" s="434"/>
      <c r="AM40" s="275">
        <v>0.58611111111111114</v>
      </c>
      <c r="AO40" s="406"/>
    </row>
    <row r="41" spans="1:41" ht="15" customHeight="1" thickBot="1" x14ac:dyDescent="0.4">
      <c r="A41" s="821" t="str">
        <f ca="1">IF($AC$2="NO",IF(AO41="MinCorrect",Sheet51!$F$1,IF(A41&lt;=TIMEVALUE("00:00:00"),"",A41)),"")</f>
        <v>14:11:58</v>
      </c>
      <c r="B41" s="823" t="str">
        <f ca="1">IF($AC$2="NO",IF(AND(AO41="MinCorrect",A41&lt;&gt;" "),MAIN!$I$12,B41),"")</f>
        <v>NIFTY</v>
      </c>
      <c r="C41" s="167" t="str">
        <f ca="1">IF($AC$2="NO",IF(AND(AO40="MinCorrect",A40&lt;&gt;" "),MAIN!$A$6,C41),"")</f>
        <v/>
      </c>
      <c r="D41" s="167" t="str">
        <f ca="1">IF($AC$2="NO",IF(AND(AO40="MinCorrect",A40&lt;&gt;" "),MAIN!$C$6,D41),"")</f>
        <v/>
      </c>
      <c r="E41" s="167">
        <f ca="1">IF($AC$2="NO",IF(AND(AO41="MinCorrect",A41&lt;&gt;" "),MAIN!$D$5,E41),"")</f>
        <v>51.4</v>
      </c>
      <c r="F41" s="167">
        <f ca="1">IF($AC$2="NO",IF(AND(AO41="MinCorrect",A41&lt;&gt;" "),MAIN!$E$5,F41),"")</f>
        <v>-664875</v>
      </c>
      <c r="G41" s="167">
        <f ca="1">IF($AC$2="NO",IF(AND(AO41="MinCorrect",A41&lt;&gt;" "),MAIN!$F$5,G41),"")</f>
        <v>524692</v>
      </c>
      <c r="H41" s="819" t="str">
        <f ca="1">IF($AC$2="NO",IF(AND(AO41="MinCorrect",A41&lt;&gt;" "),MAIN!$E$7,H41),"")</f>
        <v>BUY</v>
      </c>
      <c r="I41" s="167">
        <f ca="1">IF($AC$2="NO",IF(AND(AO41="MinCorrect",A41&lt;&gt;" "),MAIN!$H$5,I41),"")</f>
        <v>0</v>
      </c>
      <c r="J41" s="819">
        <f ca="1">IF($AC$2="NO",IF(AND(AO41="MinCorrect",A41&lt;&gt;" "),MAIN!$L$5,J41),"")</f>
        <v>12000</v>
      </c>
      <c r="K41" s="167">
        <f ca="1">IF($AC$2="NO",IF(AND(AO41="MinCorrect",A41&lt;&gt;" "),MAIN!$M$5,K41),"")</f>
        <v>4.2</v>
      </c>
      <c r="L41" s="819">
        <f ca="1">IF($AC$2="NO",IF(AND(AO41="MinCorrect",A41&lt;&gt;" "),MAIN!$N$5,L41),"")</f>
        <v>5956875</v>
      </c>
      <c r="M41" s="816">
        <f ca="1">IF($AC$2="NO",IF(AND(AO41="MinCorrect",A41&lt;&gt;" "),MAIN!$B$2,M41),"")</f>
        <v>11957.3</v>
      </c>
      <c r="N41" s="816">
        <f ca="1">IF($AC$2="NO",IF(AND(AO41="MinCorrect",A41&lt;&gt;" "),MAIN!$S$2,N41),"")</f>
        <v>11900</v>
      </c>
      <c r="O41" s="527">
        <f ca="1">IF($AC$2="NO",IF(AND(AO41="MinCorrect",A41&lt;&gt;" "),MAIN!$M$27,O41),"")</f>
        <v>3.0166666666666671</v>
      </c>
      <c r="P41" s="816" t="str">
        <f ca="1">IF($AC$2="NO",IF(AND(AO41="MinCorrect",A41&lt;&gt;" "),MAIN!$F$10,P41),"")</f>
        <v/>
      </c>
      <c r="Q41" s="816" t="str">
        <f ca="1">IF($AC$2="NO",IF(AND(AO41="MinCorrect",A41&lt;&gt;" "),MAIN!$D$10,Q41),"")</f>
        <v/>
      </c>
      <c r="R41" s="816" t="str">
        <f ca="1">IF($AC$2="NO",IF(AND(AO41="MinCorrect",A41&lt;&gt;" "),MAIN!$E$10,R41),"")</f>
        <v/>
      </c>
      <c r="S41" s="88" t="e">
        <f ca="1">IF($AC$2="NO",IF(AND(AO41="MinCorrect",A41&lt;&gt;" "),[3]MAIN!#REF!,S41),"")</f>
        <v>#REF!</v>
      </c>
      <c r="T41" s="407" t="e">
        <f ca="1">IF($AC$2="NO",IF(AND(AO41="MinCorrect",A41&lt;&gt;" "),MAIN!#REF!,T41),"")</f>
        <v>#REF!</v>
      </c>
      <c r="U41" s="407" t="e">
        <f ca="1">IF($AC$2="NO",IF(AND(AO41="MinCorrect",A41&lt;&gt;" "),MAIN!#REF!,U41),"")</f>
        <v>#REF!</v>
      </c>
      <c r="V41" s="818" t="e">
        <f ca="1">IF($AC$2="NO",IF(AND(AO41="MinCorrect",A41&lt;&gt;" "),MAIN!#REF!,V41),"")</f>
        <v>#REF!</v>
      </c>
      <c r="W41" s="434"/>
      <c r="X41" s="434"/>
      <c r="Y41" s="434"/>
      <c r="AM41" s="275">
        <v>0.59375</v>
      </c>
      <c r="AO41" s="406" t="str">
        <f ca="1">IF(AND(HOUR(AM41)=(HOUR($AN$3)),(HOUR(AM42)=(HOUR($AN$3)))),IF(AND(MINUTE($AN$3)-MINUTE(AM41)&gt;=0,(MINUTE(AM42)-MINUTE($AN$3)&gt;0)),"Mincorrect","MinFalse"),"Hour False")</f>
        <v>Hour False</v>
      </c>
    </row>
    <row r="42" spans="1:41" ht="15" customHeight="1" thickBot="1" x14ac:dyDescent="0.4">
      <c r="A42" s="822"/>
      <c r="B42" s="824"/>
      <c r="C42" s="90" t="str">
        <f ca="1">IF($AC$2="NO",IF(AND(AO41="MinCorrect",A41&lt;&gt;" "),MAIN!$A$6,C42),"")</f>
        <v>PE</v>
      </c>
      <c r="D42" s="168">
        <f ca="1">IF($AC$2="NO",IF(AND(AO41="MinCorrect",A41&lt;&gt;" "),MAIN!$C$6,D42),"")</f>
        <v>11900</v>
      </c>
      <c r="E42" s="168" t="str">
        <f ca="1">IF($AC$2="NO",IF(AND(AO42="MinCorrect",A42&lt;&gt;" "),MAIN!$D$5,E42),"")</f>
        <v/>
      </c>
      <c r="F42" s="168">
        <f ca="1">IF($AC$2="NO",IF(AND(AO41="MinCorrect",A41&lt;&gt;" "),MAIN!$E$6,F42),"")</f>
        <v>3839775</v>
      </c>
      <c r="G42" s="168" t="str">
        <f ca="1">IF($AC$2="NO",IF(AND(AO42="MinCorrect",A42&lt;&gt;" "),MAIN!$F$5,G42),"")</f>
        <v/>
      </c>
      <c r="H42" s="825"/>
      <c r="I42" s="168" t="str">
        <f ca="1">IF($AC$2="NO",IF(AND(AO42="MinCorrect",A42&lt;&gt;" "),MAIN!$H$6,I42),"")</f>
        <v/>
      </c>
      <c r="J42" s="820" t="str">
        <f ca="1">IF($AC$2="NO",IF(AND(AO42="MinCorrect",A42&lt;&gt;" "),MAIN!$L$5,J42),"")</f>
        <v/>
      </c>
      <c r="K42" s="168" t="str">
        <f ca="1">IF($AC$2="NO",IF(AND(AO42="MinCorrect",A42&lt;&gt;" "),MAIN!$M$5,K42),"")</f>
        <v/>
      </c>
      <c r="L42" s="820" t="str">
        <f ca="1">IF($AC$2="NO",IF(AND(AO42="MinCorrect",A42&lt;&gt;" "),MAIN!$N$5,L42),"")</f>
        <v/>
      </c>
      <c r="M42" s="817"/>
      <c r="N42" s="817"/>
      <c r="O42" s="527">
        <f ca="1">IF($AC$2="NO",IF(AND(AO41="MinCorrect",A41&lt;&gt;" "),MAIN!$J$49,O42),"")</f>
        <v>0</v>
      </c>
      <c r="P42" s="817"/>
      <c r="Q42" s="817"/>
      <c r="R42" s="817"/>
      <c r="S42" s="92" t="e">
        <f ca="1">IF($AC$2="NO",IF(AND(AO41="MinCorrect",A41&lt;&gt;" "),[3]MAIN!#REF!,S42),"")</f>
        <v>#REF!</v>
      </c>
      <c r="T42" s="413" t="str">
        <f ca="1">IF($AC$2="NO",IF(AND(AO42="MinCorrect",A42&lt;&gt;" "),MAIN!#REF!,T42),"")</f>
        <v/>
      </c>
      <c r="U42" s="413" t="str">
        <f ca="1">IF($AC$2="NO",IF(AND(AO42="MinCorrect",A42&lt;&gt;" "),MAIN!#REF!,U42),"")</f>
        <v/>
      </c>
      <c r="V42" s="818"/>
      <c r="W42" s="434"/>
      <c r="X42" s="434"/>
      <c r="Y42" s="434"/>
      <c r="AM42" s="275">
        <v>0.59652777777777777</v>
      </c>
      <c r="AO42" s="406"/>
    </row>
    <row r="43" spans="1:41" ht="15" customHeight="1" thickBot="1" x14ac:dyDescent="0.4">
      <c r="A43" s="821" t="str">
        <f ca="1">IF($AC$2="NO",IF(AO43="MinCorrect",Sheet51!$F$1,IF(A43&lt;=TIMEVALUE("00:00:00"),"",A43)),"")</f>
        <v>14:30:58</v>
      </c>
      <c r="B43" s="823" t="str">
        <f ca="1">IF($AC$2="NO",IF(AND(AO43="MinCorrect",A43&lt;&gt;" "),MAIN!$I$12,B43),"")</f>
        <v>NIFTY</v>
      </c>
      <c r="C43" s="167" t="str">
        <f ca="1">IF($AC$2="NO",IF(AND(AO42="MinCorrect",A42&lt;&gt;" "),MAIN!$A$6,C43),"")</f>
        <v/>
      </c>
      <c r="D43" s="167" t="str">
        <f ca="1">IF($AC$2="NO",IF(AND(AO42="MinCorrect",A42&lt;&gt;" "),MAIN!$C$6,D43),"")</f>
        <v/>
      </c>
      <c r="E43" s="167">
        <f ca="1">IF($AC$2="NO",IF(AND(AO43="MinCorrect",A43&lt;&gt;" "),MAIN!$D$5,E43),"")</f>
        <v>17.350000000000001</v>
      </c>
      <c r="F43" s="167">
        <f ca="1">IF($AC$2="NO",IF(AND(AO43="MinCorrect",A43&lt;&gt;" "),MAIN!$E$5,F43),"")</f>
        <v>1170975</v>
      </c>
      <c r="G43" s="167">
        <f ca="1">IF($AC$2="NO",IF(AND(AO43="MinCorrect",A43&lt;&gt;" "),MAIN!$F$5,G43),"")</f>
        <v>310424</v>
      </c>
      <c r="H43" s="819" t="str">
        <f ca="1">IF($AC$2="NO",IF(AND(AO43="MinCorrect",A43&lt;&gt;" "),MAIN!$E$7,H43),"")</f>
        <v>SELL</v>
      </c>
      <c r="I43" s="167">
        <f ca="1">IF($AC$2="NO",IF(AND(AO43="MinCorrect",A43&lt;&gt;" "),MAIN!$H$5,I43),"")</f>
        <v>17.16</v>
      </c>
      <c r="J43" s="819">
        <f ca="1">IF($AC$2="NO",IF(AND(AO43="MinCorrect",A43&lt;&gt;" "),MAIN!$L$5,J43),"")</f>
        <v>12000</v>
      </c>
      <c r="K43" s="167">
        <f ca="1">IF($AC$2="NO",IF(AND(AO43="MinCorrect",A43&lt;&gt;" "),MAIN!$M$5,K43),"")</f>
        <v>17.350000000000001</v>
      </c>
      <c r="L43" s="819">
        <f ca="1">IF($AC$2="NO",IF(AND(AO43="MinCorrect",A43&lt;&gt;" "),MAIN!$N$5,L43),"")</f>
        <v>4883625</v>
      </c>
      <c r="M43" s="816">
        <f ca="1">IF($AC$2="NO",IF(AND(AO43="MinCorrect",A43&lt;&gt;" "),MAIN!$B$2,M43),"")</f>
        <v>11869.2</v>
      </c>
      <c r="N43" s="816">
        <f ca="1">IF($AC$2="NO",IF(AND(AO43="MinCorrect",A43&lt;&gt;" "),MAIN!$S$2,N43),"")</f>
        <v>11800</v>
      </c>
      <c r="O43" s="527">
        <f ca="1">IF($AC$2="NO",IF(AND(AO43="MinCorrect",A43&lt;&gt;" "),MAIN!$M$27,O43),"")</f>
        <v>22.658333333333335</v>
      </c>
      <c r="P43" s="816" t="str">
        <f ca="1">IF($AC$2="NO",IF(AND(AO43="MinCorrect",A43&lt;&gt;" "),MAIN!$F$10,P43),"")</f>
        <v/>
      </c>
      <c r="Q43" s="816" t="str">
        <f ca="1">IF($AC$2="NO",IF(AND(AO43="MinCorrect",A43&lt;&gt;" "),MAIN!$D$10,Q43),"")</f>
        <v/>
      </c>
      <c r="R43" s="816" t="str">
        <f ca="1">IF($AC$2="NO",IF(AND(AO43="MinCorrect",A43&lt;&gt;" "),MAIN!$E$10,R43),"")</f>
        <v/>
      </c>
      <c r="S43" s="88" t="e">
        <f ca="1">IF($AC$2="NO",IF(AND(AO43="MinCorrect",A43&lt;&gt;" "),[3]MAIN!#REF!,S43),"")</f>
        <v>#REF!</v>
      </c>
      <c r="T43" s="407" t="e">
        <f ca="1">IF($AC$2="NO",IF(AND(AO43="MinCorrect",A43&lt;&gt;" "),MAIN!#REF!,T43),"")</f>
        <v>#REF!</v>
      </c>
      <c r="U43" s="407" t="e">
        <f ca="1">IF($AC$2="NO",IF(AND(AO43="MinCorrect",A43&lt;&gt;" "),MAIN!#REF!,U43),"")</f>
        <v>#REF!</v>
      </c>
      <c r="V43" s="818" t="e">
        <f ca="1">IF($AC$2="NO",IF(AND(AO43="MinCorrect",A43&lt;&gt;" "),MAIN!#REF!,V43),"")</f>
        <v>#REF!</v>
      </c>
      <c r="W43" s="434"/>
      <c r="X43" s="434"/>
      <c r="Y43" s="434"/>
      <c r="AM43" s="275">
        <v>0.60416666666666663</v>
      </c>
      <c r="AO43" s="406" t="str">
        <f ca="1">IF(AND(HOUR(AM43)=(HOUR($AN$3)),(HOUR(AM44)=(HOUR($AN$3)))),IF(AND(MINUTE($AN$3)-MINUTE(AM43)&gt;=0,(MINUTE(AM44)-MINUTE($AN$3)&gt;0)),"Mincorrect","MinFalse"),"Hour False")</f>
        <v>Hour False</v>
      </c>
    </row>
    <row r="44" spans="1:41" ht="15" customHeight="1" thickBot="1" x14ac:dyDescent="0.4">
      <c r="A44" s="822"/>
      <c r="B44" s="824"/>
      <c r="C44" s="90" t="str">
        <f ca="1">IF($AC$2="NO",IF(AND(AO43="MinCorrect",A43&lt;&gt;" "),MAIN!$A$6,C44),"")</f>
        <v>PE</v>
      </c>
      <c r="D44" s="168">
        <f ca="1">IF($AC$2="NO",IF(AND(AO43="MinCorrect",A43&lt;&gt;" "),MAIN!$C$6,D44),"")</f>
        <v>11750</v>
      </c>
      <c r="E44" s="168" t="str">
        <f ca="1">IF($AC$2="NO",IF(AND(AO44="MinCorrect",A44&lt;&gt;" "),MAIN!$D$5,E44),"")</f>
        <v/>
      </c>
      <c r="F44" s="168">
        <f ca="1">IF($AC$2="NO",IF(AND(AO43="MinCorrect",A43&lt;&gt;" "),MAIN!$E$6,F44),"")</f>
        <v>546750</v>
      </c>
      <c r="G44" s="168" t="str">
        <f ca="1">IF($AC$2="NO",IF(AND(AO44="MinCorrect",A44&lt;&gt;" "),MAIN!$F$5,G44),"")</f>
        <v/>
      </c>
      <c r="H44" s="825"/>
      <c r="I44" s="168" t="str">
        <f ca="1">IF($AC$2="NO",IF(AND(AO44="MinCorrect",A44&lt;&gt;" "),MAIN!$H$6,I44),"")</f>
        <v/>
      </c>
      <c r="J44" s="820" t="str">
        <f ca="1">IF($AC$2="NO",IF(AND(AO44="MinCorrect",A44&lt;&gt;" "),MAIN!$L$5,J44),"")</f>
        <v/>
      </c>
      <c r="K44" s="168" t="str">
        <f ca="1">IF($AC$2="NO",IF(AND(AO44="MinCorrect",A44&lt;&gt;" "),MAIN!$M$5,K44),"")</f>
        <v/>
      </c>
      <c r="L44" s="820" t="str">
        <f ca="1">IF($AC$2="NO",IF(AND(AO44="MinCorrect",A44&lt;&gt;" "),MAIN!$N$5,L44),"")</f>
        <v/>
      </c>
      <c r="M44" s="817"/>
      <c r="N44" s="817"/>
      <c r="O44" s="435">
        <f ca="1">IF($AC$2="NO",IF(AND(AO43="MinCorrect",A43&lt;&gt;" "),MAIN!$J$49,O44),"")</f>
        <v>15.616052631578949</v>
      </c>
      <c r="P44" s="817"/>
      <c r="Q44" s="817"/>
      <c r="R44" s="817"/>
      <c r="S44" s="92" t="e">
        <f ca="1">IF($AC$2="NO",IF(AND(AO43="MinCorrect",A43&lt;&gt;" "),[3]MAIN!#REF!,S44),"")</f>
        <v>#REF!</v>
      </c>
      <c r="T44" s="413" t="str">
        <f ca="1">IF($AC$2="NO",IF(AND(AO44="MinCorrect",A44&lt;&gt;" "),MAIN!#REF!,T44),"")</f>
        <v/>
      </c>
      <c r="U44" s="413" t="str">
        <f ca="1">IF($AC$2="NO",IF(AND(AO44="MinCorrect",A44&lt;&gt;" "),MAIN!#REF!,U44),"")</f>
        <v/>
      </c>
      <c r="V44" s="818"/>
      <c r="W44" s="434"/>
      <c r="X44" s="434"/>
      <c r="Y44" s="434"/>
      <c r="AM44" s="275">
        <v>0.6069444444444444</v>
      </c>
      <c r="AO44" s="406"/>
    </row>
    <row r="45" spans="1:41" ht="15" customHeight="1" thickBot="1" x14ac:dyDescent="0.4">
      <c r="A45" s="821" t="str">
        <f ca="1">IF($AC$2="NO",IF(AO45="MinCorrect",Sheet51!$F$1,IF(A45&lt;=TIMEVALUE("00:00:00"),"",A45)),"")</f>
        <v>14:34:58</v>
      </c>
      <c r="B45" s="823" t="str">
        <f ca="1">IF($AC$2="NO",IF(AND(AO45="MinCorrect",A45&lt;&gt;" "),MAIN!$I$12,B45),"")</f>
        <v>NIFTY</v>
      </c>
      <c r="C45" s="167" t="str">
        <f ca="1">IF($AC$2="NO",IF(AND(AO44="MinCorrect",A44&lt;&gt;" "),MAIN!$A$6,C45),"")</f>
        <v/>
      </c>
      <c r="D45" s="167" t="str">
        <f ca="1">IF($AC$2="NO",IF(AND(AO44="MinCorrect",A44&lt;&gt;" "),MAIN!$C$6,D45),"")</f>
        <v/>
      </c>
      <c r="E45" s="167">
        <f ca="1">IF($AC$2="NO",IF(AND(AO45="MinCorrect",A45&lt;&gt;" "),MAIN!$D$5,E45),"")</f>
        <v>56.2</v>
      </c>
      <c r="F45" s="167">
        <f ca="1">IF($AC$2="NO",IF(AND(AO45="MinCorrect",A45&lt;&gt;" "),MAIN!$E$5,F45),"")</f>
        <v>-880500</v>
      </c>
      <c r="G45" s="167">
        <f ca="1">IF($AC$2="NO",IF(AND(AO45="MinCorrect",A45&lt;&gt;" "),MAIN!$F$5,G45),"")</f>
        <v>554919</v>
      </c>
      <c r="H45" s="819" t="str">
        <f ca="1">IF($AC$2="NO",IF(AND(AO45="MinCorrect",A45&lt;&gt;" "),MAIN!$E$7,H45),"")</f>
        <v>BUY</v>
      </c>
      <c r="I45" s="167">
        <f ca="1">IF($AC$2="NO",IF(AND(AO45="MinCorrect",A45&lt;&gt;" "),MAIN!$H$5,I45),"")</f>
        <v>0</v>
      </c>
      <c r="J45" s="819">
        <f ca="1">IF($AC$2="NO",IF(AND(AO45="MinCorrect",A45&lt;&gt;" "),MAIN!$L$5,J45),"")</f>
        <v>12000</v>
      </c>
      <c r="K45" s="167">
        <f ca="1">IF($AC$2="NO",IF(AND(AO45="MinCorrect",A45&lt;&gt;" "),MAIN!$M$5,K45),"")</f>
        <v>4.4000000000000004</v>
      </c>
      <c r="L45" s="819">
        <f ca="1">IF($AC$2="NO",IF(AND(AO45="MinCorrect",A45&lt;&gt;" "),MAIN!$N$5,L45),"")</f>
        <v>6159000</v>
      </c>
      <c r="M45" s="816">
        <f ca="1">IF($AC$2="NO",IF(AND(AO45="MinCorrect",A45&lt;&gt;" "),MAIN!$B$2,M45),"")</f>
        <v>11957.65</v>
      </c>
      <c r="N45" s="816">
        <f ca="1">IF($AC$2="NO",IF(AND(AO45="MinCorrect",A45&lt;&gt;" "),MAIN!$S$2,N45),"")</f>
        <v>11900</v>
      </c>
      <c r="O45" s="527">
        <f ca="1">IF($AC$2="NO",IF(AND(AO45="MinCorrect",A45&lt;&gt;" "),MAIN!$M$27,O45),"")</f>
        <v>1.9083333333333334</v>
      </c>
      <c r="P45" s="816" t="str">
        <f ca="1">IF($AC$2="NO",IF(AND(AO45="MinCorrect",A45&lt;&gt;" "),MAIN!$F$10,P45),"")</f>
        <v/>
      </c>
      <c r="Q45" s="816" t="str">
        <f ca="1">IF($AC$2="NO",IF(AND(AO45="MinCorrect",A45&lt;&gt;" "),MAIN!$D$10,Q45),"")</f>
        <v/>
      </c>
      <c r="R45" s="816" t="str">
        <f ca="1">IF($AC$2="NO",IF(AND(AO45="MinCorrect",A45&lt;&gt;" "),MAIN!$E$10,R45),"")</f>
        <v/>
      </c>
      <c r="S45" s="88" t="e">
        <f ca="1">IF($AC$2="NO",IF(AND(AO45="MinCorrect",A45&lt;&gt;" "),[3]MAIN!#REF!,S45),"")</f>
        <v>#REF!</v>
      </c>
      <c r="T45" s="407" t="e">
        <f ca="1">IF($AC$2="NO",IF(AND(AO45="MinCorrect",A45&lt;&gt;" "),MAIN!#REF!,T45),"")</f>
        <v>#REF!</v>
      </c>
      <c r="U45" s="407" t="e">
        <f ca="1">IF($AC$2="NO",IF(AND(AO45="MinCorrect",A45&lt;&gt;" "),MAIN!#REF!,U45),"")</f>
        <v>#REF!</v>
      </c>
      <c r="V45" s="818" t="e">
        <f ca="1">IF($AC$2="NO",IF(AND(AO45="MinCorrect",A45&lt;&gt;" "),MAIN!#REF!,V45),"")</f>
        <v>#REF!</v>
      </c>
      <c r="W45" s="434"/>
      <c r="X45" s="434"/>
      <c r="Y45" s="434"/>
      <c r="AM45" s="275">
        <v>0.61458333333333337</v>
      </c>
      <c r="AO45" s="406" t="str">
        <f ca="1">IF(AND(HOUR(AM45)=(HOUR($AN$3)),(HOUR(AM46)=(HOUR($AN$3)))),IF(AND(MINUTE($AN$3)-MINUTE(AM45)&gt;=0,(MINUTE(AM46)-MINUTE($AN$3)&gt;0)),"Mincorrect","MinFalse"),"Hour False")</f>
        <v>Hour False</v>
      </c>
    </row>
    <row r="46" spans="1:41" ht="15" customHeight="1" thickBot="1" x14ac:dyDescent="0.4">
      <c r="A46" s="822"/>
      <c r="B46" s="824"/>
      <c r="C46" s="90" t="str">
        <f ca="1">IF($AC$2="NO",IF(AND(AO45="MinCorrect",A45&lt;&gt;" "),MAIN!$A$6,C46),"")</f>
        <v>PE</v>
      </c>
      <c r="D46" s="168">
        <f ca="1">IF($AC$2="NO",IF(AND(AO45="MinCorrect",A45&lt;&gt;" "),MAIN!$C$6,D46),"")</f>
        <v>11900</v>
      </c>
      <c r="E46" s="168" t="str">
        <f ca="1">IF($AC$2="NO",IF(AND(AO46="MinCorrect",A46&lt;&gt;" "),MAIN!$D$5,E46),"")</f>
        <v/>
      </c>
      <c r="F46" s="168">
        <f ca="1">IF($AC$2="NO",IF(AND(AO45="MinCorrect",A45&lt;&gt;" "),MAIN!$E$6,F46),"")</f>
        <v>4024200</v>
      </c>
      <c r="G46" s="168" t="str">
        <f ca="1">IF($AC$2="NO",IF(AND(AO46="MinCorrect",A46&lt;&gt;" "),MAIN!$F$5,G46),"")</f>
        <v/>
      </c>
      <c r="H46" s="825"/>
      <c r="I46" s="168" t="str">
        <f ca="1">IF($AC$2="NO",IF(AND(AO46="MinCorrect",A46&lt;&gt;" "),MAIN!$H$6,I46),"")</f>
        <v/>
      </c>
      <c r="J46" s="820" t="str">
        <f ca="1">IF($AC$2="NO",IF(AND(AO46="MinCorrect",A46&lt;&gt;" "),MAIN!$L$5,J46),"")</f>
        <v/>
      </c>
      <c r="K46" s="168" t="str">
        <f ca="1">IF($AC$2="NO",IF(AND(AO46="MinCorrect",A46&lt;&gt;" "),MAIN!$M$5,K46),"")</f>
        <v/>
      </c>
      <c r="L46" s="820" t="str">
        <f ca="1">IF($AC$2="NO",IF(AND(AO46="MinCorrect",A46&lt;&gt;" "),MAIN!$N$5,L46),"")</f>
        <v/>
      </c>
      <c r="M46" s="817"/>
      <c r="N46" s="817"/>
      <c r="O46" s="527">
        <f ca="1">IF($AC$2="NO",IF(AND(AO45="MinCorrect",A45&lt;&gt;" "),MAIN!$J$49,O46),"")</f>
        <v>0</v>
      </c>
      <c r="P46" s="817"/>
      <c r="Q46" s="817"/>
      <c r="R46" s="817"/>
      <c r="S46" s="92" t="e">
        <f ca="1">IF($AC$2="NO",IF(AND(AO45="MinCorrect",A45&lt;&gt;" "),[3]MAIN!#REF!,S46),"")</f>
        <v>#REF!</v>
      </c>
      <c r="T46" s="413" t="str">
        <f ca="1">IF($AC$2="NO",IF(AND(AO46="MinCorrect",A46&lt;&gt;" "),MAIN!#REF!,T46),"")</f>
        <v/>
      </c>
      <c r="U46" s="413" t="str">
        <f ca="1">IF($AC$2="NO",IF(AND(AO46="MinCorrect",A46&lt;&gt;" "),MAIN!#REF!,U46),"")</f>
        <v/>
      </c>
      <c r="V46" s="818"/>
      <c r="W46" s="434"/>
      <c r="X46" s="434"/>
      <c r="Y46" s="434"/>
      <c r="AM46" s="275">
        <v>0.61736111111111114</v>
      </c>
      <c r="AO46" s="406"/>
    </row>
    <row r="47" spans="1:41" ht="15" customHeight="1" thickBot="1" x14ac:dyDescent="0.4">
      <c r="A47" s="821" t="str">
        <f ca="1">IF($AC$2="NO",IF(AO47="MinCorrect",Sheet51!$F$1,IF(A47&lt;=TIMEVALUE("00:00:00"),"",A47)),"")</f>
        <v>14:52:29</v>
      </c>
      <c r="B47" s="823" t="str">
        <f ca="1">IF($AC$2="NO",IF(AND(AO47="MinCorrect",A47&lt;&gt;" "),MAIN!$I$12,B47),"")</f>
        <v>NIFTY</v>
      </c>
      <c r="C47" s="167" t="str">
        <f ca="1">IF($AC$2="NO",IF(AND(AO46="MinCorrect",A46&lt;&gt;" "),MAIN!$A$6,C47),"")</f>
        <v/>
      </c>
      <c r="D47" s="167" t="str">
        <f ca="1">IF($AC$2="NO",IF(AND(AO46="MinCorrect",A46&lt;&gt;" "),MAIN!$C$6,D47),"")</f>
        <v/>
      </c>
      <c r="E47" s="167">
        <f ca="1">IF($AC$2="NO",IF(AND(AO47="MinCorrect",A47&lt;&gt;" "),MAIN!$D$5,E47),"")</f>
        <v>27.65</v>
      </c>
      <c r="F47" s="167">
        <f ca="1">IF($AC$2="NO",IF(AND(AO47="MinCorrect",A47&lt;&gt;" "),MAIN!$E$5,F47),"")</f>
        <v>-1140150</v>
      </c>
      <c r="G47" s="167">
        <f ca="1">IF($AC$2="NO",IF(AND(AO47="MinCorrect",A47&lt;&gt;" "),MAIN!$F$5,G47),"")</f>
        <v>585699</v>
      </c>
      <c r="H47" s="819" t="str">
        <f ca="1">IF($AC$2="NO",IF(AND(AO47="MinCorrect",A47&lt;&gt;" "),MAIN!$E$7,H47),"")</f>
        <v>BUY</v>
      </c>
      <c r="I47" s="167">
        <f ca="1">IF($AC$2="NO",IF(AND(AO47="MinCorrect",A47&lt;&gt;" "),MAIN!$H$5,I47),"")</f>
        <v>0</v>
      </c>
      <c r="J47" s="819">
        <f ca="1">IF($AC$2="NO",IF(AND(AO47="MinCorrect",A47&lt;&gt;" "),MAIN!$L$5,J47),"")</f>
        <v>12000</v>
      </c>
      <c r="K47" s="167">
        <f ca="1">IF($AC$2="NO",IF(AND(AO47="MinCorrect",A47&lt;&gt;" "),MAIN!$M$5,K47),"")</f>
        <v>0.75</v>
      </c>
      <c r="L47" s="819">
        <f ca="1">IF($AC$2="NO",IF(AND(AO47="MinCorrect",A47&lt;&gt;" "),MAIN!$N$5,L47),"")</f>
        <v>6105375</v>
      </c>
      <c r="M47" s="816">
        <f ca="1">IF($AC$2="NO",IF(AND(AO47="MinCorrect",A47&lt;&gt;" "),MAIN!$B$2,M47),"")</f>
        <v>11935</v>
      </c>
      <c r="N47" s="816">
        <f ca="1">IF($AC$2="NO",IF(AND(AO47="MinCorrect",A47&lt;&gt;" "),MAIN!$S$2,N47),"")</f>
        <v>11900</v>
      </c>
      <c r="O47" s="435">
        <f ca="1">IF($AC$2="NO",IF(AND(AO47="MinCorrect",A47&lt;&gt;" "),MAIN!$M$27,O47),"")</f>
        <v>4.1583333333333332</v>
      </c>
      <c r="P47" s="816" t="str">
        <f ca="1">IF($AC$2="NO",IF(AND(AO47="MinCorrect",A47&lt;&gt;" "),MAIN!$F$10,P47),"")</f>
        <v/>
      </c>
      <c r="Q47" s="816" t="str">
        <f ca="1">IF($AC$2="NO",IF(AND(AO47="MinCorrect",A47&lt;&gt;" "),MAIN!$D$10,Q47),"")</f>
        <v/>
      </c>
      <c r="R47" s="816" t="str">
        <f ca="1">IF($AC$2="NO",IF(AND(AO47="MinCorrect",A47&lt;&gt;" "),MAIN!$E$10,R47),"")</f>
        <v/>
      </c>
      <c r="S47" s="818" t="e">
        <f ca="1">IF($AC$2="NO",IF(AND(AO47="MinCorrect",A47&lt;&gt;" "),[3]MAIN!#REF!,S47),"")</f>
        <v>#REF!</v>
      </c>
      <c r="T47" s="407" t="e">
        <f ca="1">IF($AC$2="NO",IF(AND(AO47="MinCorrect",A47&lt;&gt;" "),MAIN!#REF!,T47),"")</f>
        <v>#REF!</v>
      </c>
      <c r="U47" s="414" t="e">
        <f ca="1">IF($AC$2="NO",IF(AND(AO47="MinCorrect",A47&lt;&gt;" "),MAIN!#REF!,U47),"")</f>
        <v>#REF!</v>
      </c>
      <c r="V47" s="818" t="e">
        <f ca="1">IF($AC$2="NO",IF(AND(AO47="MinCorrect",A47&lt;&gt;" "),MAIN!#REF!,V47),"")</f>
        <v>#REF!</v>
      </c>
      <c r="W47" s="434"/>
      <c r="X47" s="434"/>
      <c r="Y47" s="434"/>
      <c r="AM47" s="275">
        <v>0.625</v>
      </c>
      <c r="AO47" s="406" t="str">
        <f ca="1">IF(AND(HOUR(AM47)=(HOUR($AN$3)),(HOUR(AM48)=(HOUR($AN$3)))),IF(AND(MINUTE($AN$3)-MINUTE(AM47)&gt;=0,(MINUTE(AM48)-MINUTE($AN$3)&gt;0)),"Mincorrect","MinFalse"),"Hour False")</f>
        <v>Hour False</v>
      </c>
    </row>
    <row r="48" spans="1:41" ht="15" customHeight="1" thickBot="1" x14ac:dyDescent="0.4">
      <c r="A48" s="822"/>
      <c r="B48" s="824"/>
      <c r="C48" s="90" t="str">
        <f ca="1">IF($AC$2="NO",IF(AND(AO47="MinCorrect",A47&lt;&gt;" "),MAIN!$A$6,C48),"")</f>
        <v>PE</v>
      </c>
      <c r="D48" s="168">
        <f ca="1">IF($AC$2="NO",IF(AND(AO47="MinCorrect",A47&lt;&gt;" "),MAIN!$C$6,D48),"")</f>
        <v>11900</v>
      </c>
      <c r="E48" s="168" t="str">
        <f ca="1">IF($AC$2="NO",IF(AND(AO48="MinCorrect",A48&lt;&gt;" "),MAIN!$D$5,E48),"")</f>
        <v/>
      </c>
      <c r="F48" s="168">
        <f ca="1">IF($AC$2="NO",IF(AND(AO47="MinCorrect",A47&lt;&gt;" "),MAIN!$E$6,F48),"")</f>
        <v>3526800</v>
      </c>
      <c r="G48" s="168" t="str">
        <f ca="1">IF($AC$2="NO",IF(AND(AO48="MinCorrect",A48&lt;&gt;" "),MAIN!$F$5,G48),"")</f>
        <v/>
      </c>
      <c r="H48" s="825"/>
      <c r="I48" s="168" t="str">
        <f ca="1">IF($AC$2="NO",IF(AND(AO48="MinCorrect",A48&lt;&gt;" "),MAIN!$H$6,I48),"")</f>
        <v/>
      </c>
      <c r="J48" s="820" t="str">
        <f ca="1">IF($AC$2="NO",IF(AND(AO48="MinCorrect",A48&lt;&gt;" "),MAIN!$L$5,J48),"")</f>
        <v/>
      </c>
      <c r="K48" s="168" t="str">
        <f ca="1">IF($AC$2="NO",IF(AND(AO48="MinCorrect",A48&lt;&gt;" "),MAIN!$M$5,K48),"")</f>
        <v/>
      </c>
      <c r="L48" s="820" t="str">
        <f ca="1">IF($AC$2="NO",IF(AND(AO48="MinCorrect",A48&lt;&gt;" "),MAIN!$N$5,L48),"")</f>
        <v/>
      </c>
      <c r="M48" s="817"/>
      <c r="N48" s="817"/>
      <c r="O48" s="435">
        <f ca="1">IF($AC$2="NO",IF(AND(AO47="MinCorrect",A47&lt;&gt;" "),MAIN!$J$49,O48),"")</f>
        <v>0</v>
      </c>
      <c r="P48" s="817"/>
      <c r="Q48" s="817"/>
      <c r="R48" s="817"/>
      <c r="S48" s="818" t="e">
        <f ca="1">IF($AC$2="NO",IF(AND(AO47="MinCorrect",A47&lt;&gt;" "),[3]MAIN!#REF!,S48),"")</f>
        <v>#REF!</v>
      </c>
      <c r="T48" s="413" t="str">
        <f ca="1">IF($AC$2="NO",IF(AND(AO48="MinCorrect",A48&lt;&gt;" "),MAIN!#REF!,T48),"")</f>
        <v/>
      </c>
      <c r="U48" s="409" t="str">
        <f ca="1">IF($AC$2="NO",IF(AND(AO48="MinCorrect",A48&lt;&gt;" "),MAIN!#REF!,U48),"")</f>
        <v/>
      </c>
      <c r="V48" s="818"/>
      <c r="W48" s="434"/>
      <c r="X48" s="434"/>
      <c r="Y48" s="434"/>
      <c r="AM48" s="275">
        <v>0.62777777777777777</v>
      </c>
      <c r="AO48" s="406"/>
    </row>
    <row r="49" spans="1:41" ht="15" customHeight="1" thickBot="1" x14ac:dyDescent="0.4">
      <c r="A49" s="821" t="str">
        <f ca="1">IF($AC$2="NO",IF(AO49="MinCorrect",Sheet51!$F$1,IF(A49&lt;=TIMEVALUE("00:00:00"),"",A49)),"")</f>
        <v>15:08:29</v>
      </c>
      <c r="B49" s="823" t="str">
        <f ca="1">IF($AC$2="NO",IF(AND(AO49="MinCorrect",A49&lt;&gt;" "),MAIN!$I$12,B49),"")</f>
        <v>NIFTY</v>
      </c>
      <c r="C49" s="167" t="str">
        <f ca="1">IF($AC$2="NO",IF(AND(AO48="MinCorrect",A48&lt;&gt;" "),MAIN!$A$6,C49),"")</f>
        <v/>
      </c>
      <c r="D49" s="167" t="str">
        <f ca="1">IF($AC$2="NO",IF(AND(AO48="MinCorrect",A48&lt;&gt;" "),MAIN!$C$6,D49),"")</f>
        <v/>
      </c>
      <c r="E49" s="167">
        <f ca="1">IF($AC$2="NO",IF(AND(AO49="MinCorrect",A49&lt;&gt;" "),MAIN!$D$5,E49),"")</f>
        <v>42.8</v>
      </c>
      <c r="F49" s="167">
        <f ca="1">IF($AC$2="NO",IF(AND(AO49="MinCorrect",A49&lt;&gt;" "),MAIN!$E$5,F49),"")</f>
        <v>-1508775</v>
      </c>
      <c r="G49" s="167">
        <f ca="1">IF($AC$2="NO",IF(AND(AO49="MinCorrect",A49&lt;&gt;" "),MAIN!$F$5,G49),"")</f>
        <v>636599</v>
      </c>
      <c r="H49" s="819" t="str">
        <f ca="1">IF($AC$2="NO",IF(AND(AO49="MinCorrect",A49&lt;&gt;" "),MAIN!$E$7,H49),"")</f>
        <v>BUY</v>
      </c>
      <c r="I49" s="167">
        <f ca="1">IF($AC$2="NO",IF(AND(AO49="MinCorrect",A49&lt;&gt;" "),MAIN!$H$5,I49),"")</f>
        <v>0</v>
      </c>
      <c r="J49" s="819">
        <f ca="1">IF($AC$2="NO",IF(AND(AO49="MinCorrect",A49&lt;&gt;" "),MAIN!$L$5,J49),"")</f>
        <v>12000</v>
      </c>
      <c r="K49" s="167">
        <f ca="1">IF($AC$2="NO",IF(AND(AO49="MinCorrect",A49&lt;&gt;" "),MAIN!$M$5,K49),"")</f>
        <v>0.2</v>
      </c>
      <c r="L49" s="819">
        <f ca="1">IF($AC$2="NO",IF(AND(AO49="MinCorrect",A49&lt;&gt;" "),MAIN!$N$5,L49),"")</f>
        <v>5428425</v>
      </c>
      <c r="M49" s="816">
        <f ca="1">IF($AC$2="NO",IF(AND(AO49="MinCorrect",A49&lt;&gt;" "),MAIN!$B$2,M49),"")</f>
        <v>11946.6</v>
      </c>
      <c r="N49" s="816">
        <f ca="1">IF($AC$2="NO",IF(AND(AO49="MinCorrect",A49&lt;&gt;" "),MAIN!$S$2,N49),"")</f>
        <v>11900</v>
      </c>
      <c r="O49" s="435">
        <f ca="1">IF($AC$2="NO",IF(AND(AO49="MinCorrect",A49&lt;&gt;" "),MAIN!$M$27,O49),"")</f>
        <v>0.52500000000000002</v>
      </c>
      <c r="P49" s="816" t="str">
        <f ca="1">IF($AC$2="NO",IF(AND(AO49="MinCorrect",A49&lt;&gt;" "),MAIN!$F$10,P49),"")</f>
        <v/>
      </c>
      <c r="Q49" s="816" t="str">
        <f ca="1">IF($AC$2="NO",IF(AND(AO49="MinCorrect",A49&lt;&gt;" "),MAIN!$D$10,Q49),"")</f>
        <v/>
      </c>
      <c r="R49" s="816" t="str">
        <f ca="1">IF($AC$2="NO",IF(AND(AO49="MinCorrect",A49&lt;&gt;" "),MAIN!$E$10,R49),"")</f>
        <v/>
      </c>
      <c r="S49" s="88" t="e">
        <f ca="1">IF($AC$2="NO",IF(AND(AO49="MinCorrect",A49&lt;&gt;" "),[3]MAIN!#REF!,S49),"")</f>
        <v>#REF!</v>
      </c>
      <c r="T49" s="407" t="e">
        <f ca="1">IF($AC$2="NO",IF(AND(AO49="MinCorrect",A49&lt;&gt;" "),MAIN!#REF!,T49),"")</f>
        <v>#REF!</v>
      </c>
      <c r="U49" s="407" t="e">
        <f ca="1">IF($AC$2="NO",IF(AND(AO49="MinCorrect",A49&lt;&gt;" "),MAIN!#REF!,U49),"")</f>
        <v>#REF!</v>
      </c>
      <c r="V49" s="818" t="e">
        <f ca="1">IF($AC$2="NO",IF(AND(AO49="MinCorrect",A49&lt;&gt;" "),MAIN!#REF!,V49),"")</f>
        <v>#REF!</v>
      </c>
      <c r="W49" s="434"/>
      <c r="X49" s="434"/>
      <c r="Y49" s="434"/>
      <c r="AM49" s="275">
        <v>0.63541666666666663</v>
      </c>
      <c r="AO49" s="406" t="str">
        <f ca="1">IF(AND(HOUR(AM49)=(HOUR($AN$3)),(HOUR(AM50)=(HOUR($AN$3)))),IF(AND(MINUTE($AN$3)-MINUTE(AM49)&gt;=0,(MINUTE(AM50)-MINUTE($AN$3)&gt;0)),"Mincorrect","MinFalse"),"Hour False")</f>
        <v>Hour False</v>
      </c>
    </row>
    <row r="50" spans="1:41" ht="15" customHeight="1" thickBot="1" x14ac:dyDescent="0.4">
      <c r="A50" s="822"/>
      <c r="B50" s="824"/>
      <c r="C50" s="90" t="str">
        <f ca="1">IF($AC$2="NO",IF(AND(AO49="MinCorrect",A49&lt;&gt;" "),MAIN!$A$6,C50),"")</f>
        <v>PE</v>
      </c>
      <c r="D50" s="168">
        <f ca="1">IF($AC$2="NO",IF(AND(AO49="MinCorrect",A49&lt;&gt;" "),MAIN!$C$6,D50),"")</f>
        <v>11900</v>
      </c>
      <c r="E50" s="168" t="str">
        <f ca="1">IF($AC$2="NO",IF(AND(AO50="MinCorrect",A50&lt;&gt;" "),MAIN!$D$5,E50),"")</f>
        <v/>
      </c>
      <c r="F50" s="168">
        <f ca="1">IF($AC$2="NO",IF(AND(AO49="MinCorrect",A49&lt;&gt;" "),MAIN!$E$6,F50),"")</f>
        <v>3165150</v>
      </c>
      <c r="G50" s="168" t="str">
        <f ca="1">IF($AC$2="NO",IF(AND(AO50="MinCorrect",A50&lt;&gt;" "),MAIN!$F$5,G50),"")</f>
        <v/>
      </c>
      <c r="H50" s="825"/>
      <c r="I50" s="168" t="str">
        <f ca="1">IF($AC$2="NO",IF(AND(AO50="MinCorrect",A50&lt;&gt;" "),MAIN!$H$6,I50),"")</f>
        <v/>
      </c>
      <c r="J50" s="820" t="str">
        <f ca="1">IF($AC$2="NO",IF(AND(AO50="MinCorrect",A50&lt;&gt;" "),MAIN!$L$5,J50),"")</f>
        <v/>
      </c>
      <c r="K50" s="168" t="str">
        <f ca="1">IF($AC$2="NO",IF(AND(AO50="MinCorrect",A50&lt;&gt;" "),MAIN!$M$5,K50),"")</f>
        <v/>
      </c>
      <c r="L50" s="820" t="str">
        <f ca="1">IF($AC$2="NO",IF(AND(AO50="MinCorrect",A50&lt;&gt;" "),MAIN!$N$5,L50),"")</f>
        <v/>
      </c>
      <c r="M50" s="817"/>
      <c r="N50" s="817"/>
      <c r="O50" s="435">
        <f ca="1">IF($AC$2="NO",IF(AND(AO49="MinCorrect",A49&lt;&gt;" "),MAIN!$J$49,O50),"")</f>
        <v>0</v>
      </c>
      <c r="P50" s="817"/>
      <c r="Q50" s="817"/>
      <c r="R50" s="817"/>
      <c r="S50" s="92" t="e">
        <f ca="1">IF($AC$2="NO",IF(AND(AO49="MinCorrect",A49&lt;&gt;" "),[3]MAIN!#REF!,S50),"")</f>
        <v>#REF!</v>
      </c>
      <c r="T50" s="413" t="str">
        <f ca="1">IF($AC$2="NO",IF(AND(AO50="MinCorrect",A50&lt;&gt;" "),MAIN!#REF!,T50),"")</f>
        <v/>
      </c>
      <c r="U50" s="413" t="str">
        <f ca="1">IF($AC$2="NO",IF(AND(AO50="MinCorrect",A50&lt;&gt;" "),MAIN!#REF!,U50),"")</f>
        <v/>
      </c>
      <c r="V50" s="818"/>
      <c r="W50" s="434"/>
      <c r="X50" s="434"/>
      <c r="Y50" s="434"/>
      <c r="AM50" s="275">
        <v>0.6381944444444444</v>
      </c>
      <c r="AO50" s="406"/>
    </row>
    <row r="51" spans="1:41" ht="15" customHeight="1" thickBot="1" x14ac:dyDescent="0.4">
      <c r="A51" s="821" t="str">
        <f ca="1">IF($AC$2="NO",IF(AO51="MinCorrect",Sheet51!$F$1,IF(A51&lt;=TIMEVALUE("00:00:00"),"",A51)),"")</f>
        <v>15:24:30</v>
      </c>
      <c r="B51" s="823" t="str">
        <f ca="1">IF($AC$2="NO",IF(AND(AO51="MinCorrect",A51&lt;&gt;" "),MAIN!$I$12,B51),"")</f>
        <v>NIFTY</v>
      </c>
      <c r="C51" s="167" t="str">
        <f ca="1">IF($AC$2="NO",IF(AND(AO50="MinCorrect",A50&lt;&gt;" "),MAIN!$A$6,C51),"")</f>
        <v/>
      </c>
      <c r="D51" s="167" t="str">
        <f ca="1">IF($AC$2="NO",IF(AND(AO50="MinCorrect",A50&lt;&gt;" "),MAIN!$C$6,D51),"")</f>
        <v/>
      </c>
      <c r="E51" s="167">
        <f ca="1">IF($AC$2="NO",IF(AND(AO51="MinCorrect",A51&lt;&gt;" "),MAIN!$D$5,E51),"")</f>
        <v>38.6</v>
      </c>
      <c r="F51" s="167">
        <f ca="1">IF($AC$2="NO",IF(AND(AO51="MinCorrect",A51&lt;&gt;" "),MAIN!$E$5,F51),"")</f>
        <v>-2009625</v>
      </c>
      <c r="G51" s="167">
        <f ca="1">IF($AC$2="NO",IF(AND(AO51="MinCorrect",A51&lt;&gt;" "),MAIN!$F$5,G51),"")</f>
        <v>659458</v>
      </c>
      <c r="H51" s="819" t="str">
        <f ca="1">IF($AC$2="NO",IF(AND(AO51="MinCorrect",A51&lt;&gt;" "),MAIN!$E$7,H51),"")</f>
        <v>BUY</v>
      </c>
      <c r="I51" s="167">
        <f ca="1">IF($AC$2="NO",IF(AND(AO51="MinCorrect",A51&lt;&gt;" "),MAIN!$H$5,I51),"")</f>
        <v>0</v>
      </c>
      <c r="J51" s="819">
        <f ca="1">IF($AC$2="NO",IF(AND(AO51="MinCorrect",A51&lt;&gt;" "),MAIN!$L$5,J51),"")</f>
        <v>12000</v>
      </c>
      <c r="K51" s="167">
        <f ca="1">IF($AC$2="NO",IF(AND(AO51="MinCorrect",A51&lt;&gt;" "),MAIN!$M$5,K51),"")</f>
        <v>0.05</v>
      </c>
      <c r="L51" s="819">
        <f ca="1">IF($AC$2="NO",IF(AND(AO51="MinCorrect",A51&lt;&gt;" "),MAIN!$N$5,L51),"")</f>
        <v>4466100</v>
      </c>
      <c r="M51" s="816">
        <f ca="1">IF($AC$2="NO",IF(AND(AO51="MinCorrect",A51&lt;&gt;" "),MAIN!$B$2,M51),"")</f>
        <v>11945.7</v>
      </c>
      <c r="N51" s="816">
        <f ca="1">IF($AC$2="NO",IF(AND(AO51="MinCorrect",A51&lt;&gt;" "),MAIN!$S$2,N51),"")</f>
        <v>11900</v>
      </c>
      <c r="O51" s="435">
        <f ca="1">IF($AC$2="NO",IF(AND(AO51="MinCorrect",A51&lt;&gt;" "),MAIN!$M$27,O51),"")</f>
        <v>4.9999999999999996E-2</v>
      </c>
      <c r="P51" s="816" t="str">
        <f ca="1">IF($AC$2="NO",IF(AND(AO51="MinCorrect",A51&lt;&gt;" "),MAIN!$F$10,P51),"")</f>
        <v/>
      </c>
      <c r="Q51" s="816" t="str">
        <f ca="1">IF($AC$2="NO",IF(AND(AO51="MinCorrect",A51&lt;&gt;" "),MAIN!$D$10,Q51),"")</f>
        <v/>
      </c>
      <c r="R51" s="816" t="str">
        <f ca="1">IF($AC$2="NO",IF(AND(AO51="MinCorrect",A51&lt;&gt;" "),MAIN!$E$10,R51),"")</f>
        <v/>
      </c>
      <c r="S51" s="88" t="e">
        <f ca="1">IF($AC$2="NO",IF(AND(AO51="MinCorrect",A51&lt;&gt;" "),[3]MAIN!#REF!,S51),"")</f>
        <v>#REF!</v>
      </c>
      <c r="T51" s="407" t="e">
        <f ca="1">IF($AC$2="NO",IF(AND(AO51="MinCorrect",A51&lt;&gt;" "),MAIN!#REF!,T51),"")</f>
        <v>#REF!</v>
      </c>
      <c r="U51" s="407" t="e">
        <f ca="1">IF($AC$2="NO",IF(AND(AO51="MinCorrect",A51&lt;&gt;" "),MAIN!#REF!,U51),"")</f>
        <v>#REF!</v>
      </c>
      <c r="V51" s="818" t="e">
        <f ca="1">IF($AC$2="NO",IF(AND(AO51="MinCorrect",A51&lt;&gt;" "),MAIN!#REF!,V51),"")</f>
        <v>#REF!</v>
      </c>
      <c r="W51" s="434"/>
      <c r="X51" s="434"/>
      <c r="Y51" s="434"/>
      <c r="AM51" s="275">
        <v>0.64583333333333337</v>
      </c>
      <c r="AO51" s="406" t="str">
        <f ca="1">IF(AND(HOUR(AM51)=(HOUR($AN$3)),(HOUR(AM52)=(HOUR($AN$3)))),IF(AND(MINUTE($AN$3)-MINUTE(AM51)&gt;=0,(MINUTE(AM52)-MINUTE($AN$3)&gt;0)),"Mincorrect","MinFalse"),"Hour False")</f>
        <v>Hour False</v>
      </c>
    </row>
    <row r="52" spans="1:41" ht="15" customHeight="1" thickBot="1" x14ac:dyDescent="0.4">
      <c r="A52" s="822"/>
      <c r="B52" s="824"/>
      <c r="C52" s="90" t="str">
        <f ca="1">IF($AC$2="NO",IF(AND(AO51="MinCorrect",A51&lt;&gt;" "),MAIN!$A$6,C52),"")</f>
        <v>PE</v>
      </c>
      <c r="D52" s="168">
        <f ca="1">IF($AC$2="NO",IF(AND(AO51="MinCorrect",A51&lt;&gt;" "),MAIN!$C$6,D52),"")</f>
        <v>11900</v>
      </c>
      <c r="E52" s="168" t="str">
        <f ca="1">IF($AC$2="NO",IF(AND(AO52="MinCorrect",A52&lt;&gt;" "),MAIN!$D$5,E52),"")</f>
        <v/>
      </c>
      <c r="F52" s="168">
        <f ca="1">IF($AC$2="NO",IF(AND(AO51="MinCorrect",A51&lt;&gt;" "),MAIN!$E$6,F52),"")</f>
        <v>2132625</v>
      </c>
      <c r="G52" s="168" t="str">
        <f ca="1">IF($AC$2="NO",IF(AND(AO52="MinCorrect",A52&lt;&gt;" "),MAIN!$F$5,G52),"")</f>
        <v/>
      </c>
      <c r="H52" s="825"/>
      <c r="I52" s="168" t="str">
        <f ca="1">IF($AC$2="NO",IF(AND(AO52="MinCorrect",A52&lt;&gt;" "),MAIN!$H$6,I52),"")</f>
        <v/>
      </c>
      <c r="J52" s="820" t="str">
        <f ca="1">IF($AC$2="NO",IF(AND(AO52="MinCorrect",A52&lt;&gt;" "),MAIN!$L$5,J52),"")</f>
        <v/>
      </c>
      <c r="K52" s="168" t="str">
        <f ca="1">IF($AC$2="NO",IF(AND(AO52="MinCorrect",A52&lt;&gt;" "),MAIN!$M$5,K52),"")</f>
        <v/>
      </c>
      <c r="L52" s="820" t="str">
        <f ca="1">IF($AC$2="NO",IF(AND(AO52="MinCorrect",A52&lt;&gt;" "),MAIN!$N$5,L52),"")</f>
        <v/>
      </c>
      <c r="M52" s="817"/>
      <c r="N52" s="817"/>
      <c r="O52" s="435">
        <f ca="1">IF($AC$2="NO",IF(AND(AO51="MinCorrect",A51&lt;&gt;" "),MAIN!$J$49,O52),"")</f>
        <v>0</v>
      </c>
      <c r="P52" s="817"/>
      <c r="Q52" s="817"/>
      <c r="R52" s="817"/>
      <c r="S52" s="92" t="e">
        <f ca="1">IF($AC$2="NO",IF(AND(AO51="MinCorrect",A51&lt;&gt;" "),[3]MAIN!#REF!,S52),"")</f>
        <v>#REF!</v>
      </c>
      <c r="T52" s="415" t="str">
        <f ca="1">IF($AC$2="NO",IF(AND(AO52="MinCorrect",A52&lt;&gt;" "),MAIN!#REF!,T52),"")</f>
        <v/>
      </c>
      <c r="U52" s="415" t="str">
        <f ca="1">IF($AC$2="NO",IF(AND(AO52="MinCorrect",A52&lt;&gt;" "),MAIN!#REF!,U52),"")</f>
        <v/>
      </c>
      <c r="V52" s="818"/>
      <c r="W52" s="434"/>
      <c r="X52" s="434"/>
      <c r="Y52" s="434"/>
      <c r="AM52" s="275">
        <v>0.64861111111111114</v>
      </c>
      <c r="AO52" s="406"/>
    </row>
  </sheetData>
  <mergeCells count="286">
    <mergeCell ref="C1:G1"/>
    <mergeCell ref="J1:L1"/>
    <mergeCell ref="Q1:R1"/>
    <mergeCell ref="S1:V1"/>
    <mergeCell ref="AL1:AP1"/>
    <mergeCell ref="A3:A4"/>
    <mergeCell ref="B3:B4"/>
    <mergeCell ref="H3:H4"/>
    <mergeCell ref="M3:M4"/>
    <mergeCell ref="N3:N4"/>
    <mergeCell ref="P3:P4"/>
    <mergeCell ref="Q3:Q4"/>
    <mergeCell ref="R3:R4"/>
    <mergeCell ref="V3:V4"/>
    <mergeCell ref="A5:A6"/>
    <mergeCell ref="B5:B6"/>
    <mergeCell ref="H5:H6"/>
    <mergeCell ref="M5:M6"/>
    <mergeCell ref="N5:N6"/>
    <mergeCell ref="P5:P6"/>
    <mergeCell ref="Q5:Q6"/>
    <mergeCell ref="R5:R6"/>
    <mergeCell ref="V5:V6"/>
    <mergeCell ref="A7:A8"/>
    <mergeCell ref="B7:B8"/>
    <mergeCell ref="H7:H8"/>
    <mergeCell ref="M7:M8"/>
    <mergeCell ref="N7:N8"/>
    <mergeCell ref="P7:P8"/>
    <mergeCell ref="Q7:Q8"/>
    <mergeCell ref="R7:R8"/>
    <mergeCell ref="V7:V8"/>
    <mergeCell ref="AB9:AD9"/>
    <mergeCell ref="AB10:AD10"/>
    <mergeCell ref="A11:A12"/>
    <mergeCell ref="B11:B12"/>
    <mergeCell ref="H11:H12"/>
    <mergeCell ref="M11:M12"/>
    <mergeCell ref="N11:N12"/>
    <mergeCell ref="P11:P12"/>
    <mergeCell ref="Q11:Q12"/>
    <mergeCell ref="R11:R12"/>
    <mergeCell ref="V11:V12"/>
    <mergeCell ref="AB11:AD11"/>
    <mergeCell ref="AB12:AD12"/>
    <mergeCell ref="L11:L12"/>
    <mergeCell ref="A9:A10"/>
    <mergeCell ref="B9:B10"/>
    <mergeCell ref="H9:H10"/>
    <mergeCell ref="M9:M10"/>
    <mergeCell ref="N9:N10"/>
    <mergeCell ref="P9:P10"/>
    <mergeCell ref="Q9:Q10"/>
    <mergeCell ref="R9:R10"/>
    <mergeCell ref="V9:V10"/>
    <mergeCell ref="AB13:AD13"/>
    <mergeCell ref="A15:A16"/>
    <mergeCell ref="B15:B16"/>
    <mergeCell ref="H15:H16"/>
    <mergeCell ref="M15:M16"/>
    <mergeCell ref="N15:N16"/>
    <mergeCell ref="P15:P16"/>
    <mergeCell ref="Q15:Q16"/>
    <mergeCell ref="R15:R16"/>
    <mergeCell ref="V15:V16"/>
    <mergeCell ref="J13:J14"/>
    <mergeCell ref="L13:L14"/>
    <mergeCell ref="J15:J16"/>
    <mergeCell ref="L15:L16"/>
    <mergeCell ref="A13:A14"/>
    <mergeCell ref="B13:B14"/>
    <mergeCell ref="H13:H14"/>
    <mergeCell ref="M13:M14"/>
    <mergeCell ref="N13:N14"/>
    <mergeCell ref="P13:P14"/>
    <mergeCell ref="Q13:Q14"/>
    <mergeCell ref="R13:R14"/>
    <mergeCell ref="V13:V14"/>
    <mergeCell ref="A17:A18"/>
    <mergeCell ref="B17:B18"/>
    <mergeCell ref="H17:H18"/>
    <mergeCell ref="M17:M18"/>
    <mergeCell ref="N17:N18"/>
    <mergeCell ref="P17:P18"/>
    <mergeCell ref="Q17:Q18"/>
    <mergeCell ref="R17:R18"/>
    <mergeCell ref="V17:V18"/>
    <mergeCell ref="J17:J18"/>
    <mergeCell ref="L17:L18"/>
    <mergeCell ref="A19:A20"/>
    <mergeCell ref="B19:B20"/>
    <mergeCell ref="H19:H20"/>
    <mergeCell ref="M19:M20"/>
    <mergeCell ref="N19:N20"/>
    <mergeCell ref="P19:P20"/>
    <mergeCell ref="Q19:Q20"/>
    <mergeCell ref="R19:R20"/>
    <mergeCell ref="V19:V20"/>
    <mergeCell ref="J19:J20"/>
    <mergeCell ref="L19:L20"/>
    <mergeCell ref="A21:A22"/>
    <mergeCell ref="B21:B22"/>
    <mergeCell ref="H21:H22"/>
    <mergeCell ref="M21:M22"/>
    <mergeCell ref="N21:N22"/>
    <mergeCell ref="P21:P22"/>
    <mergeCell ref="Q21:Q22"/>
    <mergeCell ref="R21:R22"/>
    <mergeCell ref="V21:V22"/>
    <mergeCell ref="J21:J22"/>
    <mergeCell ref="L21:L22"/>
    <mergeCell ref="Q23:Q24"/>
    <mergeCell ref="R23:R24"/>
    <mergeCell ref="V23:V24"/>
    <mergeCell ref="A25:A26"/>
    <mergeCell ref="B25:B26"/>
    <mergeCell ref="H25:H26"/>
    <mergeCell ref="M25:M26"/>
    <mergeCell ref="N25:N26"/>
    <mergeCell ref="P25:P26"/>
    <mergeCell ref="Q25:Q26"/>
    <mergeCell ref="A23:A24"/>
    <mergeCell ref="B23:B24"/>
    <mergeCell ref="H23:H24"/>
    <mergeCell ref="M23:M24"/>
    <mergeCell ref="N23:N24"/>
    <mergeCell ref="P23:P24"/>
    <mergeCell ref="R25:R26"/>
    <mergeCell ref="V25:V26"/>
    <mergeCell ref="J23:J24"/>
    <mergeCell ref="L23:L24"/>
    <mergeCell ref="A27:A28"/>
    <mergeCell ref="B27:B28"/>
    <mergeCell ref="H27:H28"/>
    <mergeCell ref="M27:M28"/>
    <mergeCell ref="N27:N28"/>
    <mergeCell ref="P27:P28"/>
    <mergeCell ref="Q27:Q28"/>
    <mergeCell ref="R27:R28"/>
    <mergeCell ref="V27:V28"/>
    <mergeCell ref="A29:A30"/>
    <mergeCell ref="B29:B30"/>
    <mergeCell ref="H29:H30"/>
    <mergeCell ref="M29:M30"/>
    <mergeCell ref="N29:N30"/>
    <mergeCell ref="P29:P30"/>
    <mergeCell ref="Q29:Q30"/>
    <mergeCell ref="R29:R30"/>
    <mergeCell ref="V29:V30"/>
    <mergeCell ref="A35:A36"/>
    <mergeCell ref="B35:B36"/>
    <mergeCell ref="H35:H36"/>
    <mergeCell ref="M35:M36"/>
    <mergeCell ref="N35:N36"/>
    <mergeCell ref="P35:P36"/>
    <mergeCell ref="Q35:Q36"/>
    <mergeCell ref="R35:R36"/>
    <mergeCell ref="Q31:Q32"/>
    <mergeCell ref="R31:R32"/>
    <mergeCell ref="A33:A34"/>
    <mergeCell ref="B33:B34"/>
    <mergeCell ref="H33:H34"/>
    <mergeCell ref="M33:M34"/>
    <mergeCell ref="N33:N34"/>
    <mergeCell ref="P33:P34"/>
    <mergeCell ref="Q33:Q34"/>
    <mergeCell ref="A31:A32"/>
    <mergeCell ref="B31:B32"/>
    <mergeCell ref="H31:H32"/>
    <mergeCell ref="M31:M32"/>
    <mergeCell ref="N31:N32"/>
    <mergeCell ref="P31:P32"/>
    <mergeCell ref="J31:J32"/>
    <mergeCell ref="A37:A38"/>
    <mergeCell ref="B37:B38"/>
    <mergeCell ref="H37:H38"/>
    <mergeCell ref="M37:M38"/>
    <mergeCell ref="N37:N38"/>
    <mergeCell ref="P37:P38"/>
    <mergeCell ref="Q37:Q38"/>
    <mergeCell ref="R37:R38"/>
    <mergeCell ref="V37:V38"/>
    <mergeCell ref="A43:A44"/>
    <mergeCell ref="B43:B44"/>
    <mergeCell ref="H43:H44"/>
    <mergeCell ref="M43:M44"/>
    <mergeCell ref="N43:N44"/>
    <mergeCell ref="P43:P44"/>
    <mergeCell ref="Q43:Q44"/>
    <mergeCell ref="R43:R44"/>
    <mergeCell ref="Q39:Q40"/>
    <mergeCell ref="R39:R40"/>
    <mergeCell ref="A41:A42"/>
    <mergeCell ref="B41:B42"/>
    <mergeCell ref="H41:H42"/>
    <mergeCell ref="M41:M42"/>
    <mergeCell ref="N41:N42"/>
    <mergeCell ref="P41:P42"/>
    <mergeCell ref="Q41:Q42"/>
    <mergeCell ref="A39:A40"/>
    <mergeCell ref="B39:B40"/>
    <mergeCell ref="H39:H40"/>
    <mergeCell ref="M39:M40"/>
    <mergeCell ref="N39:N40"/>
    <mergeCell ref="P39:P40"/>
    <mergeCell ref="J39:J40"/>
    <mergeCell ref="A45:A46"/>
    <mergeCell ref="B45:B46"/>
    <mergeCell ref="H45:H46"/>
    <mergeCell ref="M45:M46"/>
    <mergeCell ref="N45:N46"/>
    <mergeCell ref="P45:P46"/>
    <mergeCell ref="Q45:Q46"/>
    <mergeCell ref="R45:R46"/>
    <mergeCell ref="V45:V46"/>
    <mergeCell ref="A51:A52"/>
    <mergeCell ref="B51:B52"/>
    <mergeCell ref="H51:H52"/>
    <mergeCell ref="M51:M52"/>
    <mergeCell ref="N51:N52"/>
    <mergeCell ref="P51:P52"/>
    <mergeCell ref="Q51:Q52"/>
    <mergeCell ref="R51:R52"/>
    <mergeCell ref="Q47:Q48"/>
    <mergeCell ref="R47:R48"/>
    <mergeCell ref="A49:A50"/>
    <mergeCell ref="B49:B50"/>
    <mergeCell ref="H49:H50"/>
    <mergeCell ref="M49:M50"/>
    <mergeCell ref="N49:N50"/>
    <mergeCell ref="P49:P50"/>
    <mergeCell ref="Q49:Q50"/>
    <mergeCell ref="A47:A48"/>
    <mergeCell ref="B47:B48"/>
    <mergeCell ref="H47:H48"/>
    <mergeCell ref="M47:M48"/>
    <mergeCell ref="N47:N48"/>
    <mergeCell ref="P47:P48"/>
    <mergeCell ref="J47:J48"/>
    <mergeCell ref="V51:V52"/>
    <mergeCell ref="J3:J4"/>
    <mergeCell ref="L3:L4"/>
    <mergeCell ref="J5:J6"/>
    <mergeCell ref="L5:L6"/>
    <mergeCell ref="J7:J8"/>
    <mergeCell ref="L7:L8"/>
    <mergeCell ref="J9:J10"/>
    <mergeCell ref="L9:L10"/>
    <mergeCell ref="J11:J12"/>
    <mergeCell ref="R49:R50"/>
    <mergeCell ref="V49:V50"/>
    <mergeCell ref="V47:V48"/>
    <mergeCell ref="L47:L48"/>
    <mergeCell ref="V43:V44"/>
    <mergeCell ref="R41:R42"/>
    <mergeCell ref="V41:V42"/>
    <mergeCell ref="V39:V40"/>
    <mergeCell ref="L39:L40"/>
    <mergeCell ref="V35:V36"/>
    <mergeCell ref="R33:R34"/>
    <mergeCell ref="V33:V34"/>
    <mergeCell ref="V31:V32"/>
    <mergeCell ref="L31:L32"/>
    <mergeCell ref="J33:J34"/>
    <mergeCell ref="L33:L34"/>
    <mergeCell ref="J35:J36"/>
    <mergeCell ref="L35:L36"/>
    <mergeCell ref="J37:J38"/>
    <mergeCell ref="L37:L38"/>
    <mergeCell ref="J25:J26"/>
    <mergeCell ref="L25:L26"/>
    <mergeCell ref="J27:J28"/>
    <mergeCell ref="L27:L28"/>
    <mergeCell ref="J29:J30"/>
    <mergeCell ref="L29:L30"/>
    <mergeCell ref="J49:J50"/>
    <mergeCell ref="L49:L50"/>
    <mergeCell ref="J51:J52"/>
    <mergeCell ref="L51:L52"/>
    <mergeCell ref="S47:S48"/>
    <mergeCell ref="J41:J42"/>
    <mergeCell ref="L41:L42"/>
    <mergeCell ref="J43:J44"/>
    <mergeCell ref="L43:L44"/>
    <mergeCell ref="J45:J46"/>
    <mergeCell ref="L45:L46"/>
  </mergeCells>
  <dataValidations count="1">
    <dataValidation type="list" errorStyle="information" allowBlank="1" showInputMessage="1" showErrorMessage="1" errorTitle="ALERT" error="SELECT &quot;YES&quot; OR &quot;NO&quot;" prompt="IF YOU WANT TO CLEAR ALL DATA CLICK &quot;YES&quot;_x000a_" sqref="AC2" xr:uid="{0E303732-D286-4BAF-A6C6-E26567FA421D}">
      <formula1>$AS$2:$AS$3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B8A8A-4350-43FA-8E49-AE05589C098F}">
  <sheetPr codeName="Sheet26"/>
  <dimension ref="A1:AS52"/>
  <sheetViews>
    <sheetView topLeftCell="A40" workbookViewId="0">
      <selection activeCell="E51" sqref="E51"/>
    </sheetView>
  </sheetViews>
  <sheetFormatPr defaultColWidth="9.1796875" defaultRowHeight="14.5" x14ac:dyDescent="0.35"/>
  <cols>
    <col min="1" max="1" width="9.1796875" style="544"/>
    <col min="2" max="2" width="9.1796875" style="274"/>
    <col min="3" max="3" width="5.453125" style="544" customWidth="1"/>
    <col min="4" max="4" width="8.453125" style="544" customWidth="1"/>
    <col min="5" max="5" width="8.7265625" style="544" customWidth="1"/>
    <col min="6" max="6" width="12.7265625" style="543" customWidth="1"/>
    <col min="7" max="7" width="13" style="543" customWidth="1"/>
    <col min="8" max="9" width="6.453125" style="544" customWidth="1"/>
    <col min="10" max="10" width="10.08984375" style="544" customWidth="1"/>
    <col min="11" max="11" width="8" style="544" customWidth="1"/>
    <col min="12" max="12" width="13.54296875" style="543" customWidth="1"/>
    <col min="13" max="13" width="8.26953125" style="544" customWidth="1"/>
    <col min="14" max="14" width="9.453125" style="544" hidden="1" customWidth="1"/>
    <col min="15" max="15" width="12.453125" style="544" bestFit="1" customWidth="1"/>
    <col min="16" max="18" width="9.1796875" style="544"/>
    <col min="19" max="19" width="5.453125" style="544" hidden="1" customWidth="1"/>
    <col min="20" max="20" width="6.81640625" style="544" hidden="1" customWidth="1"/>
    <col min="21" max="22" width="0" style="544" hidden="1" customWidth="1"/>
    <col min="23" max="25" width="9.1796875" style="544"/>
    <col min="26" max="26" width="9.453125" style="544" customWidth="1"/>
    <col min="27" max="38" width="9.1796875" style="544"/>
    <col min="39" max="40" width="7.90625" style="544" bestFit="1" customWidth="1"/>
    <col min="41" max="41" width="9.6328125" style="544" bestFit="1" customWidth="1"/>
    <col min="42" max="44" width="9.1796875" style="544"/>
    <col min="45" max="45" width="0" style="544" hidden="1" customWidth="1"/>
    <col min="46" max="16384" width="9.1796875" style="544"/>
  </cols>
  <sheetData>
    <row r="1" spans="1:45" ht="14.5" customHeight="1" thickBot="1" x14ac:dyDescent="0.4">
      <c r="A1" s="80"/>
      <c r="B1" s="273"/>
      <c r="C1" s="647" t="s">
        <v>53</v>
      </c>
      <c r="D1" s="643"/>
      <c r="E1" s="537"/>
      <c r="F1" s="537"/>
      <c r="G1" s="537"/>
      <c r="H1" s="548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">
        <v>521</v>
      </c>
      <c r="R1" s="814"/>
      <c r="S1" s="810" t="s">
        <v>87</v>
      </c>
      <c r="T1" s="811"/>
      <c r="U1" s="811"/>
      <c r="V1" s="815"/>
      <c r="W1" s="432"/>
      <c r="X1" s="432"/>
      <c r="Y1" s="432"/>
      <c r="Z1" s="545"/>
      <c r="AA1" s="545"/>
      <c r="AB1" s="545"/>
      <c r="AC1" s="545"/>
      <c r="AD1" s="545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546" t="s">
        <v>516</v>
      </c>
      <c r="D2" s="547" t="s">
        <v>531</v>
      </c>
      <c r="E2" s="547" t="s">
        <v>3</v>
      </c>
      <c r="F2" s="166" t="s">
        <v>35</v>
      </c>
      <c r="G2" s="166" t="s">
        <v>37</v>
      </c>
      <c r="H2" s="548" t="s">
        <v>43</v>
      </c>
      <c r="I2" s="81" t="s">
        <v>88</v>
      </c>
      <c r="J2" s="546" t="s">
        <v>14</v>
      </c>
      <c r="K2" s="547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45"/>
      <c r="AA2" s="545"/>
      <c r="AB2" s="271" t="s">
        <v>97</v>
      </c>
      <c r="AC2" s="272" t="s">
        <v>98</v>
      </c>
      <c r="AD2" s="545"/>
      <c r="AS2" s="545" t="s">
        <v>99</v>
      </c>
    </row>
    <row r="3" spans="1:45" ht="14.5" customHeight="1" thickBot="1" x14ac:dyDescent="0.4">
      <c r="A3" s="530" t="s">
        <v>320</v>
      </c>
      <c r="B3" s="528" t="s">
        <v>180</v>
      </c>
      <c r="C3" s="86">
        <v>97.960483870967806</v>
      </c>
      <c r="D3" s="86">
        <v>27.124999999999986</v>
      </c>
      <c r="E3" s="86">
        <v>48.882631578947368</v>
      </c>
      <c r="F3" s="167">
        <v>131400</v>
      </c>
      <c r="G3" s="167">
        <v>180627</v>
      </c>
      <c r="H3" s="532" t="s">
        <v>55</v>
      </c>
      <c r="I3" s="167">
        <v>58.3</v>
      </c>
      <c r="J3" s="532">
        <v>12000</v>
      </c>
      <c r="K3" s="167">
        <v>130.30000000000001</v>
      </c>
      <c r="L3" s="535">
        <v>1155750</v>
      </c>
      <c r="M3" s="534">
        <v>11843.2</v>
      </c>
      <c r="N3" s="816">
        <v>11700</v>
      </c>
      <c r="O3" s="435">
        <v>27.124999999999986</v>
      </c>
      <c r="P3" s="534" t="s">
        <v>211</v>
      </c>
      <c r="Q3" s="534" t="s">
        <v>211</v>
      </c>
      <c r="R3" s="534" t="s">
        <v>211</v>
      </c>
      <c r="S3" s="88" t="s">
        <v>41</v>
      </c>
      <c r="T3" s="549" t="e">
        <v>#REF!</v>
      </c>
      <c r="U3" s="549" t="e">
        <v>#REF!</v>
      </c>
      <c r="V3" s="818" t="e">
        <v>#REF!</v>
      </c>
      <c r="W3" s="434"/>
      <c r="X3" s="434"/>
      <c r="Y3" s="434"/>
      <c r="Z3" s="545"/>
      <c r="AA3" s="545"/>
      <c r="AB3" s="545"/>
      <c r="AC3" s="545"/>
      <c r="AD3" s="545"/>
      <c r="AL3" s="545" t="s">
        <v>171</v>
      </c>
      <c r="AM3" s="275">
        <v>0.39583333333333331</v>
      </c>
      <c r="AN3" s="89">
        <v>43607.362297800923</v>
      </c>
      <c r="AO3" s="545" t="s">
        <v>207</v>
      </c>
      <c r="AS3" s="545" t="s">
        <v>98</v>
      </c>
    </row>
    <row r="4" spans="1:45" ht="14.5" customHeight="1" thickBot="1" x14ac:dyDescent="0.4">
      <c r="A4" s="531"/>
      <c r="B4" s="529"/>
      <c r="C4" s="86">
        <v>0</v>
      </c>
      <c r="D4" s="86">
        <v>0</v>
      </c>
      <c r="E4" s="86">
        <v>0</v>
      </c>
      <c r="F4" s="168">
        <v>90975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17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549" t="s">
        <v>211</v>
      </c>
      <c r="U4" s="549" t="s">
        <v>211</v>
      </c>
      <c r="V4" s="818"/>
      <c r="W4" s="434"/>
      <c r="X4" s="434"/>
      <c r="Y4" s="434"/>
      <c r="Z4" s="545"/>
      <c r="AA4" s="545"/>
      <c r="AB4" s="545"/>
      <c r="AC4" s="545"/>
      <c r="AD4" s="545"/>
      <c r="AL4" s="545" t="s">
        <v>172</v>
      </c>
      <c r="AM4" s="275">
        <v>0.39861111111111108</v>
      </c>
      <c r="AN4" s="545"/>
      <c r="AO4" s="545"/>
    </row>
    <row r="5" spans="1:45" ht="14.5" customHeight="1" thickBot="1" x14ac:dyDescent="0.4">
      <c r="A5" s="530" t="s">
        <v>452</v>
      </c>
      <c r="B5" s="528" t="s">
        <v>180</v>
      </c>
      <c r="C5" s="86">
        <v>89.539516129032293</v>
      </c>
      <c r="D5" s="86">
        <v>25.825000000000003</v>
      </c>
      <c r="E5" s="86">
        <v>50.989736842105259</v>
      </c>
      <c r="F5" s="167">
        <v>221925</v>
      </c>
      <c r="G5" s="167">
        <v>180627</v>
      </c>
      <c r="H5" s="532" t="s">
        <v>55</v>
      </c>
      <c r="I5" s="167">
        <v>56.61</v>
      </c>
      <c r="J5" s="532">
        <v>12000</v>
      </c>
      <c r="K5" s="167">
        <v>132.55000000000001</v>
      </c>
      <c r="L5" s="535">
        <v>1284675</v>
      </c>
      <c r="M5" s="435">
        <v>11837.1</v>
      </c>
      <c r="N5" s="816">
        <v>11700</v>
      </c>
      <c r="O5" s="435">
        <v>25.825000000000003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549" t="e">
        <v>#REF!</v>
      </c>
      <c r="U5" s="549" t="e">
        <v>#REF!</v>
      </c>
      <c r="V5" s="818" t="e">
        <v>#REF!</v>
      </c>
      <c r="W5" s="434"/>
      <c r="X5" s="434"/>
      <c r="Y5" s="434"/>
      <c r="Z5" s="545"/>
      <c r="AA5" s="545"/>
      <c r="AB5" s="545"/>
      <c r="AC5" s="545"/>
      <c r="AD5" s="545"/>
      <c r="AM5" s="275">
        <v>0.40625</v>
      </c>
      <c r="AN5" s="545"/>
      <c r="AO5" s="545" t="s">
        <v>207</v>
      </c>
    </row>
    <row r="6" spans="1:45" ht="14.5" customHeight="1" thickBot="1" x14ac:dyDescent="0.4">
      <c r="A6" s="531"/>
      <c r="B6" s="529"/>
      <c r="C6" s="86">
        <v>0</v>
      </c>
      <c r="D6" s="86">
        <v>0</v>
      </c>
      <c r="E6" s="86">
        <v>0</v>
      </c>
      <c r="F6" s="168">
        <v>122475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17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549" t="s">
        <v>211</v>
      </c>
      <c r="U6" s="549" t="s">
        <v>211</v>
      </c>
      <c r="V6" s="818"/>
      <c r="W6" s="434"/>
      <c r="X6" s="434"/>
      <c r="Y6" s="434"/>
      <c r="Z6" s="545"/>
      <c r="AA6" s="545"/>
      <c r="AB6" s="545"/>
      <c r="AC6" s="545"/>
      <c r="AD6" s="545"/>
      <c r="AM6" s="275">
        <v>0.40902777777777777</v>
      </c>
      <c r="AN6" s="545"/>
      <c r="AO6" s="545"/>
    </row>
    <row r="7" spans="1:45" ht="14.5" customHeight="1" thickBot="1" x14ac:dyDescent="0.4">
      <c r="A7" s="530" t="s">
        <v>394</v>
      </c>
      <c r="B7" s="528" t="s">
        <v>180</v>
      </c>
      <c r="C7" s="86">
        <v>100.31290322580642</v>
      </c>
      <c r="D7" s="86">
        <v>31.29999999999999</v>
      </c>
      <c r="E7" s="86">
        <v>49.951052631578946</v>
      </c>
      <c r="F7" s="167">
        <v>250275</v>
      </c>
      <c r="G7" s="167">
        <v>180627</v>
      </c>
      <c r="H7" s="532" t="s">
        <v>55</v>
      </c>
      <c r="I7" s="167">
        <v>57.12</v>
      </c>
      <c r="J7" s="532">
        <v>12000</v>
      </c>
      <c r="K7" s="167">
        <v>140.9</v>
      </c>
      <c r="L7" s="535">
        <v>1313025</v>
      </c>
      <c r="M7" s="534">
        <v>11857.05</v>
      </c>
      <c r="N7" s="816">
        <v>11700</v>
      </c>
      <c r="O7" s="435">
        <v>31.29999999999999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549" t="e">
        <v>#REF!</v>
      </c>
      <c r="U7" s="549" t="e">
        <v>#REF!</v>
      </c>
      <c r="V7" s="818" t="e">
        <v>#REF!</v>
      </c>
      <c r="W7" s="434"/>
      <c r="X7" s="434"/>
      <c r="Y7" s="434"/>
      <c r="Z7" s="545"/>
      <c r="AA7" s="545"/>
      <c r="AB7" s="545"/>
      <c r="AC7" s="545"/>
      <c r="AD7" s="545"/>
      <c r="AM7" s="275">
        <v>0.41666666666666669</v>
      </c>
      <c r="AN7" s="545"/>
      <c r="AO7" s="545" t="s">
        <v>207</v>
      </c>
    </row>
    <row r="8" spans="1:45" ht="14.5" customHeight="1" thickBot="1" x14ac:dyDescent="0.4">
      <c r="A8" s="531"/>
      <c r="B8" s="529"/>
      <c r="C8" s="86">
        <v>0</v>
      </c>
      <c r="D8" s="86">
        <v>0</v>
      </c>
      <c r="E8" s="86">
        <v>0</v>
      </c>
      <c r="F8" s="168">
        <v>141600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17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549" t="s">
        <v>211</v>
      </c>
      <c r="U8" s="549" t="s">
        <v>211</v>
      </c>
      <c r="V8" s="818"/>
      <c r="W8" s="434"/>
      <c r="X8" s="434"/>
      <c r="Y8" s="434"/>
      <c r="Z8" s="545"/>
      <c r="AA8" s="545"/>
      <c r="AB8" s="545"/>
      <c r="AC8" s="545"/>
      <c r="AD8" s="545"/>
      <c r="AM8" s="275">
        <v>0.41944444444444445</v>
      </c>
      <c r="AN8" s="545"/>
      <c r="AO8" s="545"/>
    </row>
    <row r="9" spans="1:45" ht="14.5" customHeight="1" thickBot="1" x14ac:dyDescent="0.4">
      <c r="A9" s="530" t="s">
        <v>522</v>
      </c>
      <c r="B9" s="528" t="s">
        <v>180</v>
      </c>
      <c r="C9" s="86">
        <v>102.97258064516127</v>
      </c>
      <c r="D9" s="86">
        <v>30.566666666666684</v>
      </c>
      <c r="E9" s="86">
        <v>50.730000000000004</v>
      </c>
      <c r="F9" s="167">
        <v>259050</v>
      </c>
      <c r="G9" s="167">
        <v>180627</v>
      </c>
      <c r="H9" s="532" t="s">
        <v>55</v>
      </c>
      <c r="I9" s="167">
        <v>58.03</v>
      </c>
      <c r="J9" s="532">
        <v>12000</v>
      </c>
      <c r="K9" s="167">
        <v>145.35</v>
      </c>
      <c r="L9" s="535">
        <v>1321800</v>
      </c>
      <c r="M9" s="534">
        <v>11866.9</v>
      </c>
      <c r="N9" s="816">
        <v>11700</v>
      </c>
      <c r="O9" s="435">
        <v>30.566666666666684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549" t="e">
        <v>#REF!</v>
      </c>
      <c r="U9" s="549" t="e">
        <v>#REF!</v>
      </c>
      <c r="V9" s="818" t="e">
        <v>#REF!</v>
      </c>
      <c r="W9" s="434"/>
      <c r="X9" s="434"/>
      <c r="Y9" s="434"/>
      <c r="Z9" s="545"/>
      <c r="AA9" s="545"/>
      <c r="AB9" s="718" t="s">
        <v>165</v>
      </c>
      <c r="AC9" s="719"/>
      <c r="AD9" s="719"/>
      <c r="AM9" s="275">
        <v>0.42708333333333331</v>
      </c>
      <c r="AN9" s="545"/>
      <c r="AO9" s="545" t="s">
        <v>207</v>
      </c>
    </row>
    <row r="10" spans="1:45" ht="14.5" customHeight="1" thickBot="1" x14ac:dyDescent="0.4">
      <c r="A10" s="531"/>
      <c r="B10" s="529"/>
      <c r="C10" s="86">
        <v>0</v>
      </c>
      <c r="D10" s="86">
        <v>0</v>
      </c>
      <c r="E10" s="86">
        <v>0</v>
      </c>
      <c r="F10" s="168">
        <v>154575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17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549" t="s">
        <v>211</v>
      </c>
      <c r="U10" s="549" t="s">
        <v>211</v>
      </c>
      <c r="V10" s="818"/>
      <c r="W10" s="434"/>
      <c r="X10" s="434"/>
      <c r="Y10" s="434"/>
      <c r="Z10" s="545"/>
      <c r="AA10" s="545"/>
      <c r="AB10" s="718" t="s">
        <v>365</v>
      </c>
      <c r="AC10" s="719"/>
      <c r="AD10" s="719"/>
      <c r="AM10" s="275">
        <v>0.42986111111111108</v>
      </c>
      <c r="AN10" s="545"/>
      <c r="AO10" s="545"/>
    </row>
    <row r="11" spans="1:45" ht="14.5" customHeight="1" thickBot="1" x14ac:dyDescent="0.4">
      <c r="A11" s="530" t="s">
        <v>342</v>
      </c>
      <c r="B11" s="528" t="s">
        <v>180</v>
      </c>
      <c r="C11" s="86">
        <v>92.149193548387132</v>
      </c>
      <c r="D11" s="86">
        <v>29.050000000000004</v>
      </c>
      <c r="E11" s="86">
        <v>51.388684210526321</v>
      </c>
      <c r="F11" s="167">
        <v>262875</v>
      </c>
      <c r="G11" s="167">
        <v>180627</v>
      </c>
      <c r="H11" s="532" t="s">
        <v>55</v>
      </c>
      <c r="I11" s="167">
        <v>56.33</v>
      </c>
      <c r="J11" s="532">
        <v>12000</v>
      </c>
      <c r="K11" s="167">
        <v>138.80000000000001</v>
      </c>
      <c r="L11" s="535">
        <v>1325625</v>
      </c>
      <c r="M11" s="534">
        <v>11855.2</v>
      </c>
      <c r="N11" s="816">
        <v>11700</v>
      </c>
      <c r="O11" s="435">
        <v>29.050000000000004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549" t="e">
        <v>#REF!</v>
      </c>
      <c r="U11" s="549" t="e">
        <v>#REF!</v>
      </c>
      <c r="V11" s="818" t="e">
        <v>#REF!</v>
      </c>
      <c r="W11" s="434"/>
      <c r="X11" s="434"/>
      <c r="Y11" s="434"/>
      <c r="Z11" s="545"/>
      <c r="AA11" s="545"/>
      <c r="AB11" s="718" t="s">
        <v>366</v>
      </c>
      <c r="AC11" s="718"/>
      <c r="AD11" s="718"/>
      <c r="AM11" s="275">
        <v>0.4375</v>
      </c>
      <c r="AN11" s="545"/>
      <c r="AO11" s="545" t="s">
        <v>207</v>
      </c>
    </row>
    <row r="12" spans="1:45" ht="14.5" customHeight="1" thickBot="1" x14ac:dyDescent="0.4">
      <c r="A12" s="531"/>
      <c r="B12" s="529"/>
      <c r="C12" s="86">
        <v>0</v>
      </c>
      <c r="D12" s="86">
        <v>0</v>
      </c>
      <c r="E12" s="86">
        <v>0</v>
      </c>
      <c r="F12" s="168">
        <v>179175</v>
      </c>
      <c r="G12" s="168">
        <v>18039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17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549" t="s">
        <v>211</v>
      </c>
      <c r="U12" s="549" t="s">
        <v>211</v>
      </c>
      <c r="V12" s="818"/>
      <c r="W12" s="434"/>
      <c r="X12" s="434"/>
      <c r="Y12" s="434"/>
      <c r="Z12" s="545"/>
      <c r="AA12" s="545"/>
      <c r="AB12" s="718" t="s">
        <v>167</v>
      </c>
      <c r="AC12" s="718"/>
      <c r="AD12" s="718"/>
      <c r="AM12" s="275">
        <v>0.44027777777777777</v>
      </c>
      <c r="AN12" s="545"/>
      <c r="AO12" s="545"/>
    </row>
    <row r="13" spans="1:45" ht="14.5" customHeight="1" thickBot="1" x14ac:dyDescent="0.4">
      <c r="A13" s="530" t="s">
        <v>523</v>
      </c>
      <c r="B13" s="528" t="s">
        <v>180</v>
      </c>
      <c r="C13" s="86">
        <v>121.03145161290325</v>
      </c>
      <c r="D13" s="86">
        <v>16.958333333333343</v>
      </c>
      <c r="E13" s="86">
        <v>53.488157894736851</v>
      </c>
      <c r="F13" s="167">
        <v>277725</v>
      </c>
      <c r="G13" s="167">
        <v>53266</v>
      </c>
      <c r="H13" s="532" t="s">
        <v>55</v>
      </c>
      <c r="I13" s="167">
        <v>57.37</v>
      </c>
      <c r="J13" s="532">
        <v>12000</v>
      </c>
      <c r="K13" s="167">
        <v>135.25</v>
      </c>
      <c r="L13" s="535">
        <v>1340475</v>
      </c>
      <c r="M13" s="534">
        <v>11834</v>
      </c>
      <c r="N13" s="816">
        <v>11700</v>
      </c>
      <c r="O13" s="435">
        <v>16.958333333333343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549" t="e">
        <v>#REF!</v>
      </c>
      <c r="U13" s="549" t="e">
        <v>#REF!</v>
      </c>
      <c r="V13" s="818" t="e">
        <v>#REF!</v>
      </c>
      <c r="W13" s="434"/>
      <c r="X13" s="434"/>
      <c r="Y13" s="434"/>
      <c r="Z13" s="545"/>
      <c r="AA13" s="545"/>
      <c r="AB13" s="718" t="s">
        <v>168</v>
      </c>
      <c r="AC13" s="718"/>
      <c r="AD13" s="718"/>
      <c r="AM13" s="275">
        <v>0.44791666666666669</v>
      </c>
      <c r="AN13" s="545"/>
      <c r="AO13" s="545" t="s">
        <v>207</v>
      </c>
    </row>
    <row r="14" spans="1:45" ht="14.5" customHeight="1" thickBot="1" x14ac:dyDescent="0.4">
      <c r="A14" s="531"/>
      <c r="B14" s="529"/>
      <c r="C14" s="86">
        <v>0</v>
      </c>
      <c r="D14" s="86">
        <v>0</v>
      </c>
      <c r="E14" s="86">
        <v>0</v>
      </c>
      <c r="F14" s="168">
        <v>182550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17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549" t="s">
        <v>211</v>
      </c>
      <c r="U14" s="549" t="s">
        <v>211</v>
      </c>
      <c r="V14" s="818"/>
      <c r="W14" s="434"/>
      <c r="X14" s="434"/>
      <c r="Y14" s="434"/>
      <c r="AM14" s="275">
        <v>0.45069444444444445</v>
      </c>
      <c r="AN14" s="545"/>
      <c r="AO14" s="545"/>
    </row>
    <row r="15" spans="1:45" ht="14.5" customHeight="1" thickBot="1" x14ac:dyDescent="0.4">
      <c r="A15" s="530" t="s">
        <v>343</v>
      </c>
      <c r="B15" s="528" t="s">
        <v>180</v>
      </c>
      <c r="C15" s="86">
        <v>132.00725806451618</v>
      </c>
      <c r="D15" s="86">
        <v>23.025000000000006</v>
      </c>
      <c r="E15" s="86">
        <v>54.137631578947371</v>
      </c>
      <c r="F15" s="167">
        <v>303225</v>
      </c>
      <c r="G15" s="167">
        <v>56318</v>
      </c>
      <c r="H15" s="532" t="s">
        <v>55</v>
      </c>
      <c r="I15" s="167">
        <v>58.6</v>
      </c>
      <c r="J15" s="532">
        <v>12000</v>
      </c>
      <c r="K15" s="167">
        <v>136.69999999999999</v>
      </c>
      <c r="L15" s="535">
        <v>1365975</v>
      </c>
      <c r="M15" s="534">
        <v>11832.9</v>
      </c>
      <c r="N15" s="816">
        <v>11700</v>
      </c>
      <c r="O15" s="435">
        <v>23.025000000000006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549" t="e">
        <v>#REF!</v>
      </c>
      <c r="U15" s="549" t="e">
        <v>#REF!</v>
      </c>
      <c r="V15" s="818" t="e">
        <v>#REF!</v>
      </c>
      <c r="W15" s="434"/>
      <c r="X15" s="434"/>
      <c r="Y15" s="434"/>
      <c r="AM15" s="275">
        <v>0.45833333333333331</v>
      </c>
      <c r="AN15" s="545"/>
      <c r="AO15" s="545" t="s">
        <v>207</v>
      </c>
    </row>
    <row r="16" spans="1:45" ht="14.5" customHeight="1" thickBot="1" x14ac:dyDescent="0.4">
      <c r="A16" s="531"/>
      <c r="B16" s="529"/>
      <c r="C16" s="86">
        <v>0</v>
      </c>
      <c r="D16" s="86">
        <v>0</v>
      </c>
      <c r="E16" s="86">
        <v>0</v>
      </c>
      <c r="F16" s="168">
        <v>203325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17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549" t="s">
        <v>211</v>
      </c>
      <c r="U16" s="549" t="s">
        <v>211</v>
      </c>
      <c r="V16" s="818"/>
      <c r="W16" s="434"/>
      <c r="X16" s="434"/>
      <c r="Y16" s="434"/>
      <c r="AM16" s="275">
        <v>0.46111111111111108</v>
      </c>
      <c r="AN16" s="545"/>
      <c r="AO16" s="545"/>
    </row>
    <row r="17" spans="1:41" ht="14.5" customHeight="1" thickBot="1" x14ac:dyDescent="0.4">
      <c r="A17" s="530" t="s">
        <v>211</v>
      </c>
      <c r="B17" s="528" t="s">
        <v>211</v>
      </c>
      <c r="C17" s="86">
        <v>0</v>
      </c>
      <c r="D17" s="86">
        <v>0</v>
      </c>
      <c r="E17" s="86">
        <v>0</v>
      </c>
      <c r="F17" s="167" t="s">
        <v>211</v>
      </c>
      <c r="G17" s="167" t="s">
        <v>211</v>
      </c>
      <c r="H17" s="532" t="s">
        <v>211</v>
      </c>
      <c r="I17" s="167" t="s">
        <v>211</v>
      </c>
      <c r="J17" s="532" t="s">
        <v>211</v>
      </c>
      <c r="K17" s="167" t="s">
        <v>211</v>
      </c>
      <c r="L17" s="535" t="s">
        <v>211</v>
      </c>
      <c r="M17" s="534" t="s">
        <v>211</v>
      </c>
      <c r="N17" s="816" t="s">
        <v>211</v>
      </c>
      <c r="O17" s="435" t="s">
        <v>211</v>
      </c>
      <c r="P17" s="534" t="s">
        <v>211</v>
      </c>
      <c r="Q17" s="534" t="s">
        <v>211</v>
      </c>
      <c r="R17" s="534" t="s">
        <v>211</v>
      </c>
      <c r="S17" s="88" t="s">
        <v>211</v>
      </c>
      <c r="T17" s="549" t="s">
        <v>211</v>
      </c>
      <c r="U17" s="549" t="s">
        <v>211</v>
      </c>
      <c r="V17" s="818" t="s">
        <v>211</v>
      </c>
      <c r="W17" s="434"/>
      <c r="X17" s="434"/>
      <c r="Y17" s="434"/>
      <c r="AM17" s="275">
        <v>0.46875</v>
      </c>
      <c r="AN17" s="545"/>
      <c r="AO17" s="545" t="s">
        <v>207</v>
      </c>
    </row>
    <row r="18" spans="1:41" ht="14.5" customHeight="1" thickBot="1" x14ac:dyDescent="0.4">
      <c r="A18" s="531"/>
      <c r="B18" s="529"/>
      <c r="C18" s="86">
        <v>0</v>
      </c>
      <c r="D18" s="86">
        <v>0</v>
      </c>
      <c r="E18" s="86">
        <v>0</v>
      </c>
      <c r="F18" s="168" t="s">
        <v>211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17"/>
      <c r="O18" s="435" t="s">
        <v>211</v>
      </c>
      <c r="P18" s="534" t="s">
        <v>211</v>
      </c>
      <c r="Q18" s="534" t="s">
        <v>211</v>
      </c>
      <c r="R18" s="534" t="s">
        <v>211</v>
      </c>
      <c r="S18" s="92" t="s">
        <v>211</v>
      </c>
      <c r="T18" s="549" t="s">
        <v>211</v>
      </c>
      <c r="U18" s="549" t="s">
        <v>211</v>
      </c>
      <c r="V18" s="818"/>
      <c r="W18" s="434"/>
      <c r="X18" s="434"/>
      <c r="Y18" s="434"/>
      <c r="AM18" s="275">
        <v>0.47152777777777777</v>
      </c>
      <c r="AN18" s="545"/>
      <c r="AO18" s="545"/>
    </row>
    <row r="19" spans="1:41" ht="14.5" customHeight="1" thickBot="1" x14ac:dyDescent="0.4">
      <c r="A19" s="530" t="s">
        <v>211</v>
      </c>
      <c r="B19" s="528" t="s">
        <v>211</v>
      </c>
      <c r="C19" s="86">
        <v>0</v>
      </c>
      <c r="D19" s="86">
        <v>0</v>
      </c>
      <c r="E19" s="86">
        <v>0</v>
      </c>
      <c r="F19" s="167" t="s">
        <v>211</v>
      </c>
      <c r="G19" s="167" t="s">
        <v>211</v>
      </c>
      <c r="H19" s="532" t="s">
        <v>211</v>
      </c>
      <c r="I19" s="167" t="s">
        <v>211</v>
      </c>
      <c r="J19" s="532" t="s">
        <v>211</v>
      </c>
      <c r="K19" s="167" t="s">
        <v>211</v>
      </c>
      <c r="L19" s="535" t="s">
        <v>211</v>
      </c>
      <c r="M19" s="534" t="s">
        <v>211</v>
      </c>
      <c r="N19" s="816" t="s">
        <v>211</v>
      </c>
      <c r="O19" s="435" t="s">
        <v>211</v>
      </c>
      <c r="P19" s="534" t="s">
        <v>211</v>
      </c>
      <c r="Q19" s="534" t="s">
        <v>211</v>
      </c>
      <c r="R19" s="534" t="s">
        <v>211</v>
      </c>
      <c r="S19" s="88" t="s">
        <v>211</v>
      </c>
      <c r="T19" s="549" t="s">
        <v>211</v>
      </c>
      <c r="U19" s="549" t="s">
        <v>211</v>
      </c>
      <c r="V19" s="818" t="s">
        <v>211</v>
      </c>
      <c r="W19" s="434"/>
      <c r="X19" s="434"/>
      <c r="Y19" s="434"/>
      <c r="AM19" s="275">
        <v>0.47916666666666669</v>
      </c>
      <c r="AN19" s="545"/>
      <c r="AO19" s="545" t="s">
        <v>207</v>
      </c>
    </row>
    <row r="20" spans="1:41" ht="14.5" customHeight="1" thickBot="1" x14ac:dyDescent="0.4">
      <c r="A20" s="531"/>
      <c r="B20" s="529"/>
      <c r="C20" s="86">
        <v>0</v>
      </c>
      <c r="D20" s="86">
        <v>0</v>
      </c>
      <c r="E20" s="86">
        <v>0</v>
      </c>
      <c r="F20" s="168" t="s">
        <v>211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17"/>
      <c r="O20" s="435" t="s">
        <v>211</v>
      </c>
      <c r="P20" s="534" t="s">
        <v>211</v>
      </c>
      <c r="Q20" s="534" t="s">
        <v>211</v>
      </c>
      <c r="R20" s="534" t="s">
        <v>211</v>
      </c>
      <c r="S20" s="92" t="s">
        <v>211</v>
      </c>
      <c r="T20" s="549" t="s">
        <v>211</v>
      </c>
      <c r="U20" s="549" t="s">
        <v>211</v>
      </c>
      <c r="V20" s="818"/>
      <c r="W20" s="434"/>
      <c r="X20" s="434"/>
      <c r="Y20" s="434"/>
      <c r="AM20" s="275">
        <v>0.48194444444444445</v>
      </c>
      <c r="AN20" s="545"/>
      <c r="AO20" s="545"/>
    </row>
    <row r="21" spans="1:41" ht="14.5" customHeight="1" thickBot="1" x14ac:dyDescent="0.4">
      <c r="A21" s="530" t="s">
        <v>211</v>
      </c>
      <c r="B21" s="528" t="s">
        <v>211</v>
      </c>
      <c r="C21" s="86">
        <v>0</v>
      </c>
      <c r="D21" s="86">
        <v>0</v>
      </c>
      <c r="E21" s="86">
        <v>0</v>
      </c>
      <c r="F21" s="167" t="s">
        <v>211</v>
      </c>
      <c r="G21" s="167" t="s">
        <v>211</v>
      </c>
      <c r="H21" s="532" t="s">
        <v>211</v>
      </c>
      <c r="I21" s="167" t="s">
        <v>211</v>
      </c>
      <c r="J21" s="532" t="s">
        <v>211</v>
      </c>
      <c r="K21" s="167" t="s">
        <v>211</v>
      </c>
      <c r="L21" s="535" t="s">
        <v>211</v>
      </c>
      <c r="M21" s="534" t="s">
        <v>211</v>
      </c>
      <c r="N21" s="816" t="s">
        <v>211</v>
      </c>
      <c r="O21" s="435" t="s">
        <v>211</v>
      </c>
      <c r="P21" s="534" t="s">
        <v>211</v>
      </c>
      <c r="Q21" s="534" t="s">
        <v>211</v>
      </c>
      <c r="R21" s="534" t="s">
        <v>211</v>
      </c>
      <c r="S21" s="88" t="s">
        <v>211</v>
      </c>
      <c r="T21" s="549" t="s">
        <v>211</v>
      </c>
      <c r="U21" s="549" t="s">
        <v>211</v>
      </c>
      <c r="V21" s="818" t="s">
        <v>211</v>
      </c>
      <c r="W21" s="434"/>
      <c r="X21" s="434"/>
      <c r="Y21" s="434"/>
      <c r="AM21" s="275">
        <v>0.48958333333333331</v>
      </c>
      <c r="AN21" s="545"/>
      <c r="AO21" s="545" t="s">
        <v>207</v>
      </c>
    </row>
    <row r="22" spans="1:41" ht="14.5" customHeight="1" thickBot="1" x14ac:dyDescent="0.4">
      <c r="A22" s="531"/>
      <c r="B22" s="529"/>
      <c r="C22" s="86">
        <v>0</v>
      </c>
      <c r="D22" s="86">
        <v>0</v>
      </c>
      <c r="E22" s="86">
        <v>0</v>
      </c>
      <c r="F22" s="168" t="s">
        <v>211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17"/>
      <c r="O22" s="435" t="s">
        <v>211</v>
      </c>
      <c r="P22" s="534" t="s">
        <v>211</v>
      </c>
      <c r="Q22" s="534" t="s">
        <v>211</v>
      </c>
      <c r="R22" s="534" t="s">
        <v>211</v>
      </c>
      <c r="S22" s="92" t="s">
        <v>211</v>
      </c>
      <c r="T22" s="549" t="s">
        <v>211</v>
      </c>
      <c r="U22" s="549" t="s">
        <v>211</v>
      </c>
      <c r="V22" s="818"/>
      <c r="W22" s="434"/>
      <c r="X22" s="434"/>
      <c r="Y22" s="434"/>
      <c r="AM22" s="275">
        <v>0.49236111111111108</v>
      </c>
      <c r="AN22" s="545"/>
      <c r="AO22" s="545"/>
    </row>
    <row r="23" spans="1:41" ht="14.5" customHeight="1" thickBot="1" x14ac:dyDescent="0.4">
      <c r="A23" s="530" t="s">
        <v>413</v>
      </c>
      <c r="B23" s="528" t="s">
        <v>180</v>
      </c>
      <c r="C23" s="86">
        <v>130.61451612903224</v>
      </c>
      <c r="D23" s="86">
        <v>5.88333333333334</v>
      </c>
      <c r="E23" s="86">
        <v>54.642631578947373</v>
      </c>
      <c r="F23" s="167">
        <v>347025</v>
      </c>
      <c r="G23" s="167">
        <v>65590</v>
      </c>
      <c r="H23" s="532" t="s">
        <v>55</v>
      </c>
      <c r="I23" s="167">
        <v>59.32</v>
      </c>
      <c r="J23" s="532">
        <v>12000</v>
      </c>
      <c r="K23" s="167">
        <v>134.94999999999999</v>
      </c>
      <c r="L23" s="535">
        <v>1409775</v>
      </c>
      <c r="M23" s="534">
        <v>11826.7</v>
      </c>
      <c r="N23" s="816">
        <v>11700</v>
      </c>
      <c r="O23" s="435">
        <v>5.88333333333334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549" t="e">
        <v>#REF!</v>
      </c>
      <c r="U23" s="549" t="e">
        <v>#REF!</v>
      </c>
      <c r="V23" s="818" t="e">
        <v>#REF!</v>
      </c>
      <c r="W23" s="434"/>
      <c r="X23" s="434"/>
      <c r="Y23" s="434"/>
      <c r="AM23" s="275">
        <v>0.5</v>
      </c>
      <c r="AN23" s="545"/>
      <c r="AO23" s="545" t="s">
        <v>207</v>
      </c>
    </row>
    <row r="24" spans="1:41" ht="14.5" customHeight="1" thickBot="1" x14ac:dyDescent="0.4">
      <c r="A24" s="531"/>
      <c r="B24" s="529"/>
      <c r="C24" s="86">
        <v>0</v>
      </c>
      <c r="D24" s="86">
        <v>0</v>
      </c>
      <c r="E24" s="86">
        <v>0</v>
      </c>
      <c r="F24" s="168">
        <v>239325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17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549" t="s">
        <v>211</v>
      </c>
      <c r="U24" s="549" t="s">
        <v>211</v>
      </c>
      <c r="V24" s="818"/>
      <c r="W24" s="434"/>
      <c r="X24" s="434"/>
      <c r="Y24" s="434"/>
      <c r="AM24" s="275">
        <v>0.50277777777777777</v>
      </c>
      <c r="AN24" s="545"/>
      <c r="AO24" s="545"/>
    </row>
    <row r="25" spans="1:41" ht="14.5" customHeight="1" thickBot="1" x14ac:dyDescent="0.4">
      <c r="A25" s="530" t="s">
        <v>524</v>
      </c>
      <c r="B25" s="528" t="s">
        <v>180</v>
      </c>
      <c r="C25" s="86">
        <v>166.52338709677423</v>
      </c>
      <c r="D25" s="86">
        <v>-8</v>
      </c>
      <c r="E25" s="86">
        <v>54.585263157894737</v>
      </c>
      <c r="F25" s="167">
        <v>337425</v>
      </c>
      <c r="G25" s="167">
        <v>45035</v>
      </c>
      <c r="H25" s="532" t="s">
        <v>55</v>
      </c>
      <c r="I25" s="167">
        <v>59.37</v>
      </c>
      <c r="J25" s="532">
        <v>12000</v>
      </c>
      <c r="K25" s="167">
        <v>137.94999999999999</v>
      </c>
      <c r="L25" s="535">
        <v>1386450</v>
      </c>
      <c r="M25" s="534">
        <v>11837.85</v>
      </c>
      <c r="N25" s="816">
        <v>11700</v>
      </c>
      <c r="O25" s="435">
        <v>-8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549" t="e">
        <v>#REF!</v>
      </c>
      <c r="U25" s="549" t="e">
        <v>#REF!</v>
      </c>
      <c r="V25" s="818" t="e">
        <v>#REF!</v>
      </c>
      <c r="W25" s="434"/>
      <c r="X25" s="434"/>
      <c r="Y25" s="434"/>
      <c r="AM25" s="275">
        <v>0.51041666666666663</v>
      </c>
      <c r="AN25" s="545"/>
      <c r="AO25" s="545" t="s">
        <v>207</v>
      </c>
    </row>
    <row r="26" spans="1:41" ht="14.5" customHeight="1" thickBot="1" x14ac:dyDescent="0.4">
      <c r="A26" s="531"/>
      <c r="B26" s="529"/>
      <c r="C26" s="86">
        <v>0</v>
      </c>
      <c r="D26" s="86">
        <v>0</v>
      </c>
      <c r="E26" s="86">
        <v>0</v>
      </c>
      <c r="F26" s="168">
        <v>239775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17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549" t="s">
        <v>211</v>
      </c>
      <c r="U26" s="549" t="s">
        <v>211</v>
      </c>
      <c r="V26" s="818"/>
      <c r="W26" s="434"/>
      <c r="X26" s="434"/>
      <c r="Y26" s="434"/>
      <c r="AM26" s="275">
        <v>0.5131944444444444</v>
      </c>
      <c r="AN26" s="545"/>
      <c r="AO26" s="545"/>
    </row>
    <row r="27" spans="1:41" ht="14.5" customHeight="1" thickBot="1" x14ac:dyDescent="0.4">
      <c r="A27" s="530" t="s">
        <v>525</v>
      </c>
      <c r="B27" s="528" t="s">
        <v>180</v>
      </c>
      <c r="C27" s="86">
        <v>165.9346774193549</v>
      </c>
      <c r="D27" s="86">
        <v>-7.6916666666666629</v>
      </c>
      <c r="E27" s="86">
        <v>54.5971052631579</v>
      </c>
      <c r="F27" s="167">
        <v>353475</v>
      </c>
      <c r="G27" s="167">
        <v>46003</v>
      </c>
      <c r="H27" s="532" t="s">
        <v>55</v>
      </c>
      <c r="I27" s="167">
        <v>59.7</v>
      </c>
      <c r="J27" s="532">
        <v>12000</v>
      </c>
      <c r="K27" s="167">
        <v>138.15</v>
      </c>
      <c r="L27" s="535">
        <v>1405800</v>
      </c>
      <c r="M27" s="534">
        <v>11833.2</v>
      </c>
      <c r="N27" s="816">
        <v>11700</v>
      </c>
      <c r="O27" s="435">
        <v>-7.6916666666666629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549" t="e">
        <v>#REF!</v>
      </c>
      <c r="U27" s="549" t="e">
        <v>#REF!</v>
      </c>
      <c r="V27" s="818" t="e">
        <v>#REF!</v>
      </c>
      <c r="W27" s="434"/>
      <c r="X27" s="434"/>
      <c r="Y27" s="434"/>
      <c r="AM27" s="275">
        <v>0.52083333333333337</v>
      </c>
      <c r="AN27" s="545"/>
      <c r="AO27" s="545" t="s">
        <v>207</v>
      </c>
    </row>
    <row r="28" spans="1:41" ht="14.5" customHeight="1" thickBot="1" x14ac:dyDescent="0.4">
      <c r="A28" s="531"/>
      <c r="B28" s="529"/>
      <c r="C28" s="86">
        <v>0</v>
      </c>
      <c r="D28" s="86">
        <v>0</v>
      </c>
      <c r="E28" s="86">
        <v>0</v>
      </c>
      <c r="F28" s="168">
        <v>244350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17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549" t="s">
        <v>211</v>
      </c>
      <c r="U28" s="549" t="s">
        <v>211</v>
      </c>
      <c r="V28" s="818"/>
      <c r="W28" s="434"/>
      <c r="X28" s="434"/>
      <c r="Y28" s="434"/>
      <c r="AM28" s="275">
        <v>0.52361111111111114</v>
      </c>
      <c r="AN28" s="545"/>
      <c r="AO28" s="545"/>
    </row>
    <row r="29" spans="1:41" ht="15" customHeight="1" thickBot="1" x14ac:dyDescent="0.4">
      <c r="A29" s="530" t="s">
        <v>332</v>
      </c>
      <c r="B29" s="528" t="s">
        <v>180</v>
      </c>
      <c r="C29" s="86">
        <v>151.93870967741933</v>
      </c>
      <c r="D29" s="86">
        <v>-16.591666666666683</v>
      </c>
      <c r="E29" s="86">
        <v>55.073421052631574</v>
      </c>
      <c r="F29" s="167">
        <v>371025</v>
      </c>
      <c r="G29" s="167">
        <v>49998</v>
      </c>
      <c r="H29" s="532" t="s">
        <v>55</v>
      </c>
      <c r="I29" s="167">
        <v>60.36</v>
      </c>
      <c r="J29" s="532">
        <v>12000</v>
      </c>
      <c r="K29" s="167">
        <v>128.69999999999999</v>
      </c>
      <c r="L29" s="535">
        <v>1411875</v>
      </c>
      <c r="M29" s="534">
        <v>11796.5</v>
      </c>
      <c r="N29" s="816">
        <v>11700</v>
      </c>
      <c r="O29" s="435">
        <v>-16.591666666666683</v>
      </c>
      <c r="P29" s="534" t="s">
        <v>211</v>
      </c>
      <c r="Q29" s="534" t="s">
        <v>211</v>
      </c>
      <c r="R29" s="534" t="s">
        <v>211</v>
      </c>
      <c r="S29" s="88" t="e">
        <v>#REF!</v>
      </c>
      <c r="T29" s="549" t="e">
        <v>#REF!</v>
      </c>
      <c r="U29" s="549" t="e">
        <v>#REF!</v>
      </c>
      <c r="V29" s="818" t="e">
        <v>#REF!</v>
      </c>
      <c r="W29" s="434"/>
      <c r="X29" s="434"/>
      <c r="Y29" s="434"/>
      <c r="AM29" s="275">
        <v>0.53125</v>
      </c>
      <c r="AO29" s="545" t="s">
        <v>207</v>
      </c>
    </row>
    <row r="30" spans="1:41" ht="15" customHeight="1" thickBot="1" x14ac:dyDescent="0.4">
      <c r="A30" s="531"/>
      <c r="B30" s="529"/>
      <c r="C30" s="86">
        <v>0</v>
      </c>
      <c r="D30" s="86">
        <v>0</v>
      </c>
      <c r="E30" s="86">
        <v>0</v>
      </c>
      <c r="F30" s="168">
        <v>225525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17"/>
      <c r="O30" s="435" t="s">
        <v>211</v>
      </c>
      <c r="P30" s="534" t="s">
        <v>211</v>
      </c>
      <c r="Q30" s="534" t="s">
        <v>211</v>
      </c>
      <c r="R30" s="534" t="s">
        <v>211</v>
      </c>
      <c r="S30" s="92" t="e">
        <v>#REF!</v>
      </c>
      <c r="T30" s="549" t="s">
        <v>211</v>
      </c>
      <c r="U30" s="549" t="s">
        <v>211</v>
      </c>
      <c r="V30" s="818"/>
      <c r="W30" s="434"/>
      <c r="X30" s="434"/>
      <c r="Y30" s="434"/>
      <c r="AM30" s="275">
        <v>0.53402777777777777</v>
      </c>
      <c r="AO30" s="545"/>
    </row>
    <row r="31" spans="1:41" ht="15" customHeight="1" thickBot="1" x14ac:dyDescent="0.4">
      <c r="A31" s="530" t="s">
        <v>417</v>
      </c>
      <c r="B31" s="528" t="s">
        <v>180</v>
      </c>
      <c r="C31" s="86">
        <v>143.0008064516129</v>
      </c>
      <c r="D31" s="86">
        <v>-31.474999999999987</v>
      </c>
      <c r="E31" s="86">
        <v>55.744736842105269</v>
      </c>
      <c r="F31" s="167">
        <v>383175</v>
      </c>
      <c r="G31" s="167">
        <v>56389</v>
      </c>
      <c r="H31" s="532" t="s">
        <v>55</v>
      </c>
      <c r="I31" s="167">
        <v>61.23</v>
      </c>
      <c r="J31" s="532">
        <v>12000</v>
      </c>
      <c r="K31" s="167">
        <v>122.05</v>
      </c>
      <c r="L31" s="535">
        <v>1437600</v>
      </c>
      <c r="M31" s="534">
        <v>11773.05</v>
      </c>
      <c r="N31" s="816">
        <v>11700</v>
      </c>
      <c r="O31" s="435">
        <v>-31.474999999999987</v>
      </c>
      <c r="P31" s="534" t="s">
        <v>211</v>
      </c>
      <c r="Q31" s="534" t="s">
        <v>211</v>
      </c>
      <c r="R31" s="534" t="s">
        <v>211</v>
      </c>
      <c r="S31" s="88" t="e">
        <v>#REF!</v>
      </c>
      <c r="T31" s="549" t="e">
        <v>#REF!</v>
      </c>
      <c r="U31" s="549" t="e">
        <v>#REF!</v>
      </c>
      <c r="V31" s="818" t="e">
        <v>#REF!</v>
      </c>
      <c r="W31" s="434"/>
      <c r="X31" s="434"/>
      <c r="Y31" s="434"/>
      <c r="AM31" s="275">
        <v>0.54166666666666663</v>
      </c>
      <c r="AO31" s="545" t="s">
        <v>207</v>
      </c>
    </row>
    <row r="32" spans="1:41" ht="15" customHeight="1" thickBot="1" x14ac:dyDescent="0.4">
      <c r="A32" s="531"/>
      <c r="B32" s="529"/>
      <c r="C32" s="86">
        <v>0</v>
      </c>
      <c r="D32" s="86">
        <v>0</v>
      </c>
      <c r="E32" s="86">
        <v>0</v>
      </c>
      <c r="F32" s="168">
        <v>252525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17"/>
      <c r="O32" s="435" t="s">
        <v>211</v>
      </c>
      <c r="P32" s="534" t="s">
        <v>211</v>
      </c>
      <c r="Q32" s="534" t="s">
        <v>211</v>
      </c>
      <c r="R32" s="534" t="s">
        <v>211</v>
      </c>
      <c r="S32" s="92" t="e">
        <v>#REF!</v>
      </c>
      <c r="T32" s="549" t="s">
        <v>211</v>
      </c>
      <c r="U32" s="549" t="s">
        <v>211</v>
      </c>
      <c r="V32" s="818"/>
      <c r="W32" s="434"/>
      <c r="X32" s="434"/>
      <c r="Y32" s="434"/>
      <c r="AM32" s="275">
        <v>0.5444444444444444</v>
      </c>
      <c r="AO32" s="545"/>
    </row>
    <row r="33" spans="1:41" ht="15" customHeight="1" thickBot="1" x14ac:dyDescent="0.4">
      <c r="A33" s="530" t="s">
        <v>526</v>
      </c>
      <c r="B33" s="528" t="s">
        <v>180</v>
      </c>
      <c r="C33" s="86">
        <v>139.81370967741933</v>
      </c>
      <c r="D33" s="86">
        <v>-24.93333333333333</v>
      </c>
      <c r="E33" s="86">
        <v>55.180263157894743</v>
      </c>
      <c r="F33" s="167">
        <v>396750</v>
      </c>
      <c r="G33" s="167">
        <v>90904</v>
      </c>
      <c r="H33" s="532" t="s">
        <v>55</v>
      </c>
      <c r="I33" s="167">
        <v>60.14</v>
      </c>
      <c r="J33" s="532">
        <v>12000</v>
      </c>
      <c r="K33" s="167">
        <v>118.7</v>
      </c>
      <c r="L33" s="535">
        <v>1459500</v>
      </c>
      <c r="M33" s="534">
        <v>11763.9</v>
      </c>
      <c r="N33" s="816">
        <v>11700</v>
      </c>
      <c r="O33" s="435">
        <v>-24.93333333333333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549" t="e">
        <v>#REF!</v>
      </c>
      <c r="U33" s="549" t="e">
        <v>#REF!</v>
      </c>
      <c r="V33" s="818" t="e">
        <v>#REF!</v>
      </c>
      <c r="W33" s="434"/>
      <c r="X33" s="434"/>
      <c r="Y33" s="434"/>
      <c r="AM33" s="275">
        <v>0.55208333333333337</v>
      </c>
      <c r="AO33" s="545" t="s">
        <v>207</v>
      </c>
    </row>
    <row r="34" spans="1:41" ht="15" customHeight="1" thickBot="1" x14ac:dyDescent="0.4">
      <c r="A34" s="531"/>
      <c r="B34" s="529"/>
      <c r="C34" s="86">
        <v>0</v>
      </c>
      <c r="D34" s="86">
        <v>0</v>
      </c>
      <c r="E34" s="86">
        <v>0</v>
      </c>
      <c r="F34" s="168">
        <v>235125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17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549" t="s">
        <v>211</v>
      </c>
      <c r="U34" s="549" t="s">
        <v>211</v>
      </c>
      <c r="V34" s="818"/>
      <c r="W34" s="434"/>
      <c r="X34" s="434"/>
      <c r="Y34" s="434"/>
      <c r="AM34" s="275">
        <v>0.55486111111111114</v>
      </c>
      <c r="AO34" s="545"/>
    </row>
    <row r="35" spans="1:41" ht="15" customHeight="1" thickBot="1" x14ac:dyDescent="0.4">
      <c r="A35" s="530" t="s">
        <v>444</v>
      </c>
      <c r="B35" s="528" t="s">
        <v>180</v>
      </c>
      <c r="C35" s="86">
        <v>139.41532258064518</v>
      </c>
      <c r="D35" s="86">
        <v>-0.14166666666665151</v>
      </c>
      <c r="E35" s="86">
        <v>54.682368421052637</v>
      </c>
      <c r="F35" s="167">
        <v>392325</v>
      </c>
      <c r="G35" s="167">
        <v>100459</v>
      </c>
      <c r="H35" s="532" t="s">
        <v>55</v>
      </c>
      <c r="I35" s="167">
        <v>60.07</v>
      </c>
      <c r="J35" s="532">
        <v>12000</v>
      </c>
      <c r="K35" s="167">
        <v>116.35</v>
      </c>
      <c r="L35" s="535">
        <v>1455075</v>
      </c>
      <c r="M35" s="534">
        <v>11761.2</v>
      </c>
      <c r="N35" s="816">
        <v>11700</v>
      </c>
      <c r="O35" s="435">
        <v>-0.14166666666665151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549" t="e">
        <v>#REF!</v>
      </c>
      <c r="U35" s="549" t="e">
        <v>#REF!</v>
      </c>
      <c r="V35" s="818" t="e">
        <v>#REF!</v>
      </c>
      <c r="W35" s="434"/>
      <c r="X35" s="434"/>
      <c r="Y35" s="434"/>
      <c r="AM35" s="275">
        <v>0.5625</v>
      </c>
      <c r="AO35" s="545" t="s">
        <v>207</v>
      </c>
    </row>
    <row r="36" spans="1:41" ht="15" customHeight="1" thickBot="1" x14ac:dyDescent="0.4">
      <c r="A36" s="531"/>
      <c r="B36" s="529"/>
      <c r="C36" s="86">
        <v>0</v>
      </c>
      <c r="D36" s="86">
        <v>0</v>
      </c>
      <c r="E36" s="86">
        <v>0</v>
      </c>
      <c r="F36" s="168">
        <v>235125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17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549" t="s">
        <v>211</v>
      </c>
      <c r="U36" s="549" t="s">
        <v>211</v>
      </c>
      <c r="V36" s="818"/>
      <c r="W36" s="434"/>
      <c r="X36" s="434"/>
      <c r="Y36" s="434"/>
      <c r="AM36" s="275">
        <v>0.56527777777777777</v>
      </c>
      <c r="AO36" s="545"/>
    </row>
    <row r="37" spans="1:41" ht="15" customHeight="1" thickBot="1" x14ac:dyDescent="0.4">
      <c r="A37" s="530" t="s">
        <v>223</v>
      </c>
      <c r="B37" s="528" t="s">
        <v>180</v>
      </c>
      <c r="C37" s="86">
        <v>139.96129032258065</v>
      </c>
      <c r="D37" s="86">
        <v>11.50833333333334</v>
      </c>
      <c r="E37" s="86">
        <v>54.154210526315794</v>
      </c>
      <c r="F37" s="167">
        <v>397800</v>
      </c>
      <c r="G37" s="167">
        <v>112044</v>
      </c>
      <c r="H37" s="532" t="s">
        <v>55</v>
      </c>
      <c r="I37" s="167">
        <v>61.33</v>
      </c>
      <c r="J37" s="532">
        <v>12000</v>
      </c>
      <c r="K37" s="167">
        <v>116.95</v>
      </c>
      <c r="L37" s="535">
        <v>1460550</v>
      </c>
      <c r="M37" s="534">
        <v>11761.9</v>
      </c>
      <c r="N37" s="816">
        <v>11700</v>
      </c>
      <c r="O37" s="435">
        <v>11.50833333333334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549" t="e">
        <v>#REF!</v>
      </c>
      <c r="U37" s="549" t="e">
        <v>#REF!</v>
      </c>
      <c r="V37" s="818" t="e">
        <v>#REF!</v>
      </c>
      <c r="W37" s="434"/>
      <c r="X37" s="434"/>
      <c r="Y37" s="434"/>
      <c r="AM37" s="275">
        <v>0.57291666666666663</v>
      </c>
      <c r="AO37" s="545" t="s">
        <v>207</v>
      </c>
    </row>
    <row r="38" spans="1:41" ht="15" customHeight="1" thickBot="1" x14ac:dyDescent="0.4">
      <c r="A38" s="531"/>
      <c r="B38" s="529"/>
      <c r="C38" s="86">
        <v>0</v>
      </c>
      <c r="D38" s="86">
        <v>0</v>
      </c>
      <c r="E38" s="86">
        <v>0</v>
      </c>
      <c r="F38" s="168">
        <v>226125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17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549" t="s">
        <v>211</v>
      </c>
      <c r="U38" s="549" t="s">
        <v>211</v>
      </c>
      <c r="V38" s="818"/>
      <c r="W38" s="434"/>
      <c r="X38" s="434"/>
      <c r="Y38" s="434"/>
      <c r="AM38" s="275">
        <v>0.5756944444444444</v>
      </c>
      <c r="AO38" s="545"/>
    </row>
    <row r="39" spans="1:41" ht="15" customHeight="1" thickBot="1" x14ac:dyDescent="0.4">
      <c r="A39" s="530" t="s">
        <v>430</v>
      </c>
      <c r="B39" s="528" t="s">
        <v>180</v>
      </c>
      <c r="C39" s="86">
        <v>139.77983870967745</v>
      </c>
      <c r="D39" s="86">
        <v>10.383333333333326</v>
      </c>
      <c r="E39" s="86">
        <v>53.16605263157895</v>
      </c>
      <c r="F39" s="167">
        <v>411150</v>
      </c>
      <c r="G39" s="167">
        <v>59540</v>
      </c>
      <c r="H39" s="532" t="s">
        <v>55</v>
      </c>
      <c r="I39" s="167">
        <v>63.11</v>
      </c>
      <c r="J39" s="532">
        <v>12000</v>
      </c>
      <c r="K39" s="167">
        <v>117.6</v>
      </c>
      <c r="L39" s="535">
        <v>1459800</v>
      </c>
      <c r="M39" s="534">
        <v>11770.15</v>
      </c>
      <c r="N39" s="816">
        <v>11700</v>
      </c>
      <c r="O39" s="435">
        <v>10.383333333333326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549" t="e">
        <v>#REF!</v>
      </c>
      <c r="V39" s="818" t="e">
        <v>#REF!</v>
      </c>
      <c r="W39" s="434"/>
      <c r="X39" s="434"/>
      <c r="Y39" s="434"/>
      <c r="AM39" s="275">
        <v>0.58333333333333337</v>
      </c>
      <c r="AO39" s="545" t="s">
        <v>207</v>
      </c>
    </row>
    <row r="40" spans="1:41" ht="15" customHeight="1" thickBot="1" x14ac:dyDescent="0.4">
      <c r="A40" s="531"/>
      <c r="B40" s="529"/>
      <c r="C40" s="86">
        <v>0</v>
      </c>
      <c r="D40" s="86">
        <v>0</v>
      </c>
      <c r="E40" s="86">
        <v>0</v>
      </c>
      <c r="F40" s="168">
        <v>226125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17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550" t="s">
        <v>211</v>
      </c>
      <c r="U40" s="417" t="s">
        <v>211</v>
      </c>
      <c r="V40" s="818"/>
      <c r="W40" s="434"/>
      <c r="X40" s="434"/>
      <c r="Y40" s="434"/>
      <c r="AM40" s="275">
        <v>0.58611111111111114</v>
      </c>
      <c r="AO40" s="545"/>
    </row>
    <row r="41" spans="1:41" ht="15" customHeight="1" thickBot="1" x14ac:dyDescent="0.4">
      <c r="A41" s="530" t="s">
        <v>527</v>
      </c>
      <c r="B41" s="528" t="s">
        <v>180</v>
      </c>
      <c r="C41" s="86">
        <v>156.00725806451612</v>
      </c>
      <c r="D41" s="86">
        <v>-11.783333333333346</v>
      </c>
      <c r="E41" s="86">
        <v>56.915789473684214</v>
      </c>
      <c r="F41" s="167">
        <v>415050</v>
      </c>
      <c r="G41" s="167">
        <v>125731</v>
      </c>
      <c r="H41" s="532" t="s">
        <v>55</v>
      </c>
      <c r="I41" s="167">
        <v>60.07</v>
      </c>
      <c r="J41" s="532">
        <v>12000</v>
      </c>
      <c r="K41" s="167">
        <v>110</v>
      </c>
      <c r="L41" s="535">
        <v>1477800</v>
      </c>
      <c r="M41" s="435">
        <v>11740</v>
      </c>
      <c r="N41" s="816">
        <v>11700</v>
      </c>
      <c r="O41" s="435">
        <v>-11.783333333333346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549" t="e">
        <v>#REF!</v>
      </c>
      <c r="U41" s="549" t="e">
        <v>#REF!</v>
      </c>
      <c r="V41" s="818" t="e">
        <v>#REF!</v>
      </c>
      <c r="W41" s="434"/>
      <c r="X41" s="434"/>
      <c r="Y41" s="434"/>
      <c r="AM41" s="275">
        <v>0.59375</v>
      </c>
      <c r="AO41" s="545" t="s">
        <v>207</v>
      </c>
    </row>
    <row r="42" spans="1:41" ht="15" customHeight="1" thickBot="1" x14ac:dyDescent="0.4">
      <c r="A42" s="531"/>
      <c r="B42" s="529"/>
      <c r="C42" s="86">
        <v>0</v>
      </c>
      <c r="D42" s="86">
        <v>0</v>
      </c>
      <c r="E42" s="86">
        <v>0</v>
      </c>
      <c r="F42" s="168">
        <v>242925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17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18"/>
      <c r="W42" s="434"/>
      <c r="X42" s="434"/>
      <c r="Y42" s="434"/>
      <c r="AM42" s="275">
        <v>0.59652777777777777</v>
      </c>
      <c r="AO42" s="545"/>
    </row>
    <row r="43" spans="1:41" ht="15" customHeight="1" thickBot="1" x14ac:dyDescent="0.4">
      <c r="A43" s="530" t="s">
        <v>514</v>
      </c>
      <c r="B43" s="528" t="s">
        <v>180</v>
      </c>
      <c r="C43" s="86">
        <v>157.341935483871</v>
      </c>
      <c r="D43" s="86">
        <v>-4.3083333333333371</v>
      </c>
      <c r="E43" s="86">
        <v>57.563684210526311</v>
      </c>
      <c r="F43" s="167">
        <v>450225</v>
      </c>
      <c r="G43" s="167">
        <v>64969</v>
      </c>
      <c r="H43" s="532" t="s">
        <v>55</v>
      </c>
      <c r="I43" s="167">
        <v>62.16</v>
      </c>
      <c r="J43" s="532">
        <v>12000</v>
      </c>
      <c r="K43" s="167">
        <v>109.5</v>
      </c>
      <c r="L43" s="535">
        <v>1460625</v>
      </c>
      <c r="M43" s="534">
        <v>11746.15</v>
      </c>
      <c r="N43" s="816">
        <v>11700</v>
      </c>
      <c r="O43" s="435">
        <v>-4.3083333333333371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549" t="e">
        <v>#REF!</v>
      </c>
      <c r="U43" s="549" t="e">
        <v>#REF!</v>
      </c>
      <c r="V43" s="818" t="e">
        <v>#REF!</v>
      </c>
      <c r="W43" s="434"/>
      <c r="X43" s="434"/>
      <c r="Y43" s="434"/>
      <c r="AM43" s="275">
        <v>0.60416666666666663</v>
      </c>
      <c r="AO43" s="545" t="s">
        <v>207</v>
      </c>
    </row>
    <row r="44" spans="1:41" ht="15" customHeight="1" thickBot="1" x14ac:dyDescent="0.4">
      <c r="A44" s="531"/>
      <c r="B44" s="529"/>
      <c r="C44" s="86">
        <v>0</v>
      </c>
      <c r="D44" s="86">
        <v>0</v>
      </c>
      <c r="E44" s="86">
        <v>0</v>
      </c>
      <c r="F44" s="168">
        <v>231750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17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18"/>
      <c r="W44" s="434"/>
      <c r="X44" s="434"/>
      <c r="Y44" s="434"/>
      <c r="AM44" s="275">
        <v>0.6069444444444444</v>
      </c>
      <c r="AO44" s="545"/>
    </row>
    <row r="45" spans="1:41" ht="15" customHeight="1" thickBot="1" x14ac:dyDescent="0.4">
      <c r="A45" s="530" t="s">
        <v>432</v>
      </c>
      <c r="B45" s="528" t="s">
        <v>180</v>
      </c>
      <c r="C45" s="86">
        <v>143.93790322580645</v>
      </c>
      <c r="D45" s="86">
        <v>-17.441666666666677</v>
      </c>
      <c r="E45" s="86">
        <v>57.831052631578942</v>
      </c>
      <c r="F45" s="167">
        <v>490800</v>
      </c>
      <c r="G45" s="167">
        <v>71074</v>
      </c>
      <c r="H45" s="532" t="s">
        <v>55</v>
      </c>
      <c r="I45" s="167">
        <v>62.8</v>
      </c>
      <c r="J45" s="532">
        <v>12000</v>
      </c>
      <c r="K45" s="167">
        <v>100.5</v>
      </c>
      <c r="L45" s="535">
        <v>1467450</v>
      </c>
      <c r="M45" s="534">
        <v>11716.05</v>
      </c>
      <c r="N45" s="816">
        <v>11700</v>
      </c>
      <c r="O45" s="435">
        <v>-17.441666666666677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549" t="e">
        <v>#REF!</v>
      </c>
      <c r="U45" s="549" t="e">
        <v>#REF!</v>
      </c>
      <c r="V45" s="818" t="e">
        <v>#REF!</v>
      </c>
      <c r="W45" s="434"/>
      <c r="X45" s="434"/>
      <c r="Y45" s="434"/>
      <c r="AM45" s="275">
        <v>0.61458333333333337</v>
      </c>
      <c r="AO45" s="545" t="s">
        <v>207</v>
      </c>
    </row>
    <row r="46" spans="1:41" ht="15" customHeight="1" thickBot="1" x14ac:dyDescent="0.4">
      <c r="A46" s="531"/>
      <c r="B46" s="529"/>
      <c r="C46" s="86">
        <v>0</v>
      </c>
      <c r="D46" s="86">
        <v>0</v>
      </c>
      <c r="E46" s="86">
        <v>0</v>
      </c>
      <c r="F46" s="168">
        <v>248625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17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18"/>
      <c r="W46" s="434"/>
      <c r="X46" s="434"/>
      <c r="Y46" s="434"/>
      <c r="AM46" s="275">
        <v>0.61736111111111114</v>
      </c>
      <c r="AO46" s="545"/>
    </row>
    <row r="47" spans="1:41" ht="15" customHeight="1" thickBot="1" x14ac:dyDescent="0.4">
      <c r="A47" s="530" t="s">
        <v>528</v>
      </c>
      <c r="B47" s="528" t="s">
        <v>180</v>
      </c>
      <c r="C47" s="86">
        <v>138.73951612903227</v>
      </c>
      <c r="D47" s="86">
        <v>-22.908333333333346</v>
      </c>
      <c r="E47" s="86">
        <v>57.019210526315788</v>
      </c>
      <c r="F47" s="167">
        <v>496275</v>
      </c>
      <c r="G47" s="167">
        <v>72454</v>
      </c>
      <c r="H47" s="532" t="s">
        <v>55</v>
      </c>
      <c r="I47" s="167">
        <v>62.58</v>
      </c>
      <c r="J47" s="532">
        <v>12000</v>
      </c>
      <c r="K47" s="167">
        <v>97.6</v>
      </c>
      <c r="L47" s="535">
        <v>1502400</v>
      </c>
      <c r="M47" s="435">
        <v>11707.5</v>
      </c>
      <c r="N47" s="816">
        <v>11700</v>
      </c>
      <c r="O47" s="435">
        <v>-22.908333333333346</v>
      </c>
      <c r="P47" s="534" t="s">
        <v>211</v>
      </c>
      <c r="Q47" s="534" t="s">
        <v>211</v>
      </c>
      <c r="R47" s="534" t="s">
        <v>211</v>
      </c>
      <c r="S47" s="818" t="e">
        <v>#REF!</v>
      </c>
      <c r="T47" s="549" t="e">
        <v>#REF!</v>
      </c>
      <c r="U47" s="414" t="e">
        <v>#REF!</v>
      </c>
      <c r="V47" s="818" t="e">
        <v>#REF!</v>
      </c>
      <c r="W47" s="434"/>
      <c r="X47" s="434"/>
      <c r="Y47" s="434"/>
      <c r="AM47" s="275">
        <v>0.625</v>
      </c>
      <c r="AO47" s="545" t="s">
        <v>207</v>
      </c>
    </row>
    <row r="48" spans="1:41" ht="15" customHeight="1" thickBot="1" x14ac:dyDescent="0.4">
      <c r="A48" s="531"/>
      <c r="B48" s="529"/>
      <c r="C48" s="86">
        <v>0</v>
      </c>
      <c r="D48" s="86">
        <v>0</v>
      </c>
      <c r="E48" s="86">
        <v>0</v>
      </c>
      <c r="F48" s="168">
        <v>248475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17"/>
      <c r="O48" s="435" t="s">
        <v>211</v>
      </c>
      <c r="P48" s="534" t="s">
        <v>211</v>
      </c>
      <c r="Q48" s="534" t="s">
        <v>211</v>
      </c>
      <c r="R48" s="534" t="s">
        <v>211</v>
      </c>
      <c r="S48" s="818" t="e">
        <v>#REF!</v>
      </c>
      <c r="T48" s="413" t="s">
        <v>211</v>
      </c>
      <c r="U48" s="542" t="s">
        <v>211</v>
      </c>
      <c r="V48" s="818"/>
      <c r="W48" s="434"/>
      <c r="X48" s="434"/>
      <c r="Y48" s="434"/>
      <c r="AM48" s="275">
        <v>0.62777777777777777</v>
      </c>
      <c r="AO48" s="545"/>
    </row>
    <row r="49" spans="1:41" ht="15" customHeight="1" thickBot="1" x14ac:dyDescent="0.4">
      <c r="A49" s="530" t="s">
        <v>528</v>
      </c>
      <c r="B49" s="528" t="s">
        <v>180</v>
      </c>
      <c r="C49" s="86">
        <v>138.73951612903227</v>
      </c>
      <c r="D49" s="86">
        <v>-22.908333333333346</v>
      </c>
      <c r="E49" s="86">
        <v>57.019210526315788</v>
      </c>
      <c r="F49" s="167">
        <v>496275</v>
      </c>
      <c r="G49" s="167">
        <v>72454</v>
      </c>
      <c r="H49" s="532" t="s">
        <v>55</v>
      </c>
      <c r="I49" s="167">
        <v>62.58</v>
      </c>
      <c r="J49" s="532">
        <v>12000</v>
      </c>
      <c r="K49" s="167">
        <v>97.6</v>
      </c>
      <c r="L49" s="535">
        <v>1502400</v>
      </c>
      <c r="M49" s="435">
        <v>11707.5</v>
      </c>
      <c r="N49" s="816">
        <v>11700</v>
      </c>
      <c r="O49" s="435">
        <v>-22.908333333333346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549" t="e">
        <v>#REF!</v>
      </c>
      <c r="U49" s="549" t="e">
        <v>#REF!</v>
      </c>
      <c r="V49" s="818" t="e">
        <v>#REF!</v>
      </c>
      <c r="W49" s="434"/>
      <c r="X49" s="434"/>
      <c r="Y49" s="434"/>
      <c r="AM49" s="275">
        <v>0.63541666666666663</v>
      </c>
      <c r="AO49" s="545" t="s">
        <v>207</v>
      </c>
    </row>
    <row r="50" spans="1:41" ht="15" customHeight="1" thickBot="1" x14ac:dyDescent="0.4">
      <c r="A50" s="531"/>
      <c r="B50" s="529"/>
      <c r="C50" s="86">
        <v>0</v>
      </c>
      <c r="D50" s="86">
        <v>0</v>
      </c>
      <c r="E50" s="86">
        <v>0</v>
      </c>
      <c r="F50" s="168">
        <v>248475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17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18"/>
      <c r="W50" s="434"/>
      <c r="X50" s="434"/>
      <c r="Y50" s="434"/>
      <c r="AM50" s="275">
        <v>0.6381944444444444</v>
      </c>
      <c r="AO50" s="545"/>
    </row>
    <row r="51" spans="1:41" ht="15" customHeight="1" thickBot="1" x14ac:dyDescent="0.4">
      <c r="A51" s="530" t="s">
        <v>230</v>
      </c>
      <c r="B51" s="528" t="s">
        <v>180</v>
      </c>
      <c r="C51" s="86">
        <v>140.72983870967738</v>
      </c>
      <c r="D51" s="86">
        <v>-9.3416666666666686</v>
      </c>
      <c r="E51" s="86">
        <v>57.566315789473684</v>
      </c>
      <c r="F51" s="167">
        <v>484800</v>
      </c>
      <c r="G51" s="167">
        <v>107569</v>
      </c>
      <c r="H51" s="532" t="s">
        <v>55</v>
      </c>
      <c r="I51" s="167">
        <v>61.69</v>
      </c>
      <c r="J51" s="532">
        <v>12000</v>
      </c>
      <c r="K51" s="167">
        <v>100.95</v>
      </c>
      <c r="L51" s="535">
        <v>1472325</v>
      </c>
      <c r="M51" s="534">
        <v>11712.05</v>
      </c>
      <c r="N51" s="816">
        <v>11700</v>
      </c>
      <c r="O51" s="435">
        <v>-9.3416666666666686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549" t="e">
        <v>#REF!</v>
      </c>
      <c r="U51" s="549" t="e">
        <v>#REF!</v>
      </c>
      <c r="V51" s="818" t="e">
        <v>#REF!</v>
      </c>
      <c r="W51" s="434"/>
      <c r="X51" s="434"/>
      <c r="Y51" s="434"/>
      <c r="AM51" s="275">
        <v>0.64583333333333337</v>
      </c>
      <c r="AO51" s="545" t="s">
        <v>207</v>
      </c>
    </row>
    <row r="52" spans="1:41" ht="15" customHeight="1" thickBot="1" x14ac:dyDescent="0.4">
      <c r="A52" s="531"/>
      <c r="B52" s="529"/>
      <c r="C52" s="86">
        <v>0</v>
      </c>
      <c r="D52" s="86">
        <v>0</v>
      </c>
      <c r="E52" s="86">
        <v>0</v>
      </c>
      <c r="F52" s="168">
        <v>282300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17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18"/>
      <c r="W52" s="434"/>
      <c r="X52" s="434"/>
      <c r="Y52" s="434"/>
      <c r="AM52" s="275">
        <v>0.64861111111111114</v>
      </c>
      <c r="AO52" s="545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1EDC-6978-4342-8170-34EEEC2D924B}">
  <sheetPr codeName="Sheet27"/>
  <dimension ref="A1:AS52"/>
  <sheetViews>
    <sheetView workbookViewId="0">
      <selection activeCell="H13" sqref="H13:H14"/>
    </sheetView>
  </sheetViews>
  <sheetFormatPr defaultColWidth="9.1796875" defaultRowHeight="14.5" x14ac:dyDescent="0.35"/>
  <cols>
    <col min="1" max="1" width="9.1796875" style="511"/>
    <col min="2" max="2" width="9.1796875" style="274"/>
    <col min="3" max="3" width="5.453125" style="511" customWidth="1"/>
    <col min="4" max="4" width="8.453125" style="511" customWidth="1"/>
    <col min="5" max="5" width="8.7265625" style="511" customWidth="1"/>
    <col min="6" max="6" width="12.7265625" style="510" customWidth="1"/>
    <col min="7" max="7" width="13" style="510" customWidth="1"/>
    <col min="8" max="9" width="6.453125" style="511" customWidth="1"/>
    <col min="10" max="10" width="10.08984375" style="511" customWidth="1"/>
    <col min="11" max="11" width="8" style="511" customWidth="1"/>
    <col min="12" max="12" width="13.54296875" style="510" customWidth="1"/>
    <col min="13" max="13" width="8.26953125" style="511" customWidth="1"/>
    <col min="14" max="14" width="9.453125" style="511" hidden="1" customWidth="1"/>
    <col min="15" max="15" width="12.453125" style="511" bestFit="1" customWidth="1"/>
    <col min="16" max="18" width="9.1796875" style="511"/>
    <col min="19" max="19" width="5.453125" style="511" hidden="1" customWidth="1"/>
    <col min="20" max="20" width="6.81640625" style="511" hidden="1" customWidth="1"/>
    <col min="21" max="22" width="0" style="511" hidden="1" customWidth="1"/>
    <col min="23" max="25" width="9.1796875" style="511"/>
    <col min="26" max="26" width="9.453125" style="511" customWidth="1"/>
    <col min="27" max="38" width="9.1796875" style="511"/>
    <col min="39" max="40" width="7.90625" style="511" bestFit="1" customWidth="1"/>
    <col min="41" max="41" width="9.6328125" style="511" bestFit="1" customWidth="1"/>
    <col min="42" max="44" width="9.1796875" style="511"/>
    <col min="45" max="45" width="0" style="511" hidden="1" customWidth="1"/>
    <col min="46" max="16384" width="9.1796875" style="511"/>
  </cols>
  <sheetData>
    <row r="1" spans="1:45" ht="14.5" customHeight="1" thickBot="1" x14ac:dyDescent="0.4">
      <c r="A1" s="80"/>
      <c r="B1" s="273"/>
      <c r="C1" s="647" t="s">
        <v>35</v>
      </c>
      <c r="D1" s="811"/>
      <c r="E1" s="811"/>
      <c r="F1" s="811"/>
      <c r="G1" s="811"/>
      <c r="H1" s="515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">
        <v>504</v>
      </c>
      <c r="R1" s="814"/>
      <c r="S1" s="810" t="s">
        <v>87</v>
      </c>
      <c r="T1" s="811"/>
      <c r="U1" s="811"/>
      <c r="V1" s="815"/>
      <c r="W1" s="432"/>
      <c r="X1" s="432"/>
      <c r="Y1" s="432"/>
      <c r="Z1" s="512"/>
      <c r="AA1" s="512"/>
      <c r="AB1" s="512"/>
      <c r="AC1" s="512"/>
      <c r="AD1" s="512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514" t="s">
        <v>54</v>
      </c>
      <c r="D2" s="513" t="s">
        <v>14</v>
      </c>
      <c r="E2" s="513" t="s">
        <v>6</v>
      </c>
      <c r="F2" s="166" t="s">
        <v>35</v>
      </c>
      <c r="G2" s="166" t="s">
        <v>37</v>
      </c>
      <c r="H2" s="515" t="s">
        <v>43</v>
      </c>
      <c r="I2" s="81" t="s">
        <v>88</v>
      </c>
      <c r="J2" s="514" t="s">
        <v>14</v>
      </c>
      <c r="K2" s="513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12"/>
      <c r="AA2" s="512"/>
      <c r="AB2" s="271" t="s">
        <v>97</v>
      </c>
      <c r="AC2" s="272" t="s">
        <v>98</v>
      </c>
      <c r="AD2" s="512"/>
      <c r="AS2" s="512" t="s">
        <v>99</v>
      </c>
    </row>
    <row r="3" spans="1:45" ht="14.5" customHeight="1" thickBot="1" x14ac:dyDescent="0.4">
      <c r="A3" s="821" t="s">
        <v>211</v>
      </c>
      <c r="B3" s="823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9" t="s">
        <v>211</v>
      </c>
      <c r="I3" s="167" t="s">
        <v>211</v>
      </c>
      <c r="J3" s="819" t="s">
        <v>211</v>
      </c>
      <c r="K3" s="167" t="s">
        <v>211</v>
      </c>
      <c r="L3" s="819" t="s">
        <v>211</v>
      </c>
      <c r="M3" s="816" t="s">
        <v>211</v>
      </c>
      <c r="N3" s="816" t="s">
        <v>211</v>
      </c>
      <c r="O3" s="435" t="s">
        <v>211</v>
      </c>
      <c r="P3" s="816" t="s">
        <v>211</v>
      </c>
      <c r="Q3" s="816" t="s">
        <v>211</v>
      </c>
      <c r="R3" s="816" t="s">
        <v>211</v>
      </c>
      <c r="S3" s="88" t="s">
        <v>211</v>
      </c>
      <c r="T3" s="516" t="s">
        <v>211</v>
      </c>
      <c r="U3" s="516" t="s">
        <v>211</v>
      </c>
      <c r="V3" s="818" t="s">
        <v>211</v>
      </c>
      <c r="W3" s="434"/>
      <c r="X3" s="434"/>
      <c r="Y3" s="434"/>
      <c r="Z3" s="512"/>
      <c r="AA3" s="512"/>
      <c r="AB3" s="512"/>
      <c r="AC3" s="512"/>
      <c r="AD3" s="512"/>
      <c r="AL3" s="512" t="s">
        <v>171</v>
      </c>
      <c r="AM3" s="275">
        <v>0.39583333333333331</v>
      </c>
      <c r="AN3" s="89">
        <v>43600.350397916663</v>
      </c>
      <c r="AO3" s="512" t="s">
        <v>207</v>
      </c>
      <c r="AS3" s="512" t="s">
        <v>98</v>
      </c>
    </row>
    <row r="4" spans="1:45" ht="14.5" customHeight="1" thickBot="1" x14ac:dyDescent="0.4">
      <c r="A4" s="822"/>
      <c r="B4" s="824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20"/>
      <c r="I4" s="168" t="s">
        <v>211</v>
      </c>
      <c r="J4" s="820" t="s">
        <v>211</v>
      </c>
      <c r="K4" s="168" t="s">
        <v>211</v>
      </c>
      <c r="L4" s="820" t="s">
        <v>211</v>
      </c>
      <c r="M4" s="817"/>
      <c r="N4" s="817"/>
      <c r="O4" s="435" t="s">
        <v>211</v>
      </c>
      <c r="P4" s="817"/>
      <c r="Q4" s="817"/>
      <c r="R4" s="817"/>
      <c r="S4" s="92" t="s">
        <v>211</v>
      </c>
      <c r="T4" s="516" t="s">
        <v>211</v>
      </c>
      <c r="U4" s="516" t="s">
        <v>211</v>
      </c>
      <c r="V4" s="818"/>
      <c r="W4" s="434"/>
      <c r="X4" s="434"/>
      <c r="Y4" s="434"/>
      <c r="Z4" s="512"/>
      <c r="AA4" s="512"/>
      <c r="AB4" s="512"/>
      <c r="AC4" s="512"/>
      <c r="AD4" s="512"/>
      <c r="AL4" s="512" t="s">
        <v>172</v>
      </c>
      <c r="AM4" s="275">
        <v>0.39861111111111108</v>
      </c>
      <c r="AN4" s="512"/>
      <c r="AO4" s="512"/>
    </row>
    <row r="5" spans="1:45" ht="14.5" customHeight="1" thickBot="1" x14ac:dyDescent="0.4">
      <c r="A5" s="821" t="s">
        <v>211</v>
      </c>
      <c r="B5" s="823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19" t="s">
        <v>211</v>
      </c>
      <c r="I5" s="167" t="s">
        <v>211</v>
      </c>
      <c r="J5" s="819" t="s">
        <v>211</v>
      </c>
      <c r="K5" s="167" t="s">
        <v>211</v>
      </c>
      <c r="L5" s="819" t="s">
        <v>211</v>
      </c>
      <c r="M5" s="816" t="s">
        <v>211</v>
      </c>
      <c r="N5" s="816" t="s">
        <v>211</v>
      </c>
      <c r="O5" s="435" t="s">
        <v>211</v>
      </c>
      <c r="P5" s="816" t="s">
        <v>211</v>
      </c>
      <c r="Q5" s="816" t="s">
        <v>211</v>
      </c>
      <c r="R5" s="816" t="s">
        <v>211</v>
      </c>
      <c r="S5" s="88" t="s">
        <v>211</v>
      </c>
      <c r="T5" s="516" t="s">
        <v>211</v>
      </c>
      <c r="U5" s="516" t="s">
        <v>211</v>
      </c>
      <c r="V5" s="818" t="s">
        <v>211</v>
      </c>
      <c r="W5" s="434"/>
      <c r="X5" s="434"/>
      <c r="Y5" s="434"/>
      <c r="Z5" s="512"/>
      <c r="AA5" s="512"/>
      <c r="AB5" s="512"/>
      <c r="AC5" s="512"/>
      <c r="AD5" s="512"/>
      <c r="AM5" s="275">
        <v>0.40625</v>
      </c>
      <c r="AN5" s="512"/>
      <c r="AO5" s="512" t="s">
        <v>207</v>
      </c>
    </row>
    <row r="6" spans="1:45" ht="14.5" customHeight="1" thickBot="1" x14ac:dyDescent="0.4">
      <c r="A6" s="822"/>
      <c r="B6" s="824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25"/>
      <c r="I6" s="168" t="s">
        <v>211</v>
      </c>
      <c r="J6" s="820" t="s">
        <v>211</v>
      </c>
      <c r="K6" s="168" t="s">
        <v>211</v>
      </c>
      <c r="L6" s="820" t="s">
        <v>211</v>
      </c>
      <c r="M6" s="817"/>
      <c r="N6" s="817"/>
      <c r="O6" s="435" t="s">
        <v>211</v>
      </c>
      <c r="P6" s="817"/>
      <c r="Q6" s="817"/>
      <c r="R6" s="817"/>
      <c r="S6" s="92" t="s">
        <v>211</v>
      </c>
      <c r="T6" s="516" t="s">
        <v>211</v>
      </c>
      <c r="U6" s="516" t="s">
        <v>211</v>
      </c>
      <c r="V6" s="818"/>
      <c r="W6" s="434"/>
      <c r="X6" s="434"/>
      <c r="Y6" s="434"/>
      <c r="Z6" s="512"/>
      <c r="AA6" s="512"/>
      <c r="AB6" s="512"/>
      <c r="AC6" s="512"/>
      <c r="AD6" s="512"/>
      <c r="AM6" s="275">
        <v>0.40902777777777777</v>
      </c>
      <c r="AN6" s="512"/>
      <c r="AO6" s="512"/>
    </row>
    <row r="7" spans="1:45" ht="14.5" customHeight="1" thickBot="1" x14ac:dyDescent="0.4">
      <c r="A7" s="821" t="s">
        <v>211</v>
      </c>
      <c r="B7" s="823" t="s">
        <v>211</v>
      </c>
      <c r="C7" s="167" t="s">
        <v>211</v>
      </c>
      <c r="D7" s="167" t="s">
        <v>211</v>
      </c>
      <c r="E7" s="167" t="s">
        <v>211</v>
      </c>
      <c r="F7" s="167" t="s">
        <v>211</v>
      </c>
      <c r="G7" s="167" t="s">
        <v>211</v>
      </c>
      <c r="H7" s="819" t="s">
        <v>211</v>
      </c>
      <c r="I7" s="167" t="s">
        <v>211</v>
      </c>
      <c r="J7" s="819" t="s">
        <v>211</v>
      </c>
      <c r="K7" s="167" t="s">
        <v>211</v>
      </c>
      <c r="L7" s="819" t="s">
        <v>211</v>
      </c>
      <c r="M7" s="816" t="s">
        <v>211</v>
      </c>
      <c r="N7" s="816" t="s">
        <v>211</v>
      </c>
      <c r="O7" s="435" t="s">
        <v>211</v>
      </c>
      <c r="P7" s="816" t="s">
        <v>211</v>
      </c>
      <c r="Q7" s="816" t="s">
        <v>211</v>
      </c>
      <c r="R7" s="816" t="s">
        <v>211</v>
      </c>
      <c r="S7" s="88" t="s">
        <v>211</v>
      </c>
      <c r="T7" s="516" t="s">
        <v>211</v>
      </c>
      <c r="U7" s="516" t="s">
        <v>211</v>
      </c>
      <c r="V7" s="818" t="s">
        <v>211</v>
      </c>
      <c r="W7" s="434"/>
      <c r="X7" s="434"/>
      <c r="Y7" s="434"/>
      <c r="Z7" s="512"/>
      <c r="AA7" s="512"/>
      <c r="AB7" s="512"/>
      <c r="AC7" s="512"/>
      <c r="AD7" s="512"/>
      <c r="AM7" s="275">
        <v>0.41666666666666669</v>
      </c>
      <c r="AN7" s="512"/>
      <c r="AO7" s="512" t="s">
        <v>207</v>
      </c>
    </row>
    <row r="8" spans="1:45" ht="14.5" customHeight="1" thickBot="1" x14ac:dyDescent="0.4">
      <c r="A8" s="822"/>
      <c r="B8" s="824"/>
      <c r="C8" s="90" t="s">
        <v>211</v>
      </c>
      <c r="D8" s="168" t="s">
        <v>211</v>
      </c>
      <c r="E8" s="168" t="s">
        <v>211</v>
      </c>
      <c r="F8" s="168" t="s">
        <v>211</v>
      </c>
      <c r="G8" s="168" t="s">
        <v>211</v>
      </c>
      <c r="H8" s="825"/>
      <c r="I8" s="168" t="s">
        <v>211</v>
      </c>
      <c r="J8" s="820" t="s">
        <v>211</v>
      </c>
      <c r="K8" s="168" t="s">
        <v>211</v>
      </c>
      <c r="L8" s="820" t="s">
        <v>211</v>
      </c>
      <c r="M8" s="817"/>
      <c r="N8" s="817"/>
      <c r="O8" s="435" t="s">
        <v>211</v>
      </c>
      <c r="P8" s="817"/>
      <c r="Q8" s="817"/>
      <c r="R8" s="817"/>
      <c r="S8" s="92" t="s">
        <v>211</v>
      </c>
      <c r="T8" s="516" t="s">
        <v>211</v>
      </c>
      <c r="U8" s="516" t="s">
        <v>211</v>
      </c>
      <c r="V8" s="818"/>
      <c r="W8" s="434"/>
      <c r="X8" s="434"/>
      <c r="Y8" s="434"/>
      <c r="Z8" s="512"/>
      <c r="AA8" s="512"/>
      <c r="AB8" s="512"/>
      <c r="AC8" s="512"/>
      <c r="AD8" s="512"/>
      <c r="AM8" s="275">
        <v>0.41944444444444445</v>
      </c>
      <c r="AN8" s="512"/>
      <c r="AO8" s="512"/>
    </row>
    <row r="9" spans="1:45" ht="14.5" customHeight="1" thickBot="1" x14ac:dyDescent="0.4">
      <c r="A9" s="821" t="s">
        <v>505</v>
      </c>
      <c r="B9" s="823" t="s">
        <v>180</v>
      </c>
      <c r="C9" s="167" t="s">
        <v>211</v>
      </c>
      <c r="D9" s="167" t="s">
        <v>211</v>
      </c>
      <c r="E9" s="167">
        <v>52.8</v>
      </c>
      <c r="F9" s="167">
        <v>1126800</v>
      </c>
      <c r="G9" s="167">
        <v>180627</v>
      </c>
      <c r="H9" s="819" t="s">
        <v>55</v>
      </c>
      <c r="I9" s="167">
        <v>24.53</v>
      </c>
      <c r="J9" s="819">
        <v>11300</v>
      </c>
      <c r="K9" s="167">
        <v>22.8</v>
      </c>
      <c r="L9" s="819">
        <v>2766675</v>
      </c>
      <c r="M9" s="816">
        <v>11130.7</v>
      </c>
      <c r="N9" s="816">
        <v>11200</v>
      </c>
      <c r="O9" s="435">
        <v>-19.86666666666666</v>
      </c>
      <c r="P9" s="816" t="s">
        <v>211</v>
      </c>
      <c r="Q9" s="816" t="s">
        <v>211</v>
      </c>
      <c r="R9" s="816" t="s">
        <v>211</v>
      </c>
      <c r="S9" s="88" t="e">
        <v>#REF!</v>
      </c>
      <c r="T9" s="516" t="e">
        <v>#REF!</v>
      </c>
      <c r="U9" s="516" t="e">
        <v>#REF!</v>
      </c>
      <c r="V9" s="818" t="e">
        <v>#REF!</v>
      </c>
      <c r="W9" s="434"/>
      <c r="X9" s="434"/>
      <c r="Y9" s="434"/>
      <c r="Z9" s="512"/>
      <c r="AA9" s="512"/>
      <c r="AB9" s="718" t="s">
        <v>165</v>
      </c>
      <c r="AC9" s="719"/>
      <c r="AD9" s="719"/>
      <c r="AM9" s="275">
        <v>0.42708333333333331</v>
      </c>
      <c r="AN9" s="512"/>
      <c r="AO9" s="512" t="s">
        <v>207</v>
      </c>
    </row>
    <row r="10" spans="1:45" ht="14.5" customHeight="1" thickBot="1" x14ac:dyDescent="0.4">
      <c r="A10" s="822"/>
      <c r="B10" s="824"/>
      <c r="C10" s="90" t="s">
        <v>42</v>
      </c>
      <c r="D10" s="168">
        <v>11100</v>
      </c>
      <c r="E10" s="168" t="s">
        <v>211</v>
      </c>
      <c r="F10" s="168">
        <v>732300</v>
      </c>
      <c r="G10" s="168">
        <v>226557</v>
      </c>
      <c r="H10" s="825"/>
      <c r="I10" s="168" t="s">
        <v>211</v>
      </c>
      <c r="J10" s="820" t="s">
        <v>211</v>
      </c>
      <c r="K10" s="168" t="s">
        <v>211</v>
      </c>
      <c r="L10" s="820" t="s">
        <v>211</v>
      </c>
      <c r="M10" s="817"/>
      <c r="N10" s="817"/>
      <c r="O10" s="435" t="s">
        <v>211</v>
      </c>
      <c r="P10" s="817"/>
      <c r="Q10" s="817"/>
      <c r="R10" s="817"/>
      <c r="S10" s="92" t="e">
        <v>#REF!</v>
      </c>
      <c r="T10" s="516" t="s">
        <v>211</v>
      </c>
      <c r="U10" s="516" t="s">
        <v>211</v>
      </c>
      <c r="V10" s="818"/>
      <c r="W10" s="434"/>
      <c r="X10" s="434"/>
      <c r="Y10" s="434"/>
      <c r="Z10" s="512"/>
      <c r="AA10" s="512"/>
      <c r="AB10" s="718" t="s">
        <v>365</v>
      </c>
      <c r="AC10" s="719"/>
      <c r="AD10" s="719"/>
      <c r="AM10" s="275">
        <v>0.42986111111111108</v>
      </c>
      <c r="AN10" s="512"/>
      <c r="AO10" s="512"/>
    </row>
    <row r="11" spans="1:45" ht="14.5" customHeight="1" thickBot="1" x14ac:dyDescent="0.4">
      <c r="A11" s="821" t="s">
        <v>506</v>
      </c>
      <c r="B11" s="823" t="s">
        <v>180</v>
      </c>
      <c r="C11" s="167" t="s">
        <v>211</v>
      </c>
      <c r="D11" s="167" t="s">
        <v>211</v>
      </c>
      <c r="E11" s="167">
        <v>51.65</v>
      </c>
      <c r="F11" s="167">
        <v>1204950</v>
      </c>
      <c r="G11" s="167">
        <v>180627</v>
      </c>
      <c r="H11" s="819" t="s">
        <v>55</v>
      </c>
      <c r="I11" s="167">
        <v>24.52</v>
      </c>
      <c r="J11" s="819">
        <v>11300</v>
      </c>
      <c r="K11" s="167">
        <v>21.55</v>
      </c>
      <c r="L11" s="819">
        <v>2792700</v>
      </c>
      <c r="M11" s="816">
        <v>11130</v>
      </c>
      <c r="N11" s="816">
        <v>11200</v>
      </c>
      <c r="O11" s="435">
        <v>-20.516666666666659</v>
      </c>
      <c r="P11" s="816" t="s">
        <v>211</v>
      </c>
      <c r="Q11" s="816" t="s">
        <v>211</v>
      </c>
      <c r="R11" s="816" t="s">
        <v>211</v>
      </c>
      <c r="S11" s="88" t="e">
        <v>#REF!</v>
      </c>
      <c r="T11" s="516" t="e">
        <v>#REF!</v>
      </c>
      <c r="U11" s="516" t="e">
        <v>#REF!</v>
      </c>
      <c r="V11" s="818" t="e">
        <v>#REF!</v>
      </c>
      <c r="W11" s="434"/>
      <c r="X11" s="434"/>
      <c r="Y11" s="434"/>
      <c r="Z11" s="512"/>
      <c r="AA11" s="512"/>
      <c r="AB11" s="718" t="s">
        <v>366</v>
      </c>
      <c r="AC11" s="718"/>
      <c r="AD11" s="718"/>
      <c r="AM11" s="275">
        <v>0.4375</v>
      </c>
      <c r="AN11" s="512"/>
      <c r="AO11" s="512" t="s">
        <v>207</v>
      </c>
    </row>
    <row r="12" spans="1:45" ht="14.5" customHeight="1" thickBot="1" x14ac:dyDescent="0.4">
      <c r="A12" s="822"/>
      <c r="B12" s="824"/>
      <c r="C12" s="90" t="s">
        <v>42</v>
      </c>
      <c r="D12" s="168">
        <v>11100</v>
      </c>
      <c r="E12" s="168" t="s">
        <v>211</v>
      </c>
      <c r="F12" s="168">
        <v>812925</v>
      </c>
      <c r="G12" s="168">
        <v>81669</v>
      </c>
      <c r="H12" s="825"/>
      <c r="I12" s="168" t="s">
        <v>211</v>
      </c>
      <c r="J12" s="820" t="s">
        <v>211</v>
      </c>
      <c r="K12" s="168" t="s">
        <v>211</v>
      </c>
      <c r="L12" s="820" t="s">
        <v>211</v>
      </c>
      <c r="M12" s="817"/>
      <c r="N12" s="817"/>
      <c r="O12" s="435" t="s">
        <v>211</v>
      </c>
      <c r="P12" s="817"/>
      <c r="Q12" s="817"/>
      <c r="R12" s="817"/>
      <c r="S12" s="92" t="e">
        <v>#REF!</v>
      </c>
      <c r="T12" s="516" t="s">
        <v>211</v>
      </c>
      <c r="U12" s="516" t="s">
        <v>211</v>
      </c>
      <c r="V12" s="818"/>
      <c r="W12" s="434"/>
      <c r="X12" s="434"/>
      <c r="Y12" s="434"/>
      <c r="Z12" s="512"/>
      <c r="AA12" s="512"/>
      <c r="AB12" s="718" t="s">
        <v>167</v>
      </c>
      <c r="AC12" s="718"/>
      <c r="AD12" s="718"/>
      <c r="AM12" s="275">
        <v>0.44027777777777777</v>
      </c>
      <c r="AN12" s="512"/>
      <c r="AO12" s="512"/>
    </row>
    <row r="13" spans="1:45" ht="14.5" customHeight="1" thickBot="1" x14ac:dyDescent="0.4">
      <c r="A13" s="821" t="s">
        <v>507</v>
      </c>
      <c r="B13" s="823" t="s">
        <v>180</v>
      </c>
      <c r="C13" s="167" t="s">
        <v>211</v>
      </c>
      <c r="D13" s="167" t="s">
        <v>211</v>
      </c>
      <c r="E13" s="167">
        <v>52</v>
      </c>
      <c r="F13" s="167">
        <v>1257150</v>
      </c>
      <c r="G13" s="167">
        <v>99175</v>
      </c>
      <c r="H13" s="819" t="s">
        <v>55</v>
      </c>
      <c r="I13" s="167">
        <v>24.33</v>
      </c>
      <c r="J13" s="819">
        <v>11300</v>
      </c>
      <c r="K13" s="167">
        <v>21.5</v>
      </c>
      <c r="L13" s="819">
        <v>2810625</v>
      </c>
      <c r="M13" s="816">
        <v>11130.25</v>
      </c>
      <c r="N13" s="816">
        <v>11200</v>
      </c>
      <c r="O13" s="435">
        <v>-20.324999999999996</v>
      </c>
      <c r="P13" s="816" t="s">
        <v>211</v>
      </c>
      <c r="Q13" s="816" t="s">
        <v>211</v>
      </c>
      <c r="R13" s="816" t="s">
        <v>211</v>
      </c>
      <c r="S13" s="88" t="e">
        <v>#REF!</v>
      </c>
      <c r="T13" s="516" t="e">
        <v>#REF!</v>
      </c>
      <c r="U13" s="516" t="e">
        <v>#REF!</v>
      </c>
      <c r="V13" s="818" t="e">
        <v>#REF!</v>
      </c>
      <c r="W13" s="434"/>
      <c r="X13" s="434"/>
      <c r="Y13" s="434"/>
      <c r="Z13" s="512"/>
      <c r="AA13" s="512"/>
      <c r="AB13" s="718" t="s">
        <v>168</v>
      </c>
      <c r="AC13" s="718"/>
      <c r="AD13" s="718"/>
      <c r="AM13" s="275">
        <v>0.44791666666666669</v>
      </c>
      <c r="AN13" s="512"/>
      <c r="AO13" s="512" t="s">
        <v>207</v>
      </c>
    </row>
    <row r="14" spans="1:45" ht="14.5" customHeight="1" thickBot="1" x14ac:dyDescent="0.4">
      <c r="A14" s="822"/>
      <c r="B14" s="824"/>
      <c r="C14" s="90" t="s">
        <v>42</v>
      </c>
      <c r="D14" s="168">
        <v>11100</v>
      </c>
      <c r="E14" s="168" t="s">
        <v>211</v>
      </c>
      <c r="F14" s="168">
        <v>854250</v>
      </c>
      <c r="G14" s="168" t="s">
        <v>211</v>
      </c>
      <c r="H14" s="825"/>
      <c r="I14" s="168" t="s">
        <v>211</v>
      </c>
      <c r="J14" s="820" t="s">
        <v>211</v>
      </c>
      <c r="K14" s="168" t="s">
        <v>211</v>
      </c>
      <c r="L14" s="820" t="s">
        <v>211</v>
      </c>
      <c r="M14" s="817"/>
      <c r="N14" s="817"/>
      <c r="O14" s="435" t="s">
        <v>211</v>
      </c>
      <c r="P14" s="817"/>
      <c r="Q14" s="817"/>
      <c r="R14" s="817"/>
      <c r="S14" s="92" t="e">
        <v>#REF!</v>
      </c>
      <c r="T14" s="516" t="s">
        <v>211</v>
      </c>
      <c r="U14" s="516" t="s">
        <v>211</v>
      </c>
      <c r="V14" s="818"/>
      <c r="W14" s="434"/>
      <c r="X14" s="434"/>
      <c r="Y14" s="434"/>
      <c r="AM14" s="275">
        <v>0.45069444444444445</v>
      </c>
      <c r="AN14" s="512"/>
      <c r="AO14" s="512"/>
    </row>
    <row r="15" spans="1:45" ht="14.5" customHeight="1" thickBot="1" x14ac:dyDescent="0.4">
      <c r="A15" s="821" t="s">
        <v>398</v>
      </c>
      <c r="B15" s="823" t="s">
        <v>180</v>
      </c>
      <c r="C15" s="167" t="s">
        <v>211</v>
      </c>
      <c r="D15" s="167" t="s">
        <v>211</v>
      </c>
      <c r="E15" s="167">
        <v>52.95</v>
      </c>
      <c r="F15" s="167">
        <v>1297500</v>
      </c>
      <c r="G15" s="167">
        <v>105389</v>
      </c>
      <c r="H15" s="819" t="s">
        <v>55</v>
      </c>
      <c r="I15" s="167">
        <v>24.5</v>
      </c>
      <c r="J15" s="819">
        <v>11300</v>
      </c>
      <c r="K15" s="167">
        <v>22.35</v>
      </c>
      <c r="L15" s="819">
        <v>2852700</v>
      </c>
      <c r="M15" s="816">
        <v>11142.4</v>
      </c>
      <c r="N15" s="816">
        <v>11200</v>
      </c>
      <c r="O15" s="435">
        <v>-19.408333333333331</v>
      </c>
      <c r="P15" s="816" t="s">
        <v>211</v>
      </c>
      <c r="Q15" s="816" t="s">
        <v>211</v>
      </c>
      <c r="R15" s="816" t="s">
        <v>211</v>
      </c>
      <c r="S15" s="88" t="e">
        <v>#REF!</v>
      </c>
      <c r="T15" s="516" t="e">
        <v>#REF!</v>
      </c>
      <c r="U15" s="516" t="e">
        <v>#REF!</v>
      </c>
      <c r="V15" s="818" t="e">
        <v>#REF!</v>
      </c>
      <c r="W15" s="434"/>
      <c r="X15" s="434"/>
      <c r="Y15" s="434"/>
      <c r="AM15" s="275">
        <v>0.45833333333333331</v>
      </c>
      <c r="AN15" s="512"/>
      <c r="AO15" s="512" t="s">
        <v>207</v>
      </c>
    </row>
    <row r="16" spans="1:45" ht="14.5" customHeight="1" thickBot="1" x14ac:dyDescent="0.4">
      <c r="A16" s="822"/>
      <c r="B16" s="824"/>
      <c r="C16" s="90" t="s">
        <v>42</v>
      </c>
      <c r="D16" s="168">
        <v>11100</v>
      </c>
      <c r="E16" s="168" t="s">
        <v>211</v>
      </c>
      <c r="F16" s="168">
        <v>893175</v>
      </c>
      <c r="G16" s="168" t="s">
        <v>211</v>
      </c>
      <c r="H16" s="825"/>
      <c r="I16" s="168" t="s">
        <v>211</v>
      </c>
      <c r="J16" s="820" t="s">
        <v>211</v>
      </c>
      <c r="K16" s="168" t="s">
        <v>211</v>
      </c>
      <c r="L16" s="820" t="s">
        <v>211</v>
      </c>
      <c r="M16" s="817"/>
      <c r="N16" s="817"/>
      <c r="O16" s="435" t="s">
        <v>211</v>
      </c>
      <c r="P16" s="817"/>
      <c r="Q16" s="817"/>
      <c r="R16" s="817"/>
      <c r="S16" s="92" t="e">
        <v>#REF!</v>
      </c>
      <c r="T16" s="516" t="s">
        <v>211</v>
      </c>
      <c r="U16" s="516" t="s">
        <v>211</v>
      </c>
      <c r="V16" s="818"/>
      <c r="W16" s="434"/>
      <c r="X16" s="434"/>
      <c r="Y16" s="434"/>
      <c r="AM16" s="275">
        <v>0.46111111111111108</v>
      </c>
      <c r="AN16" s="512"/>
      <c r="AO16" s="512"/>
    </row>
    <row r="17" spans="1:41" ht="14.5" customHeight="1" thickBot="1" x14ac:dyDescent="0.4">
      <c r="A17" s="821" t="s">
        <v>508</v>
      </c>
      <c r="B17" s="823" t="s">
        <v>180</v>
      </c>
      <c r="C17" s="167" t="s">
        <v>211</v>
      </c>
      <c r="D17" s="167" t="s">
        <v>211</v>
      </c>
      <c r="E17" s="167">
        <v>51.55</v>
      </c>
      <c r="F17" s="167">
        <v>1362375</v>
      </c>
      <c r="G17" s="167">
        <v>113164</v>
      </c>
      <c r="H17" s="819" t="s">
        <v>55</v>
      </c>
      <c r="I17" s="167">
        <v>23.63</v>
      </c>
      <c r="J17" s="819">
        <v>11300</v>
      </c>
      <c r="K17" s="167">
        <v>21.6</v>
      </c>
      <c r="L17" s="819">
        <v>2884575</v>
      </c>
      <c r="M17" s="816">
        <v>11130.15</v>
      </c>
      <c r="N17" s="816">
        <v>11200</v>
      </c>
      <c r="O17" s="435">
        <v>-20.016666666666666</v>
      </c>
      <c r="P17" s="816" t="s">
        <v>211</v>
      </c>
      <c r="Q17" s="816" t="s">
        <v>211</v>
      </c>
      <c r="R17" s="816" t="s">
        <v>211</v>
      </c>
      <c r="S17" s="88" t="e">
        <v>#REF!</v>
      </c>
      <c r="T17" s="516" t="e">
        <v>#REF!</v>
      </c>
      <c r="U17" s="516" t="e">
        <v>#REF!</v>
      </c>
      <c r="V17" s="818" t="e">
        <v>#REF!</v>
      </c>
      <c r="W17" s="434"/>
      <c r="X17" s="434"/>
      <c r="Y17" s="434"/>
      <c r="AM17" s="275">
        <v>0.46875</v>
      </c>
      <c r="AN17" s="512"/>
      <c r="AO17" s="512" t="s">
        <v>207</v>
      </c>
    </row>
    <row r="18" spans="1:41" ht="14.5" customHeight="1" thickBot="1" x14ac:dyDescent="0.4">
      <c r="A18" s="822"/>
      <c r="B18" s="824"/>
      <c r="C18" s="90" t="s">
        <v>42</v>
      </c>
      <c r="D18" s="168">
        <v>11000</v>
      </c>
      <c r="E18" s="168" t="s">
        <v>211</v>
      </c>
      <c r="F18" s="168">
        <v>910575</v>
      </c>
      <c r="G18" s="168" t="s">
        <v>211</v>
      </c>
      <c r="H18" s="825"/>
      <c r="I18" s="168" t="s">
        <v>211</v>
      </c>
      <c r="J18" s="820" t="s">
        <v>211</v>
      </c>
      <c r="K18" s="168" t="s">
        <v>211</v>
      </c>
      <c r="L18" s="820" t="s">
        <v>211</v>
      </c>
      <c r="M18" s="817"/>
      <c r="N18" s="817"/>
      <c r="O18" s="435" t="s">
        <v>211</v>
      </c>
      <c r="P18" s="817"/>
      <c r="Q18" s="817"/>
      <c r="R18" s="817"/>
      <c r="S18" s="92" t="e">
        <v>#REF!</v>
      </c>
      <c r="T18" s="516" t="s">
        <v>211</v>
      </c>
      <c r="U18" s="516" t="s">
        <v>211</v>
      </c>
      <c r="V18" s="818"/>
      <c r="W18" s="434"/>
      <c r="X18" s="434"/>
      <c r="Y18" s="434"/>
      <c r="AM18" s="275">
        <v>0.47152777777777777</v>
      </c>
      <c r="AN18" s="512"/>
      <c r="AO18" s="512"/>
    </row>
    <row r="19" spans="1:41" ht="14.5" customHeight="1" thickBot="1" x14ac:dyDescent="0.4">
      <c r="A19" s="821" t="s">
        <v>509</v>
      </c>
      <c r="B19" s="823" t="s">
        <v>180</v>
      </c>
      <c r="C19" s="167" t="s">
        <v>211</v>
      </c>
      <c r="D19" s="167" t="s">
        <v>211</v>
      </c>
      <c r="E19" s="167">
        <v>51.2</v>
      </c>
      <c r="F19" s="167">
        <v>1386900</v>
      </c>
      <c r="G19" s="167">
        <v>120378</v>
      </c>
      <c r="H19" s="819" t="s">
        <v>55</v>
      </c>
      <c r="I19" s="167">
        <v>24.3</v>
      </c>
      <c r="J19" s="819">
        <v>11300</v>
      </c>
      <c r="K19" s="167">
        <v>21.25</v>
      </c>
      <c r="L19" s="819">
        <v>2895825</v>
      </c>
      <c r="M19" s="816">
        <v>11129.2</v>
      </c>
      <c r="N19" s="816">
        <v>11200</v>
      </c>
      <c r="O19" s="435">
        <v>-19.591666666666661</v>
      </c>
      <c r="P19" s="816" t="s">
        <v>211</v>
      </c>
      <c r="Q19" s="816" t="s">
        <v>211</v>
      </c>
      <c r="R19" s="816" t="s">
        <v>211</v>
      </c>
      <c r="S19" s="88" t="e">
        <v>#REF!</v>
      </c>
      <c r="T19" s="516" t="e">
        <v>#REF!</v>
      </c>
      <c r="U19" s="516" t="e">
        <v>#REF!</v>
      </c>
      <c r="V19" s="818" t="e">
        <v>#REF!</v>
      </c>
      <c r="W19" s="434"/>
      <c r="X19" s="434"/>
      <c r="Y19" s="434"/>
      <c r="AM19" s="275">
        <v>0.47916666666666669</v>
      </c>
      <c r="AN19" s="512"/>
      <c r="AO19" s="512" t="s">
        <v>207</v>
      </c>
    </row>
    <row r="20" spans="1:41" ht="14.5" customHeight="1" thickBot="1" x14ac:dyDescent="0.4">
      <c r="A20" s="822"/>
      <c r="B20" s="824"/>
      <c r="C20" s="90" t="s">
        <v>42</v>
      </c>
      <c r="D20" s="168">
        <v>11000</v>
      </c>
      <c r="E20" s="168" t="s">
        <v>211</v>
      </c>
      <c r="F20" s="168">
        <v>945750</v>
      </c>
      <c r="G20" s="168" t="s">
        <v>211</v>
      </c>
      <c r="H20" s="825"/>
      <c r="I20" s="168" t="s">
        <v>211</v>
      </c>
      <c r="J20" s="820" t="s">
        <v>211</v>
      </c>
      <c r="K20" s="168" t="s">
        <v>211</v>
      </c>
      <c r="L20" s="820" t="s">
        <v>211</v>
      </c>
      <c r="M20" s="817"/>
      <c r="N20" s="817"/>
      <c r="O20" s="435" t="s">
        <v>211</v>
      </c>
      <c r="P20" s="817"/>
      <c r="Q20" s="817"/>
      <c r="R20" s="817"/>
      <c r="S20" s="92" t="e">
        <v>#REF!</v>
      </c>
      <c r="T20" s="516" t="s">
        <v>211</v>
      </c>
      <c r="U20" s="516" t="s">
        <v>211</v>
      </c>
      <c r="V20" s="818"/>
      <c r="W20" s="434"/>
      <c r="X20" s="434"/>
      <c r="Y20" s="434"/>
      <c r="AM20" s="275">
        <v>0.48194444444444445</v>
      </c>
      <c r="AN20" s="512"/>
      <c r="AO20" s="512"/>
    </row>
    <row r="21" spans="1:41" ht="14.5" customHeight="1" thickBot="1" x14ac:dyDescent="0.4">
      <c r="A21" s="821" t="s">
        <v>217</v>
      </c>
      <c r="B21" s="823" t="s">
        <v>180</v>
      </c>
      <c r="C21" s="167" t="s">
        <v>211</v>
      </c>
      <c r="D21" s="167" t="s">
        <v>211</v>
      </c>
      <c r="E21" s="167">
        <v>46.8</v>
      </c>
      <c r="F21" s="167">
        <v>1393350</v>
      </c>
      <c r="G21" s="167">
        <v>134303</v>
      </c>
      <c r="H21" s="819" t="s">
        <v>55</v>
      </c>
      <c r="I21" s="167">
        <v>23.87</v>
      </c>
      <c r="J21" s="819">
        <v>11300</v>
      </c>
      <c r="K21" s="167">
        <v>19.25</v>
      </c>
      <c r="L21" s="819">
        <v>2912700</v>
      </c>
      <c r="M21" s="816">
        <v>11119.95</v>
      </c>
      <c r="N21" s="816">
        <v>11200</v>
      </c>
      <c r="O21" s="435">
        <v>-23.299999999999997</v>
      </c>
      <c r="P21" s="816" t="s">
        <v>211</v>
      </c>
      <c r="Q21" s="816" t="s">
        <v>211</v>
      </c>
      <c r="R21" s="816" t="s">
        <v>211</v>
      </c>
      <c r="S21" s="88" t="e">
        <v>#REF!</v>
      </c>
      <c r="T21" s="516" t="e">
        <v>#REF!</v>
      </c>
      <c r="U21" s="516" t="e">
        <v>#REF!</v>
      </c>
      <c r="V21" s="818" t="e">
        <v>#REF!</v>
      </c>
      <c r="W21" s="434"/>
      <c r="X21" s="434"/>
      <c r="Y21" s="434"/>
      <c r="AM21" s="275">
        <v>0.48958333333333331</v>
      </c>
      <c r="AN21" s="512"/>
      <c r="AO21" s="512" t="s">
        <v>207</v>
      </c>
    </row>
    <row r="22" spans="1:41" ht="14.5" customHeight="1" thickBot="1" x14ac:dyDescent="0.4">
      <c r="A22" s="822"/>
      <c r="B22" s="824"/>
      <c r="C22" s="90" t="s">
        <v>42</v>
      </c>
      <c r="D22" s="168">
        <v>11000</v>
      </c>
      <c r="E22" s="168" t="s">
        <v>211</v>
      </c>
      <c r="F22" s="168">
        <v>1000200</v>
      </c>
      <c r="G22" s="168" t="s">
        <v>211</v>
      </c>
      <c r="H22" s="825"/>
      <c r="I22" s="168" t="s">
        <v>211</v>
      </c>
      <c r="J22" s="820" t="s">
        <v>211</v>
      </c>
      <c r="K22" s="168" t="s">
        <v>211</v>
      </c>
      <c r="L22" s="820" t="s">
        <v>211</v>
      </c>
      <c r="M22" s="817"/>
      <c r="N22" s="817"/>
      <c r="O22" s="435" t="s">
        <v>211</v>
      </c>
      <c r="P22" s="817"/>
      <c r="Q22" s="817"/>
      <c r="R22" s="817"/>
      <c r="S22" s="92" t="e">
        <v>#REF!</v>
      </c>
      <c r="T22" s="516" t="s">
        <v>211</v>
      </c>
      <c r="U22" s="516" t="s">
        <v>211</v>
      </c>
      <c r="V22" s="818"/>
      <c r="W22" s="434"/>
      <c r="X22" s="434"/>
      <c r="Y22" s="434"/>
      <c r="AM22" s="275">
        <v>0.49236111111111108</v>
      </c>
      <c r="AN22" s="512"/>
      <c r="AO22" s="512"/>
    </row>
    <row r="23" spans="1:41" ht="14.5" customHeight="1" thickBot="1" x14ac:dyDescent="0.4">
      <c r="A23" s="821" t="s">
        <v>510</v>
      </c>
      <c r="B23" s="823" t="s">
        <v>180</v>
      </c>
      <c r="C23" s="167" t="s">
        <v>211</v>
      </c>
      <c r="D23" s="167" t="s">
        <v>211</v>
      </c>
      <c r="E23" s="167">
        <v>47.1</v>
      </c>
      <c r="F23" s="167">
        <v>1415100</v>
      </c>
      <c r="G23" s="167">
        <v>141084</v>
      </c>
      <c r="H23" s="819" t="s">
        <v>55</v>
      </c>
      <c r="I23" s="167">
        <v>24.01</v>
      </c>
      <c r="J23" s="819">
        <v>11300</v>
      </c>
      <c r="K23" s="167">
        <v>19.100000000000001</v>
      </c>
      <c r="L23" s="819">
        <v>2924925</v>
      </c>
      <c r="M23" s="816">
        <v>11120.2</v>
      </c>
      <c r="N23" s="816">
        <v>11200</v>
      </c>
      <c r="O23" s="435">
        <v>-23.458333333333329</v>
      </c>
      <c r="P23" s="816" t="s">
        <v>211</v>
      </c>
      <c r="Q23" s="816" t="s">
        <v>211</v>
      </c>
      <c r="R23" s="816" t="s">
        <v>211</v>
      </c>
      <c r="S23" s="88" t="e">
        <v>#REF!</v>
      </c>
      <c r="T23" s="516" t="e">
        <v>#REF!</v>
      </c>
      <c r="U23" s="516" t="e">
        <v>#REF!</v>
      </c>
      <c r="V23" s="818" t="e">
        <v>#REF!</v>
      </c>
      <c r="W23" s="434"/>
      <c r="X23" s="434"/>
      <c r="Y23" s="434"/>
      <c r="AM23" s="275">
        <v>0.5</v>
      </c>
      <c r="AN23" s="512"/>
      <c r="AO23" s="512" t="s">
        <v>207</v>
      </c>
    </row>
    <row r="24" spans="1:41" ht="14.5" customHeight="1" thickBot="1" x14ac:dyDescent="0.4">
      <c r="A24" s="822"/>
      <c r="B24" s="824"/>
      <c r="C24" s="90" t="s">
        <v>42</v>
      </c>
      <c r="D24" s="168">
        <v>11000</v>
      </c>
      <c r="E24" s="168" t="s">
        <v>211</v>
      </c>
      <c r="F24" s="168">
        <v>1023150</v>
      </c>
      <c r="G24" s="168" t="s">
        <v>211</v>
      </c>
      <c r="H24" s="825"/>
      <c r="I24" s="168" t="s">
        <v>211</v>
      </c>
      <c r="J24" s="820" t="s">
        <v>211</v>
      </c>
      <c r="K24" s="168" t="s">
        <v>211</v>
      </c>
      <c r="L24" s="820" t="s">
        <v>211</v>
      </c>
      <c r="M24" s="817"/>
      <c r="N24" s="817"/>
      <c r="O24" s="435" t="s">
        <v>211</v>
      </c>
      <c r="P24" s="817"/>
      <c r="Q24" s="817"/>
      <c r="R24" s="817"/>
      <c r="S24" s="92" t="e">
        <v>#REF!</v>
      </c>
      <c r="T24" s="516" t="s">
        <v>211</v>
      </c>
      <c r="U24" s="516" t="s">
        <v>211</v>
      </c>
      <c r="V24" s="818"/>
      <c r="W24" s="434"/>
      <c r="X24" s="434"/>
      <c r="Y24" s="434"/>
      <c r="AM24" s="275">
        <v>0.50277777777777777</v>
      </c>
      <c r="AN24" s="512"/>
      <c r="AO24" s="512"/>
    </row>
    <row r="25" spans="1:41" ht="14.5" customHeight="1" thickBot="1" x14ac:dyDescent="0.4">
      <c r="A25" s="821" t="s">
        <v>330</v>
      </c>
      <c r="B25" s="823" t="s">
        <v>180</v>
      </c>
      <c r="C25" s="167" t="s">
        <v>211</v>
      </c>
      <c r="D25" s="167" t="s">
        <v>211</v>
      </c>
      <c r="E25" s="167">
        <v>50</v>
      </c>
      <c r="F25" s="167">
        <v>1459350</v>
      </c>
      <c r="G25" s="167">
        <v>150454</v>
      </c>
      <c r="H25" s="819" t="s">
        <v>55</v>
      </c>
      <c r="I25" s="167">
        <v>23.77</v>
      </c>
      <c r="J25" s="819">
        <v>11300</v>
      </c>
      <c r="K25" s="167">
        <v>20.8</v>
      </c>
      <c r="L25" s="819">
        <v>2918400</v>
      </c>
      <c r="M25" s="816">
        <v>11129.6</v>
      </c>
      <c r="N25" s="816">
        <v>11200</v>
      </c>
      <c r="O25" s="435">
        <v>-20.916666666666664</v>
      </c>
      <c r="P25" s="816" t="s">
        <v>211</v>
      </c>
      <c r="Q25" s="816" t="s">
        <v>211</v>
      </c>
      <c r="R25" s="816" t="s">
        <v>211</v>
      </c>
      <c r="S25" s="88" t="e">
        <v>#REF!</v>
      </c>
      <c r="T25" s="516" t="e">
        <v>#REF!</v>
      </c>
      <c r="U25" s="516" t="e">
        <v>#REF!</v>
      </c>
      <c r="V25" s="818" t="e">
        <v>#REF!</v>
      </c>
      <c r="W25" s="434"/>
      <c r="X25" s="434"/>
      <c r="Y25" s="434"/>
      <c r="AM25" s="275">
        <v>0.51041666666666663</v>
      </c>
      <c r="AN25" s="512"/>
      <c r="AO25" s="512" t="s">
        <v>207</v>
      </c>
    </row>
    <row r="26" spans="1:41" ht="14.5" customHeight="1" thickBot="1" x14ac:dyDescent="0.4">
      <c r="A26" s="822"/>
      <c r="B26" s="824"/>
      <c r="C26" s="90" t="s">
        <v>42</v>
      </c>
      <c r="D26" s="168">
        <v>11000</v>
      </c>
      <c r="E26" s="168" t="s">
        <v>211</v>
      </c>
      <c r="F26" s="168">
        <v>1084800</v>
      </c>
      <c r="G26" s="168" t="s">
        <v>211</v>
      </c>
      <c r="H26" s="825"/>
      <c r="I26" s="168" t="s">
        <v>211</v>
      </c>
      <c r="J26" s="820" t="s">
        <v>211</v>
      </c>
      <c r="K26" s="168" t="s">
        <v>211</v>
      </c>
      <c r="L26" s="820" t="s">
        <v>211</v>
      </c>
      <c r="M26" s="817"/>
      <c r="N26" s="817"/>
      <c r="O26" s="435" t="s">
        <v>211</v>
      </c>
      <c r="P26" s="817"/>
      <c r="Q26" s="817"/>
      <c r="R26" s="817"/>
      <c r="S26" s="92" t="e">
        <v>#REF!</v>
      </c>
      <c r="T26" s="516" t="s">
        <v>211</v>
      </c>
      <c r="U26" s="516" t="s">
        <v>211</v>
      </c>
      <c r="V26" s="818"/>
      <c r="W26" s="434"/>
      <c r="X26" s="434"/>
      <c r="Y26" s="434"/>
      <c r="AM26" s="275">
        <v>0.5131944444444444</v>
      </c>
      <c r="AN26" s="512"/>
      <c r="AO26" s="512"/>
    </row>
    <row r="27" spans="1:41" ht="14.5" customHeight="1" thickBot="1" x14ac:dyDescent="0.4">
      <c r="A27" s="821" t="s">
        <v>399</v>
      </c>
      <c r="B27" s="823" t="s">
        <v>180</v>
      </c>
      <c r="C27" s="167" t="s">
        <v>211</v>
      </c>
      <c r="D27" s="167" t="s">
        <v>211</v>
      </c>
      <c r="E27" s="167">
        <v>48.55</v>
      </c>
      <c r="F27" s="167">
        <v>1449750</v>
      </c>
      <c r="G27" s="167">
        <v>158492</v>
      </c>
      <c r="H27" s="819" t="s">
        <v>55</v>
      </c>
      <c r="I27" s="167">
        <v>24.09</v>
      </c>
      <c r="J27" s="819">
        <v>11300</v>
      </c>
      <c r="K27" s="167">
        <v>20.100000000000001</v>
      </c>
      <c r="L27" s="819">
        <v>2949450</v>
      </c>
      <c r="M27" s="816">
        <v>11129</v>
      </c>
      <c r="N27" s="816">
        <v>11200</v>
      </c>
      <c r="O27" s="435">
        <v>-21.824999999999996</v>
      </c>
      <c r="P27" s="816" t="s">
        <v>211</v>
      </c>
      <c r="Q27" s="816" t="s">
        <v>211</v>
      </c>
      <c r="R27" s="816" t="s">
        <v>211</v>
      </c>
      <c r="S27" s="88" t="e">
        <v>#REF!</v>
      </c>
      <c r="T27" s="516" t="e">
        <v>#REF!</v>
      </c>
      <c r="U27" s="516" t="e">
        <v>#REF!</v>
      </c>
      <c r="V27" s="818" t="e">
        <v>#REF!</v>
      </c>
      <c r="W27" s="434"/>
      <c r="X27" s="434"/>
      <c r="Y27" s="434"/>
      <c r="AM27" s="275">
        <v>0.52083333333333337</v>
      </c>
      <c r="AN27" s="512"/>
      <c r="AO27" s="512" t="s">
        <v>207</v>
      </c>
    </row>
    <row r="28" spans="1:41" ht="14.5" customHeight="1" thickBot="1" x14ac:dyDescent="0.4">
      <c r="A28" s="822"/>
      <c r="B28" s="824"/>
      <c r="C28" s="90" t="s">
        <v>42</v>
      </c>
      <c r="D28" s="168">
        <v>11000</v>
      </c>
      <c r="E28" s="168" t="s">
        <v>211</v>
      </c>
      <c r="F28" s="168">
        <v>1082325</v>
      </c>
      <c r="G28" s="168" t="s">
        <v>211</v>
      </c>
      <c r="H28" s="825"/>
      <c r="I28" s="168" t="s">
        <v>211</v>
      </c>
      <c r="J28" s="820" t="s">
        <v>211</v>
      </c>
      <c r="K28" s="168" t="s">
        <v>211</v>
      </c>
      <c r="L28" s="820" t="s">
        <v>211</v>
      </c>
      <c r="M28" s="817"/>
      <c r="N28" s="817"/>
      <c r="O28" s="435" t="s">
        <v>211</v>
      </c>
      <c r="P28" s="817"/>
      <c r="Q28" s="817"/>
      <c r="R28" s="817"/>
      <c r="S28" s="92" t="e">
        <v>#REF!</v>
      </c>
      <c r="T28" s="516" t="s">
        <v>211</v>
      </c>
      <c r="U28" s="516" t="s">
        <v>211</v>
      </c>
      <c r="V28" s="818"/>
      <c r="W28" s="434"/>
      <c r="X28" s="434"/>
      <c r="Y28" s="434"/>
      <c r="AM28" s="275">
        <v>0.52361111111111114</v>
      </c>
      <c r="AN28" s="512"/>
      <c r="AO28" s="512"/>
    </row>
    <row r="29" spans="1:41" ht="15" customHeight="1" thickBot="1" x14ac:dyDescent="0.4">
      <c r="A29" s="821" t="s">
        <v>354</v>
      </c>
      <c r="B29" s="823" t="s">
        <v>180</v>
      </c>
      <c r="C29" s="167" t="s">
        <v>211</v>
      </c>
      <c r="D29" s="167" t="s">
        <v>211</v>
      </c>
      <c r="E29" s="167">
        <v>0</v>
      </c>
      <c r="F29" s="167">
        <v>0</v>
      </c>
      <c r="G29" s="167">
        <v>0</v>
      </c>
      <c r="H29" s="819" t="s">
        <v>55</v>
      </c>
      <c r="I29" s="167">
        <v>0</v>
      </c>
      <c r="J29" s="819">
        <v>0</v>
      </c>
      <c r="K29" s="167">
        <v>0</v>
      </c>
      <c r="L29" s="819" t="e">
        <v>#NUM!</v>
      </c>
      <c r="M29" s="816">
        <v>11126.4</v>
      </c>
      <c r="N29" s="816">
        <v>11100</v>
      </c>
      <c r="O29" s="435" t="e">
        <v>#NUM!</v>
      </c>
      <c r="P29" s="816" t="s">
        <v>211</v>
      </c>
      <c r="Q29" s="816" t="s">
        <v>211</v>
      </c>
      <c r="R29" s="816" t="s">
        <v>211</v>
      </c>
      <c r="S29" s="88" t="e">
        <v>#REF!</v>
      </c>
      <c r="T29" s="516" t="e">
        <v>#REF!</v>
      </c>
      <c r="U29" s="516" t="e">
        <v>#REF!</v>
      </c>
      <c r="V29" s="818" t="e">
        <v>#REF!</v>
      </c>
      <c r="W29" s="434"/>
      <c r="X29" s="434"/>
      <c r="Y29" s="434"/>
      <c r="AM29" s="275">
        <v>0.53125</v>
      </c>
      <c r="AO29" s="512" t="s">
        <v>207</v>
      </c>
    </row>
    <row r="30" spans="1:41" ht="15" customHeight="1" thickBot="1" x14ac:dyDescent="0.4">
      <c r="A30" s="822"/>
      <c r="B30" s="824"/>
      <c r="C30" s="90" t="s">
        <v>42</v>
      </c>
      <c r="D30" s="168">
        <v>688200</v>
      </c>
      <c r="E30" s="168" t="s">
        <v>211</v>
      </c>
      <c r="F30" s="168">
        <v>0</v>
      </c>
      <c r="G30" s="168" t="s">
        <v>211</v>
      </c>
      <c r="H30" s="825"/>
      <c r="I30" s="168" t="s">
        <v>211</v>
      </c>
      <c r="J30" s="820" t="s">
        <v>211</v>
      </c>
      <c r="K30" s="168" t="s">
        <v>211</v>
      </c>
      <c r="L30" s="820" t="s">
        <v>211</v>
      </c>
      <c r="M30" s="817"/>
      <c r="N30" s="817"/>
      <c r="O30" s="435" t="s">
        <v>211</v>
      </c>
      <c r="P30" s="817"/>
      <c r="Q30" s="817"/>
      <c r="R30" s="817"/>
      <c r="S30" s="92" t="e">
        <v>#REF!</v>
      </c>
      <c r="T30" s="516" t="s">
        <v>211</v>
      </c>
      <c r="U30" s="516" t="s">
        <v>211</v>
      </c>
      <c r="V30" s="818"/>
      <c r="W30" s="434"/>
      <c r="X30" s="434"/>
      <c r="Y30" s="434"/>
      <c r="AM30" s="275">
        <v>0.53402777777777777</v>
      </c>
      <c r="AO30" s="512"/>
    </row>
    <row r="31" spans="1:41" ht="15" customHeight="1" thickBot="1" x14ac:dyDescent="0.4">
      <c r="A31" s="821" t="s">
        <v>401</v>
      </c>
      <c r="B31" s="823" t="s">
        <v>180</v>
      </c>
      <c r="C31" s="167" t="s">
        <v>211</v>
      </c>
      <c r="D31" s="167" t="s">
        <v>211</v>
      </c>
      <c r="E31" s="167">
        <v>53.35</v>
      </c>
      <c r="F31" s="167">
        <v>1504500</v>
      </c>
      <c r="G31" s="167">
        <v>178542</v>
      </c>
      <c r="H31" s="819" t="s">
        <v>55</v>
      </c>
      <c r="I31" s="167">
        <v>22.91</v>
      </c>
      <c r="J31" s="819">
        <v>11300</v>
      </c>
      <c r="K31" s="167">
        <v>22.25</v>
      </c>
      <c r="L31" s="819">
        <v>2970675</v>
      </c>
      <c r="M31" s="816">
        <v>11149.5</v>
      </c>
      <c r="N31" s="816">
        <v>11200</v>
      </c>
      <c r="O31" s="435">
        <v>-18.633333333333333</v>
      </c>
      <c r="P31" s="816" t="s">
        <v>211</v>
      </c>
      <c r="Q31" s="816" t="s">
        <v>211</v>
      </c>
      <c r="R31" s="816" t="s">
        <v>211</v>
      </c>
      <c r="S31" s="88" t="e">
        <v>#REF!</v>
      </c>
      <c r="T31" s="516" t="e">
        <v>#REF!</v>
      </c>
      <c r="U31" s="516" t="e">
        <v>#REF!</v>
      </c>
      <c r="V31" s="818" t="e">
        <v>#REF!</v>
      </c>
      <c r="W31" s="434"/>
      <c r="X31" s="434"/>
      <c r="Y31" s="434"/>
      <c r="AM31" s="275">
        <v>0.54166666666666663</v>
      </c>
      <c r="AO31" s="512" t="s">
        <v>207</v>
      </c>
    </row>
    <row r="32" spans="1:41" ht="15" customHeight="1" thickBot="1" x14ac:dyDescent="0.4">
      <c r="A32" s="822"/>
      <c r="B32" s="824"/>
      <c r="C32" s="90" t="s">
        <v>42</v>
      </c>
      <c r="D32" s="168">
        <v>11000</v>
      </c>
      <c r="E32" s="168" t="s">
        <v>211</v>
      </c>
      <c r="F32" s="168">
        <v>1100475</v>
      </c>
      <c r="G32" s="168" t="s">
        <v>211</v>
      </c>
      <c r="H32" s="825"/>
      <c r="I32" s="168" t="s">
        <v>211</v>
      </c>
      <c r="J32" s="820" t="s">
        <v>211</v>
      </c>
      <c r="K32" s="168" t="s">
        <v>211</v>
      </c>
      <c r="L32" s="820" t="s">
        <v>211</v>
      </c>
      <c r="M32" s="817"/>
      <c r="N32" s="817"/>
      <c r="O32" s="435" t="s">
        <v>211</v>
      </c>
      <c r="P32" s="817"/>
      <c r="Q32" s="817"/>
      <c r="R32" s="817"/>
      <c r="S32" s="92" t="e">
        <v>#REF!</v>
      </c>
      <c r="T32" s="516" t="s">
        <v>211</v>
      </c>
      <c r="U32" s="516" t="s">
        <v>211</v>
      </c>
      <c r="V32" s="818"/>
      <c r="W32" s="434"/>
      <c r="X32" s="434"/>
      <c r="Y32" s="434"/>
      <c r="AM32" s="275">
        <v>0.5444444444444444</v>
      </c>
      <c r="AO32" s="512"/>
    </row>
    <row r="33" spans="1:41" ht="15" customHeight="1" thickBot="1" x14ac:dyDescent="0.4">
      <c r="A33" s="821" t="s">
        <v>511</v>
      </c>
      <c r="B33" s="823" t="s">
        <v>180</v>
      </c>
      <c r="C33" s="167" t="s">
        <v>211</v>
      </c>
      <c r="D33" s="167" t="s">
        <v>211</v>
      </c>
      <c r="E33" s="167">
        <v>60</v>
      </c>
      <c r="F33" s="167">
        <v>1457325</v>
      </c>
      <c r="G33" s="167">
        <v>200409</v>
      </c>
      <c r="H33" s="819" t="s">
        <v>55</v>
      </c>
      <c r="I33" s="167">
        <v>22.18</v>
      </c>
      <c r="J33" s="819">
        <v>11300</v>
      </c>
      <c r="K33" s="167">
        <v>26.05</v>
      </c>
      <c r="L33" s="819">
        <v>2956200</v>
      </c>
      <c r="M33" s="816">
        <v>11157.85</v>
      </c>
      <c r="N33" s="816">
        <v>11200</v>
      </c>
      <c r="O33" s="435">
        <v>-10.483333333333327</v>
      </c>
      <c r="P33" s="816" t="s">
        <v>211</v>
      </c>
      <c r="Q33" s="816" t="s">
        <v>211</v>
      </c>
      <c r="R33" s="816" t="s">
        <v>211</v>
      </c>
      <c r="S33" s="88" t="e">
        <v>#REF!</v>
      </c>
      <c r="T33" s="516" t="e">
        <v>#REF!</v>
      </c>
      <c r="U33" s="516" t="e">
        <v>#REF!</v>
      </c>
      <c r="V33" s="818" t="e">
        <v>#REF!</v>
      </c>
      <c r="W33" s="434"/>
      <c r="X33" s="434"/>
      <c r="Y33" s="434"/>
      <c r="AM33" s="275">
        <v>0.55208333333333337</v>
      </c>
      <c r="AO33" s="512" t="s">
        <v>207</v>
      </c>
    </row>
    <row r="34" spans="1:41" ht="15" customHeight="1" thickBot="1" x14ac:dyDescent="0.4">
      <c r="A34" s="822"/>
      <c r="B34" s="824"/>
      <c r="C34" s="90" t="s">
        <v>42</v>
      </c>
      <c r="D34" s="168">
        <v>11000</v>
      </c>
      <c r="E34" s="168" t="s">
        <v>211</v>
      </c>
      <c r="F34" s="168">
        <v>1307175</v>
      </c>
      <c r="G34" s="168" t="s">
        <v>211</v>
      </c>
      <c r="H34" s="825"/>
      <c r="I34" s="168" t="s">
        <v>211</v>
      </c>
      <c r="J34" s="820" t="s">
        <v>211</v>
      </c>
      <c r="K34" s="168" t="s">
        <v>211</v>
      </c>
      <c r="L34" s="820" t="s">
        <v>211</v>
      </c>
      <c r="M34" s="817"/>
      <c r="N34" s="817"/>
      <c r="O34" s="435" t="s">
        <v>211</v>
      </c>
      <c r="P34" s="817"/>
      <c r="Q34" s="817"/>
      <c r="R34" s="817"/>
      <c r="S34" s="92" t="e">
        <v>#REF!</v>
      </c>
      <c r="T34" s="516" t="s">
        <v>211</v>
      </c>
      <c r="U34" s="516" t="s">
        <v>211</v>
      </c>
      <c r="V34" s="818"/>
      <c r="W34" s="434"/>
      <c r="X34" s="434"/>
      <c r="Y34" s="434"/>
      <c r="AM34" s="275">
        <v>0.55486111111111114</v>
      </c>
      <c r="AO34" s="512"/>
    </row>
    <row r="35" spans="1:41" ht="15" customHeight="1" thickBot="1" x14ac:dyDescent="0.4">
      <c r="A35" s="821" t="s">
        <v>512</v>
      </c>
      <c r="B35" s="823" t="s">
        <v>180</v>
      </c>
      <c r="C35" s="167" t="s">
        <v>211</v>
      </c>
      <c r="D35" s="167" t="s">
        <v>211</v>
      </c>
      <c r="E35" s="167">
        <v>68.55</v>
      </c>
      <c r="F35" s="167">
        <v>1264425</v>
      </c>
      <c r="G35" s="167">
        <v>239777</v>
      </c>
      <c r="H35" s="819" t="s">
        <v>61</v>
      </c>
      <c r="I35" s="167">
        <v>21.56</v>
      </c>
      <c r="J35" s="819">
        <v>11300</v>
      </c>
      <c r="K35" s="167">
        <v>30.4</v>
      </c>
      <c r="L35" s="819">
        <v>2627400</v>
      </c>
      <c r="M35" s="816">
        <v>11189.9</v>
      </c>
      <c r="N35" s="816">
        <v>11200</v>
      </c>
      <c r="O35" s="435">
        <v>-10.958333333333329</v>
      </c>
      <c r="P35" s="816" t="s">
        <v>211</v>
      </c>
      <c r="Q35" s="816" t="s">
        <v>211</v>
      </c>
      <c r="R35" s="816" t="s">
        <v>211</v>
      </c>
      <c r="S35" s="88" t="e">
        <v>#REF!</v>
      </c>
      <c r="T35" s="516" t="e">
        <v>#REF!</v>
      </c>
      <c r="U35" s="516" t="e">
        <v>#REF!</v>
      </c>
      <c r="V35" s="818" t="e">
        <v>#REF!</v>
      </c>
      <c r="W35" s="434"/>
      <c r="X35" s="434"/>
      <c r="Y35" s="434"/>
      <c r="AM35" s="275">
        <v>0.5625</v>
      </c>
      <c r="AO35" s="512" t="s">
        <v>207</v>
      </c>
    </row>
    <row r="36" spans="1:41" ht="15" customHeight="1" thickBot="1" x14ac:dyDescent="0.4">
      <c r="A36" s="822"/>
      <c r="B36" s="824"/>
      <c r="C36" s="90" t="s">
        <v>42</v>
      </c>
      <c r="D36" s="168">
        <v>11000</v>
      </c>
      <c r="E36" s="168" t="s">
        <v>211</v>
      </c>
      <c r="F36" s="168">
        <v>1288875</v>
      </c>
      <c r="G36" s="168" t="s">
        <v>211</v>
      </c>
      <c r="H36" s="825"/>
      <c r="I36" s="168" t="s">
        <v>211</v>
      </c>
      <c r="J36" s="820" t="s">
        <v>211</v>
      </c>
      <c r="K36" s="168" t="s">
        <v>211</v>
      </c>
      <c r="L36" s="820" t="s">
        <v>211</v>
      </c>
      <c r="M36" s="817"/>
      <c r="N36" s="817"/>
      <c r="O36" s="435" t="s">
        <v>211</v>
      </c>
      <c r="P36" s="817"/>
      <c r="Q36" s="817"/>
      <c r="R36" s="817"/>
      <c r="S36" s="92" t="e">
        <v>#REF!</v>
      </c>
      <c r="T36" s="516" t="s">
        <v>211</v>
      </c>
      <c r="U36" s="516" t="s">
        <v>211</v>
      </c>
      <c r="V36" s="818"/>
      <c r="W36" s="434"/>
      <c r="X36" s="434"/>
      <c r="Y36" s="434"/>
      <c r="AM36" s="275">
        <v>0.56527777777777777</v>
      </c>
      <c r="AO36" s="512"/>
    </row>
    <row r="37" spans="1:41" ht="15" customHeight="1" thickBot="1" x14ac:dyDescent="0.4">
      <c r="A37" s="821" t="s">
        <v>513</v>
      </c>
      <c r="B37" s="823" t="s">
        <v>180</v>
      </c>
      <c r="C37" s="167" t="s">
        <v>211</v>
      </c>
      <c r="D37" s="167" t="s">
        <v>211</v>
      </c>
      <c r="E37" s="167">
        <v>74.95</v>
      </c>
      <c r="F37" s="167">
        <v>1078275</v>
      </c>
      <c r="G37" s="167">
        <v>268994</v>
      </c>
      <c r="H37" s="819" t="s">
        <v>61</v>
      </c>
      <c r="I37" s="167">
        <v>22.39</v>
      </c>
      <c r="J37" s="819">
        <v>11300</v>
      </c>
      <c r="K37" s="167">
        <v>33.6</v>
      </c>
      <c r="L37" s="819">
        <v>2563650</v>
      </c>
      <c r="M37" s="816">
        <v>11205.35</v>
      </c>
      <c r="N37" s="816">
        <v>11200</v>
      </c>
      <c r="O37" s="435">
        <v>-4.0499999999999936</v>
      </c>
      <c r="P37" s="816" t="s">
        <v>211</v>
      </c>
      <c r="Q37" s="816" t="s">
        <v>211</v>
      </c>
      <c r="R37" s="816" t="s">
        <v>211</v>
      </c>
      <c r="S37" s="88" t="e">
        <v>#REF!</v>
      </c>
      <c r="T37" s="516" t="e">
        <v>#REF!</v>
      </c>
      <c r="U37" s="516" t="e">
        <v>#REF!</v>
      </c>
      <c r="V37" s="818" t="e">
        <v>#REF!</v>
      </c>
      <c r="W37" s="434"/>
      <c r="X37" s="434"/>
      <c r="Y37" s="434"/>
      <c r="AM37" s="275">
        <v>0.57291666666666663</v>
      </c>
      <c r="AO37" s="512" t="s">
        <v>207</v>
      </c>
    </row>
    <row r="38" spans="1:41" ht="15" customHeight="1" thickBot="1" x14ac:dyDescent="0.4">
      <c r="A38" s="822"/>
      <c r="B38" s="824"/>
      <c r="C38" s="90" t="s">
        <v>42</v>
      </c>
      <c r="D38" s="168">
        <v>11000</v>
      </c>
      <c r="E38" s="168" t="s">
        <v>211</v>
      </c>
      <c r="F38" s="168">
        <v>1429050</v>
      </c>
      <c r="G38" s="168" t="s">
        <v>211</v>
      </c>
      <c r="H38" s="825"/>
      <c r="I38" s="168" t="s">
        <v>211</v>
      </c>
      <c r="J38" s="820" t="s">
        <v>211</v>
      </c>
      <c r="K38" s="168" t="s">
        <v>211</v>
      </c>
      <c r="L38" s="820" t="s">
        <v>211</v>
      </c>
      <c r="M38" s="817"/>
      <c r="N38" s="817"/>
      <c r="O38" s="435" t="s">
        <v>211</v>
      </c>
      <c r="P38" s="817"/>
      <c r="Q38" s="817"/>
      <c r="R38" s="817"/>
      <c r="S38" s="92" t="e">
        <v>#REF!</v>
      </c>
      <c r="T38" s="516" t="s">
        <v>211</v>
      </c>
      <c r="U38" s="516" t="s">
        <v>211</v>
      </c>
      <c r="V38" s="818"/>
      <c r="W38" s="434"/>
      <c r="X38" s="434"/>
      <c r="Y38" s="434"/>
      <c r="AM38" s="275">
        <v>0.5756944444444444</v>
      </c>
      <c r="AO38" s="512"/>
    </row>
    <row r="39" spans="1:41" ht="15" customHeight="1" thickBot="1" x14ac:dyDescent="0.4">
      <c r="A39" s="821" t="s">
        <v>211</v>
      </c>
      <c r="B39" s="823" t="s">
        <v>211</v>
      </c>
      <c r="C39" s="167" t="s">
        <v>211</v>
      </c>
      <c r="D39" s="167" t="s">
        <v>211</v>
      </c>
      <c r="E39" s="167" t="s">
        <v>211</v>
      </c>
      <c r="F39" s="167" t="s">
        <v>211</v>
      </c>
      <c r="G39" s="167" t="s">
        <v>211</v>
      </c>
      <c r="H39" s="819" t="s">
        <v>211</v>
      </c>
      <c r="I39" s="167" t="s">
        <v>211</v>
      </c>
      <c r="J39" s="819" t="s">
        <v>211</v>
      </c>
      <c r="K39" s="167" t="s">
        <v>211</v>
      </c>
      <c r="L39" s="819" t="s">
        <v>211</v>
      </c>
      <c r="M39" s="816" t="s">
        <v>211</v>
      </c>
      <c r="N39" s="816" t="s">
        <v>211</v>
      </c>
      <c r="O39" s="435" t="s">
        <v>211</v>
      </c>
      <c r="P39" s="816" t="s">
        <v>211</v>
      </c>
      <c r="Q39" s="816" t="s">
        <v>211</v>
      </c>
      <c r="R39" s="816" t="s">
        <v>211</v>
      </c>
      <c r="S39" s="88" t="s">
        <v>211</v>
      </c>
      <c r="T39" s="416" t="s">
        <v>211</v>
      </c>
      <c r="U39" s="516" t="s">
        <v>211</v>
      </c>
      <c r="V39" s="818" t="s">
        <v>211</v>
      </c>
      <c r="W39" s="434"/>
      <c r="X39" s="434"/>
      <c r="Y39" s="434"/>
      <c r="AM39" s="275">
        <v>0.58333333333333337</v>
      </c>
      <c r="AO39" s="512" t="s">
        <v>207</v>
      </c>
    </row>
    <row r="40" spans="1:41" ht="15" customHeight="1" thickBot="1" x14ac:dyDescent="0.4">
      <c r="A40" s="822"/>
      <c r="B40" s="824"/>
      <c r="C40" s="90" t="s">
        <v>211</v>
      </c>
      <c r="D40" s="168" t="s">
        <v>211</v>
      </c>
      <c r="E40" s="168" t="s">
        <v>211</v>
      </c>
      <c r="F40" s="168" t="s">
        <v>211</v>
      </c>
      <c r="G40" s="168" t="s">
        <v>211</v>
      </c>
      <c r="H40" s="825"/>
      <c r="I40" s="168" t="s">
        <v>211</v>
      </c>
      <c r="J40" s="820" t="s">
        <v>211</v>
      </c>
      <c r="K40" s="168" t="s">
        <v>211</v>
      </c>
      <c r="L40" s="820" t="s">
        <v>211</v>
      </c>
      <c r="M40" s="817"/>
      <c r="N40" s="817"/>
      <c r="O40" s="435" t="s">
        <v>211</v>
      </c>
      <c r="P40" s="817"/>
      <c r="Q40" s="817"/>
      <c r="R40" s="817"/>
      <c r="S40" s="92" t="s">
        <v>211</v>
      </c>
      <c r="T40" s="517" t="s">
        <v>211</v>
      </c>
      <c r="U40" s="417" t="s">
        <v>211</v>
      </c>
      <c r="V40" s="818"/>
      <c r="W40" s="434"/>
      <c r="X40" s="434"/>
      <c r="Y40" s="434"/>
      <c r="AM40" s="275">
        <v>0.58611111111111114</v>
      </c>
      <c r="AO40" s="512"/>
    </row>
    <row r="41" spans="1:41" ht="15" customHeight="1" thickBot="1" x14ac:dyDescent="0.4">
      <c r="A41" s="821" t="s">
        <v>421</v>
      </c>
      <c r="B41" s="823" t="s">
        <v>180</v>
      </c>
      <c r="C41" s="167" t="s">
        <v>211</v>
      </c>
      <c r="D41" s="167" t="s">
        <v>211</v>
      </c>
      <c r="E41" s="167">
        <v>99</v>
      </c>
      <c r="F41" s="167">
        <v>276150</v>
      </c>
      <c r="G41" s="167">
        <v>325430</v>
      </c>
      <c r="H41" s="819" t="s">
        <v>61</v>
      </c>
      <c r="I41" s="167">
        <v>21.88</v>
      </c>
      <c r="J41" s="819">
        <v>11300</v>
      </c>
      <c r="K41" s="167">
        <v>47.85</v>
      </c>
      <c r="L41" s="819">
        <v>2159250</v>
      </c>
      <c r="M41" s="816">
        <v>11252.05</v>
      </c>
      <c r="N41" s="816">
        <v>11200</v>
      </c>
      <c r="O41" s="435">
        <v>13.608333333333333</v>
      </c>
      <c r="P41" s="816" t="s">
        <v>211</v>
      </c>
      <c r="Q41" s="816" t="s">
        <v>211</v>
      </c>
      <c r="R41" s="816" t="s">
        <v>211</v>
      </c>
      <c r="S41" s="88" t="e">
        <v>#REF!</v>
      </c>
      <c r="T41" s="516" t="e">
        <v>#REF!</v>
      </c>
      <c r="U41" s="516" t="e">
        <v>#REF!</v>
      </c>
      <c r="V41" s="818" t="e">
        <v>#REF!</v>
      </c>
      <c r="W41" s="434"/>
      <c r="X41" s="434"/>
      <c r="Y41" s="434"/>
      <c r="AM41" s="275">
        <v>0.59375</v>
      </c>
      <c r="AO41" s="512" t="s">
        <v>207</v>
      </c>
    </row>
    <row r="42" spans="1:41" ht="15" customHeight="1" thickBot="1" x14ac:dyDescent="0.4">
      <c r="A42" s="822"/>
      <c r="B42" s="824"/>
      <c r="C42" s="90" t="s">
        <v>42</v>
      </c>
      <c r="D42" s="168">
        <v>11000</v>
      </c>
      <c r="E42" s="168" t="s">
        <v>211</v>
      </c>
      <c r="F42" s="168">
        <v>1431450</v>
      </c>
      <c r="G42" s="168" t="s">
        <v>211</v>
      </c>
      <c r="H42" s="825"/>
      <c r="I42" s="168" t="s">
        <v>211</v>
      </c>
      <c r="J42" s="820" t="s">
        <v>211</v>
      </c>
      <c r="K42" s="168" t="s">
        <v>211</v>
      </c>
      <c r="L42" s="820" t="s">
        <v>211</v>
      </c>
      <c r="M42" s="817"/>
      <c r="N42" s="817"/>
      <c r="O42" s="435" t="s">
        <v>211</v>
      </c>
      <c r="P42" s="817"/>
      <c r="Q42" s="817"/>
      <c r="R42" s="817"/>
      <c r="S42" s="92" t="e">
        <v>#REF!</v>
      </c>
      <c r="T42" s="413" t="s">
        <v>211</v>
      </c>
      <c r="U42" s="413" t="s">
        <v>211</v>
      </c>
      <c r="V42" s="818"/>
      <c r="W42" s="434"/>
      <c r="X42" s="434"/>
      <c r="Y42" s="434"/>
      <c r="AM42" s="275">
        <v>0.59652777777777777</v>
      </c>
      <c r="AO42" s="512"/>
    </row>
    <row r="43" spans="1:41" ht="15" customHeight="1" thickBot="1" x14ac:dyDescent="0.4">
      <c r="A43" s="821" t="s">
        <v>514</v>
      </c>
      <c r="B43" s="823" t="s">
        <v>180</v>
      </c>
      <c r="C43" s="167" t="s">
        <v>211</v>
      </c>
      <c r="D43" s="167" t="s">
        <v>211</v>
      </c>
      <c r="E43" s="167">
        <v>56</v>
      </c>
      <c r="F43" s="167">
        <v>-235800</v>
      </c>
      <c r="G43" s="167">
        <v>337262</v>
      </c>
      <c r="H43" s="819" t="s">
        <v>61</v>
      </c>
      <c r="I43" s="167">
        <v>21.38</v>
      </c>
      <c r="J43" s="819">
        <v>11300</v>
      </c>
      <c r="K43" s="167">
        <v>56</v>
      </c>
      <c r="L43" s="819">
        <v>2061375</v>
      </c>
      <c r="M43" s="816">
        <v>11260.2</v>
      </c>
      <c r="N43" s="816">
        <v>11200</v>
      </c>
      <c r="O43" s="435">
        <v>7.3499999999999979</v>
      </c>
      <c r="P43" s="816" t="s">
        <v>211</v>
      </c>
      <c r="Q43" s="816" t="s">
        <v>211</v>
      </c>
      <c r="R43" s="816" t="s">
        <v>211</v>
      </c>
      <c r="S43" s="88" t="e">
        <v>#REF!</v>
      </c>
      <c r="T43" s="516" t="e">
        <v>#REF!</v>
      </c>
      <c r="U43" s="516" t="e">
        <v>#REF!</v>
      </c>
      <c r="V43" s="818" t="e">
        <v>#REF!</v>
      </c>
      <c r="W43" s="434"/>
      <c r="X43" s="434"/>
      <c r="Y43" s="434"/>
      <c r="AM43" s="275">
        <v>0.60416666666666663</v>
      </c>
      <c r="AO43" s="512" t="s">
        <v>207</v>
      </c>
    </row>
    <row r="44" spans="1:41" ht="15" customHeight="1" thickBot="1" x14ac:dyDescent="0.4">
      <c r="A44" s="822"/>
      <c r="B44" s="824"/>
      <c r="C44" s="90" t="s">
        <v>42</v>
      </c>
      <c r="D44" s="168">
        <v>11000</v>
      </c>
      <c r="E44" s="168" t="s">
        <v>211</v>
      </c>
      <c r="F44" s="168">
        <v>1483200</v>
      </c>
      <c r="G44" s="168" t="s">
        <v>211</v>
      </c>
      <c r="H44" s="825"/>
      <c r="I44" s="168" t="s">
        <v>211</v>
      </c>
      <c r="J44" s="820" t="s">
        <v>211</v>
      </c>
      <c r="K44" s="168" t="s">
        <v>211</v>
      </c>
      <c r="L44" s="820" t="s">
        <v>211</v>
      </c>
      <c r="M44" s="817"/>
      <c r="N44" s="817"/>
      <c r="O44" s="435" t="s">
        <v>211</v>
      </c>
      <c r="P44" s="817"/>
      <c r="Q44" s="817"/>
      <c r="R44" s="817"/>
      <c r="S44" s="92" t="e">
        <v>#REF!</v>
      </c>
      <c r="T44" s="413" t="s">
        <v>211</v>
      </c>
      <c r="U44" s="413" t="s">
        <v>211</v>
      </c>
      <c r="V44" s="818"/>
      <c r="W44" s="434"/>
      <c r="X44" s="434"/>
      <c r="Y44" s="434"/>
      <c r="AM44" s="275">
        <v>0.6069444444444444</v>
      </c>
      <c r="AO44" s="512"/>
    </row>
    <row r="45" spans="1:41" ht="15" customHeight="1" thickBot="1" x14ac:dyDescent="0.4">
      <c r="A45" s="821" t="s">
        <v>494</v>
      </c>
      <c r="B45" s="823" t="s">
        <v>180</v>
      </c>
      <c r="C45" s="167" t="s">
        <v>211</v>
      </c>
      <c r="D45" s="167" t="s">
        <v>211</v>
      </c>
      <c r="E45" s="167">
        <v>67.849999999999994</v>
      </c>
      <c r="F45" s="167">
        <v>-360000</v>
      </c>
      <c r="G45" s="167">
        <v>377670</v>
      </c>
      <c r="H45" s="819" t="s">
        <v>61</v>
      </c>
      <c r="I45" s="167">
        <v>21.79</v>
      </c>
      <c r="J45" s="819">
        <v>11500</v>
      </c>
      <c r="K45" s="167">
        <v>8.25</v>
      </c>
      <c r="L45" s="819">
        <v>1976250</v>
      </c>
      <c r="M45" s="816">
        <v>11286.3</v>
      </c>
      <c r="N45" s="816">
        <v>11250</v>
      </c>
      <c r="O45" s="435">
        <v>21.266666666666666</v>
      </c>
      <c r="P45" s="816" t="s">
        <v>211</v>
      </c>
      <c r="Q45" s="816" t="s">
        <v>211</v>
      </c>
      <c r="R45" s="816" t="s">
        <v>211</v>
      </c>
      <c r="S45" s="88" t="e">
        <v>#REF!</v>
      </c>
      <c r="T45" s="516" t="e">
        <v>#REF!</v>
      </c>
      <c r="U45" s="516" t="e">
        <v>#REF!</v>
      </c>
      <c r="V45" s="818" t="e">
        <v>#REF!</v>
      </c>
      <c r="W45" s="434"/>
      <c r="X45" s="434"/>
      <c r="Y45" s="434"/>
      <c r="AM45" s="275">
        <v>0.61458333333333337</v>
      </c>
      <c r="AO45" s="512" t="s">
        <v>207</v>
      </c>
    </row>
    <row r="46" spans="1:41" ht="15" customHeight="1" thickBot="1" x14ac:dyDescent="0.4">
      <c r="A46" s="822"/>
      <c r="B46" s="824"/>
      <c r="C46" s="90" t="s">
        <v>42</v>
      </c>
      <c r="D46" s="168">
        <v>11000</v>
      </c>
      <c r="E46" s="168" t="s">
        <v>211</v>
      </c>
      <c r="F46" s="168">
        <v>1441650</v>
      </c>
      <c r="G46" s="168" t="s">
        <v>211</v>
      </c>
      <c r="H46" s="825"/>
      <c r="I46" s="168" t="s">
        <v>211</v>
      </c>
      <c r="J46" s="820" t="s">
        <v>211</v>
      </c>
      <c r="K46" s="168" t="s">
        <v>211</v>
      </c>
      <c r="L46" s="820" t="s">
        <v>211</v>
      </c>
      <c r="M46" s="817"/>
      <c r="N46" s="817"/>
      <c r="O46" s="435" t="s">
        <v>211</v>
      </c>
      <c r="P46" s="817"/>
      <c r="Q46" s="817"/>
      <c r="R46" s="817"/>
      <c r="S46" s="92" t="e">
        <v>#REF!</v>
      </c>
      <c r="T46" s="413" t="s">
        <v>211</v>
      </c>
      <c r="U46" s="413" t="s">
        <v>211</v>
      </c>
      <c r="V46" s="818"/>
      <c r="W46" s="434"/>
      <c r="X46" s="434"/>
      <c r="Y46" s="434"/>
      <c r="AM46" s="275">
        <v>0.61736111111111114</v>
      </c>
      <c r="AO46" s="512"/>
    </row>
    <row r="47" spans="1:41" ht="15" customHeight="1" thickBot="1" x14ac:dyDescent="0.4">
      <c r="A47" s="821" t="s">
        <v>433</v>
      </c>
      <c r="B47" s="823" t="s">
        <v>180</v>
      </c>
      <c r="C47" s="167" t="s">
        <v>211</v>
      </c>
      <c r="D47" s="167" t="s">
        <v>211</v>
      </c>
      <c r="E47" s="167">
        <v>37.549999999999997</v>
      </c>
      <c r="F47" s="167">
        <v>-409725</v>
      </c>
      <c r="G47" s="167">
        <v>441346</v>
      </c>
      <c r="H47" s="819" t="s">
        <v>61</v>
      </c>
      <c r="I47" s="167">
        <v>20.29</v>
      </c>
      <c r="J47" s="819">
        <v>11500</v>
      </c>
      <c r="K47" s="167">
        <v>4.2</v>
      </c>
      <c r="L47" s="819">
        <v>2116425</v>
      </c>
      <c r="M47" s="816">
        <v>11197.5</v>
      </c>
      <c r="N47" s="816">
        <v>11250</v>
      </c>
      <c r="O47" s="435">
        <v>-10.641666666666666</v>
      </c>
      <c r="P47" s="816" t="s">
        <v>211</v>
      </c>
      <c r="Q47" s="816" t="s">
        <v>211</v>
      </c>
      <c r="R47" s="816" t="s">
        <v>211</v>
      </c>
      <c r="S47" s="818" t="e">
        <v>#REF!</v>
      </c>
      <c r="T47" s="516" t="e">
        <v>#REF!</v>
      </c>
      <c r="U47" s="414" t="e">
        <v>#REF!</v>
      </c>
      <c r="V47" s="818" t="e">
        <v>#REF!</v>
      </c>
      <c r="W47" s="434"/>
      <c r="X47" s="434"/>
      <c r="Y47" s="434"/>
      <c r="AM47" s="275">
        <v>0.625</v>
      </c>
      <c r="AO47" s="512" t="s">
        <v>207</v>
      </c>
    </row>
    <row r="48" spans="1:41" ht="15" customHeight="1" thickBot="1" x14ac:dyDescent="0.4">
      <c r="A48" s="822"/>
      <c r="B48" s="824"/>
      <c r="C48" s="90" t="s">
        <v>42</v>
      </c>
      <c r="D48" s="168">
        <v>11000</v>
      </c>
      <c r="E48" s="168" t="s">
        <v>211</v>
      </c>
      <c r="F48" s="168">
        <v>1312425</v>
      </c>
      <c r="G48" s="168" t="s">
        <v>211</v>
      </c>
      <c r="H48" s="825"/>
      <c r="I48" s="168" t="s">
        <v>211</v>
      </c>
      <c r="J48" s="820" t="s">
        <v>211</v>
      </c>
      <c r="K48" s="168" t="s">
        <v>211</v>
      </c>
      <c r="L48" s="820" t="s">
        <v>211</v>
      </c>
      <c r="M48" s="817"/>
      <c r="N48" s="817"/>
      <c r="O48" s="435" t="s">
        <v>211</v>
      </c>
      <c r="P48" s="817"/>
      <c r="Q48" s="817"/>
      <c r="R48" s="817"/>
      <c r="S48" s="818" t="e">
        <v>#REF!</v>
      </c>
      <c r="T48" s="413" t="s">
        <v>211</v>
      </c>
      <c r="U48" s="509" t="s">
        <v>211</v>
      </c>
      <c r="V48" s="818"/>
      <c r="W48" s="434"/>
      <c r="X48" s="434"/>
      <c r="Y48" s="434"/>
      <c r="AM48" s="275">
        <v>0.62777777777777777</v>
      </c>
      <c r="AO48" s="512"/>
    </row>
    <row r="49" spans="1:41" ht="15" customHeight="1" thickBot="1" x14ac:dyDescent="0.4">
      <c r="A49" s="821" t="s">
        <v>406</v>
      </c>
      <c r="B49" s="823" t="s">
        <v>180</v>
      </c>
      <c r="C49" s="167" t="s">
        <v>211</v>
      </c>
      <c r="D49" s="167" t="s">
        <v>211</v>
      </c>
      <c r="E49" s="167">
        <v>37.049999999999997</v>
      </c>
      <c r="F49" s="167">
        <v>-396000</v>
      </c>
      <c r="G49" s="167">
        <v>501971</v>
      </c>
      <c r="H49" s="819" t="s">
        <v>61</v>
      </c>
      <c r="I49" s="167">
        <v>18.43</v>
      </c>
      <c r="J49" s="819">
        <v>11500</v>
      </c>
      <c r="K49" s="167">
        <v>3.95</v>
      </c>
      <c r="L49" s="819">
        <v>2193150</v>
      </c>
      <c r="M49" s="816">
        <v>11239.7</v>
      </c>
      <c r="N49" s="816">
        <v>11200</v>
      </c>
      <c r="O49" s="435">
        <v>-7.1666666666666714</v>
      </c>
      <c r="P49" s="816" t="s">
        <v>211</v>
      </c>
      <c r="Q49" s="816" t="s">
        <v>211</v>
      </c>
      <c r="R49" s="816" t="s">
        <v>211</v>
      </c>
      <c r="S49" s="88" t="e">
        <v>#REF!</v>
      </c>
      <c r="T49" s="516" t="e">
        <v>#REF!</v>
      </c>
      <c r="U49" s="516" t="e">
        <v>#REF!</v>
      </c>
      <c r="V49" s="818" t="e">
        <v>#REF!</v>
      </c>
      <c r="W49" s="434"/>
      <c r="X49" s="434"/>
      <c r="Y49" s="434"/>
      <c r="AM49" s="275">
        <v>0.63541666666666663</v>
      </c>
      <c r="AO49" s="512" t="s">
        <v>207</v>
      </c>
    </row>
    <row r="50" spans="1:41" ht="15" customHeight="1" thickBot="1" x14ac:dyDescent="0.4">
      <c r="A50" s="822"/>
      <c r="B50" s="824"/>
      <c r="C50" s="90" t="s">
        <v>42</v>
      </c>
      <c r="D50" s="168">
        <v>11000</v>
      </c>
      <c r="E50" s="168" t="s">
        <v>211</v>
      </c>
      <c r="F50" s="168">
        <v>962625</v>
      </c>
      <c r="G50" s="168" t="s">
        <v>211</v>
      </c>
      <c r="H50" s="825"/>
      <c r="I50" s="168" t="s">
        <v>211</v>
      </c>
      <c r="J50" s="820" t="s">
        <v>211</v>
      </c>
      <c r="K50" s="168" t="s">
        <v>211</v>
      </c>
      <c r="L50" s="820" t="s">
        <v>211</v>
      </c>
      <c r="M50" s="817"/>
      <c r="N50" s="817"/>
      <c r="O50" s="435" t="s">
        <v>211</v>
      </c>
      <c r="P50" s="817"/>
      <c r="Q50" s="817"/>
      <c r="R50" s="817"/>
      <c r="S50" s="92" t="e">
        <v>#REF!</v>
      </c>
      <c r="T50" s="413" t="s">
        <v>211</v>
      </c>
      <c r="U50" s="413" t="s">
        <v>211</v>
      </c>
      <c r="V50" s="818"/>
      <c r="W50" s="434"/>
      <c r="X50" s="434"/>
      <c r="Y50" s="434"/>
      <c r="AM50" s="275">
        <v>0.6381944444444444</v>
      </c>
      <c r="AO50" s="512"/>
    </row>
    <row r="51" spans="1:41" ht="15" customHeight="1" thickBot="1" x14ac:dyDescent="0.4">
      <c r="A51" s="821" t="s">
        <v>515</v>
      </c>
      <c r="B51" s="823" t="s">
        <v>180</v>
      </c>
      <c r="C51" s="167" t="s">
        <v>211</v>
      </c>
      <c r="D51" s="167" t="s">
        <v>211</v>
      </c>
      <c r="E51" s="167">
        <v>37.5</v>
      </c>
      <c r="F51" s="167">
        <v>-508500</v>
      </c>
      <c r="G51" s="167">
        <v>527936</v>
      </c>
      <c r="H51" s="819" t="s">
        <v>61</v>
      </c>
      <c r="I51" s="167">
        <v>18.600000000000001</v>
      </c>
      <c r="J51" s="819">
        <v>11500</v>
      </c>
      <c r="K51" s="167">
        <v>3.7</v>
      </c>
      <c r="L51" s="819">
        <v>1993125</v>
      </c>
      <c r="M51" s="816">
        <v>11237.5</v>
      </c>
      <c r="N51" s="816">
        <v>11250</v>
      </c>
      <c r="O51" s="435">
        <v>10.791666666666664</v>
      </c>
      <c r="P51" s="816" t="s">
        <v>211</v>
      </c>
      <c r="Q51" s="816" t="s">
        <v>211</v>
      </c>
      <c r="R51" s="816" t="s">
        <v>211</v>
      </c>
      <c r="S51" s="88" t="e">
        <v>#REF!</v>
      </c>
      <c r="T51" s="516" t="e">
        <v>#REF!</v>
      </c>
      <c r="U51" s="516" t="e">
        <v>#REF!</v>
      </c>
      <c r="V51" s="818" t="e">
        <v>#REF!</v>
      </c>
      <c r="W51" s="434"/>
      <c r="X51" s="434"/>
      <c r="Y51" s="434"/>
      <c r="AM51" s="275">
        <v>0.64583333333333337</v>
      </c>
      <c r="AO51" s="512" t="s">
        <v>207</v>
      </c>
    </row>
    <row r="52" spans="1:41" ht="15" customHeight="1" thickBot="1" x14ac:dyDescent="0.4">
      <c r="A52" s="822"/>
      <c r="B52" s="824"/>
      <c r="C52" s="90" t="s">
        <v>42</v>
      </c>
      <c r="D52" s="168">
        <v>11000</v>
      </c>
      <c r="E52" s="168" t="s">
        <v>211</v>
      </c>
      <c r="F52" s="168">
        <v>866400</v>
      </c>
      <c r="G52" s="168" t="s">
        <v>211</v>
      </c>
      <c r="H52" s="825"/>
      <c r="I52" s="168" t="s">
        <v>211</v>
      </c>
      <c r="J52" s="820" t="s">
        <v>211</v>
      </c>
      <c r="K52" s="168" t="s">
        <v>211</v>
      </c>
      <c r="L52" s="820" t="s">
        <v>211</v>
      </c>
      <c r="M52" s="817"/>
      <c r="N52" s="817"/>
      <c r="O52" s="435" t="s">
        <v>211</v>
      </c>
      <c r="P52" s="817"/>
      <c r="Q52" s="817"/>
      <c r="R52" s="817"/>
      <c r="S52" s="92" t="e">
        <v>#REF!</v>
      </c>
      <c r="T52" s="415" t="s">
        <v>211</v>
      </c>
      <c r="U52" s="415" t="s">
        <v>211</v>
      </c>
      <c r="V52" s="818"/>
      <c r="W52" s="434"/>
      <c r="X52" s="434"/>
      <c r="Y52" s="434"/>
      <c r="AM52" s="275">
        <v>0.64861111111111114</v>
      </c>
      <c r="AO52" s="512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0912B-3D85-448B-B8F8-5D9D8A9AE0E5}">
  <sheetPr codeName="Sheet28"/>
  <dimension ref="A1:AS52"/>
  <sheetViews>
    <sheetView workbookViewId="0">
      <selection activeCell="I10" sqref="I10"/>
    </sheetView>
  </sheetViews>
  <sheetFormatPr defaultColWidth="9.1796875" defaultRowHeight="14.5" x14ac:dyDescent="0.35"/>
  <cols>
    <col min="1" max="1" width="9.1796875" style="496"/>
    <col min="2" max="2" width="9.1796875" style="274"/>
    <col min="3" max="3" width="5.453125" style="496" customWidth="1"/>
    <col min="4" max="4" width="8.453125" style="496" customWidth="1"/>
    <col min="5" max="5" width="8.7265625" style="496" customWidth="1"/>
    <col min="6" max="6" width="12.7265625" style="495" customWidth="1"/>
    <col min="7" max="7" width="13" style="495" customWidth="1"/>
    <col min="8" max="9" width="6.453125" style="496" customWidth="1"/>
    <col min="10" max="10" width="10.08984375" style="496" customWidth="1"/>
    <col min="11" max="11" width="8" style="496" customWidth="1"/>
    <col min="12" max="12" width="13.54296875" style="495" customWidth="1"/>
    <col min="13" max="13" width="8.26953125" style="496" customWidth="1"/>
    <col min="14" max="14" width="9.453125" style="496" hidden="1" customWidth="1"/>
    <col min="15" max="15" width="12.453125" style="496" bestFit="1" customWidth="1"/>
    <col min="16" max="18" width="9.1796875" style="496"/>
    <col min="19" max="19" width="5.453125" style="496" hidden="1" customWidth="1"/>
    <col min="20" max="20" width="6.81640625" style="496" hidden="1" customWidth="1"/>
    <col min="21" max="22" width="0" style="496" hidden="1" customWidth="1"/>
    <col min="23" max="25" width="9.1796875" style="496"/>
    <col min="26" max="26" width="9.453125" style="496" customWidth="1"/>
    <col min="27" max="38" width="9.1796875" style="496"/>
    <col min="39" max="40" width="7.90625" style="496" bestFit="1" customWidth="1"/>
    <col min="41" max="41" width="9.6328125" style="496" bestFit="1" customWidth="1"/>
    <col min="42" max="44" width="9.1796875" style="496"/>
    <col min="45" max="45" width="0" style="496" hidden="1" customWidth="1"/>
    <col min="46" max="16384" width="9.1796875" style="496"/>
  </cols>
  <sheetData>
    <row r="1" spans="1:45" ht="14.5" customHeight="1" thickBot="1" x14ac:dyDescent="0.4">
      <c r="A1" s="80"/>
      <c r="B1" s="273"/>
      <c r="C1" s="647" t="s">
        <v>35</v>
      </c>
      <c r="D1" s="811"/>
      <c r="E1" s="811"/>
      <c r="F1" s="811"/>
      <c r="G1" s="811"/>
      <c r="H1" s="502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">
        <v>496</v>
      </c>
      <c r="R1" s="814"/>
      <c r="S1" s="810" t="s">
        <v>87</v>
      </c>
      <c r="T1" s="811"/>
      <c r="U1" s="811"/>
      <c r="V1" s="815"/>
      <c r="W1" s="432"/>
      <c r="X1" s="432"/>
      <c r="Y1" s="432"/>
      <c r="Z1" s="497"/>
      <c r="AA1" s="497"/>
      <c r="AB1" s="497"/>
      <c r="AC1" s="497"/>
      <c r="AD1" s="497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501" t="s">
        <v>54</v>
      </c>
      <c r="D2" s="500" t="s">
        <v>14</v>
      </c>
      <c r="E2" s="500" t="s">
        <v>6</v>
      </c>
      <c r="F2" s="166" t="s">
        <v>35</v>
      </c>
      <c r="G2" s="166" t="s">
        <v>37</v>
      </c>
      <c r="H2" s="502" t="s">
        <v>43</v>
      </c>
      <c r="I2" s="81" t="s">
        <v>88</v>
      </c>
      <c r="J2" s="501" t="s">
        <v>14</v>
      </c>
      <c r="K2" s="500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97"/>
      <c r="AA2" s="497"/>
      <c r="AB2" s="271" t="s">
        <v>97</v>
      </c>
      <c r="AC2" s="272" t="s">
        <v>98</v>
      </c>
      <c r="AD2" s="497"/>
      <c r="AS2" s="497" t="s">
        <v>99</v>
      </c>
    </row>
    <row r="3" spans="1:45" ht="14.5" customHeight="1" thickBot="1" x14ac:dyDescent="0.4">
      <c r="A3" s="821" t="s">
        <v>211</v>
      </c>
      <c r="B3" s="823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9" t="s">
        <v>211</v>
      </c>
      <c r="I3" s="167" t="s">
        <v>211</v>
      </c>
      <c r="J3" s="819" t="s">
        <v>211</v>
      </c>
      <c r="K3" s="167" t="s">
        <v>211</v>
      </c>
      <c r="L3" s="819" t="s">
        <v>211</v>
      </c>
      <c r="M3" s="816" t="s">
        <v>211</v>
      </c>
      <c r="N3" s="816" t="s">
        <v>211</v>
      </c>
      <c r="O3" s="435" t="s">
        <v>211</v>
      </c>
      <c r="P3" s="816" t="s">
        <v>211</v>
      </c>
      <c r="Q3" s="816" t="s">
        <v>211</v>
      </c>
      <c r="R3" s="816" t="s">
        <v>211</v>
      </c>
      <c r="S3" s="88" t="s">
        <v>211</v>
      </c>
      <c r="T3" s="498" t="s">
        <v>211</v>
      </c>
      <c r="U3" s="498" t="s">
        <v>211</v>
      </c>
      <c r="V3" s="818" t="s">
        <v>211</v>
      </c>
      <c r="W3" s="434"/>
      <c r="X3" s="434"/>
      <c r="Y3" s="434"/>
      <c r="Z3" s="497"/>
      <c r="AA3" s="497"/>
      <c r="AB3" s="497"/>
      <c r="AC3" s="497"/>
      <c r="AD3" s="497"/>
      <c r="AL3" s="497" t="s">
        <v>171</v>
      </c>
      <c r="AM3" s="275">
        <v>0.39583333333333331</v>
      </c>
      <c r="AN3" s="89">
        <v>43599.401180439818</v>
      </c>
      <c r="AO3" s="497" t="s">
        <v>364</v>
      </c>
      <c r="AS3" s="497" t="s">
        <v>98</v>
      </c>
    </row>
    <row r="4" spans="1:45" ht="14.5" customHeight="1" thickBot="1" x14ac:dyDescent="0.4">
      <c r="A4" s="822"/>
      <c r="B4" s="824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20"/>
      <c r="I4" s="168" t="s">
        <v>211</v>
      </c>
      <c r="J4" s="820" t="s">
        <v>211</v>
      </c>
      <c r="K4" s="168" t="s">
        <v>211</v>
      </c>
      <c r="L4" s="820" t="s">
        <v>211</v>
      </c>
      <c r="M4" s="817"/>
      <c r="N4" s="817"/>
      <c r="O4" s="435" t="s">
        <v>211</v>
      </c>
      <c r="P4" s="817"/>
      <c r="Q4" s="817"/>
      <c r="R4" s="817"/>
      <c r="S4" s="92" t="s">
        <v>211</v>
      </c>
      <c r="T4" s="498" t="s">
        <v>211</v>
      </c>
      <c r="U4" s="498" t="s">
        <v>211</v>
      </c>
      <c r="V4" s="818"/>
      <c r="W4" s="434"/>
      <c r="X4" s="434"/>
      <c r="Y4" s="434"/>
      <c r="Z4" s="497"/>
      <c r="AA4" s="497"/>
      <c r="AB4" s="497"/>
      <c r="AC4" s="497"/>
      <c r="AD4" s="497"/>
      <c r="AL4" s="497" t="s">
        <v>172</v>
      </c>
      <c r="AM4" s="275">
        <v>0.39861111111111108</v>
      </c>
      <c r="AN4" s="497"/>
      <c r="AO4" s="497"/>
    </row>
    <row r="5" spans="1:45" ht="14.5" customHeight="1" thickBot="1" x14ac:dyDescent="0.4">
      <c r="A5" s="821" t="s">
        <v>497</v>
      </c>
      <c r="B5" s="823" t="s">
        <v>180</v>
      </c>
      <c r="C5" s="167" t="s">
        <v>211</v>
      </c>
      <c r="D5" s="167" t="s">
        <v>211</v>
      </c>
      <c r="E5" s="167">
        <v>62.7</v>
      </c>
      <c r="F5" s="167">
        <v>700125</v>
      </c>
      <c r="G5" s="167">
        <v>180627</v>
      </c>
      <c r="H5" s="819" t="s">
        <v>55</v>
      </c>
      <c r="I5" s="167">
        <v>20.83</v>
      </c>
      <c r="J5" s="819">
        <v>11400</v>
      </c>
      <c r="K5" s="167">
        <v>29.95</v>
      </c>
      <c r="L5" s="819">
        <v>2362425</v>
      </c>
      <c r="M5" s="816">
        <v>11246.55</v>
      </c>
      <c r="N5" s="816">
        <v>11300</v>
      </c>
      <c r="O5" s="435">
        <v>-24.850000000000005</v>
      </c>
      <c r="P5" s="816">
        <v>11270</v>
      </c>
      <c r="Q5" s="816">
        <v>11296.9</v>
      </c>
      <c r="R5" s="816">
        <v>11255</v>
      </c>
      <c r="S5" s="88" t="e">
        <v>#REF!</v>
      </c>
      <c r="T5" s="498" t="e">
        <v>#REF!</v>
      </c>
      <c r="U5" s="498" t="e">
        <v>#REF!</v>
      </c>
      <c r="V5" s="818" t="e">
        <v>#REF!</v>
      </c>
      <c r="W5" s="434"/>
      <c r="X5" s="434"/>
      <c r="Y5" s="434"/>
      <c r="Z5" s="497"/>
      <c r="AA5" s="497"/>
      <c r="AB5" s="497"/>
      <c r="AC5" s="497"/>
      <c r="AD5" s="497"/>
      <c r="AM5" s="275">
        <v>0.40625</v>
      </c>
      <c r="AN5" s="497"/>
      <c r="AO5" s="497" t="s">
        <v>364</v>
      </c>
    </row>
    <row r="6" spans="1:45" ht="14.5" customHeight="1" thickBot="1" x14ac:dyDescent="0.4">
      <c r="A6" s="822"/>
      <c r="B6" s="824"/>
      <c r="C6" s="90" t="s">
        <v>42</v>
      </c>
      <c r="D6" s="168">
        <v>11200</v>
      </c>
      <c r="E6" s="168" t="s">
        <v>211</v>
      </c>
      <c r="F6" s="168">
        <v>303300</v>
      </c>
      <c r="G6" s="168">
        <v>226557</v>
      </c>
      <c r="H6" s="825"/>
      <c r="I6" s="168" t="s">
        <v>211</v>
      </c>
      <c r="J6" s="820" t="s">
        <v>211</v>
      </c>
      <c r="K6" s="168" t="s">
        <v>211</v>
      </c>
      <c r="L6" s="820" t="s">
        <v>211</v>
      </c>
      <c r="M6" s="817"/>
      <c r="N6" s="817"/>
      <c r="O6" s="435" t="s">
        <v>211</v>
      </c>
      <c r="P6" s="817"/>
      <c r="Q6" s="817"/>
      <c r="R6" s="817"/>
      <c r="S6" s="92" t="e">
        <v>#REF!</v>
      </c>
      <c r="T6" s="498" t="s">
        <v>211</v>
      </c>
      <c r="U6" s="498" t="s">
        <v>211</v>
      </c>
      <c r="V6" s="818"/>
      <c r="W6" s="434"/>
      <c r="X6" s="434"/>
      <c r="Y6" s="434"/>
      <c r="Z6" s="497"/>
      <c r="AA6" s="497"/>
      <c r="AB6" s="497"/>
      <c r="AC6" s="497"/>
      <c r="AD6" s="497"/>
      <c r="AM6" s="275">
        <v>0.40902777777777777</v>
      </c>
      <c r="AN6" s="497"/>
      <c r="AO6" s="497"/>
    </row>
    <row r="7" spans="1:45" ht="14.5" customHeight="1" thickBot="1" x14ac:dyDescent="0.4">
      <c r="A7" s="821" t="s">
        <v>497</v>
      </c>
      <c r="B7" s="823" t="s">
        <v>180</v>
      </c>
      <c r="C7" s="167" t="s">
        <v>211</v>
      </c>
      <c r="D7" s="167" t="s">
        <v>211</v>
      </c>
      <c r="E7" s="167">
        <v>62.7</v>
      </c>
      <c r="F7" s="167">
        <v>700125</v>
      </c>
      <c r="G7" s="167">
        <v>180627</v>
      </c>
      <c r="H7" s="819" t="s">
        <v>55</v>
      </c>
      <c r="I7" s="167">
        <v>20.83</v>
      </c>
      <c r="J7" s="819">
        <v>11400</v>
      </c>
      <c r="K7" s="167">
        <v>29.95</v>
      </c>
      <c r="L7" s="819">
        <v>2362425</v>
      </c>
      <c r="M7" s="816">
        <v>11246.55</v>
      </c>
      <c r="N7" s="816">
        <v>11300</v>
      </c>
      <c r="O7" s="435">
        <v>-24.850000000000005</v>
      </c>
      <c r="P7" s="816">
        <v>11270</v>
      </c>
      <c r="Q7" s="816">
        <v>11296.9</v>
      </c>
      <c r="R7" s="816">
        <v>11255</v>
      </c>
      <c r="S7" s="88" t="e">
        <v>#REF!</v>
      </c>
      <c r="T7" s="498" t="e">
        <v>#REF!</v>
      </c>
      <c r="U7" s="498" t="e">
        <v>#REF!</v>
      </c>
      <c r="V7" s="818" t="e">
        <v>#REF!</v>
      </c>
      <c r="W7" s="434"/>
      <c r="X7" s="434"/>
      <c r="Y7" s="434"/>
      <c r="Z7" s="497"/>
      <c r="AA7" s="497"/>
      <c r="AB7" s="497"/>
      <c r="AC7" s="497"/>
      <c r="AD7" s="497"/>
      <c r="AM7" s="275">
        <v>0.41666666666666669</v>
      </c>
      <c r="AN7" s="497"/>
      <c r="AO7" s="497" t="s">
        <v>207</v>
      </c>
    </row>
    <row r="8" spans="1:45" ht="14.5" customHeight="1" thickBot="1" x14ac:dyDescent="0.4">
      <c r="A8" s="822"/>
      <c r="B8" s="824"/>
      <c r="C8" s="90" t="s">
        <v>42</v>
      </c>
      <c r="D8" s="168">
        <v>11200</v>
      </c>
      <c r="E8" s="168" t="s">
        <v>211</v>
      </c>
      <c r="F8" s="168">
        <v>303300</v>
      </c>
      <c r="G8" s="168">
        <v>226557</v>
      </c>
      <c r="H8" s="825"/>
      <c r="I8" s="168" t="s">
        <v>211</v>
      </c>
      <c r="J8" s="820" t="s">
        <v>211</v>
      </c>
      <c r="K8" s="168" t="s">
        <v>211</v>
      </c>
      <c r="L8" s="820" t="s">
        <v>211</v>
      </c>
      <c r="M8" s="817"/>
      <c r="N8" s="817"/>
      <c r="O8" s="435" t="s">
        <v>211</v>
      </c>
      <c r="P8" s="817"/>
      <c r="Q8" s="817"/>
      <c r="R8" s="817"/>
      <c r="S8" s="92" t="e">
        <v>#REF!</v>
      </c>
      <c r="T8" s="498" t="s">
        <v>211</v>
      </c>
      <c r="U8" s="498" t="s">
        <v>211</v>
      </c>
      <c r="V8" s="818"/>
      <c r="W8" s="434"/>
      <c r="X8" s="434"/>
      <c r="Y8" s="434"/>
      <c r="Z8" s="497"/>
      <c r="AA8" s="497"/>
      <c r="AB8" s="497"/>
      <c r="AC8" s="497"/>
      <c r="AD8" s="497"/>
      <c r="AM8" s="275">
        <v>0.41944444444444445</v>
      </c>
      <c r="AN8" s="497"/>
      <c r="AO8" s="497"/>
    </row>
    <row r="9" spans="1:45" ht="14.5" customHeight="1" thickBot="1" x14ac:dyDescent="0.4">
      <c r="A9" s="821" t="s">
        <v>498</v>
      </c>
      <c r="B9" s="823" t="s">
        <v>180</v>
      </c>
      <c r="C9" s="167" t="s">
        <v>211</v>
      </c>
      <c r="D9" s="167" t="s">
        <v>211</v>
      </c>
      <c r="E9" s="167">
        <v>79.05</v>
      </c>
      <c r="F9" s="167">
        <v>993000</v>
      </c>
      <c r="G9" s="167">
        <v>180627</v>
      </c>
      <c r="H9" s="819" t="s">
        <v>55</v>
      </c>
      <c r="I9" s="167">
        <v>18.91</v>
      </c>
      <c r="J9" s="819">
        <v>11500</v>
      </c>
      <c r="K9" s="167">
        <v>14.95</v>
      </c>
      <c r="L9" s="819">
        <v>2309700</v>
      </c>
      <c r="M9" s="816">
        <v>11290.95</v>
      </c>
      <c r="N9" s="816">
        <v>11300</v>
      </c>
      <c r="O9" s="435">
        <v>-16.883333333333344</v>
      </c>
      <c r="P9" s="816">
        <v>11314</v>
      </c>
      <c r="Q9" s="816">
        <v>11322.65</v>
      </c>
      <c r="R9" s="816">
        <v>11255</v>
      </c>
      <c r="S9" s="88" t="e">
        <v>#REF!</v>
      </c>
      <c r="T9" s="498" t="e">
        <v>#REF!</v>
      </c>
      <c r="U9" s="498" t="e">
        <v>#REF!</v>
      </c>
      <c r="V9" s="818" t="e">
        <v>#REF!</v>
      </c>
      <c r="W9" s="434"/>
      <c r="X9" s="434"/>
      <c r="Y9" s="434"/>
      <c r="Z9" s="497"/>
      <c r="AA9" s="497"/>
      <c r="AB9" s="718" t="s">
        <v>165</v>
      </c>
      <c r="AC9" s="719"/>
      <c r="AD9" s="719"/>
      <c r="AM9" s="275">
        <v>0.42708333333333331</v>
      </c>
      <c r="AN9" s="497"/>
      <c r="AO9" s="497" t="s">
        <v>207</v>
      </c>
    </row>
    <row r="10" spans="1:45" ht="14.5" customHeight="1" thickBot="1" x14ac:dyDescent="0.4">
      <c r="A10" s="822"/>
      <c r="B10" s="824"/>
      <c r="C10" s="90" t="s">
        <v>42</v>
      </c>
      <c r="D10" s="168">
        <v>11200</v>
      </c>
      <c r="E10" s="168" t="s">
        <v>211</v>
      </c>
      <c r="F10" s="168">
        <v>638325</v>
      </c>
      <c r="G10" s="168">
        <v>226557</v>
      </c>
      <c r="H10" s="825"/>
      <c r="I10" s="168" t="s">
        <v>211</v>
      </c>
      <c r="J10" s="820" t="s">
        <v>211</v>
      </c>
      <c r="K10" s="168" t="s">
        <v>211</v>
      </c>
      <c r="L10" s="820" t="s">
        <v>211</v>
      </c>
      <c r="M10" s="817"/>
      <c r="N10" s="817"/>
      <c r="O10" s="435" t="s">
        <v>211</v>
      </c>
      <c r="P10" s="817"/>
      <c r="Q10" s="817"/>
      <c r="R10" s="817"/>
      <c r="S10" s="92" t="e">
        <v>#REF!</v>
      </c>
      <c r="T10" s="498" t="s">
        <v>211</v>
      </c>
      <c r="U10" s="498" t="s">
        <v>211</v>
      </c>
      <c r="V10" s="818"/>
      <c r="W10" s="434"/>
      <c r="X10" s="434"/>
      <c r="Y10" s="434"/>
      <c r="Z10" s="497"/>
      <c r="AA10" s="497"/>
      <c r="AB10" s="718" t="s">
        <v>365</v>
      </c>
      <c r="AC10" s="719"/>
      <c r="AD10" s="719"/>
      <c r="AM10" s="275">
        <v>0.42986111111111108</v>
      </c>
      <c r="AN10" s="497"/>
      <c r="AO10" s="497"/>
    </row>
    <row r="11" spans="1:45" ht="14.5" customHeight="1" thickBot="1" x14ac:dyDescent="0.4">
      <c r="A11" s="821" t="s">
        <v>499</v>
      </c>
      <c r="B11" s="823" t="s">
        <v>180</v>
      </c>
      <c r="C11" s="167" t="s">
        <v>211</v>
      </c>
      <c r="D11" s="167" t="s">
        <v>211</v>
      </c>
      <c r="E11" s="167">
        <v>81.900000000000006</v>
      </c>
      <c r="F11" s="167">
        <v>991125</v>
      </c>
      <c r="G11" s="167">
        <v>180627</v>
      </c>
      <c r="H11" s="819" t="s">
        <v>55</v>
      </c>
      <c r="I11" s="167">
        <v>19.510000000000002</v>
      </c>
      <c r="J11" s="819">
        <v>11500</v>
      </c>
      <c r="K11" s="167">
        <v>15.35</v>
      </c>
      <c r="L11" s="819">
        <v>2312775</v>
      </c>
      <c r="M11" s="816">
        <v>11298.9</v>
      </c>
      <c r="N11" s="816">
        <v>11300</v>
      </c>
      <c r="O11" s="435">
        <v>-15.499999999999989</v>
      </c>
      <c r="P11" s="816">
        <v>11326</v>
      </c>
      <c r="Q11" s="816">
        <v>11328</v>
      </c>
      <c r="R11" s="816">
        <v>11255</v>
      </c>
      <c r="S11" s="88" t="e">
        <v>#REF!</v>
      </c>
      <c r="T11" s="498" t="e">
        <v>#REF!</v>
      </c>
      <c r="U11" s="498" t="e">
        <v>#REF!</v>
      </c>
      <c r="V11" s="818" t="e">
        <v>#REF!</v>
      </c>
      <c r="W11" s="434"/>
      <c r="X11" s="434"/>
      <c r="Y11" s="434"/>
      <c r="Z11" s="497"/>
      <c r="AA11" s="497"/>
      <c r="AB11" s="718" t="s">
        <v>366</v>
      </c>
      <c r="AC11" s="718"/>
      <c r="AD11" s="718"/>
      <c r="AM11" s="275">
        <v>0.4375</v>
      </c>
      <c r="AN11" s="497"/>
      <c r="AO11" s="497" t="s">
        <v>207</v>
      </c>
    </row>
    <row r="12" spans="1:45" ht="14.5" customHeight="1" thickBot="1" x14ac:dyDescent="0.4">
      <c r="A12" s="822"/>
      <c r="B12" s="824"/>
      <c r="C12" s="90" t="s">
        <v>42</v>
      </c>
      <c r="D12" s="168">
        <v>11200</v>
      </c>
      <c r="E12" s="168" t="s">
        <v>211</v>
      </c>
      <c r="F12" s="168">
        <v>666975</v>
      </c>
      <c r="G12" s="168">
        <v>66955</v>
      </c>
      <c r="H12" s="825"/>
      <c r="I12" s="168" t="s">
        <v>211</v>
      </c>
      <c r="J12" s="820" t="s">
        <v>211</v>
      </c>
      <c r="K12" s="168" t="s">
        <v>211</v>
      </c>
      <c r="L12" s="820" t="s">
        <v>211</v>
      </c>
      <c r="M12" s="817"/>
      <c r="N12" s="817"/>
      <c r="O12" s="435" t="s">
        <v>211</v>
      </c>
      <c r="P12" s="817"/>
      <c r="Q12" s="817"/>
      <c r="R12" s="817"/>
      <c r="S12" s="92" t="e">
        <v>#REF!</v>
      </c>
      <c r="T12" s="498" t="s">
        <v>211</v>
      </c>
      <c r="U12" s="498" t="s">
        <v>211</v>
      </c>
      <c r="V12" s="818"/>
      <c r="W12" s="434"/>
      <c r="X12" s="434"/>
      <c r="Y12" s="434"/>
      <c r="Z12" s="497"/>
      <c r="AA12" s="497"/>
      <c r="AB12" s="718" t="s">
        <v>167</v>
      </c>
      <c r="AC12" s="718"/>
      <c r="AD12" s="718"/>
      <c r="AM12" s="275">
        <v>0.44027777777777777</v>
      </c>
      <c r="AN12" s="497"/>
      <c r="AO12" s="497"/>
    </row>
    <row r="13" spans="1:45" ht="14.5" customHeight="1" thickBot="1" x14ac:dyDescent="0.4">
      <c r="A13" s="821" t="s">
        <v>499</v>
      </c>
      <c r="B13" s="823" t="s">
        <v>180</v>
      </c>
      <c r="C13" s="167" t="s">
        <v>211</v>
      </c>
      <c r="D13" s="167" t="s">
        <v>211</v>
      </c>
      <c r="E13" s="167">
        <v>81.900000000000006</v>
      </c>
      <c r="F13" s="167">
        <v>991125</v>
      </c>
      <c r="G13" s="167">
        <v>81605</v>
      </c>
      <c r="H13" s="819" t="s">
        <v>55</v>
      </c>
      <c r="I13" s="167">
        <v>19.510000000000002</v>
      </c>
      <c r="J13" s="819">
        <v>11500</v>
      </c>
      <c r="K13" s="167">
        <v>15.35</v>
      </c>
      <c r="L13" s="819">
        <v>2312775</v>
      </c>
      <c r="M13" s="816">
        <v>11298.9</v>
      </c>
      <c r="N13" s="816">
        <v>11300</v>
      </c>
      <c r="O13" s="435">
        <v>-15.499999999999989</v>
      </c>
      <c r="P13" s="816">
        <v>11326</v>
      </c>
      <c r="Q13" s="816">
        <v>11328</v>
      </c>
      <c r="R13" s="816">
        <v>11255</v>
      </c>
      <c r="S13" s="88" t="e">
        <v>#REF!</v>
      </c>
      <c r="T13" s="498" t="e">
        <v>#REF!</v>
      </c>
      <c r="U13" s="498" t="e">
        <v>#REF!</v>
      </c>
      <c r="V13" s="818" t="e">
        <v>#REF!</v>
      </c>
      <c r="W13" s="434"/>
      <c r="X13" s="434"/>
      <c r="Y13" s="434"/>
      <c r="Z13" s="497"/>
      <c r="AA13" s="497"/>
      <c r="AB13" s="718" t="s">
        <v>168</v>
      </c>
      <c r="AC13" s="718"/>
      <c r="AD13" s="718"/>
      <c r="AM13" s="275">
        <v>0.44791666666666669</v>
      </c>
      <c r="AN13" s="497"/>
      <c r="AO13" s="497" t="s">
        <v>207</v>
      </c>
    </row>
    <row r="14" spans="1:45" ht="14.5" customHeight="1" thickBot="1" x14ac:dyDescent="0.4">
      <c r="A14" s="822"/>
      <c r="B14" s="824"/>
      <c r="C14" s="90" t="s">
        <v>42</v>
      </c>
      <c r="D14" s="168">
        <v>11200</v>
      </c>
      <c r="E14" s="168" t="s">
        <v>211</v>
      </c>
      <c r="F14" s="168">
        <v>666975</v>
      </c>
      <c r="G14" s="168" t="s">
        <v>211</v>
      </c>
      <c r="H14" s="825"/>
      <c r="I14" s="168" t="s">
        <v>211</v>
      </c>
      <c r="J14" s="820" t="s">
        <v>211</v>
      </c>
      <c r="K14" s="168" t="s">
        <v>211</v>
      </c>
      <c r="L14" s="820" t="s">
        <v>211</v>
      </c>
      <c r="M14" s="817"/>
      <c r="N14" s="817"/>
      <c r="O14" s="435" t="s">
        <v>211</v>
      </c>
      <c r="P14" s="817"/>
      <c r="Q14" s="817"/>
      <c r="R14" s="817"/>
      <c r="S14" s="92" t="e">
        <v>#REF!</v>
      </c>
      <c r="T14" s="498" t="s">
        <v>211</v>
      </c>
      <c r="U14" s="498" t="s">
        <v>211</v>
      </c>
      <c r="V14" s="818"/>
      <c r="W14" s="434"/>
      <c r="X14" s="434"/>
      <c r="Y14" s="434"/>
      <c r="AM14" s="275">
        <v>0.45069444444444445</v>
      </c>
      <c r="AN14" s="497"/>
      <c r="AO14" s="497"/>
    </row>
    <row r="15" spans="1:45" ht="14.5" customHeight="1" thickBot="1" x14ac:dyDescent="0.4">
      <c r="A15" s="821" t="s">
        <v>499</v>
      </c>
      <c r="B15" s="823" t="s">
        <v>180</v>
      </c>
      <c r="C15" s="167" t="s">
        <v>211</v>
      </c>
      <c r="D15" s="167" t="s">
        <v>211</v>
      </c>
      <c r="E15" s="167">
        <v>81.900000000000006</v>
      </c>
      <c r="F15" s="167">
        <v>991125</v>
      </c>
      <c r="G15" s="167">
        <v>81605</v>
      </c>
      <c r="H15" s="819" t="s">
        <v>55</v>
      </c>
      <c r="I15" s="167">
        <v>19.510000000000002</v>
      </c>
      <c r="J15" s="819">
        <v>11500</v>
      </c>
      <c r="K15" s="167">
        <v>15.35</v>
      </c>
      <c r="L15" s="819">
        <v>2312775</v>
      </c>
      <c r="M15" s="816">
        <v>11298.9</v>
      </c>
      <c r="N15" s="816">
        <v>11300</v>
      </c>
      <c r="O15" s="435">
        <v>-15.499999999999989</v>
      </c>
      <c r="P15" s="816">
        <v>11326</v>
      </c>
      <c r="Q15" s="816">
        <v>11328</v>
      </c>
      <c r="R15" s="816">
        <v>11255</v>
      </c>
      <c r="S15" s="88" t="e">
        <v>#REF!</v>
      </c>
      <c r="T15" s="498" t="e">
        <v>#REF!</v>
      </c>
      <c r="U15" s="498" t="e">
        <v>#REF!</v>
      </c>
      <c r="V15" s="818" t="e">
        <v>#REF!</v>
      </c>
      <c r="W15" s="434"/>
      <c r="X15" s="434"/>
      <c r="Y15" s="434"/>
      <c r="AM15" s="275">
        <v>0.45833333333333331</v>
      </c>
      <c r="AN15" s="497"/>
      <c r="AO15" s="497" t="s">
        <v>207</v>
      </c>
    </row>
    <row r="16" spans="1:45" ht="14.5" customHeight="1" thickBot="1" x14ac:dyDescent="0.4">
      <c r="A16" s="822"/>
      <c r="B16" s="824"/>
      <c r="C16" s="90" t="s">
        <v>42</v>
      </c>
      <c r="D16" s="168">
        <v>11200</v>
      </c>
      <c r="E16" s="168" t="s">
        <v>211</v>
      </c>
      <c r="F16" s="168">
        <v>666975</v>
      </c>
      <c r="G16" s="168" t="s">
        <v>211</v>
      </c>
      <c r="H16" s="825"/>
      <c r="I16" s="168" t="s">
        <v>211</v>
      </c>
      <c r="J16" s="820" t="s">
        <v>211</v>
      </c>
      <c r="K16" s="168" t="s">
        <v>211</v>
      </c>
      <c r="L16" s="820" t="s">
        <v>211</v>
      </c>
      <c r="M16" s="817"/>
      <c r="N16" s="817"/>
      <c r="O16" s="435" t="s">
        <v>211</v>
      </c>
      <c r="P16" s="817"/>
      <c r="Q16" s="817"/>
      <c r="R16" s="817"/>
      <c r="S16" s="92" t="e">
        <v>#REF!</v>
      </c>
      <c r="T16" s="498" t="s">
        <v>211</v>
      </c>
      <c r="U16" s="498" t="s">
        <v>211</v>
      </c>
      <c r="V16" s="818"/>
      <c r="W16" s="434"/>
      <c r="X16" s="434"/>
      <c r="Y16" s="434"/>
      <c r="AM16" s="275">
        <v>0.46111111111111108</v>
      </c>
      <c r="AN16" s="497"/>
      <c r="AO16" s="497"/>
    </row>
    <row r="17" spans="1:41" ht="14.5" customHeight="1" thickBot="1" x14ac:dyDescent="0.4">
      <c r="A17" s="821" t="s">
        <v>499</v>
      </c>
      <c r="B17" s="823" t="s">
        <v>180</v>
      </c>
      <c r="C17" s="167" t="s">
        <v>211</v>
      </c>
      <c r="D17" s="167" t="s">
        <v>211</v>
      </c>
      <c r="E17" s="167">
        <v>81.900000000000006</v>
      </c>
      <c r="F17" s="167">
        <v>991125</v>
      </c>
      <c r="G17" s="167">
        <v>81605</v>
      </c>
      <c r="H17" s="819" t="s">
        <v>55</v>
      </c>
      <c r="I17" s="167">
        <v>19.510000000000002</v>
      </c>
      <c r="J17" s="819">
        <v>11500</v>
      </c>
      <c r="K17" s="167">
        <v>15.35</v>
      </c>
      <c r="L17" s="819">
        <v>2312775</v>
      </c>
      <c r="M17" s="816">
        <v>11298.9</v>
      </c>
      <c r="N17" s="816">
        <v>11300</v>
      </c>
      <c r="O17" s="435">
        <v>-15.499999999999989</v>
      </c>
      <c r="P17" s="816">
        <v>11326</v>
      </c>
      <c r="Q17" s="816">
        <v>11328</v>
      </c>
      <c r="R17" s="816">
        <v>11255</v>
      </c>
      <c r="S17" s="88" t="e">
        <v>#REF!</v>
      </c>
      <c r="T17" s="498" t="e">
        <v>#REF!</v>
      </c>
      <c r="U17" s="498" t="e">
        <v>#REF!</v>
      </c>
      <c r="V17" s="818" t="e">
        <v>#REF!</v>
      </c>
      <c r="W17" s="434"/>
      <c r="X17" s="434"/>
      <c r="Y17" s="434"/>
      <c r="AM17" s="275">
        <v>0.46875</v>
      </c>
      <c r="AN17" s="497"/>
      <c r="AO17" s="497" t="s">
        <v>207</v>
      </c>
    </row>
    <row r="18" spans="1:41" ht="14.5" customHeight="1" thickBot="1" x14ac:dyDescent="0.4">
      <c r="A18" s="822"/>
      <c r="B18" s="824"/>
      <c r="C18" s="90" t="s">
        <v>42</v>
      </c>
      <c r="D18" s="168">
        <v>11200</v>
      </c>
      <c r="E18" s="168" t="s">
        <v>211</v>
      </c>
      <c r="F18" s="168">
        <v>666975</v>
      </c>
      <c r="G18" s="168" t="s">
        <v>211</v>
      </c>
      <c r="H18" s="825"/>
      <c r="I18" s="168" t="s">
        <v>211</v>
      </c>
      <c r="J18" s="820" t="s">
        <v>211</v>
      </c>
      <c r="K18" s="168" t="s">
        <v>211</v>
      </c>
      <c r="L18" s="820" t="s">
        <v>211</v>
      </c>
      <c r="M18" s="817"/>
      <c r="N18" s="817"/>
      <c r="O18" s="435" t="s">
        <v>211</v>
      </c>
      <c r="P18" s="817"/>
      <c r="Q18" s="817"/>
      <c r="R18" s="817"/>
      <c r="S18" s="92" t="e">
        <v>#REF!</v>
      </c>
      <c r="T18" s="498" t="s">
        <v>211</v>
      </c>
      <c r="U18" s="498" t="s">
        <v>211</v>
      </c>
      <c r="V18" s="818"/>
      <c r="W18" s="434"/>
      <c r="X18" s="434"/>
      <c r="Y18" s="434"/>
      <c r="AM18" s="275">
        <v>0.47152777777777777</v>
      </c>
      <c r="AN18" s="497"/>
      <c r="AO18" s="497"/>
    </row>
    <row r="19" spans="1:41" ht="14.5" customHeight="1" thickBot="1" x14ac:dyDescent="0.4">
      <c r="A19" s="821" t="s">
        <v>499</v>
      </c>
      <c r="B19" s="823" t="s">
        <v>180</v>
      </c>
      <c r="C19" s="167" t="s">
        <v>211</v>
      </c>
      <c r="D19" s="167" t="s">
        <v>211</v>
      </c>
      <c r="E19" s="167">
        <v>81.900000000000006</v>
      </c>
      <c r="F19" s="167">
        <v>991125</v>
      </c>
      <c r="G19" s="167">
        <v>81605</v>
      </c>
      <c r="H19" s="819" t="s">
        <v>55</v>
      </c>
      <c r="I19" s="167">
        <v>19.510000000000002</v>
      </c>
      <c r="J19" s="819">
        <v>11500</v>
      </c>
      <c r="K19" s="167">
        <v>15.35</v>
      </c>
      <c r="L19" s="819">
        <v>2312775</v>
      </c>
      <c r="M19" s="816">
        <v>11298.9</v>
      </c>
      <c r="N19" s="816">
        <v>11300</v>
      </c>
      <c r="O19" s="435">
        <v>-15.499999999999989</v>
      </c>
      <c r="P19" s="816">
        <v>11326</v>
      </c>
      <c r="Q19" s="816">
        <v>11328</v>
      </c>
      <c r="R19" s="816">
        <v>11255</v>
      </c>
      <c r="S19" s="88" t="e">
        <v>#REF!</v>
      </c>
      <c r="T19" s="498" t="e">
        <v>#REF!</v>
      </c>
      <c r="U19" s="498" t="e">
        <v>#REF!</v>
      </c>
      <c r="V19" s="818" t="e">
        <v>#REF!</v>
      </c>
      <c r="W19" s="434"/>
      <c r="X19" s="434"/>
      <c r="Y19" s="434"/>
      <c r="AM19" s="275">
        <v>0.47916666666666669</v>
      </c>
      <c r="AN19" s="497"/>
      <c r="AO19" s="497" t="s">
        <v>207</v>
      </c>
    </row>
    <row r="20" spans="1:41" ht="14.5" customHeight="1" thickBot="1" x14ac:dyDescent="0.4">
      <c r="A20" s="822"/>
      <c r="B20" s="824"/>
      <c r="C20" s="90" t="s">
        <v>42</v>
      </c>
      <c r="D20" s="168">
        <v>11200</v>
      </c>
      <c r="E20" s="168" t="s">
        <v>211</v>
      </c>
      <c r="F20" s="168">
        <v>666975</v>
      </c>
      <c r="G20" s="168" t="s">
        <v>211</v>
      </c>
      <c r="H20" s="825"/>
      <c r="I20" s="168" t="s">
        <v>211</v>
      </c>
      <c r="J20" s="820" t="s">
        <v>211</v>
      </c>
      <c r="K20" s="168" t="s">
        <v>211</v>
      </c>
      <c r="L20" s="820" t="s">
        <v>211</v>
      </c>
      <c r="M20" s="817"/>
      <c r="N20" s="817"/>
      <c r="O20" s="435" t="s">
        <v>211</v>
      </c>
      <c r="P20" s="817"/>
      <c r="Q20" s="817"/>
      <c r="R20" s="817"/>
      <c r="S20" s="92" t="e">
        <v>#REF!</v>
      </c>
      <c r="T20" s="498" t="s">
        <v>211</v>
      </c>
      <c r="U20" s="498" t="s">
        <v>211</v>
      </c>
      <c r="V20" s="818"/>
      <c r="W20" s="434"/>
      <c r="X20" s="434"/>
      <c r="Y20" s="434"/>
      <c r="AM20" s="275">
        <v>0.48194444444444445</v>
      </c>
      <c r="AN20" s="497"/>
      <c r="AO20" s="497"/>
    </row>
    <row r="21" spans="1:41" ht="14.5" customHeight="1" thickBot="1" x14ac:dyDescent="0.4">
      <c r="A21" s="821" t="s">
        <v>499</v>
      </c>
      <c r="B21" s="823" t="s">
        <v>180</v>
      </c>
      <c r="C21" s="167" t="s">
        <v>211</v>
      </c>
      <c r="D21" s="167" t="s">
        <v>211</v>
      </c>
      <c r="E21" s="167">
        <v>81.900000000000006</v>
      </c>
      <c r="F21" s="167">
        <v>991125</v>
      </c>
      <c r="G21" s="167">
        <v>81605</v>
      </c>
      <c r="H21" s="819" t="s">
        <v>55</v>
      </c>
      <c r="I21" s="167">
        <v>19.510000000000002</v>
      </c>
      <c r="J21" s="819">
        <v>11500</v>
      </c>
      <c r="K21" s="167">
        <v>15.35</v>
      </c>
      <c r="L21" s="819">
        <v>2312775</v>
      </c>
      <c r="M21" s="816">
        <v>11298.9</v>
      </c>
      <c r="N21" s="816">
        <v>11300</v>
      </c>
      <c r="O21" s="435">
        <v>-15.499999999999989</v>
      </c>
      <c r="P21" s="816">
        <v>11326</v>
      </c>
      <c r="Q21" s="816">
        <v>11328</v>
      </c>
      <c r="R21" s="816">
        <v>11255</v>
      </c>
      <c r="S21" s="88" t="e">
        <v>#REF!</v>
      </c>
      <c r="T21" s="498" t="e">
        <v>#REF!</v>
      </c>
      <c r="U21" s="498" t="e">
        <v>#REF!</v>
      </c>
      <c r="V21" s="818" t="e">
        <v>#REF!</v>
      </c>
      <c r="W21" s="434"/>
      <c r="X21" s="434"/>
      <c r="Y21" s="434"/>
      <c r="AM21" s="275">
        <v>0.48958333333333331</v>
      </c>
      <c r="AN21" s="497"/>
      <c r="AO21" s="497" t="s">
        <v>207</v>
      </c>
    </row>
    <row r="22" spans="1:41" ht="14.5" customHeight="1" thickBot="1" x14ac:dyDescent="0.4">
      <c r="A22" s="822"/>
      <c r="B22" s="824"/>
      <c r="C22" s="90" t="s">
        <v>42</v>
      </c>
      <c r="D22" s="168">
        <v>11200</v>
      </c>
      <c r="E22" s="168" t="s">
        <v>211</v>
      </c>
      <c r="F22" s="168">
        <v>666975</v>
      </c>
      <c r="G22" s="168" t="s">
        <v>211</v>
      </c>
      <c r="H22" s="825"/>
      <c r="I22" s="168" t="s">
        <v>211</v>
      </c>
      <c r="J22" s="820" t="s">
        <v>211</v>
      </c>
      <c r="K22" s="168" t="s">
        <v>211</v>
      </c>
      <c r="L22" s="820" t="s">
        <v>211</v>
      </c>
      <c r="M22" s="817"/>
      <c r="N22" s="817"/>
      <c r="O22" s="435" t="s">
        <v>211</v>
      </c>
      <c r="P22" s="817"/>
      <c r="Q22" s="817"/>
      <c r="R22" s="817"/>
      <c r="S22" s="92" t="e">
        <v>#REF!</v>
      </c>
      <c r="T22" s="498" t="s">
        <v>211</v>
      </c>
      <c r="U22" s="498" t="s">
        <v>211</v>
      </c>
      <c r="V22" s="818"/>
      <c r="W22" s="434"/>
      <c r="X22" s="434"/>
      <c r="Y22" s="434"/>
      <c r="AM22" s="275">
        <v>0.49236111111111108</v>
      </c>
      <c r="AN22" s="497"/>
      <c r="AO22" s="497"/>
    </row>
    <row r="23" spans="1:41" ht="14.5" customHeight="1" thickBot="1" x14ac:dyDescent="0.4">
      <c r="A23" s="821" t="s">
        <v>499</v>
      </c>
      <c r="B23" s="823" t="s">
        <v>180</v>
      </c>
      <c r="C23" s="167" t="s">
        <v>211</v>
      </c>
      <c r="D23" s="167" t="s">
        <v>211</v>
      </c>
      <c r="E23" s="167">
        <v>81.900000000000006</v>
      </c>
      <c r="F23" s="167">
        <v>991125</v>
      </c>
      <c r="G23" s="167">
        <v>81605</v>
      </c>
      <c r="H23" s="819" t="s">
        <v>55</v>
      </c>
      <c r="I23" s="167">
        <v>19.510000000000002</v>
      </c>
      <c r="J23" s="819">
        <v>11500</v>
      </c>
      <c r="K23" s="167">
        <v>15.35</v>
      </c>
      <c r="L23" s="819">
        <v>2312775</v>
      </c>
      <c r="M23" s="816">
        <v>11298.9</v>
      </c>
      <c r="N23" s="816">
        <v>11300</v>
      </c>
      <c r="O23" s="435">
        <v>-15.499999999999989</v>
      </c>
      <c r="P23" s="816">
        <v>11326</v>
      </c>
      <c r="Q23" s="816">
        <v>11328</v>
      </c>
      <c r="R23" s="816">
        <v>11255</v>
      </c>
      <c r="S23" s="88" t="e">
        <v>#REF!</v>
      </c>
      <c r="T23" s="498" t="e">
        <v>#REF!</v>
      </c>
      <c r="U23" s="498" t="e">
        <v>#REF!</v>
      </c>
      <c r="V23" s="818" t="e">
        <v>#REF!</v>
      </c>
      <c r="W23" s="434"/>
      <c r="X23" s="434"/>
      <c r="Y23" s="434"/>
      <c r="AM23" s="275">
        <v>0.5</v>
      </c>
      <c r="AN23" s="497"/>
      <c r="AO23" s="497" t="s">
        <v>207</v>
      </c>
    </row>
    <row r="24" spans="1:41" ht="14.5" customHeight="1" thickBot="1" x14ac:dyDescent="0.4">
      <c r="A24" s="822"/>
      <c r="B24" s="824"/>
      <c r="C24" s="90" t="s">
        <v>42</v>
      </c>
      <c r="D24" s="168">
        <v>11200</v>
      </c>
      <c r="E24" s="168" t="s">
        <v>211</v>
      </c>
      <c r="F24" s="168">
        <v>666975</v>
      </c>
      <c r="G24" s="168" t="s">
        <v>211</v>
      </c>
      <c r="H24" s="825"/>
      <c r="I24" s="168" t="s">
        <v>211</v>
      </c>
      <c r="J24" s="820" t="s">
        <v>211</v>
      </c>
      <c r="K24" s="168" t="s">
        <v>211</v>
      </c>
      <c r="L24" s="820" t="s">
        <v>211</v>
      </c>
      <c r="M24" s="817"/>
      <c r="N24" s="817"/>
      <c r="O24" s="435" t="s">
        <v>211</v>
      </c>
      <c r="P24" s="817"/>
      <c r="Q24" s="817"/>
      <c r="R24" s="817"/>
      <c r="S24" s="92" t="e">
        <v>#REF!</v>
      </c>
      <c r="T24" s="498" t="s">
        <v>211</v>
      </c>
      <c r="U24" s="498" t="s">
        <v>211</v>
      </c>
      <c r="V24" s="818"/>
      <c r="W24" s="434"/>
      <c r="X24" s="434"/>
      <c r="Y24" s="434"/>
      <c r="AM24" s="275">
        <v>0.50277777777777777</v>
      </c>
      <c r="AN24" s="497"/>
      <c r="AO24" s="497"/>
    </row>
    <row r="25" spans="1:41" ht="14.5" customHeight="1" thickBot="1" x14ac:dyDescent="0.4">
      <c r="A25" s="821" t="s">
        <v>499</v>
      </c>
      <c r="B25" s="823" t="s">
        <v>180</v>
      </c>
      <c r="C25" s="167" t="s">
        <v>211</v>
      </c>
      <c r="D25" s="167" t="s">
        <v>211</v>
      </c>
      <c r="E25" s="167">
        <v>81.900000000000006</v>
      </c>
      <c r="F25" s="167">
        <v>991125</v>
      </c>
      <c r="G25" s="167">
        <v>81605</v>
      </c>
      <c r="H25" s="819" t="s">
        <v>55</v>
      </c>
      <c r="I25" s="167">
        <v>19.510000000000002</v>
      </c>
      <c r="J25" s="819">
        <v>11500</v>
      </c>
      <c r="K25" s="167">
        <v>15.35</v>
      </c>
      <c r="L25" s="819">
        <v>2312775</v>
      </c>
      <c r="M25" s="816">
        <v>11298.9</v>
      </c>
      <c r="N25" s="816">
        <v>11300</v>
      </c>
      <c r="O25" s="435">
        <v>-15.499999999999989</v>
      </c>
      <c r="P25" s="816">
        <v>11326</v>
      </c>
      <c r="Q25" s="816">
        <v>11328</v>
      </c>
      <c r="R25" s="816">
        <v>11255</v>
      </c>
      <c r="S25" s="88" t="e">
        <v>#REF!</v>
      </c>
      <c r="T25" s="498" t="e">
        <v>#REF!</v>
      </c>
      <c r="U25" s="498" t="e">
        <v>#REF!</v>
      </c>
      <c r="V25" s="818" t="e">
        <v>#REF!</v>
      </c>
      <c r="W25" s="434"/>
      <c r="X25" s="434"/>
      <c r="Y25" s="434"/>
      <c r="AM25" s="275">
        <v>0.51041666666666663</v>
      </c>
      <c r="AN25" s="497"/>
      <c r="AO25" s="497" t="s">
        <v>207</v>
      </c>
    </row>
    <row r="26" spans="1:41" ht="14.5" customHeight="1" thickBot="1" x14ac:dyDescent="0.4">
      <c r="A26" s="822"/>
      <c r="B26" s="824"/>
      <c r="C26" s="90" t="s">
        <v>42</v>
      </c>
      <c r="D26" s="168">
        <v>11200</v>
      </c>
      <c r="E26" s="168" t="s">
        <v>211</v>
      </c>
      <c r="F26" s="168">
        <v>666975</v>
      </c>
      <c r="G26" s="168" t="s">
        <v>211</v>
      </c>
      <c r="H26" s="825"/>
      <c r="I26" s="168" t="s">
        <v>211</v>
      </c>
      <c r="J26" s="820" t="s">
        <v>211</v>
      </c>
      <c r="K26" s="168" t="s">
        <v>211</v>
      </c>
      <c r="L26" s="820" t="s">
        <v>211</v>
      </c>
      <c r="M26" s="817"/>
      <c r="N26" s="817"/>
      <c r="O26" s="435" t="s">
        <v>211</v>
      </c>
      <c r="P26" s="817"/>
      <c r="Q26" s="817"/>
      <c r="R26" s="817"/>
      <c r="S26" s="92" t="e">
        <v>#REF!</v>
      </c>
      <c r="T26" s="498" t="s">
        <v>211</v>
      </c>
      <c r="U26" s="498" t="s">
        <v>211</v>
      </c>
      <c r="V26" s="818"/>
      <c r="W26" s="434"/>
      <c r="X26" s="434"/>
      <c r="Y26" s="434"/>
      <c r="AM26" s="275">
        <v>0.5131944444444444</v>
      </c>
      <c r="AN26" s="497"/>
      <c r="AO26" s="497"/>
    </row>
    <row r="27" spans="1:41" ht="14.5" customHeight="1" thickBot="1" x14ac:dyDescent="0.4">
      <c r="A27" s="821" t="s">
        <v>499</v>
      </c>
      <c r="B27" s="823" t="s">
        <v>180</v>
      </c>
      <c r="C27" s="167" t="s">
        <v>211</v>
      </c>
      <c r="D27" s="167" t="s">
        <v>211</v>
      </c>
      <c r="E27" s="167">
        <v>81.900000000000006</v>
      </c>
      <c r="F27" s="167">
        <v>991125</v>
      </c>
      <c r="G27" s="167">
        <v>81605</v>
      </c>
      <c r="H27" s="819" t="s">
        <v>55</v>
      </c>
      <c r="I27" s="167">
        <v>19.510000000000002</v>
      </c>
      <c r="J27" s="819">
        <v>11500</v>
      </c>
      <c r="K27" s="167">
        <v>15.35</v>
      </c>
      <c r="L27" s="819">
        <v>2312775</v>
      </c>
      <c r="M27" s="816">
        <v>11298.9</v>
      </c>
      <c r="N27" s="816">
        <v>11300</v>
      </c>
      <c r="O27" s="435">
        <v>-15.499999999999989</v>
      </c>
      <c r="P27" s="816">
        <v>11326</v>
      </c>
      <c r="Q27" s="816">
        <v>11328</v>
      </c>
      <c r="R27" s="816">
        <v>11255</v>
      </c>
      <c r="S27" s="88" t="e">
        <v>#REF!</v>
      </c>
      <c r="T27" s="498" t="e">
        <v>#REF!</v>
      </c>
      <c r="U27" s="498" t="e">
        <v>#REF!</v>
      </c>
      <c r="V27" s="818" t="e">
        <v>#REF!</v>
      </c>
      <c r="W27" s="434"/>
      <c r="X27" s="434"/>
      <c r="Y27" s="434"/>
      <c r="AM27" s="275">
        <v>0.52083333333333337</v>
      </c>
      <c r="AN27" s="497"/>
      <c r="AO27" s="497" t="s">
        <v>207</v>
      </c>
    </row>
    <row r="28" spans="1:41" ht="14.5" customHeight="1" thickBot="1" x14ac:dyDescent="0.4">
      <c r="A28" s="822"/>
      <c r="B28" s="824"/>
      <c r="C28" s="90" t="s">
        <v>42</v>
      </c>
      <c r="D28" s="168">
        <v>11200</v>
      </c>
      <c r="E28" s="168" t="s">
        <v>211</v>
      </c>
      <c r="F28" s="168">
        <v>666975</v>
      </c>
      <c r="G28" s="168" t="s">
        <v>211</v>
      </c>
      <c r="H28" s="825"/>
      <c r="I28" s="168" t="s">
        <v>211</v>
      </c>
      <c r="J28" s="820" t="s">
        <v>211</v>
      </c>
      <c r="K28" s="168" t="s">
        <v>211</v>
      </c>
      <c r="L28" s="820" t="s">
        <v>211</v>
      </c>
      <c r="M28" s="817"/>
      <c r="N28" s="817"/>
      <c r="O28" s="435" t="s">
        <v>211</v>
      </c>
      <c r="P28" s="817"/>
      <c r="Q28" s="817"/>
      <c r="R28" s="817"/>
      <c r="S28" s="92" t="e">
        <v>#REF!</v>
      </c>
      <c r="T28" s="498" t="s">
        <v>211</v>
      </c>
      <c r="U28" s="498" t="s">
        <v>211</v>
      </c>
      <c r="V28" s="818"/>
      <c r="W28" s="434"/>
      <c r="X28" s="434"/>
      <c r="Y28" s="434"/>
      <c r="AM28" s="275">
        <v>0.52361111111111114</v>
      </c>
      <c r="AN28" s="497"/>
      <c r="AO28" s="497"/>
    </row>
    <row r="29" spans="1:41" ht="15" customHeight="1" thickBot="1" x14ac:dyDescent="0.4">
      <c r="A29" s="821" t="s">
        <v>499</v>
      </c>
      <c r="B29" s="823" t="s">
        <v>180</v>
      </c>
      <c r="C29" s="167" t="s">
        <v>211</v>
      </c>
      <c r="D29" s="167" t="s">
        <v>211</v>
      </c>
      <c r="E29" s="167">
        <v>81.900000000000006</v>
      </c>
      <c r="F29" s="167">
        <v>991125</v>
      </c>
      <c r="G29" s="167">
        <v>81605</v>
      </c>
      <c r="H29" s="819" t="s">
        <v>55</v>
      </c>
      <c r="I29" s="167">
        <v>19.510000000000002</v>
      </c>
      <c r="J29" s="819">
        <v>11500</v>
      </c>
      <c r="K29" s="167">
        <v>15.35</v>
      </c>
      <c r="L29" s="819">
        <v>2312775</v>
      </c>
      <c r="M29" s="816">
        <v>11298.9</v>
      </c>
      <c r="N29" s="816">
        <v>11300</v>
      </c>
      <c r="O29" s="435">
        <v>-15.499999999999989</v>
      </c>
      <c r="P29" s="816">
        <v>11326</v>
      </c>
      <c r="Q29" s="816">
        <v>11328</v>
      </c>
      <c r="R29" s="816">
        <v>11255</v>
      </c>
      <c r="S29" s="88" t="e">
        <v>#REF!</v>
      </c>
      <c r="T29" s="498" t="e">
        <v>#REF!</v>
      </c>
      <c r="U29" s="498" t="e">
        <v>#REF!</v>
      </c>
      <c r="V29" s="818" t="e">
        <v>#REF!</v>
      </c>
      <c r="W29" s="434"/>
      <c r="X29" s="434"/>
      <c r="Y29" s="434"/>
      <c r="AM29" s="275">
        <v>0.53125</v>
      </c>
      <c r="AO29" s="497" t="s">
        <v>207</v>
      </c>
    </row>
    <row r="30" spans="1:41" ht="15" customHeight="1" thickBot="1" x14ac:dyDescent="0.4">
      <c r="A30" s="822"/>
      <c r="B30" s="824"/>
      <c r="C30" s="90" t="s">
        <v>42</v>
      </c>
      <c r="D30" s="168">
        <v>11200</v>
      </c>
      <c r="E30" s="168" t="s">
        <v>211</v>
      </c>
      <c r="F30" s="168">
        <v>666975</v>
      </c>
      <c r="G30" s="168" t="s">
        <v>211</v>
      </c>
      <c r="H30" s="825"/>
      <c r="I30" s="168" t="s">
        <v>211</v>
      </c>
      <c r="J30" s="820" t="s">
        <v>211</v>
      </c>
      <c r="K30" s="168" t="s">
        <v>211</v>
      </c>
      <c r="L30" s="820" t="s">
        <v>211</v>
      </c>
      <c r="M30" s="817"/>
      <c r="N30" s="817"/>
      <c r="O30" s="435" t="s">
        <v>211</v>
      </c>
      <c r="P30" s="817"/>
      <c r="Q30" s="817"/>
      <c r="R30" s="817"/>
      <c r="S30" s="92" t="e">
        <v>#REF!</v>
      </c>
      <c r="T30" s="498" t="s">
        <v>211</v>
      </c>
      <c r="U30" s="498" t="s">
        <v>211</v>
      </c>
      <c r="V30" s="818"/>
      <c r="W30" s="434"/>
      <c r="X30" s="434"/>
      <c r="Y30" s="434"/>
      <c r="AM30" s="275">
        <v>0.53402777777777777</v>
      </c>
      <c r="AO30" s="497"/>
    </row>
    <row r="31" spans="1:41" ht="15" customHeight="1" thickBot="1" x14ac:dyDescent="0.4">
      <c r="A31" s="821" t="s">
        <v>499</v>
      </c>
      <c r="B31" s="823" t="s">
        <v>180</v>
      </c>
      <c r="C31" s="167" t="s">
        <v>211</v>
      </c>
      <c r="D31" s="167" t="s">
        <v>211</v>
      </c>
      <c r="E31" s="167">
        <v>81.900000000000006</v>
      </c>
      <c r="F31" s="167">
        <v>991125</v>
      </c>
      <c r="G31" s="167">
        <v>81605</v>
      </c>
      <c r="H31" s="819" t="s">
        <v>55</v>
      </c>
      <c r="I31" s="167">
        <v>19.510000000000002</v>
      </c>
      <c r="J31" s="819">
        <v>11500</v>
      </c>
      <c r="K31" s="167">
        <v>15.35</v>
      </c>
      <c r="L31" s="819">
        <v>2312775</v>
      </c>
      <c r="M31" s="816">
        <v>11298.9</v>
      </c>
      <c r="N31" s="816">
        <v>11300</v>
      </c>
      <c r="O31" s="435">
        <v>-15.499999999999989</v>
      </c>
      <c r="P31" s="816">
        <v>11326</v>
      </c>
      <c r="Q31" s="816">
        <v>11328</v>
      </c>
      <c r="R31" s="816">
        <v>11255</v>
      </c>
      <c r="S31" s="88" t="e">
        <v>#REF!</v>
      </c>
      <c r="T31" s="498" t="e">
        <v>#REF!</v>
      </c>
      <c r="U31" s="498" t="e">
        <v>#REF!</v>
      </c>
      <c r="V31" s="818" t="e">
        <v>#REF!</v>
      </c>
      <c r="W31" s="434"/>
      <c r="X31" s="434"/>
      <c r="Y31" s="434"/>
      <c r="AM31" s="275">
        <v>0.54166666666666663</v>
      </c>
      <c r="AO31" s="497" t="s">
        <v>207</v>
      </c>
    </row>
    <row r="32" spans="1:41" ht="15" customHeight="1" thickBot="1" x14ac:dyDescent="0.4">
      <c r="A32" s="822"/>
      <c r="B32" s="824"/>
      <c r="C32" s="90" t="s">
        <v>42</v>
      </c>
      <c r="D32" s="168">
        <v>11200</v>
      </c>
      <c r="E32" s="168" t="s">
        <v>211</v>
      </c>
      <c r="F32" s="168">
        <v>666975</v>
      </c>
      <c r="G32" s="168" t="s">
        <v>211</v>
      </c>
      <c r="H32" s="825"/>
      <c r="I32" s="168" t="s">
        <v>211</v>
      </c>
      <c r="J32" s="820" t="s">
        <v>211</v>
      </c>
      <c r="K32" s="168" t="s">
        <v>211</v>
      </c>
      <c r="L32" s="820" t="s">
        <v>211</v>
      </c>
      <c r="M32" s="817"/>
      <c r="N32" s="817"/>
      <c r="O32" s="435" t="s">
        <v>211</v>
      </c>
      <c r="P32" s="817"/>
      <c r="Q32" s="817"/>
      <c r="R32" s="817"/>
      <c r="S32" s="92" t="e">
        <v>#REF!</v>
      </c>
      <c r="T32" s="498" t="s">
        <v>211</v>
      </c>
      <c r="U32" s="498" t="s">
        <v>211</v>
      </c>
      <c r="V32" s="818"/>
      <c r="W32" s="434"/>
      <c r="X32" s="434"/>
      <c r="Y32" s="434"/>
      <c r="AM32" s="275">
        <v>0.5444444444444444</v>
      </c>
      <c r="AO32" s="497"/>
    </row>
    <row r="33" spans="1:41" ht="15" customHeight="1" thickBot="1" x14ac:dyDescent="0.4">
      <c r="A33" s="821" t="s">
        <v>499</v>
      </c>
      <c r="B33" s="823" t="s">
        <v>180</v>
      </c>
      <c r="C33" s="167" t="s">
        <v>211</v>
      </c>
      <c r="D33" s="167" t="s">
        <v>211</v>
      </c>
      <c r="E33" s="167">
        <v>81.900000000000006</v>
      </c>
      <c r="F33" s="167">
        <v>991125</v>
      </c>
      <c r="G33" s="167">
        <v>81605</v>
      </c>
      <c r="H33" s="819" t="s">
        <v>55</v>
      </c>
      <c r="I33" s="167">
        <v>19.510000000000002</v>
      </c>
      <c r="J33" s="819">
        <v>11500</v>
      </c>
      <c r="K33" s="167">
        <v>15.35</v>
      </c>
      <c r="L33" s="819">
        <v>2312775</v>
      </c>
      <c r="M33" s="816">
        <v>11298.9</v>
      </c>
      <c r="N33" s="816">
        <v>11300</v>
      </c>
      <c r="O33" s="435">
        <v>-15.499999999999989</v>
      </c>
      <c r="P33" s="816">
        <v>11326</v>
      </c>
      <c r="Q33" s="816">
        <v>11328</v>
      </c>
      <c r="R33" s="816">
        <v>11255</v>
      </c>
      <c r="S33" s="88" t="e">
        <v>#REF!</v>
      </c>
      <c r="T33" s="498" t="e">
        <v>#REF!</v>
      </c>
      <c r="U33" s="498" t="e">
        <v>#REF!</v>
      </c>
      <c r="V33" s="818" t="e">
        <v>#REF!</v>
      </c>
      <c r="W33" s="434"/>
      <c r="X33" s="434"/>
      <c r="Y33" s="434"/>
      <c r="AM33" s="275">
        <v>0.55208333333333337</v>
      </c>
      <c r="AO33" s="497" t="s">
        <v>207</v>
      </c>
    </row>
    <row r="34" spans="1:41" ht="15" customHeight="1" thickBot="1" x14ac:dyDescent="0.4">
      <c r="A34" s="822"/>
      <c r="B34" s="824"/>
      <c r="C34" s="90" t="s">
        <v>42</v>
      </c>
      <c r="D34" s="168">
        <v>11200</v>
      </c>
      <c r="E34" s="168" t="s">
        <v>211</v>
      </c>
      <c r="F34" s="168">
        <v>666975</v>
      </c>
      <c r="G34" s="168" t="s">
        <v>211</v>
      </c>
      <c r="H34" s="825"/>
      <c r="I34" s="168" t="s">
        <v>211</v>
      </c>
      <c r="J34" s="820" t="s">
        <v>211</v>
      </c>
      <c r="K34" s="168" t="s">
        <v>211</v>
      </c>
      <c r="L34" s="820" t="s">
        <v>211</v>
      </c>
      <c r="M34" s="817"/>
      <c r="N34" s="817"/>
      <c r="O34" s="435" t="s">
        <v>211</v>
      </c>
      <c r="P34" s="817"/>
      <c r="Q34" s="817"/>
      <c r="R34" s="817"/>
      <c r="S34" s="92" t="e">
        <v>#REF!</v>
      </c>
      <c r="T34" s="498" t="s">
        <v>211</v>
      </c>
      <c r="U34" s="498" t="s">
        <v>211</v>
      </c>
      <c r="V34" s="818"/>
      <c r="W34" s="434"/>
      <c r="X34" s="434"/>
      <c r="Y34" s="434"/>
      <c r="AM34" s="275">
        <v>0.55486111111111114</v>
      </c>
      <c r="AO34" s="497"/>
    </row>
    <row r="35" spans="1:41" ht="15" customHeight="1" thickBot="1" x14ac:dyDescent="0.4">
      <c r="A35" s="821" t="s">
        <v>499</v>
      </c>
      <c r="B35" s="823" t="s">
        <v>180</v>
      </c>
      <c r="C35" s="167" t="s">
        <v>211</v>
      </c>
      <c r="D35" s="167" t="s">
        <v>211</v>
      </c>
      <c r="E35" s="167">
        <v>81.900000000000006</v>
      </c>
      <c r="F35" s="167">
        <v>991125</v>
      </c>
      <c r="G35" s="167">
        <v>81605</v>
      </c>
      <c r="H35" s="819" t="s">
        <v>55</v>
      </c>
      <c r="I35" s="167">
        <v>19.510000000000002</v>
      </c>
      <c r="J35" s="819">
        <v>11500</v>
      </c>
      <c r="K35" s="167">
        <v>15.35</v>
      </c>
      <c r="L35" s="819">
        <v>2312775</v>
      </c>
      <c r="M35" s="816">
        <v>11298.9</v>
      </c>
      <c r="N35" s="816">
        <v>11300</v>
      </c>
      <c r="O35" s="435">
        <v>-15.499999999999989</v>
      </c>
      <c r="P35" s="816">
        <v>11326</v>
      </c>
      <c r="Q35" s="816">
        <v>11328</v>
      </c>
      <c r="R35" s="816">
        <v>11255</v>
      </c>
      <c r="S35" s="88" t="e">
        <v>#REF!</v>
      </c>
      <c r="T35" s="498" t="e">
        <v>#REF!</v>
      </c>
      <c r="U35" s="498" t="e">
        <v>#REF!</v>
      </c>
      <c r="V35" s="818" t="e">
        <v>#REF!</v>
      </c>
      <c r="W35" s="434"/>
      <c r="X35" s="434"/>
      <c r="Y35" s="434"/>
      <c r="AM35" s="275">
        <v>0.5625</v>
      </c>
      <c r="AO35" s="497" t="s">
        <v>207</v>
      </c>
    </row>
    <row r="36" spans="1:41" ht="15" customHeight="1" thickBot="1" x14ac:dyDescent="0.4">
      <c r="A36" s="822"/>
      <c r="B36" s="824"/>
      <c r="C36" s="90" t="s">
        <v>42</v>
      </c>
      <c r="D36" s="168">
        <v>11200</v>
      </c>
      <c r="E36" s="168" t="s">
        <v>211</v>
      </c>
      <c r="F36" s="168">
        <v>666975</v>
      </c>
      <c r="G36" s="168" t="s">
        <v>211</v>
      </c>
      <c r="H36" s="825"/>
      <c r="I36" s="168" t="s">
        <v>211</v>
      </c>
      <c r="J36" s="820" t="s">
        <v>211</v>
      </c>
      <c r="K36" s="168" t="s">
        <v>211</v>
      </c>
      <c r="L36" s="820" t="s">
        <v>211</v>
      </c>
      <c r="M36" s="817"/>
      <c r="N36" s="817"/>
      <c r="O36" s="435" t="s">
        <v>211</v>
      </c>
      <c r="P36" s="817"/>
      <c r="Q36" s="817"/>
      <c r="R36" s="817"/>
      <c r="S36" s="92" t="e">
        <v>#REF!</v>
      </c>
      <c r="T36" s="498" t="s">
        <v>211</v>
      </c>
      <c r="U36" s="498" t="s">
        <v>211</v>
      </c>
      <c r="V36" s="818"/>
      <c r="W36" s="434"/>
      <c r="X36" s="434"/>
      <c r="Y36" s="434"/>
      <c r="AM36" s="275">
        <v>0.56527777777777777</v>
      </c>
      <c r="AO36" s="497"/>
    </row>
    <row r="37" spans="1:41" ht="15" customHeight="1" thickBot="1" x14ac:dyDescent="0.4">
      <c r="A37" s="821" t="s">
        <v>499</v>
      </c>
      <c r="B37" s="823" t="s">
        <v>180</v>
      </c>
      <c r="C37" s="167" t="s">
        <v>211</v>
      </c>
      <c r="D37" s="167" t="s">
        <v>211</v>
      </c>
      <c r="E37" s="167">
        <v>81.900000000000006</v>
      </c>
      <c r="F37" s="167">
        <v>991125</v>
      </c>
      <c r="G37" s="167">
        <v>81605</v>
      </c>
      <c r="H37" s="819" t="s">
        <v>55</v>
      </c>
      <c r="I37" s="167">
        <v>19.510000000000002</v>
      </c>
      <c r="J37" s="819">
        <v>11500</v>
      </c>
      <c r="K37" s="167">
        <v>15.35</v>
      </c>
      <c r="L37" s="819">
        <v>2312775</v>
      </c>
      <c r="M37" s="816">
        <v>11298.9</v>
      </c>
      <c r="N37" s="816">
        <v>11300</v>
      </c>
      <c r="O37" s="435">
        <v>-15.499999999999989</v>
      </c>
      <c r="P37" s="816">
        <v>11326</v>
      </c>
      <c r="Q37" s="816">
        <v>11328</v>
      </c>
      <c r="R37" s="816">
        <v>11255</v>
      </c>
      <c r="S37" s="88" t="e">
        <v>#REF!</v>
      </c>
      <c r="T37" s="498" t="e">
        <v>#REF!</v>
      </c>
      <c r="U37" s="498" t="e">
        <v>#REF!</v>
      </c>
      <c r="V37" s="818" t="e">
        <v>#REF!</v>
      </c>
      <c r="W37" s="434"/>
      <c r="X37" s="434"/>
      <c r="Y37" s="434"/>
      <c r="AM37" s="275">
        <v>0.57291666666666663</v>
      </c>
      <c r="AO37" s="497" t="s">
        <v>207</v>
      </c>
    </row>
    <row r="38" spans="1:41" ht="15" customHeight="1" thickBot="1" x14ac:dyDescent="0.4">
      <c r="A38" s="822"/>
      <c r="B38" s="824"/>
      <c r="C38" s="90" t="s">
        <v>42</v>
      </c>
      <c r="D38" s="168">
        <v>11200</v>
      </c>
      <c r="E38" s="168" t="s">
        <v>211</v>
      </c>
      <c r="F38" s="168">
        <v>666975</v>
      </c>
      <c r="G38" s="168" t="s">
        <v>211</v>
      </c>
      <c r="H38" s="825"/>
      <c r="I38" s="168" t="s">
        <v>211</v>
      </c>
      <c r="J38" s="820" t="s">
        <v>211</v>
      </c>
      <c r="K38" s="168" t="s">
        <v>211</v>
      </c>
      <c r="L38" s="820" t="s">
        <v>211</v>
      </c>
      <c r="M38" s="817"/>
      <c r="N38" s="817"/>
      <c r="O38" s="435" t="s">
        <v>211</v>
      </c>
      <c r="P38" s="817"/>
      <c r="Q38" s="817"/>
      <c r="R38" s="817"/>
      <c r="S38" s="92" t="e">
        <v>#REF!</v>
      </c>
      <c r="T38" s="498" t="s">
        <v>211</v>
      </c>
      <c r="U38" s="498" t="s">
        <v>211</v>
      </c>
      <c r="V38" s="818"/>
      <c r="W38" s="434"/>
      <c r="X38" s="434"/>
      <c r="Y38" s="434"/>
      <c r="AM38" s="275">
        <v>0.5756944444444444</v>
      </c>
      <c r="AO38" s="497"/>
    </row>
    <row r="39" spans="1:41" ht="15" customHeight="1" thickBot="1" x14ac:dyDescent="0.4">
      <c r="A39" s="821" t="s">
        <v>499</v>
      </c>
      <c r="B39" s="823" t="s">
        <v>180</v>
      </c>
      <c r="C39" s="167" t="s">
        <v>211</v>
      </c>
      <c r="D39" s="167" t="s">
        <v>211</v>
      </c>
      <c r="E39" s="167">
        <v>81.900000000000006</v>
      </c>
      <c r="F39" s="167">
        <v>991125</v>
      </c>
      <c r="G39" s="167">
        <v>81605</v>
      </c>
      <c r="H39" s="819" t="s">
        <v>55</v>
      </c>
      <c r="I39" s="167">
        <v>19.510000000000002</v>
      </c>
      <c r="J39" s="819">
        <v>11500</v>
      </c>
      <c r="K39" s="167">
        <v>15.35</v>
      </c>
      <c r="L39" s="819">
        <v>2312775</v>
      </c>
      <c r="M39" s="816">
        <v>11298.9</v>
      </c>
      <c r="N39" s="816">
        <v>11300</v>
      </c>
      <c r="O39" s="435">
        <v>-15.499999999999989</v>
      </c>
      <c r="P39" s="816">
        <v>11326</v>
      </c>
      <c r="Q39" s="816">
        <v>11328</v>
      </c>
      <c r="R39" s="816">
        <v>11255</v>
      </c>
      <c r="S39" s="88" t="e">
        <v>#REF!</v>
      </c>
      <c r="T39" s="416" t="e">
        <v>#REF!</v>
      </c>
      <c r="U39" s="498" t="e">
        <v>#REF!</v>
      </c>
      <c r="V39" s="818" t="e">
        <v>#REF!</v>
      </c>
      <c r="W39" s="434"/>
      <c r="X39" s="434"/>
      <c r="Y39" s="434"/>
      <c r="AM39" s="275">
        <v>0.58333333333333337</v>
      </c>
      <c r="AO39" s="497" t="s">
        <v>207</v>
      </c>
    </row>
    <row r="40" spans="1:41" ht="15" customHeight="1" thickBot="1" x14ac:dyDescent="0.4">
      <c r="A40" s="822"/>
      <c r="B40" s="824"/>
      <c r="C40" s="90" t="s">
        <v>42</v>
      </c>
      <c r="D40" s="168">
        <v>11200</v>
      </c>
      <c r="E40" s="168" t="s">
        <v>211</v>
      </c>
      <c r="F40" s="168">
        <v>666975</v>
      </c>
      <c r="G40" s="168" t="s">
        <v>211</v>
      </c>
      <c r="H40" s="825"/>
      <c r="I40" s="168" t="s">
        <v>211</v>
      </c>
      <c r="J40" s="820" t="s">
        <v>211</v>
      </c>
      <c r="K40" s="168" t="s">
        <v>211</v>
      </c>
      <c r="L40" s="820" t="s">
        <v>211</v>
      </c>
      <c r="M40" s="817"/>
      <c r="N40" s="817"/>
      <c r="O40" s="435" t="s">
        <v>211</v>
      </c>
      <c r="P40" s="817"/>
      <c r="Q40" s="817"/>
      <c r="R40" s="817"/>
      <c r="S40" s="92" t="e">
        <v>#REF!</v>
      </c>
      <c r="T40" s="503" t="s">
        <v>211</v>
      </c>
      <c r="U40" s="417" t="s">
        <v>211</v>
      </c>
      <c r="V40" s="818"/>
      <c r="W40" s="434"/>
      <c r="X40" s="434"/>
      <c r="Y40" s="434"/>
      <c r="AM40" s="275">
        <v>0.58611111111111114</v>
      </c>
      <c r="AO40" s="497"/>
    </row>
    <row r="41" spans="1:41" ht="15" customHeight="1" thickBot="1" x14ac:dyDescent="0.4">
      <c r="A41" s="821" t="s">
        <v>499</v>
      </c>
      <c r="B41" s="823" t="s">
        <v>180</v>
      </c>
      <c r="C41" s="167" t="s">
        <v>211</v>
      </c>
      <c r="D41" s="167" t="s">
        <v>211</v>
      </c>
      <c r="E41" s="167">
        <v>81.900000000000006</v>
      </c>
      <c r="F41" s="167">
        <v>991125</v>
      </c>
      <c r="G41" s="167">
        <v>81605</v>
      </c>
      <c r="H41" s="819" t="s">
        <v>55</v>
      </c>
      <c r="I41" s="167">
        <v>19.510000000000002</v>
      </c>
      <c r="J41" s="819">
        <v>11500</v>
      </c>
      <c r="K41" s="167">
        <v>15.35</v>
      </c>
      <c r="L41" s="819">
        <v>2312775</v>
      </c>
      <c r="M41" s="816">
        <v>11298.9</v>
      </c>
      <c r="N41" s="816">
        <v>11300</v>
      </c>
      <c r="O41" s="435">
        <v>-15.499999999999989</v>
      </c>
      <c r="P41" s="816">
        <v>11326</v>
      </c>
      <c r="Q41" s="816">
        <v>11328</v>
      </c>
      <c r="R41" s="816">
        <v>11255</v>
      </c>
      <c r="S41" s="88" t="e">
        <v>#REF!</v>
      </c>
      <c r="T41" s="498" t="e">
        <v>#REF!</v>
      </c>
      <c r="U41" s="498" t="e">
        <v>#REF!</v>
      </c>
      <c r="V41" s="818" t="e">
        <v>#REF!</v>
      </c>
      <c r="W41" s="434"/>
      <c r="X41" s="434"/>
      <c r="Y41" s="434"/>
      <c r="AM41" s="275">
        <v>0.59375</v>
      </c>
      <c r="AO41" s="497" t="s">
        <v>207</v>
      </c>
    </row>
    <row r="42" spans="1:41" ht="15" customHeight="1" thickBot="1" x14ac:dyDescent="0.4">
      <c r="A42" s="822"/>
      <c r="B42" s="824"/>
      <c r="C42" s="90" t="s">
        <v>42</v>
      </c>
      <c r="D42" s="168">
        <v>11200</v>
      </c>
      <c r="E42" s="168" t="s">
        <v>211</v>
      </c>
      <c r="F42" s="168">
        <v>666975</v>
      </c>
      <c r="G42" s="168" t="s">
        <v>211</v>
      </c>
      <c r="H42" s="825"/>
      <c r="I42" s="168" t="s">
        <v>211</v>
      </c>
      <c r="J42" s="820" t="s">
        <v>211</v>
      </c>
      <c r="K42" s="168" t="s">
        <v>211</v>
      </c>
      <c r="L42" s="820" t="s">
        <v>211</v>
      </c>
      <c r="M42" s="817"/>
      <c r="N42" s="817"/>
      <c r="O42" s="435" t="s">
        <v>211</v>
      </c>
      <c r="P42" s="817"/>
      <c r="Q42" s="817"/>
      <c r="R42" s="817"/>
      <c r="S42" s="92" t="e">
        <v>#REF!</v>
      </c>
      <c r="T42" s="413" t="s">
        <v>211</v>
      </c>
      <c r="U42" s="413" t="s">
        <v>211</v>
      </c>
      <c r="V42" s="818"/>
      <c r="W42" s="434"/>
      <c r="X42" s="434"/>
      <c r="Y42" s="434"/>
      <c r="AM42" s="275">
        <v>0.59652777777777777</v>
      </c>
      <c r="AO42" s="497"/>
    </row>
    <row r="43" spans="1:41" ht="15" customHeight="1" thickBot="1" x14ac:dyDescent="0.4">
      <c r="A43" s="821" t="s">
        <v>499</v>
      </c>
      <c r="B43" s="823" t="s">
        <v>180</v>
      </c>
      <c r="C43" s="167" t="s">
        <v>211</v>
      </c>
      <c r="D43" s="167" t="s">
        <v>211</v>
      </c>
      <c r="E43" s="167">
        <v>81.900000000000006</v>
      </c>
      <c r="F43" s="167">
        <v>991125</v>
      </c>
      <c r="G43" s="167">
        <v>81605</v>
      </c>
      <c r="H43" s="819" t="s">
        <v>55</v>
      </c>
      <c r="I43" s="167">
        <v>19.510000000000002</v>
      </c>
      <c r="J43" s="819">
        <v>11500</v>
      </c>
      <c r="K43" s="167">
        <v>15.35</v>
      </c>
      <c r="L43" s="819">
        <v>2312775</v>
      </c>
      <c r="M43" s="816">
        <v>11298.9</v>
      </c>
      <c r="N43" s="816">
        <v>11300</v>
      </c>
      <c r="O43" s="435">
        <v>-15.499999999999989</v>
      </c>
      <c r="P43" s="816">
        <v>11326</v>
      </c>
      <c r="Q43" s="816">
        <v>11328</v>
      </c>
      <c r="R43" s="816">
        <v>11255</v>
      </c>
      <c r="S43" s="88" t="e">
        <v>#REF!</v>
      </c>
      <c r="T43" s="498" t="e">
        <v>#REF!</v>
      </c>
      <c r="U43" s="498" t="e">
        <v>#REF!</v>
      </c>
      <c r="V43" s="818" t="e">
        <v>#REF!</v>
      </c>
      <c r="W43" s="434"/>
      <c r="X43" s="434"/>
      <c r="Y43" s="434"/>
      <c r="AM43" s="275">
        <v>0.60416666666666663</v>
      </c>
      <c r="AO43" s="497" t="s">
        <v>207</v>
      </c>
    </row>
    <row r="44" spans="1:41" ht="15" customHeight="1" thickBot="1" x14ac:dyDescent="0.4">
      <c r="A44" s="822"/>
      <c r="B44" s="824"/>
      <c r="C44" s="90" t="s">
        <v>42</v>
      </c>
      <c r="D44" s="168">
        <v>11200</v>
      </c>
      <c r="E44" s="168" t="s">
        <v>211</v>
      </c>
      <c r="F44" s="168">
        <v>666975</v>
      </c>
      <c r="G44" s="168" t="s">
        <v>211</v>
      </c>
      <c r="H44" s="825"/>
      <c r="I44" s="168" t="s">
        <v>211</v>
      </c>
      <c r="J44" s="820" t="s">
        <v>211</v>
      </c>
      <c r="K44" s="168" t="s">
        <v>211</v>
      </c>
      <c r="L44" s="820" t="s">
        <v>211</v>
      </c>
      <c r="M44" s="817"/>
      <c r="N44" s="817"/>
      <c r="O44" s="435" t="s">
        <v>211</v>
      </c>
      <c r="P44" s="817"/>
      <c r="Q44" s="817"/>
      <c r="R44" s="817"/>
      <c r="S44" s="92" t="e">
        <v>#REF!</v>
      </c>
      <c r="T44" s="413" t="s">
        <v>211</v>
      </c>
      <c r="U44" s="413" t="s">
        <v>211</v>
      </c>
      <c r="V44" s="818"/>
      <c r="W44" s="434"/>
      <c r="X44" s="434"/>
      <c r="Y44" s="434"/>
      <c r="AM44" s="275">
        <v>0.6069444444444444</v>
      </c>
      <c r="AO44" s="497"/>
    </row>
    <row r="45" spans="1:41" ht="15" customHeight="1" thickBot="1" x14ac:dyDescent="0.4">
      <c r="A45" s="821" t="s">
        <v>499</v>
      </c>
      <c r="B45" s="823" t="s">
        <v>180</v>
      </c>
      <c r="C45" s="167" t="s">
        <v>211</v>
      </c>
      <c r="D45" s="167" t="s">
        <v>211</v>
      </c>
      <c r="E45" s="167">
        <v>81.900000000000006</v>
      </c>
      <c r="F45" s="167">
        <v>991125</v>
      </c>
      <c r="G45" s="167">
        <v>81605</v>
      </c>
      <c r="H45" s="819" t="s">
        <v>55</v>
      </c>
      <c r="I45" s="167">
        <v>19.510000000000002</v>
      </c>
      <c r="J45" s="819">
        <v>11500</v>
      </c>
      <c r="K45" s="167">
        <v>15.35</v>
      </c>
      <c r="L45" s="819">
        <v>2312775</v>
      </c>
      <c r="M45" s="816">
        <v>11298.9</v>
      </c>
      <c r="N45" s="816">
        <v>11300</v>
      </c>
      <c r="O45" s="435">
        <v>-15.499999999999989</v>
      </c>
      <c r="P45" s="816">
        <v>11326</v>
      </c>
      <c r="Q45" s="816">
        <v>11328</v>
      </c>
      <c r="R45" s="816">
        <v>11255</v>
      </c>
      <c r="S45" s="88" t="e">
        <v>#REF!</v>
      </c>
      <c r="T45" s="498" t="e">
        <v>#REF!</v>
      </c>
      <c r="U45" s="498" t="e">
        <v>#REF!</v>
      </c>
      <c r="V45" s="818" t="e">
        <v>#REF!</v>
      </c>
      <c r="W45" s="434"/>
      <c r="X45" s="434"/>
      <c r="Y45" s="434"/>
      <c r="AM45" s="275">
        <v>0.61458333333333337</v>
      </c>
      <c r="AO45" s="497" t="s">
        <v>207</v>
      </c>
    </row>
    <row r="46" spans="1:41" ht="15" customHeight="1" thickBot="1" x14ac:dyDescent="0.4">
      <c r="A46" s="822"/>
      <c r="B46" s="824"/>
      <c r="C46" s="90" t="s">
        <v>42</v>
      </c>
      <c r="D46" s="168">
        <v>11200</v>
      </c>
      <c r="E46" s="168" t="s">
        <v>211</v>
      </c>
      <c r="F46" s="168">
        <v>666975</v>
      </c>
      <c r="G46" s="168" t="s">
        <v>211</v>
      </c>
      <c r="H46" s="825"/>
      <c r="I46" s="168" t="s">
        <v>211</v>
      </c>
      <c r="J46" s="820" t="s">
        <v>211</v>
      </c>
      <c r="K46" s="168" t="s">
        <v>211</v>
      </c>
      <c r="L46" s="820" t="s">
        <v>211</v>
      </c>
      <c r="M46" s="817"/>
      <c r="N46" s="817"/>
      <c r="O46" s="435" t="s">
        <v>211</v>
      </c>
      <c r="P46" s="817"/>
      <c r="Q46" s="817"/>
      <c r="R46" s="817"/>
      <c r="S46" s="92" t="e">
        <v>#REF!</v>
      </c>
      <c r="T46" s="413" t="s">
        <v>211</v>
      </c>
      <c r="U46" s="413" t="s">
        <v>211</v>
      </c>
      <c r="V46" s="818"/>
      <c r="W46" s="434"/>
      <c r="X46" s="434"/>
      <c r="Y46" s="434"/>
      <c r="AM46" s="275">
        <v>0.61736111111111114</v>
      </c>
      <c r="AO46" s="497"/>
    </row>
    <row r="47" spans="1:41" ht="15" customHeight="1" thickBot="1" x14ac:dyDescent="0.4">
      <c r="A47" s="821" t="s">
        <v>499</v>
      </c>
      <c r="B47" s="823" t="s">
        <v>180</v>
      </c>
      <c r="C47" s="167" t="s">
        <v>211</v>
      </c>
      <c r="D47" s="167" t="s">
        <v>211</v>
      </c>
      <c r="E47" s="167">
        <v>81.900000000000006</v>
      </c>
      <c r="F47" s="167">
        <v>991125</v>
      </c>
      <c r="G47" s="167">
        <v>81605</v>
      </c>
      <c r="H47" s="819" t="s">
        <v>55</v>
      </c>
      <c r="I47" s="167">
        <v>19.510000000000002</v>
      </c>
      <c r="J47" s="819">
        <v>11500</v>
      </c>
      <c r="K47" s="167">
        <v>15.35</v>
      </c>
      <c r="L47" s="819">
        <v>2312775</v>
      </c>
      <c r="M47" s="816">
        <v>11298.9</v>
      </c>
      <c r="N47" s="816">
        <v>11300</v>
      </c>
      <c r="O47" s="435">
        <v>-15.499999999999989</v>
      </c>
      <c r="P47" s="816">
        <v>11326</v>
      </c>
      <c r="Q47" s="816">
        <v>11328</v>
      </c>
      <c r="R47" s="816">
        <v>11255</v>
      </c>
      <c r="S47" s="818" t="e">
        <v>#REF!</v>
      </c>
      <c r="T47" s="498" t="e">
        <v>#REF!</v>
      </c>
      <c r="U47" s="414" t="e">
        <v>#REF!</v>
      </c>
      <c r="V47" s="818" t="e">
        <v>#REF!</v>
      </c>
      <c r="W47" s="434"/>
      <c r="X47" s="434"/>
      <c r="Y47" s="434"/>
      <c r="AM47" s="275">
        <v>0.625</v>
      </c>
      <c r="AO47" s="497" t="s">
        <v>207</v>
      </c>
    </row>
    <row r="48" spans="1:41" ht="15" customHeight="1" thickBot="1" x14ac:dyDescent="0.4">
      <c r="A48" s="822"/>
      <c r="B48" s="824"/>
      <c r="C48" s="90" t="s">
        <v>42</v>
      </c>
      <c r="D48" s="168">
        <v>11200</v>
      </c>
      <c r="E48" s="168" t="s">
        <v>211</v>
      </c>
      <c r="F48" s="168">
        <v>666975</v>
      </c>
      <c r="G48" s="168" t="s">
        <v>211</v>
      </c>
      <c r="H48" s="825"/>
      <c r="I48" s="168" t="s">
        <v>211</v>
      </c>
      <c r="J48" s="820" t="s">
        <v>211</v>
      </c>
      <c r="K48" s="168" t="s">
        <v>211</v>
      </c>
      <c r="L48" s="820" t="s">
        <v>211</v>
      </c>
      <c r="M48" s="817"/>
      <c r="N48" s="817"/>
      <c r="O48" s="435" t="s">
        <v>211</v>
      </c>
      <c r="P48" s="817"/>
      <c r="Q48" s="817"/>
      <c r="R48" s="817"/>
      <c r="S48" s="818" t="e">
        <v>#REF!</v>
      </c>
      <c r="T48" s="413" t="s">
        <v>211</v>
      </c>
      <c r="U48" s="499" t="s">
        <v>211</v>
      </c>
      <c r="V48" s="818"/>
      <c r="W48" s="434"/>
      <c r="X48" s="434"/>
      <c r="Y48" s="434"/>
      <c r="AM48" s="275">
        <v>0.62777777777777777</v>
      </c>
      <c r="AO48" s="497"/>
    </row>
    <row r="49" spans="1:41" ht="15" customHeight="1" thickBot="1" x14ac:dyDescent="0.4">
      <c r="A49" s="821" t="s">
        <v>499</v>
      </c>
      <c r="B49" s="823" t="s">
        <v>180</v>
      </c>
      <c r="C49" s="167" t="s">
        <v>211</v>
      </c>
      <c r="D49" s="167" t="s">
        <v>211</v>
      </c>
      <c r="E49" s="167">
        <v>81.900000000000006</v>
      </c>
      <c r="F49" s="167">
        <v>991125</v>
      </c>
      <c r="G49" s="167">
        <v>81605</v>
      </c>
      <c r="H49" s="819" t="s">
        <v>55</v>
      </c>
      <c r="I49" s="167">
        <v>19.510000000000002</v>
      </c>
      <c r="J49" s="819">
        <v>11500</v>
      </c>
      <c r="K49" s="167">
        <v>15.35</v>
      </c>
      <c r="L49" s="819">
        <v>2312775</v>
      </c>
      <c r="M49" s="816">
        <v>11298.9</v>
      </c>
      <c r="N49" s="816">
        <v>11300</v>
      </c>
      <c r="O49" s="435">
        <v>-15.499999999999989</v>
      </c>
      <c r="P49" s="816">
        <v>11326</v>
      </c>
      <c r="Q49" s="816">
        <v>11328</v>
      </c>
      <c r="R49" s="816">
        <v>11255</v>
      </c>
      <c r="S49" s="88" t="e">
        <v>#REF!</v>
      </c>
      <c r="T49" s="498" t="e">
        <v>#REF!</v>
      </c>
      <c r="U49" s="498" t="e">
        <v>#REF!</v>
      </c>
      <c r="V49" s="818" t="e">
        <v>#REF!</v>
      </c>
      <c r="W49" s="434"/>
      <c r="X49" s="434"/>
      <c r="Y49" s="434"/>
      <c r="AM49" s="275">
        <v>0.63541666666666663</v>
      </c>
      <c r="AO49" s="497" t="s">
        <v>207</v>
      </c>
    </row>
    <row r="50" spans="1:41" ht="15" customHeight="1" thickBot="1" x14ac:dyDescent="0.4">
      <c r="A50" s="822"/>
      <c r="B50" s="824"/>
      <c r="C50" s="90" t="s">
        <v>42</v>
      </c>
      <c r="D50" s="168">
        <v>11200</v>
      </c>
      <c r="E50" s="168" t="s">
        <v>211</v>
      </c>
      <c r="F50" s="168">
        <v>666975</v>
      </c>
      <c r="G50" s="168" t="s">
        <v>211</v>
      </c>
      <c r="H50" s="825"/>
      <c r="I50" s="168" t="s">
        <v>211</v>
      </c>
      <c r="J50" s="820" t="s">
        <v>211</v>
      </c>
      <c r="K50" s="168" t="s">
        <v>211</v>
      </c>
      <c r="L50" s="820" t="s">
        <v>211</v>
      </c>
      <c r="M50" s="817"/>
      <c r="N50" s="817"/>
      <c r="O50" s="435" t="s">
        <v>211</v>
      </c>
      <c r="P50" s="817"/>
      <c r="Q50" s="817"/>
      <c r="R50" s="817"/>
      <c r="S50" s="92" t="e">
        <v>#REF!</v>
      </c>
      <c r="T50" s="413" t="s">
        <v>211</v>
      </c>
      <c r="U50" s="413" t="s">
        <v>211</v>
      </c>
      <c r="V50" s="818"/>
      <c r="W50" s="434"/>
      <c r="X50" s="434"/>
      <c r="Y50" s="434"/>
      <c r="AM50" s="275">
        <v>0.6381944444444444</v>
      </c>
      <c r="AO50" s="497"/>
    </row>
    <row r="51" spans="1:41" ht="15" customHeight="1" thickBot="1" x14ac:dyDescent="0.4">
      <c r="A51" s="821" t="s">
        <v>499</v>
      </c>
      <c r="B51" s="823" t="s">
        <v>180</v>
      </c>
      <c r="C51" s="167" t="s">
        <v>211</v>
      </c>
      <c r="D51" s="167" t="s">
        <v>211</v>
      </c>
      <c r="E51" s="167">
        <v>81.900000000000006</v>
      </c>
      <c r="F51" s="167">
        <v>991125</v>
      </c>
      <c r="G51" s="167">
        <v>81605</v>
      </c>
      <c r="H51" s="819" t="s">
        <v>55</v>
      </c>
      <c r="I51" s="167">
        <v>19.510000000000002</v>
      </c>
      <c r="J51" s="819">
        <v>11500</v>
      </c>
      <c r="K51" s="167">
        <v>15.35</v>
      </c>
      <c r="L51" s="819">
        <v>2312775</v>
      </c>
      <c r="M51" s="816">
        <v>11298.9</v>
      </c>
      <c r="N51" s="816">
        <v>11300</v>
      </c>
      <c r="O51" s="435">
        <v>-15.499999999999989</v>
      </c>
      <c r="P51" s="816">
        <v>11326</v>
      </c>
      <c r="Q51" s="816">
        <v>11328</v>
      </c>
      <c r="R51" s="816">
        <v>11255</v>
      </c>
      <c r="S51" s="88" t="e">
        <v>#REF!</v>
      </c>
      <c r="T51" s="498" t="e">
        <v>#REF!</v>
      </c>
      <c r="U51" s="498" t="e">
        <v>#REF!</v>
      </c>
      <c r="V51" s="818" t="e">
        <v>#REF!</v>
      </c>
      <c r="W51" s="434"/>
      <c r="X51" s="434"/>
      <c r="Y51" s="434"/>
      <c r="AM51" s="275">
        <v>0.64583333333333337</v>
      </c>
      <c r="AO51" s="497" t="s">
        <v>207</v>
      </c>
    </row>
    <row r="52" spans="1:41" ht="15" customHeight="1" thickBot="1" x14ac:dyDescent="0.4">
      <c r="A52" s="822"/>
      <c r="B52" s="824"/>
      <c r="C52" s="90" t="s">
        <v>42</v>
      </c>
      <c r="D52" s="168">
        <v>11200</v>
      </c>
      <c r="E52" s="168" t="s">
        <v>211</v>
      </c>
      <c r="F52" s="168">
        <v>666975</v>
      </c>
      <c r="G52" s="168" t="s">
        <v>211</v>
      </c>
      <c r="H52" s="825"/>
      <c r="I52" s="168" t="s">
        <v>211</v>
      </c>
      <c r="J52" s="820" t="s">
        <v>211</v>
      </c>
      <c r="K52" s="168" t="s">
        <v>211</v>
      </c>
      <c r="L52" s="820" t="s">
        <v>211</v>
      </c>
      <c r="M52" s="817"/>
      <c r="N52" s="817"/>
      <c r="O52" s="435" t="s">
        <v>211</v>
      </c>
      <c r="P52" s="817"/>
      <c r="Q52" s="817"/>
      <c r="R52" s="817"/>
      <c r="S52" s="92" t="e">
        <v>#REF!</v>
      </c>
      <c r="T52" s="415" t="s">
        <v>211</v>
      </c>
      <c r="U52" s="415" t="s">
        <v>211</v>
      </c>
      <c r="V52" s="818"/>
      <c r="W52" s="434"/>
      <c r="X52" s="434"/>
      <c r="Y52" s="434"/>
      <c r="AM52" s="275">
        <v>0.64861111111111114</v>
      </c>
      <c r="AO52" s="497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50D2-5F63-4F50-892E-31A0475481FF}">
  <sheetPr codeName="Sheet29"/>
  <dimension ref="A1:AS52"/>
  <sheetViews>
    <sheetView workbookViewId="0">
      <selection activeCell="I10" sqref="I10"/>
    </sheetView>
  </sheetViews>
  <sheetFormatPr defaultColWidth="9.1796875" defaultRowHeight="14.5" x14ac:dyDescent="0.35"/>
  <cols>
    <col min="1" max="1" width="9.1796875" style="487"/>
    <col min="2" max="2" width="9.1796875" style="274"/>
    <col min="3" max="3" width="5.453125" style="487" customWidth="1"/>
    <col min="4" max="4" width="8.453125" style="487" customWidth="1"/>
    <col min="5" max="5" width="8.7265625" style="487" customWidth="1"/>
    <col min="6" max="6" width="12.7265625" style="486" customWidth="1"/>
    <col min="7" max="7" width="13" style="486" customWidth="1"/>
    <col min="8" max="9" width="6.453125" style="487" customWidth="1"/>
    <col min="10" max="10" width="10.08984375" style="487" customWidth="1"/>
    <col min="11" max="11" width="8" style="487" customWidth="1"/>
    <col min="12" max="12" width="13.54296875" style="486" customWidth="1"/>
    <col min="13" max="13" width="8.26953125" style="487" customWidth="1"/>
    <col min="14" max="14" width="9.453125" style="487" hidden="1" customWidth="1"/>
    <col min="15" max="15" width="12.453125" style="487" bestFit="1" customWidth="1"/>
    <col min="16" max="18" width="9.1796875" style="487"/>
    <col min="19" max="19" width="5.453125" style="487" hidden="1" customWidth="1"/>
    <col min="20" max="20" width="6.81640625" style="487" hidden="1" customWidth="1"/>
    <col min="21" max="22" width="0" style="487" hidden="1" customWidth="1"/>
    <col min="23" max="25" width="9.1796875" style="487"/>
    <col min="26" max="26" width="9.453125" style="487" customWidth="1"/>
    <col min="27" max="38" width="9.1796875" style="487"/>
    <col min="39" max="40" width="7.90625" style="487" bestFit="1" customWidth="1"/>
    <col min="41" max="41" width="9.6328125" style="487" bestFit="1" customWidth="1"/>
    <col min="42" max="44" width="9.1796875" style="487"/>
    <col min="45" max="45" width="0" style="487" hidden="1" customWidth="1"/>
    <col min="46" max="16384" width="9.1796875" style="487"/>
  </cols>
  <sheetData>
    <row r="1" spans="1:45" ht="14.5" customHeight="1" thickBot="1" x14ac:dyDescent="0.4">
      <c r="A1" s="80"/>
      <c r="B1" s="273"/>
      <c r="C1" s="647" t="s">
        <v>35</v>
      </c>
      <c r="D1" s="811"/>
      <c r="E1" s="811"/>
      <c r="F1" s="811"/>
      <c r="G1" s="811"/>
      <c r="H1" s="491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">
        <v>485</v>
      </c>
      <c r="R1" s="814"/>
      <c r="S1" s="810" t="s">
        <v>87</v>
      </c>
      <c r="T1" s="811"/>
      <c r="U1" s="811"/>
      <c r="V1" s="815"/>
      <c r="W1" s="432"/>
      <c r="X1" s="432"/>
      <c r="Y1" s="432"/>
      <c r="Z1" s="488"/>
      <c r="AA1" s="488"/>
      <c r="AB1" s="488"/>
      <c r="AC1" s="488"/>
      <c r="AD1" s="488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490" t="s">
        <v>54</v>
      </c>
      <c r="D2" s="489" t="s">
        <v>14</v>
      </c>
      <c r="E2" s="489" t="s">
        <v>6</v>
      </c>
      <c r="F2" s="166" t="s">
        <v>35</v>
      </c>
      <c r="G2" s="166" t="s">
        <v>37</v>
      </c>
      <c r="H2" s="491" t="s">
        <v>43</v>
      </c>
      <c r="I2" s="81" t="s">
        <v>88</v>
      </c>
      <c r="J2" s="490" t="s">
        <v>14</v>
      </c>
      <c r="K2" s="489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88"/>
      <c r="AA2" s="488"/>
      <c r="AB2" s="271" t="s">
        <v>97</v>
      </c>
      <c r="AC2" s="272" t="s">
        <v>98</v>
      </c>
      <c r="AD2" s="488"/>
      <c r="AS2" s="488" t="s">
        <v>99</v>
      </c>
    </row>
    <row r="3" spans="1:45" ht="14.5" customHeight="1" thickBot="1" x14ac:dyDescent="0.4">
      <c r="A3" s="821" t="s">
        <v>211</v>
      </c>
      <c r="B3" s="823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9" t="s">
        <v>211</v>
      </c>
      <c r="I3" s="167" t="s">
        <v>211</v>
      </c>
      <c r="J3" s="819" t="s">
        <v>211</v>
      </c>
      <c r="K3" s="167" t="s">
        <v>211</v>
      </c>
      <c r="L3" s="819" t="s">
        <v>211</v>
      </c>
      <c r="M3" s="816" t="s">
        <v>211</v>
      </c>
      <c r="N3" s="816" t="s">
        <v>211</v>
      </c>
      <c r="O3" s="435" t="s">
        <v>211</v>
      </c>
      <c r="P3" s="816" t="s">
        <v>211</v>
      </c>
      <c r="Q3" s="816" t="s">
        <v>211</v>
      </c>
      <c r="R3" s="816" t="s">
        <v>211</v>
      </c>
      <c r="S3" s="88" t="s">
        <v>211</v>
      </c>
      <c r="T3" s="492" t="s">
        <v>211</v>
      </c>
      <c r="U3" s="492" t="s">
        <v>211</v>
      </c>
      <c r="V3" s="818" t="s">
        <v>211</v>
      </c>
      <c r="W3" s="434"/>
      <c r="X3" s="434"/>
      <c r="Y3" s="434"/>
      <c r="Z3" s="488"/>
      <c r="AA3" s="488"/>
      <c r="AB3" s="488"/>
      <c r="AC3" s="488"/>
      <c r="AD3" s="488"/>
      <c r="AL3" s="488" t="s">
        <v>171</v>
      </c>
      <c r="AM3" s="275">
        <v>0.39583333333333331</v>
      </c>
      <c r="AN3" s="89">
        <v>43592.649953472224</v>
      </c>
      <c r="AO3" s="488" t="s">
        <v>207</v>
      </c>
      <c r="AS3" s="488" t="s">
        <v>98</v>
      </c>
    </row>
    <row r="4" spans="1:45" ht="14.5" customHeight="1" thickBot="1" x14ac:dyDescent="0.4">
      <c r="A4" s="822"/>
      <c r="B4" s="824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20"/>
      <c r="I4" s="168" t="s">
        <v>211</v>
      </c>
      <c r="J4" s="820" t="s">
        <v>211</v>
      </c>
      <c r="K4" s="168" t="s">
        <v>211</v>
      </c>
      <c r="L4" s="820" t="s">
        <v>211</v>
      </c>
      <c r="M4" s="817"/>
      <c r="N4" s="817"/>
      <c r="O4" s="435" t="s">
        <v>211</v>
      </c>
      <c r="P4" s="817"/>
      <c r="Q4" s="817"/>
      <c r="R4" s="817"/>
      <c r="S4" s="92" t="s">
        <v>211</v>
      </c>
      <c r="T4" s="492" t="s">
        <v>211</v>
      </c>
      <c r="U4" s="492" t="s">
        <v>211</v>
      </c>
      <c r="V4" s="818"/>
      <c r="W4" s="434"/>
      <c r="X4" s="434"/>
      <c r="Y4" s="434"/>
      <c r="Z4" s="488"/>
      <c r="AA4" s="488"/>
      <c r="AB4" s="488"/>
      <c r="AC4" s="488"/>
      <c r="AD4" s="488"/>
      <c r="AL4" s="488" t="s">
        <v>172</v>
      </c>
      <c r="AM4" s="275">
        <v>0.39861111111111108</v>
      </c>
      <c r="AN4" s="488"/>
      <c r="AO4" s="488"/>
    </row>
    <row r="5" spans="1:45" ht="14.5" customHeight="1" thickBot="1" x14ac:dyDescent="0.4">
      <c r="A5" s="821" t="s">
        <v>354</v>
      </c>
      <c r="B5" s="823" t="s">
        <v>180</v>
      </c>
      <c r="C5" s="167" t="s">
        <v>211</v>
      </c>
      <c r="D5" s="167" t="s">
        <v>211</v>
      </c>
      <c r="E5" s="167">
        <v>0</v>
      </c>
      <c r="F5" s="167">
        <v>0</v>
      </c>
      <c r="G5" s="167">
        <v>180627</v>
      </c>
      <c r="H5" s="819" t="s">
        <v>55</v>
      </c>
      <c r="I5" s="167">
        <v>0</v>
      </c>
      <c r="J5" s="819">
        <v>0</v>
      </c>
      <c r="K5" s="167">
        <v>0</v>
      </c>
      <c r="L5" s="819" t="e">
        <v>#NUM!</v>
      </c>
      <c r="M5" s="816">
        <v>11598.25</v>
      </c>
      <c r="N5" s="816">
        <v>11600</v>
      </c>
      <c r="O5" s="435" t="e">
        <v>#NUM!</v>
      </c>
      <c r="P5" s="816">
        <v>11652.1</v>
      </c>
      <c r="Q5" s="816">
        <v>11695</v>
      </c>
      <c r="R5" s="816">
        <v>11626.85</v>
      </c>
      <c r="S5" s="88" t="e">
        <v>#REF!</v>
      </c>
      <c r="T5" s="492" t="e">
        <v>#REF!</v>
      </c>
      <c r="U5" s="492" t="e">
        <v>#REF!</v>
      </c>
      <c r="V5" s="818" t="e">
        <v>#REF!</v>
      </c>
      <c r="W5" s="434"/>
      <c r="X5" s="434"/>
      <c r="Y5" s="434"/>
      <c r="Z5" s="488"/>
      <c r="AA5" s="488"/>
      <c r="AB5" s="488"/>
      <c r="AC5" s="488"/>
      <c r="AD5" s="488"/>
      <c r="AM5" s="275">
        <v>0.40625</v>
      </c>
      <c r="AN5" s="488"/>
      <c r="AO5" s="488" t="s">
        <v>207</v>
      </c>
    </row>
    <row r="6" spans="1:45" ht="14.5" customHeight="1" thickBot="1" x14ac:dyDescent="0.4">
      <c r="A6" s="822"/>
      <c r="B6" s="824"/>
      <c r="C6" s="90" t="s">
        <v>42</v>
      </c>
      <c r="D6" s="168">
        <v>719200</v>
      </c>
      <c r="E6" s="168" t="s">
        <v>211</v>
      </c>
      <c r="F6" s="168">
        <v>0</v>
      </c>
      <c r="G6" s="168">
        <v>226557</v>
      </c>
      <c r="H6" s="825"/>
      <c r="I6" s="168" t="s">
        <v>211</v>
      </c>
      <c r="J6" s="820" t="s">
        <v>211</v>
      </c>
      <c r="K6" s="168" t="s">
        <v>211</v>
      </c>
      <c r="L6" s="820" t="s">
        <v>211</v>
      </c>
      <c r="M6" s="817"/>
      <c r="N6" s="817"/>
      <c r="O6" s="435" t="s">
        <v>211</v>
      </c>
      <c r="P6" s="817"/>
      <c r="Q6" s="817"/>
      <c r="R6" s="817"/>
      <c r="S6" s="92" t="e">
        <v>#REF!</v>
      </c>
      <c r="T6" s="492" t="s">
        <v>211</v>
      </c>
      <c r="U6" s="492" t="s">
        <v>211</v>
      </c>
      <c r="V6" s="818"/>
      <c r="W6" s="434"/>
      <c r="X6" s="434"/>
      <c r="Y6" s="434"/>
      <c r="Z6" s="488"/>
      <c r="AA6" s="488"/>
      <c r="AB6" s="488"/>
      <c r="AC6" s="488"/>
      <c r="AD6" s="488"/>
      <c r="AM6" s="275">
        <v>0.40902777777777777</v>
      </c>
      <c r="AN6" s="488"/>
      <c r="AO6" s="488"/>
    </row>
    <row r="7" spans="1:45" ht="14.5" customHeight="1" thickBot="1" x14ac:dyDescent="0.4">
      <c r="A7" s="821" t="s">
        <v>486</v>
      </c>
      <c r="B7" s="823" t="s">
        <v>180</v>
      </c>
      <c r="C7" s="167" t="s">
        <v>211</v>
      </c>
      <c r="D7" s="167" t="s">
        <v>211</v>
      </c>
      <c r="E7" s="167">
        <v>29.75</v>
      </c>
      <c r="F7" s="167">
        <v>406725</v>
      </c>
      <c r="G7" s="167">
        <v>180627</v>
      </c>
      <c r="H7" s="819" t="s">
        <v>55</v>
      </c>
      <c r="I7" s="167">
        <v>17.690000000000001</v>
      </c>
      <c r="J7" s="819">
        <v>11700</v>
      </c>
      <c r="K7" s="167">
        <v>29.75</v>
      </c>
      <c r="L7" s="819">
        <v>3027450</v>
      </c>
      <c r="M7" s="816">
        <v>11615.95</v>
      </c>
      <c r="N7" s="816">
        <v>11650</v>
      </c>
      <c r="O7" s="435">
        <v>-11.708333333333325</v>
      </c>
      <c r="P7" s="816">
        <v>11666.85</v>
      </c>
      <c r="Q7" s="816">
        <v>11688.55</v>
      </c>
      <c r="R7" s="816">
        <v>11655.25</v>
      </c>
      <c r="S7" s="88" t="e">
        <v>#REF!</v>
      </c>
      <c r="T7" s="492" t="e">
        <v>#REF!</v>
      </c>
      <c r="U7" s="492" t="e">
        <v>#REF!</v>
      </c>
      <c r="V7" s="818" t="e">
        <v>#REF!</v>
      </c>
      <c r="W7" s="434"/>
      <c r="X7" s="434"/>
      <c r="Y7" s="434"/>
      <c r="Z7" s="488"/>
      <c r="AA7" s="488"/>
      <c r="AB7" s="488"/>
      <c r="AC7" s="488"/>
      <c r="AD7" s="488"/>
      <c r="AM7" s="275">
        <v>0.41666666666666669</v>
      </c>
      <c r="AN7" s="488"/>
      <c r="AO7" s="488" t="s">
        <v>207</v>
      </c>
    </row>
    <row r="8" spans="1:45" ht="14.5" customHeight="1" thickBot="1" x14ac:dyDescent="0.4">
      <c r="A8" s="822"/>
      <c r="B8" s="824"/>
      <c r="C8" s="90" t="s">
        <v>42</v>
      </c>
      <c r="D8" s="168">
        <v>11600</v>
      </c>
      <c r="E8" s="168" t="s">
        <v>211</v>
      </c>
      <c r="F8" s="168">
        <v>565875</v>
      </c>
      <c r="G8" s="168">
        <v>226557</v>
      </c>
      <c r="H8" s="825"/>
      <c r="I8" s="168" t="s">
        <v>211</v>
      </c>
      <c r="J8" s="820" t="s">
        <v>211</v>
      </c>
      <c r="K8" s="168" t="s">
        <v>211</v>
      </c>
      <c r="L8" s="820" t="s">
        <v>211</v>
      </c>
      <c r="M8" s="817"/>
      <c r="N8" s="817"/>
      <c r="O8" s="435" t="s">
        <v>211</v>
      </c>
      <c r="P8" s="817"/>
      <c r="Q8" s="817"/>
      <c r="R8" s="817"/>
      <c r="S8" s="92" t="e">
        <v>#REF!</v>
      </c>
      <c r="T8" s="492" t="s">
        <v>211</v>
      </c>
      <c r="U8" s="492" t="s">
        <v>211</v>
      </c>
      <c r="V8" s="818"/>
      <c r="W8" s="434"/>
      <c r="X8" s="434"/>
      <c r="Y8" s="434"/>
      <c r="Z8" s="488"/>
      <c r="AA8" s="488"/>
      <c r="AB8" s="488"/>
      <c r="AC8" s="488"/>
      <c r="AD8" s="488"/>
      <c r="AM8" s="275">
        <v>0.41944444444444445</v>
      </c>
      <c r="AN8" s="488"/>
      <c r="AO8" s="488"/>
    </row>
    <row r="9" spans="1:45" ht="14.5" customHeight="1" thickBot="1" x14ac:dyDescent="0.4">
      <c r="A9" s="821" t="s">
        <v>487</v>
      </c>
      <c r="B9" s="823" t="s">
        <v>180</v>
      </c>
      <c r="C9" s="167" t="s">
        <v>211</v>
      </c>
      <c r="D9" s="167" t="s">
        <v>211</v>
      </c>
      <c r="E9" s="167">
        <v>29.2</v>
      </c>
      <c r="F9" s="167">
        <v>380025</v>
      </c>
      <c r="G9" s="167">
        <v>180627</v>
      </c>
      <c r="H9" s="819" t="s">
        <v>55</v>
      </c>
      <c r="I9" s="167">
        <v>17.260000000000002</v>
      </c>
      <c r="J9" s="819">
        <v>11700</v>
      </c>
      <c r="K9" s="167">
        <v>29.2</v>
      </c>
      <c r="L9" s="819">
        <v>3000750</v>
      </c>
      <c r="M9" s="816">
        <v>11615.95</v>
      </c>
      <c r="N9" s="816">
        <v>11650</v>
      </c>
      <c r="O9" s="435">
        <v>-12.525000000000002</v>
      </c>
      <c r="P9" s="816">
        <v>11664.45</v>
      </c>
      <c r="Q9" s="816">
        <v>11688.55</v>
      </c>
      <c r="R9" s="816">
        <v>11655.25</v>
      </c>
      <c r="S9" s="88" t="e">
        <v>#REF!</v>
      </c>
      <c r="T9" s="492" t="e">
        <v>#REF!</v>
      </c>
      <c r="U9" s="492" t="e">
        <v>#REF!</v>
      </c>
      <c r="V9" s="818" t="e">
        <v>#REF!</v>
      </c>
      <c r="W9" s="434"/>
      <c r="X9" s="434"/>
      <c r="Y9" s="434"/>
      <c r="Z9" s="488"/>
      <c r="AA9" s="488"/>
      <c r="AB9" s="718" t="s">
        <v>165</v>
      </c>
      <c r="AC9" s="719"/>
      <c r="AD9" s="719"/>
      <c r="AM9" s="275">
        <v>0.42708333333333331</v>
      </c>
      <c r="AN9" s="488"/>
      <c r="AO9" s="488" t="s">
        <v>207</v>
      </c>
    </row>
    <row r="10" spans="1:45" ht="14.5" customHeight="1" thickBot="1" x14ac:dyDescent="0.4">
      <c r="A10" s="822"/>
      <c r="B10" s="824"/>
      <c r="C10" s="90" t="s">
        <v>42</v>
      </c>
      <c r="D10" s="168">
        <v>11600</v>
      </c>
      <c r="E10" s="168" t="s">
        <v>211</v>
      </c>
      <c r="F10" s="168">
        <v>588600</v>
      </c>
      <c r="G10" s="168">
        <v>226557</v>
      </c>
      <c r="H10" s="825"/>
      <c r="I10" s="168" t="s">
        <v>211</v>
      </c>
      <c r="J10" s="820" t="s">
        <v>211</v>
      </c>
      <c r="K10" s="168" t="s">
        <v>211</v>
      </c>
      <c r="L10" s="820" t="s">
        <v>211</v>
      </c>
      <c r="M10" s="817"/>
      <c r="N10" s="817"/>
      <c r="O10" s="435" t="s">
        <v>211</v>
      </c>
      <c r="P10" s="817"/>
      <c r="Q10" s="817"/>
      <c r="R10" s="817"/>
      <c r="S10" s="92" t="e">
        <v>#REF!</v>
      </c>
      <c r="T10" s="492" t="s">
        <v>211</v>
      </c>
      <c r="U10" s="492" t="s">
        <v>211</v>
      </c>
      <c r="V10" s="818"/>
      <c r="W10" s="434"/>
      <c r="X10" s="434"/>
      <c r="Y10" s="434"/>
      <c r="Z10" s="488"/>
      <c r="AA10" s="488"/>
      <c r="AB10" s="718" t="s">
        <v>365</v>
      </c>
      <c r="AC10" s="719"/>
      <c r="AD10" s="719"/>
      <c r="AM10" s="275">
        <v>0.42986111111111108</v>
      </c>
      <c r="AN10" s="488"/>
      <c r="AO10" s="488"/>
    </row>
    <row r="11" spans="1:45" ht="14.5" customHeight="1" thickBot="1" x14ac:dyDescent="0.4">
      <c r="A11" s="821" t="s">
        <v>488</v>
      </c>
      <c r="B11" s="823" t="s">
        <v>180</v>
      </c>
      <c r="C11" s="167" t="s">
        <v>211</v>
      </c>
      <c r="D11" s="167" t="s">
        <v>211</v>
      </c>
      <c r="E11" s="167">
        <v>46.65</v>
      </c>
      <c r="F11" s="167">
        <v>455175</v>
      </c>
      <c r="G11" s="167">
        <v>180627</v>
      </c>
      <c r="H11" s="819" t="s">
        <v>61</v>
      </c>
      <c r="I11" s="167">
        <v>17.38</v>
      </c>
      <c r="J11" s="819">
        <v>11700</v>
      </c>
      <c r="K11" s="167">
        <v>29.3</v>
      </c>
      <c r="L11" s="819">
        <v>3021525</v>
      </c>
      <c r="M11" s="816">
        <v>11614.05</v>
      </c>
      <c r="N11" s="816">
        <v>11650</v>
      </c>
      <c r="O11" s="435">
        <v>-13.258333333333322</v>
      </c>
      <c r="P11" s="816">
        <v>11660.65</v>
      </c>
      <c r="Q11" s="816">
        <v>11688.55</v>
      </c>
      <c r="R11" s="816">
        <v>11655.25</v>
      </c>
      <c r="S11" s="88" t="e">
        <v>#REF!</v>
      </c>
      <c r="T11" s="492" t="e">
        <v>#REF!</v>
      </c>
      <c r="U11" s="492" t="e">
        <v>#REF!</v>
      </c>
      <c r="V11" s="818" t="e">
        <v>#REF!</v>
      </c>
      <c r="W11" s="434"/>
      <c r="X11" s="434"/>
      <c r="Y11" s="434"/>
      <c r="Z11" s="488"/>
      <c r="AA11" s="488"/>
      <c r="AB11" s="718" t="s">
        <v>366</v>
      </c>
      <c r="AC11" s="718"/>
      <c r="AD11" s="718"/>
      <c r="AM11" s="275">
        <v>0.4375</v>
      </c>
      <c r="AN11" s="488"/>
      <c r="AO11" s="488" t="s">
        <v>207</v>
      </c>
    </row>
    <row r="12" spans="1:45" ht="14.5" customHeight="1" thickBot="1" x14ac:dyDescent="0.4">
      <c r="A12" s="822"/>
      <c r="B12" s="824"/>
      <c r="C12" s="90" t="s">
        <v>42</v>
      </c>
      <c r="D12" s="168">
        <v>11600</v>
      </c>
      <c r="E12" s="168" t="s">
        <v>211</v>
      </c>
      <c r="F12" s="168">
        <v>589275</v>
      </c>
      <c r="G12" s="168">
        <v>76322</v>
      </c>
      <c r="H12" s="825"/>
      <c r="I12" s="168" t="s">
        <v>211</v>
      </c>
      <c r="J12" s="820" t="s">
        <v>211</v>
      </c>
      <c r="K12" s="168" t="s">
        <v>211</v>
      </c>
      <c r="L12" s="820" t="s">
        <v>211</v>
      </c>
      <c r="M12" s="817"/>
      <c r="N12" s="817"/>
      <c r="O12" s="435" t="s">
        <v>211</v>
      </c>
      <c r="P12" s="817"/>
      <c r="Q12" s="817"/>
      <c r="R12" s="817"/>
      <c r="S12" s="92" t="e">
        <v>#REF!</v>
      </c>
      <c r="T12" s="492" t="s">
        <v>211</v>
      </c>
      <c r="U12" s="492" t="s">
        <v>211</v>
      </c>
      <c r="V12" s="818"/>
      <c r="W12" s="434"/>
      <c r="X12" s="434"/>
      <c r="Y12" s="434"/>
      <c r="Z12" s="488"/>
      <c r="AA12" s="488"/>
      <c r="AB12" s="718" t="s">
        <v>167</v>
      </c>
      <c r="AC12" s="718"/>
      <c r="AD12" s="718"/>
      <c r="AM12" s="275">
        <v>0.44027777777777777</v>
      </c>
      <c r="AN12" s="488"/>
      <c r="AO12" s="488"/>
    </row>
    <row r="13" spans="1:45" ht="14.5" customHeight="1" thickBot="1" x14ac:dyDescent="0.4">
      <c r="A13" s="821" t="s">
        <v>454</v>
      </c>
      <c r="B13" s="823" t="s">
        <v>180</v>
      </c>
      <c r="C13" s="167" t="s">
        <v>211</v>
      </c>
      <c r="D13" s="167" t="s">
        <v>211</v>
      </c>
      <c r="E13" s="167">
        <v>45</v>
      </c>
      <c r="F13" s="167">
        <v>506625</v>
      </c>
      <c r="G13" s="167">
        <v>49874</v>
      </c>
      <c r="H13" s="819" t="s">
        <v>61</v>
      </c>
      <c r="I13" s="167">
        <v>17.579999999999998</v>
      </c>
      <c r="J13" s="819">
        <v>11700</v>
      </c>
      <c r="K13" s="167">
        <v>27.65</v>
      </c>
      <c r="L13" s="819">
        <v>3044775</v>
      </c>
      <c r="M13" s="816">
        <v>11608.8</v>
      </c>
      <c r="N13" s="816">
        <v>11650</v>
      </c>
      <c r="O13" s="435">
        <v>-15.024999999999999</v>
      </c>
      <c r="P13" s="816">
        <v>11660.5</v>
      </c>
      <c r="Q13" s="816">
        <v>11688.55</v>
      </c>
      <c r="R13" s="816">
        <v>11652.1</v>
      </c>
      <c r="S13" s="88" t="e">
        <v>#REF!</v>
      </c>
      <c r="T13" s="492" t="e">
        <v>#REF!</v>
      </c>
      <c r="U13" s="492" t="e">
        <v>#REF!</v>
      </c>
      <c r="V13" s="818" t="e">
        <v>#REF!</v>
      </c>
      <c r="W13" s="434"/>
      <c r="X13" s="434"/>
      <c r="Y13" s="434"/>
      <c r="Z13" s="488"/>
      <c r="AA13" s="488"/>
      <c r="AB13" s="718" t="s">
        <v>168</v>
      </c>
      <c r="AC13" s="718"/>
      <c r="AD13" s="718"/>
      <c r="AM13" s="275">
        <v>0.44791666666666669</v>
      </c>
      <c r="AN13" s="488"/>
      <c r="AO13" s="488" t="s">
        <v>207</v>
      </c>
    </row>
    <row r="14" spans="1:45" ht="14.5" customHeight="1" thickBot="1" x14ac:dyDescent="0.4">
      <c r="A14" s="822"/>
      <c r="B14" s="824"/>
      <c r="C14" s="90" t="s">
        <v>42</v>
      </c>
      <c r="D14" s="168">
        <v>11600</v>
      </c>
      <c r="E14" s="168" t="s">
        <v>211</v>
      </c>
      <c r="F14" s="168">
        <v>585000</v>
      </c>
      <c r="G14" s="168" t="s">
        <v>211</v>
      </c>
      <c r="H14" s="825"/>
      <c r="I14" s="168" t="s">
        <v>211</v>
      </c>
      <c r="J14" s="820" t="s">
        <v>211</v>
      </c>
      <c r="K14" s="168" t="s">
        <v>211</v>
      </c>
      <c r="L14" s="820" t="s">
        <v>211</v>
      </c>
      <c r="M14" s="817"/>
      <c r="N14" s="817"/>
      <c r="O14" s="435" t="s">
        <v>211</v>
      </c>
      <c r="P14" s="817"/>
      <c r="Q14" s="817"/>
      <c r="R14" s="817"/>
      <c r="S14" s="92" t="e">
        <v>#REF!</v>
      </c>
      <c r="T14" s="492" t="s">
        <v>211</v>
      </c>
      <c r="U14" s="492" t="s">
        <v>211</v>
      </c>
      <c r="V14" s="818"/>
      <c r="W14" s="434"/>
      <c r="X14" s="434"/>
      <c r="Y14" s="434"/>
      <c r="AM14" s="275">
        <v>0.45069444444444445</v>
      </c>
      <c r="AN14" s="488"/>
      <c r="AO14" s="488"/>
    </row>
    <row r="15" spans="1:45" ht="14.5" customHeight="1" thickBot="1" x14ac:dyDescent="0.4">
      <c r="A15" s="821" t="s">
        <v>489</v>
      </c>
      <c r="B15" s="823" t="s">
        <v>180</v>
      </c>
      <c r="C15" s="167" t="s">
        <v>211</v>
      </c>
      <c r="D15" s="167" t="s">
        <v>211</v>
      </c>
      <c r="E15" s="167">
        <v>42.85</v>
      </c>
      <c r="F15" s="167">
        <v>564825</v>
      </c>
      <c r="G15" s="167">
        <v>57883</v>
      </c>
      <c r="H15" s="819" t="s">
        <v>61</v>
      </c>
      <c r="I15" s="167">
        <v>18.420000000000002</v>
      </c>
      <c r="J15" s="819">
        <v>11700</v>
      </c>
      <c r="K15" s="167">
        <v>27</v>
      </c>
      <c r="L15" s="819">
        <v>3105750</v>
      </c>
      <c r="M15" s="816">
        <v>11598.7</v>
      </c>
      <c r="N15" s="816">
        <v>11650</v>
      </c>
      <c r="O15" s="435">
        <v>-19.191666666666659</v>
      </c>
      <c r="P15" s="816">
        <v>11653.15</v>
      </c>
      <c r="Q15" s="816">
        <v>11688.55</v>
      </c>
      <c r="R15" s="816">
        <v>11637.05</v>
      </c>
      <c r="S15" s="88" t="e">
        <v>#REF!</v>
      </c>
      <c r="T15" s="492" t="e">
        <v>#REF!</v>
      </c>
      <c r="U15" s="492" t="e">
        <v>#REF!</v>
      </c>
      <c r="V15" s="818" t="e">
        <v>#REF!</v>
      </c>
      <c r="W15" s="434"/>
      <c r="X15" s="434"/>
      <c r="Y15" s="434"/>
      <c r="AM15" s="275">
        <v>0.45833333333333331</v>
      </c>
      <c r="AN15" s="488"/>
      <c r="AO15" s="488" t="s">
        <v>207</v>
      </c>
    </row>
    <row r="16" spans="1:45" ht="14.5" customHeight="1" thickBot="1" x14ac:dyDescent="0.4">
      <c r="A16" s="822"/>
      <c r="B16" s="824"/>
      <c r="C16" s="90" t="s">
        <v>42</v>
      </c>
      <c r="D16" s="168">
        <v>11600</v>
      </c>
      <c r="E16" s="168" t="s">
        <v>211</v>
      </c>
      <c r="F16" s="168">
        <v>565275</v>
      </c>
      <c r="G16" s="168" t="s">
        <v>211</v>
      </c>
      <c r="H16" s="825"/>
      <c r="I16" s="168" t="s">
        <v>211</v>
      </c>
      <c r="J16" s="820" t="s">
        <v>211</v>
      </c>
      <c r="K16" s="168" t="s">
        <v>211</v>
      </c>
      <c r="L16" s="820" t="s">
        <v>211</v>
      </c>
      <c r="M16" s="817"/>
      <c r="N16" s="817"/>
      <c r="O16" s="435" t="s">
        <v>211</v>
      </c>
      <c r="P16" s="817"/>
      <c r="Q16" s="817"/>
      <c r="R16" s="817"/>
      <c r="S16" s="92" t="e">
        <v>#REF!</v>
      </c>
      <c r="T16" s="492" t="s">
        <v>211</v>
      </c>
      <c r="U16" s="492" t="s">
        <v>211</v>
      </c>
      <c r="V16" s="818"/>
      <c r="W16" s="434"/>
      <c r="X16" s="434"/>
      <c r="Y16" s="434"/>
      <c r="AM16" s="275">
        <v>0.46111111111111108</v>
      </c>
      <c r="AN16" s="488"/>
      <c r="AO16" s="488"/>
    </row>
    <row r="17" spans="1:41" ht="14.5" customHeight="1" thickBot="1" x14ac:dyDescent="0.4">
      <c r="A17" s="821" t="s">
        <v>490</v>
      </c>
      <c r="B17" s="823" t="s">
        <v>180</v>
      </c>
      <c r="C17" s="167" t="s">
        <v>211</v>
      </c>
      <c r="D17" s="167" t="s">
        <v>211</v>
      </c>
      <c r="E17" s="167">
        <v>42.85</v>
      </c>
      <c r="F17" s="167">
        <v>604425</v>
      </c>
      <c r="G17" s="167">
        <v>61247</v>
      </c>
      <c r="H17" s="819" t="s">
        <v>61</v>
      </c>
      <c r="I17" s="167">
        <v>18.260000000000002</v>
      </c>
      <c r="J17" s="819">
        <v>11700</v>
      </c>
      <c r="K17" s="167">
        <v>26.75</v>
      </c>
      <c r="L17" s="819">
        <v>3091800</v>
      </c>
      <c r="M17" s="816">
        <v>11599.45</v>
      </c>
      <c r="N17" s="816">
        <v>11650</v>
      </c>
      <c r="O17" s="435">
        <v>-18.69166666666667</v>
      </c>
      <c r="P17" s="816">
        <v>11654.5</v>
      </c>
      <c r="Q17" s="816">
        <v>11688.55</v>
      </c>
      <c r="R17" s="816">
        <v>11637.05</v>
      </c>
      <c r="S17" s="88" t="e">
        <v>#REF!</v>
      </c>
      <c r="T17" s="492" t="e">
        <v>#REF!</v>
      </c>
      <c r="U17" s="492" t="e">
        <v>#REF!</v>
      </c>
      <c r="V17" s="818" t="e">
        <v>#REF!</v>
      </c>
      <c r="W17" s="434"/>
      <c r="X17" s="434"/>
      <c r="Y17" s="434"/>
      <c r="AM17" s="275">
        <v>0.46875</v>
      </c>
      <c r="AN17" s="488"/>
      <c r="AO17" s="488" t="s">
        <v>207</v>
      </c>
    </row>
    <row r="18" spans="1:41" ht="14.5" customHeight="1" thickBot="1" x14ac:dyDescent="0.4">
      <c r="A18" s="822"/>
      <c r="B18" s="824"/>
      <c r="C18" s="90" t="s">
        <v>42</v>
      </c>
      <c r="D18" s="168">
        <v>11600</v>
      </c>
      <c r="E18" s="168" t="s">
        <v>211</v>
      </c>
      <c r="F18" s="168">
        <v>618675</v>
      </c>
      <c r="G18" s="168" t="s">
        <v>211</v>
      </c>
      <c r="H18" s="825"/>
      <c r="I18" s="168" t="s">
        <v>211</v>
      </c>
      <c r="J18" s="820" t="s">
        <v>211</v>
      </c>
      <c r="K18" s="168" t="s">
        <v>211</v>
      </c>
      <c r="L18" s="820" t="s">
        <v>211</v>
      </c>
      <c r="M18" s="817"/>
      <c r="N18" s="817"/>
      <c r="O18" s="435" t="s">
        <v>211</v>
      </c>
      <c r="P18" s="817"/>
      <c r="Q18" s="817"/>
      <c r="R18" s="817"/>
      <c r="S18" s="92" t="e">
        <v>#REF!</v>
      </c>
      <c r="T18" s="492" t="s">
        <v>211</v>
      </c>
      <c r="U18" s="492" t="s">
        <v>211</v>
      </c>
      <c r="V18" s="818"/>
      <c r="W18" s="434"/>
      <c r="X18" s="434"/>
      <c r="Y18" s="434"/>
      <c r="AM18" s="275">
        <v>0.47152777777777777</v>
      </c>
      <c r="AN18" s="488"/>
      <c r="AO18" s="488"/>
    </row>
    <row r="19" spans="1:41" ht="14.5" customHeight="1" thickBot="1" x14ac:dyDescent="0.4">
      <c r="A19" s="821" t="s">
        <v>491</v>
      </c>
      <c r="B19" s="823" t="s">
        <v>180</v>
      </c>
      <c r="C19" s="167" t="s">
        <v>211</v>
      </c>
      <c r="D19" s="167" t="s">
        <v>211</v>
      </c>
      <c r="E19" s="167">
        <v>44.1</v>
      </c>
      <c r="F19" s="167">
        <v>630825</v>
      </c>
      <c r="G19" s="167">
        <v>63942</v>
      </c>
      <c r="H19" s="819" t="s">
        <v>61</v>
      </c>
      <c r="I19" s="167">
        <v>17.68</v>
      </c>
      <c r="J19" s="819">
        <v>11700</v>
      </c>
      <c r="K19" s="167">
        <v>27.7</v>
      </c>
      <c r="L19" s="819">
        <v>3122475</v>
      </c>
      <c r="M19" s="816">
        <v>11607.05</v>
      </c>
      <c r="N19" s="816">
        <v>11650</v>
      </c>
      <c r="O19" s="435">
        <v>-15.066666666666663</v>
      </c>
      <c r="P19" s="816">
        <v>11659.8</v>
      </c>
      <c r="Q19" s="816">
        <v>11688.55</v>
      </c>
      <c r="R19" s="816">
        <v>11637.05</v>
      </c>
      <c r="S19" s="88" t="e">
        <v>#REF!</v>
      </c>
      <c r="T19" s="492" t="e">
        <v>#REF!</v>
      </c>
      <c r="U19" s="492" t="e">
        <v>#REF!</v>
      </c>
      <c r="V19" s="818" t="e">
        <v>#REF!</v>
      </c>
      <c r="W19" s="434"/>
      <c r="X19" s="434"/>
      <c r="Y19" s="434"/>
      <c r="AM19" s="275">
        <v>0.47916666666666669</v>
      </c>
      <c r="AN19" s="488"/>
      <c r="AO19" s="488" t="s">
        <v>207</v>
      </c>
    </row>
    <row r="20" spans="1:41" ht="14.5" customHeight="1" thickBot="1" x14ac:dyDescent="0.4">
      <c r="A20" s="822"/>
      <c r="B20" s="824"/>
      <c r="C20" s="90" t="s">
        <v>42</v>
      </c>
      <c r="D20" s="168">
        <v>11600</v>
      </c>
      <c r="E20" s="168" t="s">
        <v>211</v>
      </c>
      <c r="F20" s="168">
        <v>691125</v>
      </c>
      <c r="G20" s="168" t="s">
        <v>211</v>
      </c>
      <c r="H20" s="825"/>
      <c r="I20" s="168" t="s">
        <v>211</v>
      </c>
      <c r="J20" s="820" t="s">
        <v>211</v>
      </c>
      <c r="K20" s="168" t="s">
        <v>211</v>
      </c>
      <c r="L20" s="820" t="s">
        <v>211</v>
      </c>
      <c r="M20" s="817"/>
      <c r="N20" s="817"/>
      <c r="O20" s="435" t="s">
        <v>211</v>
      </c>
      <c r="P20" s="817"/>
      <c r="Q20" s="817"/>
      <c r="R20" s="817"/>
      <c r="S20" s="92" t="e">
        <v>#REF!</v>
      </c>
      <c r="T20" s="492" t="s">
        <v>211</v>
      </c>
      <c r="U20" s="492" t="s">
        <v>211</v>
      </c>
      <c r="V20" s="818"/>
      <c r="W20" s="434"/>
      <c r="X20" s="434"/>
      <c r="Y20" s="434"/>
      <c r="AM20" s="275">
        <v>0.48194444444444445</v>
      </c>
      <c r="AN20" s="488"/>
      <c r="AO20" s="488"/>
    </row>
    <row r="21" spans="1:41" ht="14.5" customHeight="1" thickBot="1" x14ac:dyDescent="0.4">
      <c r="A21" s="821" t="s">
        <v>492</v>
      </c>
      <c r="B21" s="823" t="s">
        <v>180</v>
      </c>
      <c r="C21" s="167" t="s">
        <v>211</v>
      </c>
      <c r="D21" s="167" t="s">
        <v>211</v>
      </c>
      <c r="E21" s="167">
        <v>43.5</v>
      </c>
      <c r="F21" s="167">
        <v>643950</v>
      </c>
      <c r="G21" s="167">
        <v>66172</v>
      </c>
      <c r="H21" s="819" t="s">
        <v>61</v>
      </c>
      <c r="I21" s="167">
        <v>18.14</v>
      </c>
      <c r="J21" s="819">
        <v>11700</v>
      </c>
      <c r="K21" s="167">
        <v>27.05</v>
      </c>
      <c r="L21" s="819">
        <v>3141450</v>
      </c>
      <c r="M21" s="816">
        <v>11602.3</v>
      </c>
      <c r="N21" s="816">
        <v>11650</v>
      </c>
      <c r="O21" s="435">
        <v>-16.216666666666658</v>
      </c>
      <c r="P21" s="816">
        <v>11657</v>
      </c>
      <c r="Q21" s="816">
        <v>11688.55</v>
      </c>
      <c r="R21" s="816">
        <v>11637.05</v>
      </c>
      <c r="S21" s="88" t="e">
        <v>#REF!</v>
      </c>
      <c r="T21" s="492" t="e">
        <v>#REF!</v>
      </c>
      <c r="U21" s="492" t="e">
        <v>#REF!</v>
      </c>
      <c r="V21" s="818" t="e">
        <v>#REF!</v>
      </c>
      <c r="W21" s="434"/>
      <c r="X21" s="434"/>
      <c r="Y21" s="434"/>
      <c r="AM21" s="275">
        <v>0.48958333333333331</v>
      </c>
      <c r="AN21" s="488"/>
      <c r="AO21" s="488" t="s">
        <v>207</v>
      </c>
    </row>
    <row r="22" spans="1:41" ht="14.5" customHeight="1" thickBot="1" x14ac:dyDescent="0.4">
      <c r="A22" s="822"/>
      <c r="B22" s="824"/>
      <c r="C22" s="90" t="s">
        <v>42</v>
      </c>
      <c r="D22" s="168">
        <v>11600</v>
      </c>
      <c r="E22" s="168" t="s">
        <v>211</v>
      </c>
      <c r="F22" s="168">
        <v>723600</v>
      </c>
      <c r="G22" s="168" t="s">
        <v>211</v>
      </c>
      <c r="H22" s="825"/>
      <c r="I22" s="168" t="s">
        <v>211</v>
      </c>
      <c r="J22" s="820" t="s">
        <v>211</v>
      </c>
      <c r="K22" s="168" t="s">
        <v>211</v>
      </c>
      <c r="L22" s="820" t="s">
        <v>211</v>
      </c>
      <c r="M22" s="817"/>
      <c r="N22" s="817"/>
      <c r="O22" s="435" t="s">
        <v>211</v>
      </c>
      <c r="P22" s="817"/>
      <c r="Q22" s="817"/>
      <c r="R22" s="817"/>
      <c r="S22" s="92" t="e">
        <v>#REF!</v>
      </c>
      <c r="T22" s="492" t="s">
        <v>211</v>
      </c>
      <c r="U22" s="492" t="s">
        <v>211</v>
      </c>
      <c r="V22" s="818"/>
      <c r="W22" s="434"/>
      <c r="X22" s="434"/>
      <c r="Y22" s="434"/>
      <c r="AM22" s="275">
        <v>0.49236111111111108</v>
      </c>
      <c r="AN22" s="488"/>
      <c r="AO22" s="488"/>
    </row>
    <row r="23" spans="1:41" ht="14.5" customHeight="1" thickBot="1" x14ac:dyDescent="0.4">
      <c r="A23" s="821" t="s">
        <v>211</v>
      </c>
      <c r="B23" s="823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19" t="s">
        <v>211</v>
      </c>
      <c r="I23" s="167" t="s">
        <v>211</v>
      </c>
      <c r="J23" s="819" t="s">
        <v>211</v>
      </c>
      <c r="K23" s="167" t="s">
        <v>211</v>
      </c>
      <c r="L23" s="819" t="s">
        <v>211</v>
      </c>
      <c r="M23" s="816" t="s">
        <v>211</v>
      </c>
      <c r="N23" s="816" t="s">
        <v>211</v>
      </c>
      <c r="O23" s="435" t="s">
        <v>211</v>
      </c>
      <c r="P23" s="816" t="s">
        <v>211</v>
      </c>
      <c r="Q23" s="816" t="s">
        <v>211</v>
      </c>
      <c r="R23" s="816" t="s">
        <v>211</v>
      </c>
      <c r="S23" s="88" t="s">
        <v>211</v>
      </c>
      <c r="T23" s="492" t="s">
        <v>211</v>
      </c>
      <c r="U23" s="492" t="s">
        <v>211</v>
      </c>
      <c r="V23" s="818" t="s">
        <v>211</v>
      </c>
      <c r="W23" s="434"/>
      <c r="X23" s="434"/>
      <c r="Y23" s="434"/>
      <c r="AM23" s="275">
        <v>0.5</v>
      </c>
      <c r="AN23" s="488"/>
      <c r="AO23" s="488" t="s">
        <v>207</v>
      </c>
    </row>
    <row r="24" spans="1:41" ht="14.5" customHeight="1" thickBot="1" x14ac:dyDescent="0.4">
      <c r="A24" s="822"/>
      <c r="B24" s="824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25"/>
      <c r="I24" s="168" t="s">
        <v>211</v>
      </c>
      <c r="J24" s="820" t="s">
        <v>211</v>
      </c>
      <c r="K24" s="168" t="s">
        <v>211</v>
      </c>
      <c r="L24" s="820" t="s">
        <v>211</v>
      </c>
      <c r="M24" s="817"/>
      <c r="N24" s="817"/>
      <c r="O24" s="435" t="s">
        <v>211</v>
      </c>
      <c r="P24" s="817"/>
      <c r="Q24" s="817"/>
      <c r="R24" s="817"/>
      <c r="S24" s="92" t="s">
        <v>211</v>
      </c>
      <c r="T24" s="492" t="s">
        <v>211</v>
      </c>
      <c r="U24" s="492" t="s">
        <v>211</v>
      </c>
      <c r="V24" s="818"/>
      <c r="W24" s="434"/>
      <c r="X24" s="434"/>
      <c r="Y24" s="434"/>
      <c r="AM24" s="275">
        <v>0.50277777777777777</v>
      </c>
      <c r="AN24" s="488"/>
      <c r="AO24" s="488"/>
    </row>
    <row r="25" spans="1:41" ht="14.5" customHeight="1" thickBot="1" x14ac:dyDescent="0.4">
      <c r="A25" s="821" t="s">
        <v>211</v>
      </c>
      <c r="B25" s="823" t="s">
        <v>211</v>
      </c>
      <c r="C25" s="167" t="s">
        <v>211</v>
      </c>
      <c r="D25" s="167" t="s">
        <v>211</v>
      </c>
      <c r="E25" s="167" t="s">
        <v>211</v>
      </c>
      <c r="F25" s="167" t="s">
        <v>211</v>
      </c>
      <c r="G25" s="167" t="s">
        <v>211</v>
      </c>
      <c r="H25" s="819" t="s">
        <v>211</v>
      </c>
      <c r="I25" s="167" t="s">
        <v>211</v>
      </c>
      <c r="J25" s="819" t="s">
        <v>211</v>
      </c>
      <c r="K25" s="167" t="s">
        <v>211</v>
      </c>
      <c r="L25" s="819" t="s">
        <v>211</v>
      </c>
      <c r="M25" s="816" t="s">
        <v>211</v>
      </c>
      <c r="N25" s="816" t="s">
        <v>211</v>
      </c>
      <c r="O25" s="435" t="s">
        <v>211</v>
      </c>
      <c r="P25" s="816" t="s">
        <v>211</v>
      </c>
      <c r="Q25" s="816" t="s">
        <v>211</v>
      </c>
      <c r="R25" s="816" t="s">
        <v>211</v>
      </c>
      <c r="S25" s="88" t="s">
        <v>211</v>
      </c>
      <c r="T25" s="492" t="s">
        <v>211</v>
      </c>
      <c r="U25" s="492" t="s">
        <v>211</v>
      </c>
      <c r="V25" s="818" t="s">
        <v>211</v>
      </c>
      <c r="W25" s="434"/>
      <c r="X25" s="434"/>
      <c r="Y25" s="434"/>
      <c r="AM25" s="275">
        <v>0.51041666666666663</v>
      </c>
      <c r="AN25" s="488"/>
      <c r="AO25" s="488" t="s">
        <v>207</v>
      </c>
    </row>
    <row r="26" spans="1:41" ht="14.5" customHeight="1" thickBot="1" x14ac:dyDescent="0.4">
      <c r="A26" s="822"/>
      <c r="B26" s="824"/>
      <c r="C26" s="90" t="s">
        <v>211</v>
      </c>
      <c r="D26" s="168" t="s">
        <v>211</v>
      </c>
      <c r="E26" s="168" t="s">
        <v>211</v>
      </c>
      <c r="F26" s="168" t="s">
        <v>211</v>
      </c>
      <c r="G26" s="168" t="s">
        <v>211</v>
      </c>
      <c r="H26" s="825"/>
      <c r="I26" s="168" t="s">
        <v>211</v>
      </c>
      <c r="J26" s="820" t="s">
        <v>211</v>
      </c>
      <c r="K26" s="168" t="s">
        <v>211</v>
      </c>
      <c r="L26" s="820" t="s">
        <v>211</v>
      </c>
      <c r="M26" s="817"/>
      <c r="N26" s="817"/>
      <c r="O26" s="435" t="s">
        <v>211</v>
      </c>
      <c r="P26" s="817"/>
      <c r="Q26" s="817"/>
      <c r="R26" s="817"/>
      <c r="S26" s="92" t="s">
        <v>211</v>
      </c>
      <c r="T26" s="492" t="s">
        <v>211</v>
      </c>
      <c r="U26" s="492" t="s">
        <v>211</v>
      </c>
      <c r="V26" s="818"/>
      <c r="W26" s="434"/>
      <c r="X26" s="434"/>
      <c r="Y26" s="434"/>
      <c r="AM26" s="275">
        <v>0.5131944444444444</v>
      </c>
      <c r="AN26" s="488"/>
      <c r="AO26" s="488"/>
    </row>
    <row r="27" spans="1:41" ht="14.5" customHeight="1" thickBot="1" x14ac:dyDescent="0.4">
      <c r="A27" s="821" t="s">
        <v>211</v>
      </c>
      <c r="B27" s="823" t="s">
        <v>211</v>
      </c>
      <c r="C27" s="167" t="s">
        <v>211</v>
      </c>
      <c r="D27" s="167" t="s">
        <v>211</v>
      </c>
      <c r="E27" s="167" t="s">
        <v>211</v>
      </c>
      <c r="F27" s="167" t="s">
        <v>211</v>
      </c>
      <c r="G27" s="167" t="s">
        <v>211</v>
      </c>
      <c r="H27" s="819" t="s">
        <v>211</v>
      </c>
      <c r="I27" s="167" t="s">
        <v>211</v>
      </c>
      <c r="J27" s="819" t="s">
        <v>211</v>
      </c>
      <c r="K27" s="167" t="s">
        <v>211</v>
      </c>
      <c r="L27" s="819" t="s">
        <v>211</v>
      </c>
      <c r="M27" s="816" t="s">
        <v>211</v>
      </c>
      <c r="N27" s="816" t="s">
        <v>211</v>
      </c>
      <c r="O27" s="435" t="s">
        <v>211</v>
      </c>
      <c r="P27" s="816" t="s">
        <v>211</v>
      </c>
      <c r="Q27" s="816" t="s">
        <v>211</v>
      </c>
      <c r="R27" s="816" t="s">
        <v>211</v>
      </c>
      <c r="S27" s="88" t="s">
        <v>211</v>
      </c>
      <c r="T27" s="492" t="s">
        <v>211</v>
      </c>
      <c r="U27" s="492" t="s">
        <v>211</v>
      </c>
      <c r="V27" s="818" t="s">
        <v>211</v>
      </c>
      <c r="W27" s="434"/>
      <c r="X27" s="434"/>
      <c r="Y27" s="434"/>
      <c r="AM27" s="275">
        <v>0.52083333333333337</v>
      </c>
      <c r="AN27" s="488"/>
      <c r="AO27" s="488" t="s">
        <v>207</v>
      </c>
    </row>
    <row r="28" spans="1:41" ht="14.5" customHeight="1" thickBot="1" x14ac:dyDescent="0.4">
      <c r="A28" s="822"/>
      <c r="B28" s="824"/>
      <c r="C28" s="90" t="s">
        <v>211</v>
      </c>
      <c r="D28" s="168" t="s">
        <v>211</v>
      </c>
      <c r="E28" s="168" t="s">
        <v>211</v>
      </c>
      <c r="F28" s="168" t="s">
        <v>211</v>
      </c>
      <c r="G28" s="168" t="s">
        <v>211</v>
      </c>
      <c r="H28" s="825"/>
      <c r="I28" s="168" t="s">
        <v>211</v>
      </c>
      <c r="J28" s="820" t="s">
        <v>211</v>
      </c>
      <c r="K28" s="168" t="s">
        <v>211</v>
      </c>
      <c r="L28" s="820" t="s">
        <v>211</v>
      </c>
      <c r="M28" s="817"/>
      <c r="N28" s="817"/>
      <c r="O28" s="435" t="s">
        <v>211</v>
      </c>
      <c r="P28" s="817"/>
      <c r="Q28" s="817"/>
      <c r="R28" s="817"/>
      <c r="S28" s="92" t="s">
        <v>211</v>
      </c>
      <c r="T28" s="492" t="s">
        <v>211</v>
      </c>
      <c r="U28" s="492" t="s">
        <v>211</v>
      </c>
      <c r="V28" s="818"/>
      <c r="W28" s="434"/>
      <c r="X28" s="434"/>
      <c r="Y28" s="434"/>
      <c r="AM28" s="275">
        <v>0.52361111111111114</v>
      </c>
      <c r="AN28" s="488"/>
      <c r="AO28" s="488"/>
    </row>
    <row r="29" spans="1:41" ht="15" customHeight="1" thickBot="1" x14ac:dyDescent="0.4">
      <c r="A29" s="821" t="s">
        <v>211</v>
      </c>
      <c r="B29" s="823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19" t="s">
        <v>211</v>
      </c>
      <c r="I29" s="167" t="s">
        <v>211</v>
      </c>
      <c r="J29" s="819" t="s">
        <v>211</v>
      </c>
      <c r="K29" s="167" t="s">
        <v>211</v>
      </c>
      <c r="L29" s="819" t="s">
        <v>211</v>
      </c>
      <c r="M29" s="816" t="s">
        <v>211</v>
      </c>
      <c r="N29" s="816" t="s">
        <v>211</v>
      </c>
      <c r="O29" s="435" t="s">
        <v>211</v>
      </c>
      <c r="P29" s="816" t="s">
        <v>211</v>
      </c>
      <c r="Q29" s="816" t="s">
        <v>211</v>
      </c>
      <c r="R29" s="816" t="s">
        <v>211</v>
      </c>
      <c r="S29" s="88" t="s">
        <v>211</v>
      </c>
      <c r="T29" s="492" t="s">
        <v>211</v>
      </c>
      <c r="U29" s="492" t="s">
        <v>211</v>
      </c>
      <c r="V29" s="818" t="s">
        <v>211</v>
      </c>
      <c r="W29" s="434"/>
      <c r="X29" s="434"/>
      <c r="Y29" s="434"/>
      <c r="AM29" s="275">
        <v>0.53125</v>
      </c>
      <c r="AO29" s="488" t="s">
        <v>207</v>
      </c>
    </row>
    <row r="30" spans="1:41" ht="15" customHeight="1" thickBot="1" x14ac:dyDescent="0.4">
      <c r="A30" s="822"/>
      <c r="B30" s="824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25"/>
      <c r="I30" s="168" t="s">
        <v>211</v>
      </c>
      <c r="J30" s="820" t="s">
        <v>211</v>
      </c>
      <c r="K30" s="168" t="s">
        <v>211</v>
      </c>
      <c r="L30" s="820" t="s">
        <v>211</v>
      </c>
      <c r="M30" s="817"/>
      <c r="N30" s="817"/>
      <c r="O30" s="435" t="s">
        <v>211</v>
      </c>
      <c r="P30" s="817"/>
      <c r="Q30" s="817"/>
      <c r="R30" s="817"/>
      <c r="S30" s="92" t="s">
        <v>211</v>
      </c>
      <c r="T30" s="492" t="s">
        <v>211</v>
      </c>
      <c r="U30" s="492" t="s">
        <v>211</v>
      </c>
      <c r="V30" s="818"/>
      <c r="W30" s="434"/>
      <c r="X30" s="434"/>
      <c r="Y30" s="434"/>
      <c r="AM30" s="275">
        <v>0.53402777777777777</v>
      </c>
      <c r="AO30" s="488"/>
    </row>
    <row r="31" spans="1:41" ht="15" customHeight="1" thickBot="1" x14ac:dyDescent="0.4">
      <c r="A31" s="821" t="s">
        <v>211</v>
      </c>
      <c r="B31" s="823" t="s">
        <v>211</v>
      </c>
      <c r="C31" s="167" t="s">
        <v>211</v>
      </c>
      <c r="D31" s="167" t="s">
        <v>211</v>
      </c>
      <c r="E31" s="167" t="s">
        <v>211</v>
      </c>
      <c r="F31" s="167" t="s">
        <v>211</v>
      </c>
      <c r="G31" s="167" t="s">
        <v>211</v>
      </c>
      <c r="H31" s="819" t="s">
        <v>211</v>
      </c>
      <c r="I31" s="167" t="s">
        <v>211</v>
      </c>
      <c r="J31" s="819" t="s">
        <v>211</v>
      </c>
      <c r="K31" s="167" t="s">
        <v>211</v>
      </c>
      <c r="L31" s="819" t="s">
        <v>211</v>
      </c>
      <c r="M31" s="816" t="s">
        <v>211</v>
      </c>
      <c r="N31" s="816" t="s">
        <v>211</v>
      </c>
      <c r="O31" s="435" t="s">
        <v>211</v>
      </c>
      <c r="P31" s="816" t="s">
        <v>211</v>
      </c>
      <c r="Q31" s="816" t="s">
        <v>211</v>
      </c>
      <c r="R31" s="816" t="s">
        <v>211</v>
      </c>
      <c r="S31" s="88" t="s">
        <v>211</v>
      </c>
      <c r="T31" s="492" t="s">
        <v>211</v>
      </c>
      <c r="U31" s="492" t="s">
        <v>211</v>
      </c>
      <c r="V31" s="818" t="s">
        <v>211</v>
      </c>
      <c r="W31" s="434"/>
      <c r="X31" s="434"/>
      <c r="Y31" s="434"/>
      <c r="AM31" s="275">
        <v>0.54166666666666663</v>
      </c>
      <c r="AO31" s="488" t="s">
        <v>207</v>
      </c>
    </row>
    <row r="32" spans="1:41" ht="15" customHeight="1" thickBot="1" x14ac:dyDescent="0.4">
      <c r="A32" s="822"/>
      <c r="B32" s="824"/>
      <c r="C32" s="90" t="s">
        <v>211</v>
      </c>
      <c r="D32" s="168" t="s">
        <v>211</v>
      </c>
      <c r="E32" s="168" t="s">
        <v>211</v>
      </c>
      <c r="F32" s="168" t="s">
        <v>211</v>
      </c>
      <c r="G32" s="168" t="s">
        <v>211</v>
      </c>
      <c r="H32" s="825"/>
      <c r="I32" s="168" t="s">
        <v>211</v>
      </c>
      <c r="J32" s="820" t="s">
        <v>211</v>
      </c>
      <c r="K32" s="168" t="s">
        <v>211</v>
      </c>
      <c r="L32" s="820" t="s">
        <v>211</v>
      </c>
      <c r="M32" s="817"/>
      <c r="N32" s="817"/>
      <c r="O32" s="435" t="s">
        <v>211</v>
      </c>
      <c r="P32" s="817"/>
      <c r="Q32" s="817"/>
      <c r="R32" s="817"/>
      <c r="S32" s="92" t="s">
        <v>211</v>
      </c>
      <c r="T32" s="492" t="s">
        <v>211</v>
      </c>
      <c r="U32" s="492" t="s">
        <v>211</v>
      </c>
      <c r="V32" s="818"/>
      <c r="W32" s="434"/>
      <c r="X32" s="434"/>
      <c r="Y32" s="434"/>
      <c r="AM32" s="275">
        <v>0.5444444444444444</v>
      </c>
      <c r="AO32" s="488"/>
    </row>
    <row r="33" spans="1:41" ht="15" customHeight="1" thickBot="1" x14ac:dyDescent="0.4">
      <c r="A33" s="821" t="s">
        <v>211</v>
      </c>
      <c r="B33" s="823" t="s">
        <v>211</v>
      </c>
      <c r="C33" s="167" t="s">
        <v>211</v>
      </c>
      <c r="D33" s="167" t="s">
        <v>211</v>
      </c>
      <c r="E33" s="167" t="s">
        <v>211</v>
      </c>
      <c r="F33" s="167" t="s">
        <v>211</v>
      </c>
      <c r="G33" s="167" t="s">
        <v>211</v>
      </c>
      <c r="H33" s="819" t="s">
        <v>211</v>
      </c>
      <c r="I33" s="167" t="s">
        <v>211</v>
      </c>
      <c r="J33" s="819" t="s">
        <v>211</v>
      </c>
      <c r="K33" s="167" t="s">
        <v>211</v>
      </c>
      <c r="L33" s="819" t="s">
        <v>211</v>
      </c>
      <c r="M33" s="816" t="s">
        <v>211</v>
      </c>
      <c r="N33" s="816" t="s">
        <v>211</v>
      </c>
      <c r="O33" s="435" t="s">
        <v>211</v>
      </c>
      <c r="P33" s="816" t="s">
        <v>211</v>
      </c>
      <c r="Q33" s="816" t="s">
        <v>211</v>
      </c>
      <c r="R33" s="816" t="s">
        <v>211</v>
      </c>
      <c r="S33" s="88" t="s">
        <v>211</v>
      </c>
      <c r="T33" s="492" t="s">
        <v>211</v>
      </c>
      <c r="U33" s="492" t="s">
        <v>211</v>
      </c>
      <c r="V33" s="818" t="s">
        <v>211</v>
      </c>
      <c r="W33" s="434"/>
      <c r="X33" s="434"/>
      <c r="Y33" s="434"/>
      <c r="AM33" s="275">
        <v>0.55208333333333337</v>
      </c>
      <c r="AO33" s="488" t="s">
        <v>207</v>
      </c>
    </row>
    <row r="34" spans="1:41" ht="15" customHeight="1" thickBot="1" x14ac:dyDescent="0.4">
      <c r="A34" s="822"/>
      <c r="B34" s="824"/>
      <c r="C34" s="90" t="s">
        <v>211</v>
      </c>
      <c r="D34" s="168" t="s">
        <v>211</v>
      </c>
      <c r="E34" s="168" t="s">
        <v>211</v>
      </c>
      <c r="F34" s="168" t="s">
        <v>211</v>
      </c>
      <c r="G34" s="168" t="s">
        <v>211</v>
      </c>
      <c r="H34" s="825"/>
      <c r="I34" s="168" t="s">
        <v>211</v>
      </c>
      <c r="J34" s="820" t="s">
        <v>211</v>
      </c>
      <c r="K34" s="168" t="s">
        <v>211</v>
      </c>
      <c r="L34" s="820" t="s">
        <v>211</v>
      </c>
      <c r="M34" s="817"/>
      <c r="N34" s="817"/>
      <c r="O34" s="435" t="s">
        <v>211</v>
      </c>
      <c r="P34" s="817"/>
      <c r="Q34" s="817"/>
      <c r="R34" s="817"/>
      <c r="S34" s="92" t="s">
        <v>211</v>
      </c>
      <c r="T34" s="492" t="s">
        <v>211</v>
      </c>
      <c r="U34" s="492" t="s">
        <v>211</v>
      </c>
      <c r="V34" s="818"/>
      <c r="W34" s="434"/>
      <c r="X34" s="434"/>
      <c r="Y34" s="434"/>
      <c r="AM34" s="275">
        <v>0.55486111111111114</v>
      </c>
      <c r="AO34" s="488"/>
    </row>
    <row r="35" spans="1:41" ht="15" customHeight="1" thickBot="1" x14ac:dyDescent="0.4">
      <c r="A35" s="821" t="s">
        <v>211</v>
      </c>
      <c r="B35" s="823" t="s">
        <v>211</v>
      </c>
      <c r="C35" s="167" t="s">
        <v>211</v>
      </c>
      <c r="D35" s="167" t="s">
        <v>211</v>
      </c>
      <c r="E35" s="167" t="s">
        <v>211</v>
      </c>
      <c r="F35" s="167" t="s">
        <v>211</v>
      </c>
      <c r="G35" s="167" t="s">
        <v>211</v>
      </c>
      <c r="H35" s="819" t="s">
        <v>211</v>
      </c>
      <c r="I35" s="167" t="s">
        <v>211</v>
      </c>
      <c r="J35" s="819" t="s">
        <v>211</v>
      </c>
      <c r="K35" s="167" t="s">
        <v>211</v>
      </c>
      <c r="L35" s="819" t="s">
        <v>211</v>
      </c>
      <c r="M35" s="816" t="s">
        <v>211</v>
      </c>
      <c r="N35" s="816" t="s">
        <v>211</v>
      </c>
      <c r="O35" s="435" t="s">
        <v>211</v>
      </c>
      <c r="P35" s="816" t="s">
        <v>211</v>
      </c>
      <c r="Q35" s="816" t="s">
        <v>211</v>
      </c>
      <c r="R35" s="816" t="s">
        <v>211</v>
      </c>
      <c r="S35" s="88" t="s">
        <v>211</v>
      </c>
      <c r="T35" s="492" t="s">
        <v>211</v>
      </c>
      <c r="U35" s="492" t="s">
        <v>211</v>
      </c>
      <c r="V35" s="818" t="s">
        <v>211</v>
      </c>
      <c r="W35" s="434"/>
      <c r="X35" s="434"/>
      <c r="Y35" s="434"/>
      <c r="AM35" s="275">
        <v>0.5625</v>
      </c>
      <c r="AO35" s="488" t="s">
        <v>207</v>
      </c>
    </row>
    <row r="36" spans="1:41" ht="15" customHeight="1" thickBot="1" x14ac:dyDescent="0.4">
      <c r="A36" s="822"/>
      <c r="B36" s="824"/>
      <c r="C36" s="90" t="s">
        <v>211</v>
      </c>
      <c r="D36" s="168" t="s">
        <v>211</v>
      </c>
      <c r="E36" s="168" t="s">
        <v>211</v>
      </c>
      <c r="F36" s="168" t="s">
        <v>211</v>
      </c>
      <c r="G36" s="168" t="s">
        <v>211</v>
      </c>
      <c r="H36" s="825"/>
      <c r="I36" s="168" t="s">
        <v>211</v>
      </c>
      <c r="J36" s="820" t="s">
        <v>211</v>
      </c>
      <c r="K36" s="168" t="s">
        <v>211</v>
      </c>
      <c r="L36" s="820" t="s">
        <v>211</v>
      </c>
      <c r="M36" s="817"/>
      <c r="N36" s="817"/>
      <c r="O36" s="435" t="s">
        <v>211</v>
      </c>
      <c r="P36" s="817"/>
      <c r="Q36" s="817"/>
      <c r="R36" s="817"/>
      <c r="S36" s="92" t="s">
        <v>211</v>
      </c>
      <c r="T36" s="492" t="s">
        <v>211</v>
      </c>
      <c r="U36" s="492" t="s">
        <v>211</v>
      </c>
      <c r="V36" s="818"/>
      <c r="W36" s="434"/>
      <c r="X36" s="434"/>
      <c r="Y36" s="434"/>
      <c r="AM36" s="275">
        <v>0.56527777777777777</v>
      </c>
      <c r="AO36" s="488"/>
    </row>
    <row r="37" spans="1:41" ht="15" customHeight="1" thickBot="1" x14ac:dyDescent="0.4">
      <c r="A37" s="821" t="s">
        <v>211</v>
      </c>
      <c r="B37" s="823" t="s">
        <v>211</v>
      </c>
      <c r="C37" s="167" t="s">
        <v>211</v>
      </c>
      <c r="D37" s="167" t="s">
        <v>211</v>
      </c>
      <c r="E37" s="167" t="s">
        <v>211</v>
      </c>
      <c r="F37" s="167" t="s">
        <v>211</v>
      </c>
      <c r="G37" s="167" t="s">
        <v>211</v>
      </c>
      <c r="H37" s="819" t="s">
        <v>211</v>
      </c>
      <c r="I37" s="167" t="s">
        <v>211</v>
      </c>
      <c r="J37" s="819" t="s">
        <v>211</v>
      </c>
      <c r="K37" s="167" t="s">
        <v>211</v>
      </c>
      <c r="L37" s="819" t="s">
        <v>211</v>
      </c>
      <c r="M37" s="816" t="s">
        <v>211</v>
      </c>
      <c r="N37" s="816" t="s">
        <v>211</v>
      </c>
      <c r="O37" s="435" t="s">
        <v>211</v>
      </c>
      <c r="P37" s="816" t="s">
        <v>211</v>
      </c>
      <c r="Q37" s="816" t="s">
        <v>211</v>
      </c>
      <c r="R37" s="816" t="s">
        <v>211</v>
      </c>
      <c r="S37" s="88" t="s">
        <v>211</v>
      </c>
      <c r="T37" s="492" t="s">
        <v>211</v>
      </c>
      <c r="U37" s="492" t="s">
        <v>211</v>
      </c>
      <c r="V37" s="818" t="s">
        <v>211</v>
      </c>
      <c r="W37" s="434"/>
      <c r="X37" s="434"/>
      <c r="Y37" s="434"/>
      <c r="AM37" s="275">
        <v>0.57291666666666663</v>
      </c>
      <c r="AO37" s="488" t="s">
        <v>207</v>
      </c>
    </row>
    <row r="38" spans="1:41" ht="15" customHeight="1" thickBot="1" x14ac:dyDescent="0.4">
      <c r="A38" s="822"/>
      <c r="B38" s="824"/>
      <c r="C38" s="90" t="s">
        <v>211</v>
      </c>
      <c r="D38" s="168" t="s">
        <v>211</v>
      </c>
      <c r="E38" s="168" t="s">
        <v>211</v>
      </c>
      <c r="F38" s="168" t="s">
        <v>211</v>
      </c>
      <c r="G38" s="168" t="s">
        <v>211</v>
      </c>
      <c r="H38" s="825"/>
      <c r="I38" s="168" t="s">
        <v>211</v>
      </c>
      <c r="J38" s="820" t="s">
        <v>211</v>
      </c>
      <c r="K38" s="168" t="s">
        <v>211</v>
      </c>
      <c r="L38" s="820" t="s">
        <v>211</v>
      </c>
      <c r="M38" s="817"/>
      <c r="N38" s="817"/>
      <c r="O38" s="435" t="s">
        <v>211</v>
      </c>
      <c r="P38" s="817"/>
      <c r="Q38" s="817"/>
      <c r="R38" s="817"/>
      <c r="S38" s="92" t="s">
        <v>211</v>
      </c>
      <c r="T38" s="492" t="s">
        <v>211</v>
      </c>
      <c r="U38" s="492" t="s">
        <v>211</v>
      </c>
      <c r="V38" s="818"/>
      <c r="W38" s="434"/>
      <c r="X38" s="434"/>
      <c r="Y38" s="434"/>
      <c r="AM38" s="275">
        <v>0.5756944444444444</v>
      </c>
      <c r="AO38" s="488"/>
    </row>
    <row r="39" spans="1:41" ht="15" customHeight="1" thickBot="1" x14ac:dyDescent="0.4">
      <c r="A39" s="821" t="s">
        <v>493</v>
      </c>
      <c r="B39" s="823" t="s">
        <v>180</v>
      </c>
      <c r="C39" s="167" t="s">
        <v>211</v>
      </c>
      <c r="D39" s="167" t="s">
        <v>211</v>
      </c>
      <c r="E39" s="167">
        <v>38.549999999999997</v>
      </c>
      <c r="F39" s="167">
        <v>831675</v>
      </c>
      <c r="G39" s="167">
        <v>137836</v>
      </c>
      <c r="H39" s="819" t="s">
        <v>55</v>
      </c>
      <c r="I39" s="167">
        <v>15.83</v>
      </c>
      <c r="J39" s="819">
        <v>11700</v>
      </c>
      <c r="K39" s="167">
        <v>23.75</v>
      </c>
      <c r="L39" s="819">
        <v>2988000</v>
      </c>
      <c r="M39" s="816">
        <v>11608.2</v>
      </c>
      <c r="N39" s="816">
        <v>11650</v>
      </c>
      <c r="O39" s="435">
        <v>-18.541666666666671</v>
      </c>
      <c r="P39" s="816">
        <v>11648.8</v>
      </c>
      <c r="Q39" s="816">
        <v>11692</v>
      </c>
      <c r="R39" s="816">
        <v>11637.05</v>
      </c>
      <c r="S39" s="88" t="e">
        <v>#REF!</v>
      </c>
      <c r="T39" s="416" t="e">
        <v>#REF!</v>
      </c>
      <c r="U39" s="492" t="e">
        <v>#REF!</v>
      </c>
      <c r="V39" s="818" t="e">
        <v>#REF!</v>
      </c>
      <c r="W39" s="434"/>
      <c r="X39" s="434"/>
      <c r="Y39" s="434"/>
      <c r="AM39" s="275">
        <v>0.58333333333333337</v>
      </c>
      <c r="AO39" s="488" t="s">
        <v>207</v>
      </c>
    </row>
    <row r="40" spans="1:41" ht="15" customHeight="1" thickBot="1" x14ac:dyDescent="0.4">
      <c r="A40" s="822"/>
      <c r="B40" s="824"/>
      <c r="C40" s="90" t="s">
        <v>42</v>
      </c>
      <c r="D40" s="168">
        <v>11600</v>
      </c>
      <c r="E40" s="168" t="s">
        <v>211</v>
      </c>
      <c r="F40" s="168">
        <v>817200</v>
      </c>
      <c r="G40" s="168" t="s">
        <v>211</v>
      </c>
      <c r="H40" s="825"/>
      <c r="I40" s="168" t="s">
        <v>211</v>
      </c>
      <c r="J40" s="820" t="s">
        <v>211</v>
      </c>
      <c r="K40" s="168" t="s">
        <v>211</v>
      </c>
      <c r="L40" s="820" t="s">
        <v>211</v>
      </c>
      <c r="M40" s="817"/>
      <c r="N40" s="817"/>
      <c r="O40" s="435" t="s">
        <v>211</v>
      </c>
      <c r="P40" s="817"/>
      <c r="Q40" s="817"/>
      <c r="R40" s="817"/>
      <c r="S40" s="92" t="e">
        <v>#REF!</v>
      </c>
      <c r="T40" s="494" t="s">
        <v>211</v>
      </c>
      <c r="U40" s="417" t="s">
        <v>211</v>
      </c>
      <c r="V40" s="818"/>
      <c r="W40" s="434"/>
      <c r="X40" s="434"/>
      <c r="Y40" s="434"/>
      <c r="AM40" s="275">
        <v>0.58611111111111114</v>
      </c>
      <c r="AO40" s="488"/>
    </row>
    <row r="41" spans="1:41" ht="15" customHeight="1" thickBot="1" x14ac:dyDescent="0.4">
      <c r="A41" s="821" t="s">
        <v>463</v>
      </c>
      <c r="B41" s="823" t="s">
        <v>180</v>
      </c>
      <c r="C41" s="167" t="s">
        <v>211</v>
      </c>
      <c r="D41" s="167" t="s">
        <v>211</v>
      </c>
      <c r="E41" s="167">
        <v>27.25</v>
      </c>
      <c r="F41" s="167">
        <v>857625</v>
      </c>
      <c r="G41" s="167">
        <v>164371</v>
      </c>
      <c r="H41" s="819" t="s">
        <v>55</v>
      </c>
      <c r="I41" s="167">
        <v>15.13</v>
      </c>
      <c r="J41" s="819">
        <v>11800</v>
      </c>
      <c r="K41" s="167">
        <v>5.5</v>
      </c>
      <c r="L41" s="819">
        <v>3142575</v>
      </c>
      <c r="M41" s="816">
        <v>11586.2</v>
      </c>
      <c r="N41" s="816">
        <v>11600</v>
      </c>
      <c r="O41" s="435">
        <v>-22.549999999999997</v>
      </c>
      <c r="P41" s="816">
        <v>11623</v>
      </c>
      <c r="Q41" s="816">
        <v>11692</v>
      </c>
      <c r="R41" s="816">
        <v>11606</v>
      </c>
      <c r="S41" s="88" t="e">
        <v>#REF!</v>
      </c>
      <c r="T41" s="492" t="e">
        <v>#REF!</v>
      </c>
      <c r="U41" s="492" t="e">
        <v>#REF!</v>
      </c>
      <c r="V41" s="818" t="e">
        <v>#REF!</v>
      </c>
      <c r="W41" s="434"/>
      <c r="X41" s="434"/>
      <c r="Y41" s="434"/>
      <c r="AM41" s="275">
        <v>0.59375</v>
      </c>
      <c r="AO41" s="488" t="s">
        <v>207</v>
      </c>
    </row>
    <row r="42" spans="1:41" ht="15" customHeight="1" thickBot="1" x14ac:dyDescent="0.4">
      <c r="A42" s="822"/>
      <c r="B42" s="824"/>
      <c r="C42" s="90" t="s">
        <v>42</v>
      </c>
      <c r="D42" s="168">
        <v>11600</v>
      </c>
      <c r="E42" s="168" t="s">
        <v>211</v>
      </c>
      <c r="F42" s="168">
        <v>553125</v>
      </c>
      <c r="G42" s="168" t="s">
        <v>211</v>
      </c>
      <c r="H42" s="825"/>
      <c r="I42" s="168" t="s">
        <v>211</v>
      </c>
      <c r="J42" s="820" t="s">
        <v>211</v>
      </c>
      <c r="K42" s="168" t="s">
        <v>211</v>
      </c>
      <c r="L42" s="820" t="s">
        <v>211</v>
      </c>
      <c r="M42" s="817"/>
      <c r="N42" s="817"/>
      <c r="O42" s="435" t="s">
        <v>211</v>
      </c>
      <c r="P42" s="817"/>
      <c r="Q42" s="817"/>
      <c r="R42" s="817"/>
      <c r="S42" s="92" t="e">
        <v>#REF!</v>
      </c>
      <c r="T42" s="413" t="s">
        <v>211</v>
      </c>
      <c r="U42" s="413" t="s">
        <v>211</v>
      </c>
      <c r="V42" s="818"/>
      <c r="W42" s="434"/>
      <c r="X42" s="434"/>
      <c r="Y42" s="434"/>
      <c r="AM42" s="275">
        <v>0.59652777777777777</v>
      </c>
      <c r="AO42" s="488"/>
    </row>
    <row r="43" spans="1:41" ht="15" customHeight="1" thickBot="1" x14ac:dyDescent="0.4">
      <c r="A43" s="821" t="s">
        <v>336</v>
      </c>
      <c r="B43" s="823" t="s">
        <v>180</v>
      </c>
      <c r="C43" s="167" t="s">
        <v>211</v>
      </c>
      <c r="D43" s="167" t="s">
        <v>211</v>
      </c>
      <c r="E43" s="167">
        <v>40.200000000000003</v>
      </c>
      <c r="F43" s="167">
        <v>1126200</v>
      </c>
      <c r="G43" s="167">
        <v>195826</v>
      </c>
      <c r="H43" s="819" t="s">
        <v>55</v>
      </c>
      <c r="I43" s="167">
        <v>14.2</v>
      </c>
      <c r="J43" s="819">
        <v>11800</v>
      </c>
      <c r="K43" s="167">
        <v>5</v>
      </c>
      <c r="L43" s="819">
        <v>3137175</v>
      </c>
      <c r="M43" s="816">
        <v>11572.95</v>
      </c>
      <c r="N43" s="816">
        <v>11600</v>
      </c>
      <c r="O43" s="435">
        <v>-31.60833333333332</v>
      </c>
      <c r="P43" s="816">
        <v>11607.3</v>
      </c>
      <c r="Q43" s="816">
        <v>11692</v>
      </c>
      <c r="R43" s="816">
        <v>11592</v>
      </c>
      <c r="S43" s="88" t="e">
        <v>#REF!</v>
      </c>
      <c r="T43" s="492" t="e">
        <v>#REF!</v>
      </c>
      <c r="U43" s="492" t="e">
        <v>#REF!</v>
      </c>
      <c r="V43" s="818" t="e">
        <v>#REF!</v>
      </c>
      <c r="W43" s="434"/>
      <c r="X43" s="434"/>
      <c r="Y43" s="434"/>
      <c r="AM43" s="275">
        <v>0.60416666666666663</v>
      </c>
      <c r="AO43" s="488" t="s">
        <v>207</v>
      </c>
    </row>
    <row r="44" spans="1:41" ht="15" customHeight="1" thickBot="1" x14ac:dyDescent="0.4">
      <c r="A44" s="822"/>
      <c r="B44" s="824"/>
      <c r="C44" s="90" t="s">
        <v>42</v>
      </c>
      <c r="D44" s="168">
        <v>11600</v>
      </c>
      <c r="E44" s="168" t="s">
        <v>211</v>
      </c>
      <c r="F44" s="168">
        <v>349125</v>
      </c>
      <c r="G44" s="168" t="s">
        <v>211</v>
      </c>
      <c r="H44" s="825"/>
      <c r="I44" s="168" t="s">
        <v>211</v>
      </c>
      <c r="J44" s="820" t="s">
        <v>211</v>
      </c>
      <c r="K44" s="168" t="s">
        <v>211</v>
      </c>
      <c r="L44" s="820" t="s">
        <v>211</v>
      </c>
      <c r="M44" s="817"/>
      <c r="N44" s="817"/>
      <c r="O44" s="435" t="s">
        <v>211</v>
      </c>
      <c r="P44" s="817"/>
      <c r="Q44" s="817"/>
      <c r="R44" s="817"/>
      <c r="S44" s="92" t="e">
        <v>#REF!</v>
      </c>
      <c r="T44" s="413" t="s">
        <v>211</v>
      </c>
      <c r="U44" s="413" t="s">
        <v>211</v>
      </c>
      <c r="V44" s="818"/>
      <c r="W44" s="434"/>
      <c r="X44" s="434"/>
      <c r="Y44" s="434"/>
      <c r="AM44" s="275">
        <v>0.6069444444444444</v>
      </c>
      <c r="AO44" s="488"/>
    </row>
    <row r="45" spans="1:41" ht="15" customHeight="1" thickBot="1" x14ac:dyDescent="0.4">
      <c r="A45" s="821" t="s">
        <v>494</v>
      </c>
      <c r="B45" s="823" t="s">
        <v>180</v>
      </c>
      <c r="C45" s="167" t="s">
        <v>211</v>
      </c>
      <c r="D45" s="167" t="s">
        <v>211</v>
      </c>
      <c r="E45" s="167">
        <v>34.299999999999997</v>
      </c>
      <c r="F45" s="167">
        <v>1361850</v>
      </c>
      <c r="G45" s="167">
        <v>222551</v>
      </c>
      <c r="H45" s="819" t="s">
        <v>55</v>
      </c>
      <c r="I45" s="167">
        <v>15.26</v>
      </c>
      <c r="J45" s="819">
        <v>11800</v>
      </c>
      <c r="K45" s="167">
        <v>4.4000000000000004</v>
      </c>
      <c r="L45" s="819">
        <v>3190500</v>
      </c>
      <c r="M45" s="816">
        <v>11553.7</v>
      </c>
      <c r="N45" s="816">
        <v>11600</v>
      </c>
      <c r="O45" s="435">
        <v>-37.81666666666667</v>
      </c>
      <c r="P45" s="816">
        <v>11595</v>
      </c>
      <c r="Q45" s="816">
        <v>11692</v>
      </c>
      <c r="R45" s="816">
        <v>11582.95</v>
      </c>
      <c r="S45" s="88" t="e">
        <v>#REF!</v>
      </c>
      <c r="T45" s="492" t="e">
        <v>#REF!</v>
      </c>
      <c r="U45" s="492" t="e">
        <v>#REF!</v>
      </c>
      <c r="V45" s="818" t="e">
        <v>#REF!</v>
      </c>
      <c r="W45" s="434"/>
      <c r="X45" s="434"/>
      <c r="Y45" s="434"/>
      <c r="AM45" s="275">
        <v>0.61458333333333337</v>
      </c>
      <c r="AO45" s="488" t="s">
        <v>207</v>
      </c>
    </row>
    <row r="46" spans="1:41" ht="15" customHeight="1" thickBot="1" x14ac:dyDescent="0.4">
      <c r="A46" s="822"/>
      <c r="B46" s="824"/>
      <c r="C46" s="90" t="s">
        <v>42</v>
      </c>
      <c r="D46" s="168">
        <v>11550</v>
      </c>
      <c r="E46" s="168" t="s">
        <v>211</v>
      </c>
      <c r="F46" s="168">
        <v>372975</v>
      </c>
      <c r="G46" s="168" t="s">
        <v>211</v>
      </c>
      <c r="H46" s="825"/>
      <c r="I46" s="168" t="s">
        <v>211</v>
      </c>
      <c r="J46" s="820" t="s">
        <v>211</v>
      </c>
      <c r="K46" s="168" t="s">
        <v>211</v>
      </c>
      <c r="L46" s="820" t="s">
        <v>211</v>
      </c>
      <c r="M46" s="817"/>
      <c r="N46" s="817"/>
      <c r="O46" s="435" t="s">
        <v>211</v>
      </c>
      <c r="P46" s="817"/>
      <c r="Q46" s="817"/>
      <c r="R46" s="817"/>
      <c r="S46" s="92" t="e">
        <v>#REF!</v>
      </c>
      <c r="T46" s="413" t="s">
        <v>211</v>
      </c>
      <c r="U46" s="413" t="s">
        <v>211</v>
      </c>
      <c r="V46" s="818"/>
      <c r="W46" s="434"/>
      <c r="X46" s="434"/>
      <c r="Y46" s="434"/>
      <c r="AM46" s="275">
        <v>0.61736111111111114</v>
      </c>
      <c r="AO46" s="488"/>
    </row>
    <row r="47" spans="1:41" ht="15" customHeight="1" thickBot="1" x14ac:dyDescent="0.4">
      <c r="A47" s="821" t="s">
        <v>495</v>
      </c>
      <c r="B47" s="823" t="s">
        <v>180</v>
      </c>
      <c r="C47" s="167" t="s">
        <v>211</v>
      </c>
      <c r="D47" s="167" t="s">
        <v>211</v>
      </c>
      <c r="E47" s="167">
        <v>22.8</v>
      </c>
      <c r="F47" s="167">
        <v>1793550</v>
      </c>
      <c r="G47" s="167">
        <v>268535</v>
      </c>
      <c r="H47" s="819" t="s">
        <v>55</v>
      </c>
      <c r="I47" s="167">
        <v>16.05</v>
      </c>
      <c r="J47" s="819">
        <v>11800</v>
      </c>
      <c r="K47" s="167">
        <v>3.3</v>
      </c>
      <c r="L47" s="819">
        <v>3127425</v>
      </c>
      <c r="M47" s="816">
        <v>11517.6</v>
      </c>
      <c r="N47" s="816">
        <v>11600</v>
      </c>
      <c r="O47" s="435">
        <v>-63.300000000000004</v>
      </c>
      <c r="P47" s="816">
        <v>11548.95</v>
      </c>
      <c r="Q47" s="816">
        <v>11692</v>
      </c>
      <c r="R47" s="816">
        <v>11548.5</v>
      </c>
      <c r="S47" s="818" t="e">
        <v>#REF!</v>
      </c>
      <c r="T47" s="492" t="e">
        <v>#REF!</v>
      </c>
      <c r="U47" s="414" t="e">
        <v>#REF!</v>
      </c>
      <c r="V47" s="818" t="e">
        <v>#REF!</v>
      </c>
      <c r="W47" s="434"/>
      <c r="X47" s="434"/>
      <c r="Y47" s="434"/>
      <c r="AM47" s="275">
        <v>0.625</v>
      </c>
      <c r="AO47" s="488" t="s">
        <v>364</v>
      </c>
    </row>
    <row r="48" spans="1:41" ht="15" customHeight="1" thickBot="1" x14ac:dyDescent="0.4">
      <c r="A48" s="822"/>
      <c r="B48" s="824"/>
      <c r="C48" s="90" t="s">
        <v>42</v>
      </c>
      <c r="D48" s="168">
        <v>11500</v>
      </c>
      <c r="E48" s="168" t="s">
        <v>211</v>
      </c>
      <c r="F48" s="168">
        <v>369975</v>
      </c>
      <c r="G48" s="168" t="s">
        <v>211</v>
      </c>
      <c r="H48" s="825"/>
      <c r="I48" s="168" t="s">
        <v>211</v>
      </c>
      <c r="J48" s="820" t="s">
        <v>211</v>
      </c>
      <c r="K48" s="168" t="s">
        <v>211</v>
      </c>
      <c r="L48" s="820" t="s">
        <v>211</v>
      </c>
      <c r="M48" s="817"/>
      <c r="N48" s="817"/>
      <c r="O48" s="435" t="s">
        <v>211</v>
      </c>
      <c r="P48" s="817"/>
      <c r="Q48" s="817"/>
      <c r="R48" s="817"/>
      <c r="S48" s="818" t="e">
        <v>#REF!</v>
      </c>
      <c r="T48" s="413" t="s">
        <v>211</v>
      </c>
      <c r="U48" s="493" t="s">
        <v>211</v>
      </c>
      <c r="V48" s="818"/>
      <c r="W48" s="434"/>
      <c r="X48" s="434"/>
      <c r="Y48" s="434"/>
      <c r="AM48" s="275">
        <v>0.62777777777777777</v>
      </c>
      <c r="AO48" s="488"/>
    </row>
    <row r="49" spans="1:41" ht="15" customHeight="1" thickBot="1" x14ac:dyDescent="0.4">
      <c r="A49" s="821" t="s">
        <v>229</v>
      </c>
      <c r="B49" s="823" t="s">
        <v>180</v>
      </c>
      <c r="C49" s="167" t="s">
        <v>211</v>
      </c>
      <c r="D49" s="167" t="s">
        <v>211</v>
      </c>
      <c r="E49" s="167">
        <v>22.15</v>
      </c>
      <c r="F49" s="167">
        <v>1892775</v>
      </c>
      <c r="G49" s="167">
        <v>308658</v>
      </c>
      <c r="H49" s="819" t="s">
        <v>55</v>
      </c>
      <c r="I49" s="167">
        <v>16.55</v>
      </c>
      <c r="J49" s="819">
        <v>11600</v>
      </c>
      <c r="K49" s="167">
        <v>22.15</v>
      </c>
      <c r="L49" s="819">
        <v>2978325</v>
      </c>
      <c r="M49" s="816">
        <v>11494.6</v>
      </c>
      <c r="N49" s="816">
        <v>11600</v>
      </c>
      <c r="O49" s="435">
        <v>-63.225000000000001</v>
      </c>
      <c r="P49" s="816">
        <v>11538.05</v>
      </c>
      <c r="Q49" s="816">
        <v>11692</v>
      </c>
      <c r="R49" s="816">
        <v>11531.35</v>
      </c>
      <c r="S49" s="88" t="e">
        <v>#REF!</v>
      </c>
      <c r="T49" s="492" t="e">
        <v>#REF!</v>
      </c>
      <c r="U49" s="492" t="e">
        <v>#REF!</v>
      </c>
      <c r="V49" s="818" t="e">
        <v>#REF!</v>
      </c>
      <c r="W49" s="434"/>
      <c r="X49" s="434"/>
      <c r="Y49" s="434"/>
      <c r="AM49" s="275">
        <v>0.63541666666666663</v>
      </c>
      <c r="AO49" s="488" t="s">
        <v>364</v>
      </c>
    </row>
    <row r="50" spans="1:41" ht="15" customHeight="1" thickBot="1" x14ac:dyDescent="0.4">
      <c r="A50" s="822"/>
      <c r="B50" s="824"/>
      <c r="C50" s="90" t="s">
        <v>42</v>
      </c>
      <c r="D50" s="168">
        <v>11500</v>
      </c>
      <c r="E50" s="168" t="s">
        <v>211</v>
      </c>
      <c r="F50" s="168">
        <v>348450</v>
      </c>
      <c r="G50" s="168" t="s">
        <v>211</v>
      </c>
      <c r="H50" s="825"/>
      <c r="I50" s="168" t="s">
        <v>211</v>
      </c>
      <c r="J50" s="820" t="s">
        <v>211</v>
      </c>
      <c r="K50" s="168" t="s">
        <v>211</v>
      </c>
      <c r="L50" s="820" t="s">
        <v>211</v>
      </c>
      <c r="M50" s="817"/>
      <c r="N50" s="817"/>
      <c r="O50" s="435" t="s">
        <v>211</v>
      </c>
      <c r="P50" s="817"/>
      <c r="Q50" s="817"/>
      <c r="R50" s="817"/>
      <c r="S50" s="92" t="e">
        <v>#REF!</v>
      </c>
      <c r="T50" s="413" t="s">
        <v>211</v>
      </c>
      <c r="U50" s="413" t="s">
        <v>211</v>
      </c>
      <c r="V50" s="818"/>
      <c r="W50" s="434"/>
      <c r="X50" s="434"/>
      <c r="Y50" s="434"/>
      <c r="AM50" s="275">
        <v>0.6381944444444444</v>
      </c>
      <c r="AO50" s="488"/>
    </row>
    <row r="51" spans="1:41" ht="15" customHeight="1" thickBot="1" x14ac:dyDescent="0.4">
      <c r="A51" s="821" t="s">
        <v>230</v>
      </c>
      <c r="B51" s="823" t="s">
        <v>180</v>
      </c>
      <c r="C51" s="167" t="s">
        <v>211</v>
      </c>
      <c r="D51" s="167" t="s">
        <v>211</v>
      </c>
      <c r="E51" s="167">
        <v>22.5</v>
      </c>
      <c r="F51" s="167">
        <v>1719825</v>
      </c>
      <c r="G51" s="167">
        <v>333759</v>
      </c>
      <c r="H51" s="819" t="s">
        <v>55</v>
      </c>
      <c r="I51" s="167">
        <v>17.27</v>
      </c>
      <c r="J51" s="819">
        <v>11800</v>
      </c>
      <c r="K51" s="167">
        <v>3.4</v>
      </c>
      <c r="L51" s="819">
        <v>2892300</v>
      </c>
      <c r="M51" s="816">
        <v>11495.45</v>
      </c>
      <c r="N51" s="816">
        <v>11600</v>
      </c>
      <c r="O51" s="435">
        <v>-54.541666666666664</v>
      </c>
      <c r="P51" s="816">
        <v>11542.85</v>
      </c>
      <c r="Q51" s="816">
        <v>11692</v>
      </c>
      <c r="R51" s="816">
        <v>11531.35</v>
      </c>
      <c r="S51" s="88" t="e">
        <v>#REF!</v>
      </c>
      <c r="T51" s="492" t="e">
        <v>#REF!</v>
      </c>
      <c r="U51" s="492" t="e">
        <v>#REF!</v>
      </c>
      <c r="V51" s="818" t="e">
        <v>#REF!</v>
      </c>
      <c r="W51" s="434"/>
      <c r="X51" s="434"/>
      <c r="Y51" s="434"/>
      <c r="AM51" s="275">
        <v>0.64583333333333337</v>
      </c>
      <c r="AO51" s="488" t="s">
        <v>364</v>
      </c>
    </row>
    <row r="52" spans="1:41" ht="15" customHeight="1" thickBot="1" x14ac:dyDescent="0.4">
      <c r="A52" s="822"/>
      <c r="B52" s="824"/>
      <c r="C52" s="90" t="s">
        <v>42</v>
      </c>
      <c r="D52" s="168">
        <v>11600</v>
      </c>
      <c r="E52" s="168" t="s">
        <v>211</v>
      </c>
      <c r="F52" s="168">
        <v>-331500</v>
      </c>
      <c r="G52" s="168" t="s">
        <v>211</v>
      </c>
      <c r="H52" s="825"/>
      <c r="I52" s="168" t="s">
        <v>211</v>
      </c>
      <c r="J52" s="820" t="s">
        <v>211</v>
      </c>
      <c r="K52" s="168" t="s">
        <v>211</v>
      </c>
      <c r="L52" s="820" t="s">
        <v>211</v>
      </c>
      <c r="M52" s="817"/>
      <c r="N52" s="817"/>
      <c r="O52" s="435" t="s">
        <v>211</v>
      </c>
      <c r="P52" s="817"/>
      <c r="Q52" s="817"/>
      <c r="R52" s="817"/>
      <c r="S52" s="92" t="e">
        <v>#REF!</v>
      </c>
      <c r="T52" s="415" t="s">
        <v>211</v>
      </c>
      <c r="U52" s="415" t="s">
        <v>211</v>
      </c>
      <c r="V52" s="818"/>
      <c r="W52" s="434"/>
      <c r="X52" s="434"/>
      <c r="Y52" s="434"/>
      <c r="AM52" s="275">
        <v>0.64861111111111114</v>
      </c>
      <c r="AO52" s="488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A118-07A5-41D9-8CFA-775A7740D86E}">
  <sheetPr codeName="Sheet30"/>
  <dimension ref="A1:AS52"/>
  <sheetViews>
    <sheetView topLeftCell="A9" workbookViewId="0">
      <selection activeCell="L9" sqref="L9:L10"/>
    </sheetView>
  </sheetViews>
  <sheetFormatPr defaultColWidth="9.1796875" defaultRowHeight="14.5" x14ac:dyDescent="0.35"/>
  <cols>
    <col min="1" max="1" width="9.1796875" style="478"/>
    <col min="2" max="2" width="9.1796875" style="274"/>
    <col min="3" max="3" width="5.453125" style="478" customWidth="1"/>
    <col min="4" max="4" width="8.453125" style="478" customWidth="1"/>
    <col min="5" max="5" width="8.7265625" style="478" customWidth="1"/>
    <col min="6" max="6" width="12.7265625" style="477" customWidth="1"/>
    <col min="7" max="7" width="13" style="477" customWidth="1"/>
    <col min="8" max="9" width="6.453125" style="478" customWidth="1"/>
    <col min="10" max="10" width="10.08984375" style="478" customWidth="1"/>
    <col min="11" max="11" width="8" style="478" customWidth="1"/>
    <col min="12" max="12" width="13.54296875" style="477" customWidth="1"/>
    <col min="13" max="13" width="8.26953125" style="478" customWidth="1"/>
    <col min="14" max="14" width="9.453125" style="478" hidden="1" customWidth="1"/>
    <col min="15" max="15" width="12.453125" style="478" bestFit="1" customWidth="1"/>
    <col min="16" max="18" width="9.1796875" style="478"/>
    <col min="19" max="19" width="5.453125" style="478" hidden="1" customWidth="1"/>
    <col min="20" max="20" width="6.81640625" style="478" hidden="1" customWidth="1"/>
    <col min="21" max="22" width="0" style="478" hidden="1" customWidth="1"/>
    <col min="23" max="25" width="9.1796875" style="478"/>
    <col min="26" max="26" width="9.453125" style="478" customWidth="1"/>
    <col min="27" max="38" width="9.1796875" style="478"/>
    <col min="39" max="40" width="7.90625" style="478" bestFit="1" customWidth="1"/>
    <col min="41" max="41" width="9.6328125" style="478" bestFit="1" customWidth="1"/>
    <col min="42" max="44" width="9.1796875" style="478"/>
    <col min="45" max="45" width="0" style="478" hidden="1" customWidth="1"/>
    <col min="46" max="16384" width="9.1796875" style="478"/>
  </cols>
  <sheetData>
    <row r="1" spans="1:45" ht="14.5" customHeight="1" thickBot="1" x14ac:dyDescent="0.4">
      <c r="A1" s="80"/>
      <c r="B1" s="273"/>
      <c r="C1" s="647" t="s">
        <v>35</v>
      </c>
      <c r="D1" s="811"/>
      <c r="E1" s="811"/>
      <c r="F1" s="811"/>
      <c r="G1" s="811"/>
      <c r="H1" s="484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">
        <v>467</v>
      </c>
      <c r="R1" s="814"/>
      <c r="S1" s="810" t="s">
        <v>87</v>
      </c>
      <c r="T1" s="811"/>
      <c r="U1" s="811"/>
      <c r="V1" s="815"/>
      <c r="W1" s="432"/>
      <c r="X1" s="432"/>
      <c r="Y1" s="432"/>
      <c r="Z1" s="479"/>
      <c r="AA1" s="479"/>
      <c r="AB1" s="479"/>
      <c r="AC1" s="479"/>
      <c r="AD1" s="479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483" t="s">
        <v>54</v>
      </c>
      <c r="D2" s="482" t="s">
        <v>14</v>
      </c>
      <c r="E2" s="482" t="s">
        <v>6</v>
      </c>
      <c r="F2" s="166" t="s">
        <v>35</v>
      </c>
      <c r="G2" s="166" t="s">
        <v>37</v>
      </c>
      <c r="H2" s="484" t="s">
        <v>43</v>
      </c>
      <c r="I2" s="81" t="s">
        <v>88</v>
      </c>
      <c r="J2" s="483" t="s">
        <v>14</v>
      </c>
      <c r="K2" s="482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79"/>
      <c r="AA2" s="479"/>
      <c r="AB2" s="271" t="s">
        <v>97</v>
      </c>
      <c r="AC2" s="272" t="s">
        <v>98</v>
      </c>
      <c r="AD2" s="479"/>
      <c r="AS2" s="479" t="s">
        <v>99</v>
      </c>
    </row>
    <row r="3" spans="1:45" ht="14.5" customHeight="1" thickBot="1" x14ac:dyDescent="0.4">
      <c r="A3" s="821" t="s">
        <v>211</v>
      </c>
      <c r="B3" s="823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9" t="s">
        <v>211</v>
      </c>
      <c r="I3" s="167" t="s">
        <v>211</v>
      </c>
      <c r="J3" s="819" t="s">
        <v>211</v>
      </c>
      <c r="K3" s="167" t="s">
        <v>211</v>
      </c>
      <c r="L3" s="819" t="s">
        <v>211</v>
      </c>
      <c r="M3" s="816" t="s">
        <v>211</v>
      </c>
      <c r="N3" s="816" t="s">
        <v>211</v>
      </c>
      <c r="O3" s="435" t="s">
        <v>211</v>
      </c>
      <c r="P3" s="816" t="s">
        <v>211</v>
      </c>
      <c r="Q3" s="816" t="s">
        <v>211</v>
      </c>
      <c r="R3" s="816" t="s">
        <v>211</v>
      </c>
      <c r="S3" s="88" t="s">
        <v>211</v>
      </c>
      <c r="T3" s="480" t="s">
        <v>211</v>
      </c>
      <c r="U3" s="480" t="s">
        <v>211</v>
      </c>
      <c r="V3" s="818" t="s">
        <v>211</v>
      </c>
      <c r="W3" s="434"/>
      <c r="X3" s="434"/>
      <c r="Y3" s="434"/>
      <c r="Z3" s="479"/>
      <c r="AA3" s="479"/>
      <c r="AB3" s="479"/>
      <c r="AC3" s="479"/>
      <c r="AD3" s="479"/>
      <c r="AL3" s="479" t="s">
        <v>171</v>
      </c>
      <c r="AM3" s="275">
        <v>0.39583333333333331</v>
      </c>
      <c r="AN3" s="89">
        <v>43592.399153240738</v>
      </c>
      <c r="AO3" s="479" t="s">
        <v>364</v>
      </c>
      <c r="AS3" s="479" t="s">
        <v>98</v>
      </c>
    </row>
    <row r="4" spans="1:45" ht="14.5" customHeight="1" thickBot="1" x14ac:dyDescent="0.4">
      <c r="A4" s="822"/>
      <c r="B4" s="824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20"/>
      <c r="I4" s="168" t="s">
        <v>211</v>
      </c>
      <c r="J4" s="820" t="s">
        <v>211</v>
      </c>
      <c r="K4" s="168" t="s">
        <v>211</v>
      </c>
      <c r="L4" s="820" t="s">
        <v>211</v>
      </c>
      <c r="M4" s="817"/>
      <c r="N4" s="817"/>
      <c r="O4" s="435" t="s">
        <v>211</v>
      </c>
      <c r="P4" s="817"/>
      <c r="Q4" s="817"/>
      <c r="R4" s="817"/>
      <c r="S4" s="92" t="s">
        <v>211</v>
      </c>
      <c r="T4" s="480" t="s">
        <v>211</v>
      </c>
      <c r="U4" s="480" t="s">
        <v>211</v>
      </c>
      <c r="V4" s="818"/>
      <c r="W4" s="434"/>
      <c r="X4" s="434"/>
      <c r="Y4" s="434"/>
      <c r="Z4" s="479"/>
      <c r="AA4" s="479"/>
      <c r="AB4" s="479"/>
      <c r="AC4" s="479"/>
      <c r="AD4" s="479"/>
      <c r="AL4" s="479" t="s">
        <v>172</v>
      </c>
      <c r="AM4" s="275">
        <v>0.39861111111111108</v>
      </c>
      <c r="AN4" s="479"/>
      <c r="AO4" s="479"/>
    </row>
    <row r="5" spans="1:45" ht="14.5" customHeight="1" thickBot="1" x14ac:dyDescent="0.4">
      <c r="A5" s="821" t="s">
        <v>211</v>
      </c>
      <c r="B5" s="823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19" t="s">
        <v>211</v>
      </c>
      <c r="I5" s="167" t="s">
        <v>211</v>
      </c>
      <c r="J5" s="819" t="s">
        <v>211</v>
      </c>
      <c r="K5" s="167" t="s">
        <v>211</v>
      </c>
      <c r="L5" s="819" t="s">
        <v>211</v>
      </c>
      <c r="M5" s="816" t="s">
        <v>211</v>
      </c>
      <c r="N5" s="816" t="s">
        <v>211</v>
      </c>
      <c r="O5" s="435" t="s">
        <v>211</v>
      </c>
      <c r="P5" s="816" t="s">
        <v>211</v>
      </c>
      <c r="Q5" s="816" t="s">
        <v>211</v>
      </c>
      <c r="R5" s="816" t="s">
        <v>211</v>
      </c>
      <c r="S5" s="88" t="s">
        <v>211</v>
      </c>
      <c r="T5" s="480" t="s">
        <v>211</v>
      </c>
      <c r="U5" s="480" t="s">
        <v>211</v>
      </c>
      <c r="V5" s="818" t="s">
        <v>211</v>
      </c>
      <c r="W5" s="434"/>
      <c r="X5" s="434"/>
      <c r="Y5" s="434"/>
      <c r="Z5" s="479"/>
      <c r="AA5" s="479"/>
      <c r="AB5" s="479"/>
      <c r="AC5" s="479"/>
      <c r="AD5" s="479"/>
      <c r="AM5" s="275">
        <v>0.40625</v>
      </c>
      <c r="AN5" s="479"/>
      <c r="AO5" s="479" t="s">
        <v>364</v>
      </c>
    </row>
    <row r="6" spans="1:45" ht="14.5" customHeight="1" thickBot="1" x14ac:dyDescent="0.4">
      <c r="A6" s="822"/>
      <c r="B6" s="824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25"/>
      <c r="I6" s="168" t="s">
        <v>211</v>
      </c>
      <c r="J6" s="820" t="s">
        <v>211</v>
      </c>
      <c r="K6" s="168" t="s">
        <v>211</v>
      </c>
      <c r="L6" s="820" t="s">
        <v>211</v>
      </c>
      <c r="M6" s="817"/>
      <c r="N6" s="817"/>
      <c r="O6" s="435" t="s">
        <v>211</v>
      </c>
      <c r="P6" s="817"/>
      <c r="Q6" s="817"/>
      <c r="R6" s="817"/>
      <c r="S6" s="92" t="s">
        <v>211</v>
      </c>
      <c r="T6" s="480" t="s">
        <v>211</v>
      </c>
      <c r="U6" s="480" t="s">
        <v>211</v>
      </c>
      <c r="V6" s="818"/>
      <c r="W6" s="434"/>
      <c r="X6" s="434"/>
      <c r="Y6" s="434"/>
      <c r="Z6" s="479"/>
      <c r="AA6" s="479"/>
      <c r="AB6" s="479"/>
      <c r="AC6" s="479"/>
      <c r="AD6" s="479"/>
      <c r="AM6" s="275">
        <v>0.40902777777777777</v>
      </c>
      <c r="AN6" s="479"/>
      <c r="AO6" s="479"/>
    </row>
    <row r="7" spans="1:45" ht="14.5" customHeight="1" thickBot="1" x14ac:dyDescent="0.4">
      <c r="A7" s="821" t="s">
        <v>211</v>
      </c>
      <c r="B7" s="823" t="s">
        <v>211</v>
      </c>
      <c r="C7" s="167" t="s">
        <v>211</v>
      </c>
      <c r="D7" s="167" t="s">
        <v>211</v>
      </c>
      <c r="E7" s="167" t="s">
        <v>211</v>
      </c>
      <c r="F7" s="167" t="s">
        <v>211</v>
      </c>
      <c r="G7" s="167" t="s">
        <v>211</v>
      </c>
      <c r="H7" s="819" t="s">
        <v>211</v>
      </c>
      <c r="I7" s="167" t="s">
        <v>211</v>
      </c>
      <c r="J7" s="819" t="s">
        <v>211</v>
      </c>
      <c r="K7" s="167" t="s">
        <v>211</v>
      </c>
      <c r="L7" s="819" t="s">
        <v>211</v>
      </c>
      <c r="M7" s="816" t="s">
        <v>211</v>
      </c>
      <c r="N7" s="816" t="s">
        <v>211</v>
      </c>
      <c r="O7" s="435" t="s">
        <v>211</v>
      </c>
      <c r="P7" s="816" t="s">
        <v>211</v>
      </c>
      <c r="Q7" s="816" t="s">
        <v>211</v>
      </c>
      <c r="R7" s="816" t="s">
        <v>211</v>
      </c>
      <c r="S7" s="88" t="s">
        <v>211</v>
      </c>
      <c r="T7" s="480" t="s">
        <v>211</v>
      </c>
      <c r="U7" s="480" t="s">
        <v>211</v>
      </c>
      <c r="V7" s="818" t="s">
        <v>211</v>
      </c>
      <c r="W7" s="434"/>
      <c r="X7" s="434"/>
      <c r="Y7" s="434"/>
      <c r="Z7" s="479"/>
      <c r="AA7" s="479"/>
      <c r="AB7" s="479"/>
      <c r="AC7" s="479"/>
      <c r="AD7" s="479"/>
      <c r="AM7" s="275">
        <v>0.41666666666666669</v>
      </c>
      <c r="AN7" s="479"/>
      <c r="AO7" s="479" t="s">
        <v>207</v>
      </c>
    </row>
    <row r="8" spans="1:45" ht="14.5" customHeight="1" thickBot="1" x14ac:dyDescent="0.4">
      <c r="A8" s="822"/>
      <c r="B8" s="824"/>
      <c r="C8" s="90" t="s">
        <v>211</v>
      </c>
      <c r="D8" s="168" t="s">
        <v>211</v>
      </c>
      <c r="E8" s="168" t="s">
        <v>211</v>
      </c>
      <c r="F8" s="168" t="s">
        <v>211</v>
      </c>
      <c r="G8" s="168" t="s">
        <v>211</v>
      </c>
      <c r="H8" s="825"/>
      <c r="I8" s="168" t="s">
        <v>211</v>
      </c>
      <c r="J8" s="820" t="s">
        <v>211</v>
      </c>
      <c r="K8" s="168" t="s">
        <v>211</v>
      </c>
      <c r="L8" s="820" t="s">
        <v>211</v>
      </c>
      <c r="M8" s="817"/>
      <c r="N8" s="817"/>
      <c r="O8" s="435" t="s">
        <v>211</v>
      </c>
      <c r="P8" s="817"/>
      <c r="Q8" s="817"/>
      <c r="R8" s="817"/>
      <c r="S8" s="92" t="s">
        <v>211</v>
      </c>
      <c r="T8" s="480" t="s">
        <v>211</v>
      </c>
      <c r="U8" s="480" t="s">
        <v>211</v>
      </c>
      <c r="V8" s="818"/>
      <c r="W8" s="434"/>
      <c r="X8" s="434"/>
      <c r="Y8" s="434"/>
      <c r="Z8" s="479"/>
      <c r="AA8" s="479"/>
      <c r="AB8" s="479"/>
      <c r="AC8" s="479"/>
      <c r="AD8" s="479"/>
      <c r="AM8" s="275">
        <v>0.41944444444444445</v>
      </c>
      <c r="AN8" s="479"/>
      <c r="AO8" s="479"/>
    </row>
    <row r="9" spans="1:45" ht="14.5" customHeight="1" thickBot="1" x14ac:dyDescent="0.4">
      <c r="A9" s="821" t="s">
        <v>211</v>
      </c>
      <c r="B9" s="823" t="s">
        <v>211</v>
      </c>
      <c r="C9" s="167" t="s">
        <v>211</v>
      </c>
      <c r="D9" s="167" t="s">
        <v>211</v>
      </c>
      <c r="E9" s="167" t="s">
        <v>211</v>
      </c>
      <c r="F9" s="167" t="s">
        <v>211</v>
      </c>
      <c r="G9" s="167" t="s">
        <v>211</v>
      </c>
      <c r="H9" s="819" t="s">
        <v>211</v>
      </c>
      <c r="I9" s="167" t="s">
        <v>211</v>
      </c>
      <c r="J9" s="819" t="s">
        <v>211</v>
      </c>
      <c r="K9" s="167" t="s">
        <v>211</v>
      </c>
      <c r="L9" s="819" t="s">
        <v>211</v>
      </c>
      <c r="M9" s="816" t="s">
        <v>211</v>
      </c>
      <c r="N9" s="816" t="s">
        <v>211</v>
      </c>
      <c r="O9" s="435" t="s">
        <v>211</v>
      </c>
      <c r="P9" s="816" t="s">
        <v>211</v>
      </c>
      <c r="Q9" s="816" t="s">
        <v>211</v>
      </c>
      <c r="R9" s="816" t="s">
        <v>211</v>
      </c>
      <c r="S9" s="88" t="s">
        <v>211</v>
      </c>
      <c r="T9" s="480" t="s">
        <v>211</v>
      </c>
      <c r="U9" s="480" t="s">
        <v>211</v>
      </c>
      <c r="V9" s="818" t="s">
        <v>211</v>
      </c>
      <c r="W9" s="434"/>
      <c r="X9" s="434"/>
      <c r="Y9" s="434"/>
      <c r="Z9" s="479"/>
      <c r="AA9" s="479"/>
      <c r="AB9" s="718" t="s">
        <v>165</v>
      </c>
      <c r="AC9" s="719"/>
      <c r="AD9" s="719"/>
      <c r="AM9" s="275">
        <v>0.42708333333333331</v>
      </c>
      <c r="AN9" s="479"/>
      <c r="AO9" s="479" t="s">
        <v>207</v>
      </c>
    </row>
    <row r="10" spans="1:45" ht="14.5" customHeight="1" thickBot="1" x14ac:dyDescent="0.4">
      <c r="A10" s="822"/>
      <c r="B10" s="824"/>
      <c r="C10" s="90" t="s">
        <v>211</v>
      </c>
      <c r="D10" s="168" t="s">
        <v>211</v>
      </c>
      <c r="E10" s="168" t="s">
        <v>211</v>
      </c>
      <c r="F10" s="168" t="s">
        <v>211</v>
      </c>
      <c r="G10" s="168" t="s">
        <v>211</v>
      </c>
      <c r="H10" s="825"/>
      <c r="I10" s="168" t="s">
        <v>211</v>
      </c>
      <c r="J10" s="820" t="s">
        <v>211</v>
      </c>
      <c r="K10" s="168" t="s">
        <v>211</v>
      </c>
      <c r="L10" s="820" t="s">
        <v>211</v>
      </c>
      <c r="M10" s="817"/>
      <c r="N10" s="817"/>
      <c r="O10" s="435" t="s">
        <v>211</v>
      </c>
      <c r="P10" s="817"/>
      <c r="Q10" s="817"/>
      <c r="R10" s="817"/>
      <c r="S10" s="92" t="s">
        <v>211</v>
      </c>
      <c r="T10" s="480" t="s">
        <v>211</v>
      </c>
      <c r="U10" s="480" t="s">
        <v>211</v>
      </c>
      <c r="V10" s="818"/>
      <c r="W10" s="434"/>
      <c r="X10" s="434"/>
      <c r="Y10" s="434"/>
      <c r="Z10" s="479"/>
      <c r="AA10" s="479"/>
      <c r="AB10" s="718" t="s">
        <v>365</v>
      </c>
      <c r="AC10" s="719"/>
      <c r="AD10" s="719"/>
      <c r="AM10" s="275">
        <v>0.42986111111111108</v>
      </c>
      <c r="AN10" s="479"/>
      <c r="AO10" s="479"/>
    </row>
    <row r="11" spans="1:45" ht="14.5" customHeight="1" thickBot="1" x14ac:dyDescent="0.4">
      <c r="A11" s="821" t="s">
        <v>211</v>
      </c>
      <c r="B11" s="823" t="s">
        <v>211</v>
      </c>
      <c r="C11" s="167" t="s">
        <v>211</v>
      </c>
      <c r="D11" s="167" t="s">
        <v>211</v>
      </c>
      <c r="E11" s="167" t="s">
        <v>211</v>
      </c>
      <c r="F11" s="167" t="s">
        <v>211</v>
      </c>
      <c r="G11" s="167" t="s">
        <v>211</v>
      </c>
      <c r="H11" s="819" t="s">
        <v>211</v>
      </c>
      <c r="I11" s="167" t="s">
        <v>211</v>
      </c>
      <c r="J11" s="819" t="s">
        <v>211</v>
      </c>
      <c r="K11" s="167" t="s">
        <v>211</v>
      </c>
      <c r="L11" s="819" t="s">
        <v>211</v>
      </c>
      <c r="M11" s="816" t="s">
        <v>211</v>
      </c>
      <c r="N11" s="816" t="s">
        <v>211</v>
      </c>
      <c r="O11" s="435" t="s">
        <v>211</v>
      </c>
      <c r="P11" s="816" t="s">
        <v>211</v>
      </c>
      <c r="Q11" s="816" t="s">
        <v>211</v>
      </c>
      <c r="R11" s="816" t="s">
        <v>211</v>
      </c>
      <c r="S11" s="88" t="s">
        <v>211</v>
      </c>
      <c r="T11" s="480" t="s">
        <v>211</v>
      </c>
      <c r="U11" s="480" t="s">
        <v>211</v>
      </c>
      <c r="V11" s="818" t="s">
        <v>211</v>
      </c>
      <c r="W11" s="434"/>
      <c r="X11" s="434"/>
      <c r="Y11" s="434"/>
      <c r="Z11" s="479"/>
      <c r="AA11" s="479"/>
      <c r="AB11" s="718" t="s">
        <v>366</v>
      </c>
      <c r="AC11" s="718"/>
      <c r="AD11" s="718"/>
      <c r="AM11" s="275">
        <v>0.4375</v>
      </c>
      <c r="AN11" s="479"/>
      <c r="AO11" s="479" t="s">
        <v>207</v>
      </c>
    </row>
    <row r="12" spans="1:45" ht="14.5" customHeight="1" thickBot="1" x14ac:dyDescent="0.4">
      <c r="A12" s="822"/>
      <c r="B12" s="824"/>
      <c r="C12" s="90" t="s">
        <v>211</v>
      </c>
      <c r="D12" s="168" t="s">
        <v>211</v>
      </c>
      <c r="E12" s="168" t="s">
        <v>211</v>
      </c>
      <c r="F12" s="168" t="s">
        <v>211</v>
      </c>
      <c r="G12" s="168" t="s">
        <v>211</v>
      </c>
      <c r="H12" s="825"/>
      <c r="I12" s="168" t="s">
        <v>211</v>
      </c>
      <c r="J12" s="820" t="s">
        <v>211</v>
      </c>
      <c r="K12" s="168" t="s">
        <v>211</v>
      </c>
      <c r="L12" s="820" t="s">
        <v>211</v>
      </c>
      <c r="M12" s="817"/>
      <c r="N12" s="817"/>
      <c r="O12" s="435" t="s">
        <v>211</v>
      </c>
      <c r="P12" s="817"/>
      <c r="Q12" s="817"/>
      <c r="R12" s="817"/>
      <c r="S12" s="92" t="s">
        <v>211</v>
      </c>
      <c r="T12" s="480" t="s">
        <v>211</v>
      </c>
      <c r="U12" s="480" t="s">
        <v>211</v>
      </c>
      <c r="V12" s="818"/>
      <c r="W12" s="434"/>
      <c r="X12" s="434"/>
      <c r="Y12" s="434"/>
      <c r="Z12" s="479"/>
      <c r="AA12" s="479"/>
      <c r="AB12" s="718" t="s">
        <v>167</v>
      </c>
      <c r="AC12" s="718"/>
      <c r="AD12" s="718"/>
      <c r="AM12" s="275">
        <v>0.44027777777777777</v>
      </c>
      <c r="AN12" s="479"/>
      <c r="AO12" s="479"/>
    </row>
    <row r="13" spans="1:45" ht="14.5" customHeight="1" thickBot="1" x14ac:dyDescent="0.4">
      <c r="A13" s="821" t="s">
        <v>468</v>
      </c>
      <c r="B13" s="823" t="s">
        <v>180</v>
      </c>
      <c r="C13" s="167" t="s">
        <v>211</v>
      </c>
      <c r="D13" s="167" t="s">
        <v>211</v>
      </c>
      <c r="E13" s="167">
        <v>33.700000000000003</v>
      </c>
      <c r="F13" s="167">
        <v>1603050</v>
      </c>
      <c r="G13" s="167">
        <v>100928</v>
      </c>
      <c r="H13" s="819" t="s">
        <v>55</v>
      </c>
      <c r="I13" s="167">
        <v>14.42</v>
      </c>
      <c r="J13" s="819">
        <v>11800</v>
      </c>
      <c r="K13" s="167">
        <v>12.8</v>
      </c>
      <c r="L13" s="819">
        <v>2693625</v>
      </c>
      <c r="M13" s="816">
        <v>11625.35</v>
      </c>
      <c r="N13" s="816">
        <v>11700</v>
      </c>
      <c r="O13" s="435">
        <v>-20.75</v>
      </c>
      <c r="P13" s="816">
        <v>11679</v>
      </c>
      <c r="Q13" s="816">
        <v>11688</v>
      </c>
      <c r="R13" s="816">
        <v>11645</v>
      </c>
      <c r="S13" s="88" t="e">
        <v>#REF!</v>
      </c>
      <c r="T13" s="480" t="e">
        <v>#REF!</v>
      </c>
      <c r="U13" s="480" t="e">
        <v>#REF!</v>
      </c>
      <c r="V13" s="818" t="e">
        <v>#REF!</v>
      </c>
      <c r="W13" s="434"/>
      <c r="X13" s="434"/>
      <c r="Y13" s="434"/>
      <c r="Z13" s="479"/>
      <c r="AA13" s="479"/>
      <c r="AB13" s="718" t="s">
        <v>168</v>
      </c>
      <c r="AC13" s="718"/>
      <c r="AD13" s="718"/>
      <c r="AM13" s="275">
        <v>0.44791666666666669</v>
      </c>
      <c r="AN13" s="479"/>
      <c r="AO13" s="479" t="s">
        <v>207</v>
      </c>
    </row>
    <row r="14" spans="1:45" ht="14.5" customHeight="1" thickBot="1" x14ac:dyDescent="0.4">
      <c r="A14" s="822"/>
      <c r="B14" s="824"/>
      <c r="C14" s="90" t="s">
        <v>42</v>
      </c>
      <c r="D14" s="168">
        <v>11600</v>
      </c>
      <c r="E14" s="168" t="s">
        <v>211</v>
      </c>
      <c r="F14" s="168">
        <v>616875</v>
      </c>
      <c r="G14" s="168" t="s">
        <v>211</v>
      </c>
      <c r="H14" s="825"/>
      <c r="I14" s="168" t="s">
        <v>211</v>
      </c>
      <c r="J14" s="820" t="s">
        <v>211</v>
      </c>
      <c r="K14" s="168" t="s">
        <v>211</v>
      </c>
      <c r="L14" s="820" t="s">
        <v>211</v>
      </c>
      <c r="M14" s="817"/>
      <c r="N14" s="817"/>
      <c r="O14" s="435" t="s">
        <v>211</v>
      </c>
      <c r="P14" s="817"/>
      <c r="Q14" s="817"/>
      <c r="R14" s="817"/>
      <c r="S14" s="92" t="e">
        <v>#REF!</v>
      </c>
      <c r="T14" s="480" t="s">
        <v>211</v>
      </c>
      <c r="U14" s="480" t="s">
        <v>211</v>
      </c>
      <c r="V14" s="818"/>
      <c r="W14" s="434"/>
      <c r="X14" s="434"/>
      <c r="Y14" s="434"/>
      <c r="AM14" s="275">
        <v>0.45069444444444445</v>
      </c>
      <c r="AN14" s="479"/>
      <c r="AO14" s="479"/>
    </row>
    <row r="15" spans="1:45" ht="14.5" customHeight="1" thickBot="1" x14ac:dyDescent="0.4">
      <c r="A15" s="821" t="s">
        <v>469</v>
      </c>
      <c r="B15" s="823" t="s">
        <v>180</v>
      </c>
      <c r="C15" s="167" t="s">
        <v>211</v>
      </c>
      <c r="D15" s="167" t="s">
        <v>211</v>
      </c>
      <c r="E15" s="167">
        <v>33.049999999999997</v>
      </c>
      <c r="F15" s="167">
        <v>1599600</v>
      </c>
      <c r="G15" s="167">
        <v>107590</v>
      </c>
      <c r="H15" s="819" t="s">
        <v>55</v>
      </c>
      <c r="I15" s="167">
        <v>14.73</v>
      </c>
      <c r="J15" s="819">
        <v>11800</v>
      </c>
      <c r="K15" s="167">
        <v>12.75</v>
      </c>
      <c r="L15" s="819">
        <v>2695050</v>
      </c>
      <c r="M15" s="816">
        <v>11621.9</v>
      </c>
      <c r="N15" s="816">
        <v>11700</v>
      </c>
      <c r="O15" s="435">
        <v>-22.016666666666666</v>
      </c>
      <c r="P15" s="816">
        <v>11674.9</v>
      </c>
      <c r="Q15" s="816">
        <v>11688</v>
      </c>
      <c r="R15" s="816">
        <v>11645</v>
      </c>
      <c r="S15" s="88" t="e">
        <v>#REF!</v>
      </c>
      <c r="T15" s="480" t="e">
        <v>#REF!</v>
      </c>
      <c r="U15" s="480" t="e">
        <v>#REF!</v>
      </c>
      <c r="V15" s="818" t="e">
        <v>#REF!</v>
      </c>
      <c r="W15" s="434"/>
      <c r="X15" s="434"/>
      <c r="Y15" s="434"/>
      <c r="AM15" s="275">
        <v>0.45833333333333331</v>
      </c>
      <c r="AN15" s="479"/>
      <c r="AO15" s="479" t="s">
        <v>207</v>
      </c>
    </row>
    <row r="16" spans="1:45" ht="14.5" customHeight="1" thickBot="1" x14ac:dyDescent="0.4">
      <c r="A16" s="822"/>
      <c r="B16" s="824"/>
      <c r="C16" s="90" t="s">
        <v>42</v>
      </c>
      <c r="D16" s="168">
        <v>11600</v>
      </c>
      <c r="E16" s="168" t="s">
        <v>211</v>
      </c>
      <c r="F16" s="168">
        <v>610425</v>
      </c>
      <c r="G16" s="168" t="s">
        <v>211</v>
      </c>
      <c r="H16" s="825"/>
      <c r="I16" s="168" t="s">
        <v>211</v>
      </c>
      <c r="J16" s="820" t="s">
        <v>211</v>
      </c>
      <c r="K16" s="168" t="s">
        <v>211</v>
      </c>
      <c r="L16" s="820" t="s">
        <v>211</v>
      </c>
      <c r="M16" s="817"/>
      <c r="N16" s="817"/>
      <c r="O16" s="435" t="s">
        <v>211</v>
      </c>
      <c r="P16" s="817"/>
      <c r="Q16" s="817"/>
      <c r="R16" s="817"/>
      <c r="S16" s="92" t="e">
        <v>#REF!</v>
      </c>
      <c r="T16" s="480" t="s">
        <v>211</v>
      </c>
      <c r="U16" s="480" t="s">
        <v>211</v>
      </c>
      <c r="V16" s="818"/>
      <c r="W16" s="434"/>
      <c r="X16" s="434"/>
      <c r="Y16" s="434"/>
      <c r="AM16" s="275">
        <v>0.46111111111111108</v>
      </c>
      <c r="AN16" s="479"/>
      <c r="AO16" s="479"/>
    </row>
    <row r="17" spans="1:41" ht="14.5" customHeight="1" thickBot="1" x14ac:dyDescent="0.4">
      <c r="A17" s="821" t="s">
        <v>344</v>
      </c>
      <c r="B17" s="823" t="s">
        <v>180</v>
      </c>
      <c r="C17" s="167" t="s">
        <v>211</v>
      </c>
      <c r="D17" s="167" t="s">
        <v>211</v>
      </c>
      <c r="E17" s="167">
        <v>32.450000000000003</v>
      </c>
      <c r="F17" s="167">
        <v>1671825</v>
      </c>
      <c r="G17" s="167">
        <v>114521</v>
      </c>
      <c r="H17" s="819" t="s">
        <v>55</v>
      </c>
      <c r="I17" s="167">
        <v>14.86</v>
      </c>
      <c r="J17" s="819">
        <v>11800</v>
      </c>
      <c r="K17" s="167">
        <v>12.3</v>
      </c>
      <c r="L17" s="819">
        <v>2758200</v>
      </c>
      <c r="M17" s="816">
        <v>11618.45</v>
      </c>
      <c r="N17" s="816">
        <v>11700</v>
      </c>
      <c r="O17" s="435">
        <v>-23.724999999999998</v>
      </c>
      <c r="P17" s="816">
        <v>11672.5</v>
      </c>
      <c r="Q17" s="816">
        <v>11688</v>
      </c>
      <c r="R17" s="816">
        <v>11645</v>
      </c>
      <c r="S17" s="88" t="e">
        <v>#REF!</v>
      </c>
      <c r="T17" s="480" t="e">
        <v>#REF!</v>
      </c>
      <c r="U17" s="480" t="e">
        <v>#REF!</v>
      </c>
      <c r="V17" s="818" t="e">
        <v>#REF!</v>
      </c>
      <c r="W17" s="434"/>
      <c r="X17" s="434"/>
      <c r="Y17" s="434"/>
      <c r="AM17" s="275">
        <v>0.46875</v>
      </c>
      <c r="AN17" s="479"/>
      <c r="AO17" s="479" t="s">
        <v>207</v>
      </c>
    </row>
    <row r="18" spans="1:41" ht="14.5" customHeight="1" thickBot="1" x14ac:dyDescent="0.4">
      <c r="A18" s="822"/>
      <c r="B18" s="824"/>
      <c r="C18" s="90" t="s">
        <v>42</v>
      </c>
      <c r="D18" s="168">
        <v>11600</v>
      </c>
      <c r="E18" s="168" t="s">
        <v>211</v>
      </c>
      <c r="F18" s="168">
        <v>640800</v>
      </c>
      <c r="G18" s="168" t="s">
        <v>211</v>
      </c>
      <c r="H18" s="825"/>
      <c r="I18" s="168" t="s">
        <v>211</v>
      </c>
      <c r="J18" s="820" t="s">
        <v>211</v>
      </c>
      <c r="K18" s="168" t="s">
        <v>211</v>
      </c>
      <c r="L18" s="820" t="s">
        <v>211</v>
      </c>
      <c r="M18" s="817"/>
      <c r="N18" s="817"/>
      <c r="O18" s="435" t="s">
        <v>211</v>
      </c>
      <c r="P18" s="817"/>
      <c r="Q18" s="817"/>
      <c r="R18" s="817"/>
      <c r="S18" s="92" t="e">
        <v>#REF!</v>
      </c>
      <c r="T18" s="480" t="s">
        <v>211</v>
      </c>
      <c r="U18" s="480" t="s">
        <v>211</v>
      </c>
      <c r="V18" s="818"/>
      <c r="W18" s="434"/>
      <c r="X18" s="434"/>
      <c r="Y18" s="434"/>
      <c r="AM18" s="275">
        <v>0.47152777777777777</v>
      </c>
      <c r="AN18" s="479"/>
      <c r="AO18" s="479"/>
    </row>
    <row r="19" spans="1:41" ht="14.5" customHeight="1" thickBot="1" x14ac:dyDescent="0.4">
      <c r="A19" s="821" t="s">
        <v>470</v>
      </c>
      <c r="B19" s="823" t="s">
        <v>180</v>
      </c>
      <c r="C19" s="167" t="s">
        <v>211</v>
      </c>
      <c r="D19" s="167" t="s">
        <v>211</v>
      </c>
      <c r="E19" s="167">
        <v>31.45</v>
      </c>
      <c r="F19" s="167">
        <v>1782750</v>
      </c>
      <c r="G19" s="167">
        <v>120039</v>
      </c>
      <c r="H19" s="819" t="s">
        <v>55</v>
      </c>
      <c r="I19" s="167">
        <v>14.54</v>
      </c>
      <c r="J19" s="819">
        <v>11800</v>
      </c>
      <c r="K19" s="167">
        <v>11.95</v>
      </c>
      <c r="L19" s="819">
        <v>2775000</v>
      </c>
      <c r="M19" s="816">
        <v>11610.35</v>
      </c>
      <c r="N19" s="816">
        <v>11650</v>
      </c>
      <c r="O19" s="435">
        <v>-25.650000000000002</v>
      </c>
      <c r="P19" s="816">
        <v>11668.2</v>
      </c>
      <c r="Q19" s="816">
        <v>11688</v>
      </c>
      <c r="R19" s="816">
        <v>11645</v>
      </c>
      <c r="S19" s="88" t="e">
        <v>#REF!</v>
      </c>
      <c r="T19" s="480" t="e">
        <v>#REF!</v>
      </c>
      <c r="U19" s="480" t="e">
        <v>#REF!</v>
      </c>
      <c r="V19" s="818" t="e">
        <v>#REF!</v>
      </c>
      <c r="W19" s="434"/>
      <c r="X19" s="434"/>
      <c r="Y19" s="434"/>
      <c r="AM19" s="275">
        <v>0.47916666666666669</v>
      </c>
      <c r="AN19" s="479"/>
      <c r="AO19" s="479" t="s">
        <v>207</v>
      </c>
    </row>
    <row r="20" spans="1:41" ht="14.5" customHeight="1" thickBot="1" x14ac:dyDescent="0.4">
      <c r="A20" s="822"/>
      <c r="B20" s="824"/>
      <c r="C20" s="90" t="s">
        <v>42</v>
      </c>
      <c r="D20" s="168">
        <v>11600</v>
      </c>
      <c r="E20" s="168" t="s">
        <v>211</v>
      </c>
      <c r="F20" s="168">
        <v>661350</v>
      </c>
      <c r="G20" s="168" t="s">
        <v>211</v>
      </c>
      <c r="H20" s="825"/>
      <c r="I20" s="168" t="s">
        <v>211</v>
      </c>
      <c r="J20" s="820" t="s">
        <v>211</v>
      </c>
      <c r="K20" s="168" t="s">
        <v>211</v>
      </c>
      <c r="L20" s="820" t="s">
        <v>211</v>
      </c>
      <c r="M20" s="817"/>
      <c r="N20" s="817"/>
      <c r="O20" s="435" t="s">
        <v>211</v>
      </c>
      <c r="P20" s="817"/>
      <c r="Q20" s="817"/>
      <c r="R20" s="817"/>
      <c r="S20" s="92" t="e">
        <v>#REF!</v>
      </c>
      <c r="T20" s="480" t="s">
        <v>211</v>
      </c>
      <c r="U20" s="480" t="s">
        <v>211</v>
      </c>
      <c r="V20" s="818"/>
      <c r="W20" s="434"/>
      <c r="X20" s="434"/>
      <c r="Y20" s="434"/>
      <c r="AM20" s="275">
        <v>0.48194444444444445</v>
      </c>
      <c r="AN20" s="479"/>
      <c r="AO20" s="479"/>
    </row>
    <row r="21" spans="1:41" ht="14.5" customHeight="1" thickBot="1" x14ac:dyDescent="0.4">
      <c r="A21" s="821" t="s">
        <v>354</v>
      </c>
      <c r="B21" s="823" t="s">
        <v>180</v>
      </c>
      <c r="C21" s="167" t="s">
        <v>211</v>
      </c>
      <c r="D21" s="167" t="s">
        <v>211</v>
      </c>
      <c r="E21" s="167">
        <v>0</v>
      </c>
      <c r="F21" s="167">
        <v>0</v>
      </c>
      <c r="G21" s="167">
        <v>0</v>
      </c>
      <c r="H21" s="819" t="s">
        <v>55</v>
      </c>
      <c r="I21" s="167">
        <v>0</v>
      </c>
      <c r="J21" s="819">
        <v>0</v>
      </c>
      <c r="K21" s="167">
        <v>0</v>
      </c>
      <c r="L21" s="819" t="e">
        <v>#NUM!</v>
      </c>
      <c r="M21" s="816">
        <v>11614.4</v>
      </c>
      <c r="N21" s="816">
        <v>11600</v>
      </c>
      <c r="O21" s="435" t="e">
        <v>#NUM!</v>
      </c>
      <c r="P21" s="816">
        <v>11672.4</v>
      </c>
      <c r="Q21" s="816">
        <v>11688</v>
      </c>
      <c r="R21" s="816">
        <v>11645</v>
      </c>
      <c r="S21" s="88" t="e">
        <v>#REF!</v>
      </c>
      <c r="T21" s="480" t="e">
        <v>#REF!</v>
      </c>
      <c r="U21" s="480" t="e">
        <v>#REF!</v>
      </c>
      <c r="V21" s="818" t="e">
        <v>#REF!</v>
      </c>
      <c r="W21" s="434"/>
      <c r="X21" s="434"/>
      <c r="Y21" s="434"/>
      <c r="AM21" s="275">
        <v>0.48958333333333331</v>
      </c>
      <c r="AN21" s="479"/>
      <c r="AO21" s="479" t="s">
        <v>207</v>
      </c>
    </row>
    <row r="22" spans="1:41" ht="14.5" customHeight="1" thickBot="1" x14ac:dyDescent="0.4">
      <c r="A22" s="822"/>
      <c r="B22" s="824"/>
      <c r="C22" s="90" t="s">
        <v>42</v>
      </c>
      <c r="D22" s="168">
        <v>719200</v>
      </c>
      <c r="E22" s="168" t="s">
        <v>211</v>
      </c>
      <c r="F22" s="168">
        <v>0</v>
      </c>
      <c r="G22" s="168" t="s">
        <v>211</v>
      </c>
      <c r="H22" s="825"/>
      <c r="I22" s="168" t="s">
        <v>211</v>
      </c>
      <c r="J22" s="820" t="s">
        <v>211</v>
      </c>
      <c r="K22" s="168" t="s">
        <v>211</v>
      </c>
      <c r="L22" s="820" t="s">
        <v>211</v>
      </c>
      <c r="M22" s="817"/>
      <c r="N22" s="817"/>
      <c r="O22" s="435" t="s">
        <v>211</v>
      </c>
      <c r="P22" s="817"/>
      <c r="Q22" s="817"/>
      <c r="R22" s="817"/>
      <c r="S22" s="92" t="e">
        <v>#REF!</v>
      </c>
      <c r="T22" s="480" t="s">
        <v>211</v>
      </c>
      <c r="U22" s="480" t="s">
        <v>211</v>
      </c>
      <c r="V22" s="818"/>
      <c r="W22" s="434"/>
      <c r="X22" s="434"/>
      <c r="Y22" s="434"/>
      <c r="AM22" s="275">
        <v>0.49236111111111108</v>
      </c>
      <c r="AN22" s="479"/>
      <c r="AO22" s="479"/>
    </row>
    <row r="23" spans="1:41" ht="14.5" customHeight="1" thickBot="1" x14ac:dyDescent="0.4">
      <c r="A23" s="821" t="s">
        <v>471</v>
      </c>
      <c r="B23" s="823" t="s">
        <v>180</v>
      </c>
      <c r="C23" s="167" t="s">
        <v>211</v>
      </c>
      <c r="D23" s="167" t="s">
        <v>211</v>
      </c>
      <c r="E23" s="167">
        <v>32.450000000000003</v>
      </c>
      <c r="F23" s="167">
        <v>1793700</v>
      </c>
      <c r="G23" s="167">
        <v>128906</v>
      </c>
      <c r="H23" s="819" t="s">
        <v>55</v>
      </c>
      <c r="I23" s="167">
        <v>14.9</v>
      </c>
      <c r="J23" s="819">
        <v>11800</v>
      </c>
      <c r="K23" s="167">
        <v>12.3</v>
      </c>
      <c r="L23" s="819">
        <v>2815800</v>
      </c>
      <c r="M23" s="816">
        <v>11617.35</v>
      </c>
      <c r="N23" s="816">
        <v>11650</v>
      </c>
      <c r="O23" s="435">
        <v>-23.741666666666671</v>
      </c>
      <c r="P23" s="816">
        <v>11673.8</v>
      </c>
      <c r="Q23" s="816">
        <v>11688</v>
      </c>
      <c r="R23" s="816">
        <v>11645</v>
      </c>
      <c r="S23" s="88" t="e">
        <v>#REF!</v>
      </c>
      <c r="T23" s="480" t="e">
        <v>#REF!</v>
      </c>
      <c r="U23" s="480" t="e">
        <v>#REF!</v>
      </c>
      <c r="V23" s="818" t="e">
        <v>#REF!</v>
      </c>
      <c r="W23" s="434"/>
      <c r="X23" s="434"/>
      <c r="Y23" s="434"/>
      <c r="AM23" s="275">
        <v>0.5</v>
      </c>
      <c r="AN23" s="479"/>
      <c r="AO23" s="479" t="s">
        <v>207</v>
      </c>
    </row>
    <row r="24" spans="1:41" ht="14.5" customHeight="1" thickBot="1" x14ac:dyDescent="0.4">
      <c r="A24" s="822"/>
      <c r="B24" s="824"/>
      <c r="C24" s="90" t="s">
        <v>42</v>
      </c>
      <c r="D24" s="168">
        <v>11600</v>
      </c>
      <c r="E24" s="168" t="s">
        <v>211</v>
      </c>
      <c r="F24" s="168">
        <v>690075</v>
      </c>
      <c r="G24" s="168" t="s">
        <v>211</v>
      </c>
      <c r="H24" s="825"/>
      <c r="I24" s="168" t="s">
        <v>211</v>
      </c>
      <c r="J24" s="820" t="s">
        <v>211</v>
      </c>
      <c r="K24" s="168" t="s">
        <v>211</v>
      </c>
      <c r="L24" s="820" t="s">
        <v>211</v>
      </c>
      <c r="M24" s="817"/>
      <c r="N24" s="817"/>
      <c r="O24" s="435" t="s">
        <v>211</v>
      </c>
      <c r="P24" s="817"/>
      <c r="Q24" s="817"/>
      <c r="R24" s="817"/>
      <c r="S24" s="92" t="e">
        <v>#REF!</v>
      </c>
      <c r="T24" s="480" t="s">
        <v>211</v>
      </c>
      <c r="U24" s="480" t="s">
        <v>211</v>
      </c>
      <c r="V24" s="818"/>
      <c r="W24" s="434"/>
      <c r="X24" s="434"/>
      <c r="Y24" s="434"/>
      <c r="AM24" s="275">
        <v>0.50277777777777777</v>
      </c>
      <c r="AN24" s="479"/>
      <c r="AO24" s="479"/>
    </row>
    <row r="25" spans="1:41" ht="14.5" customHeight="1" thickBot="1" x14ac:dyDescent="0.4">
      <c r="A25" s="821" t="s">
        <v>472</v>
      </c>
      <c r="B25" s="823" t="s">
        <v>180</v>
      </c>
      <c r="C25" s="167" t="s">
        <v>211</v>
      </c>
      <c r="D25" s="167" t="s">
        <v>211</v>
      </c>
      <c r="E25" s="167">
        <v>32.700000000000003</v>
      </c>
      <c r="F25" s="167">
        <v>1799625</v>
      </c>
      <c r="G25" s="167">
        <v>132809</v>
      </c>
      <c r="H25" s="819" t="s">
        <v>55</v>
      </c>
      <c r="I25" s="167">
        <v>15.02</v>
      </c>
      <c r="J25" s="819">
        <v>11800</v>
      </c>
      <c r="K25" s="167">
        <v>12.15</v>
      </c>
      <c r="L25" s="819">
        <v>2819325</v>
      </c>
      <c r="M25" s="816">
        <v>11616.2</v>
      </c>
      <c r="N25" s="816">
        <v>11650</v>
      </c>
      <c r="O25" s="435">
        <v>-23.616666666666664</v>
      </c>
      <c r="P25" s="816">
        <v>11670.05</v>
      </c>
      <c r="Q25" s="816">
        <v>11688</v>
      </c>
      <c r="R25" s="816">
        <v>11645</v>
      </c>
      <c r="S25" s="88" t="e">
        <v>#REF!</v>
      </c>
      <c r="T25" s="480" t="e">
        <v>#REF!</v>
      </c>
      <c r="U25" s="480" t="e">
        <v>#REF!</v>
      </c>
      <c r="V25" s="818" t="e">
        <v>#REF!</v>
      </c>
      <c r="W25" s="434"/>
      <c r="X25" s="434"/>
      <c r="Y25" s="434"/>
      <c r="AM25" s="275">
        <v>0.51041666666666663</v>
      </c>
      <c r="AN25" s="479"/>
      <c r="AO25" s="479" t="s">
        <v>207</v>
      </c>
    </row>
    <row r="26" spans="1:41" ht="14.5" customHeight="1" thickBot="1" x14ac:dyDescent="0.4">
      <c r="A26" s="822"/>
      <c r="B26" s="824"/>
      <c r="C26" s="90" t="s">
        <v>42</v>
      </c>
      <c r="D26" s="168">
        <v>11600</v>
      </c>
      <c r="E26" s="168" t="s">
        <v>211</v>
      </c>
      <c r="F26" s="168">
        <v>688350</v>
      </c>
      <c r="G26" s="168" t="s">
        <v>211</v>
      </c>
      <c r="H26" s="825"/>
      <c r="I26" s="168" t="s">
        <v>211</v>
      </c>
      <c r="J26" s="820" t="s">
        <v>211</v>
      </c>
      <c r="K26" s="168" t="s">
        <v>211</v>
      </c>
      <c r="L26" s="820" t="s">
        <v>211</v>
      </c>
      <c r="M26" s="817"/>
      <c r="N26" s="817"/>
      <c r="O26" s="435" t="s">
        <v>211</v>
      </c>
      <c r="P26" s="817"/>
      <c r="Q26" s="817"/>
      <c r="R26" s="817"/>
      <c r="S26" s="92" t="e">
        <v>#REF!</v>
      </c>
      <c r="T26" s="480" t="s">
        <v>211</v>
      </c>
      <c r="U26" s="480" t="s">
        <v>211</v>
      </c>
      <c r="V26" s="818"/>
      <c r="W26" s="434"/>
      <c r="X26" s="434"/>
      <c r="Y26" s="434"/>
      <c r="AM26" s="275">
        <v>0.5131944444444444</v>
      </c>
      <c r="AN26" s="479"/>
      <c r="AO26" s="479"/>
    </row>
    <row r="27" spans="1:41" ht="14.5" customHeight="1" thickBot="1" x14ac:dyDescent="0.4">
      <c r="A27" s="821" t="s">
        <v>220</v>
      </c>
      <c r="B27" s="823" t="s">
        <v>180</v>
      </c>
      <c r="C27" s="167" t="s">
        <v>211</v>
      </c>
      <c r="D27" s="167" t="s">
        <v>211</v>
      </c>
      <c r="E27" s="167">
        <v>33.200000000000003</v>
      </c>
      <c r="F27" s="167">
        <v>1784625</v>
      </c>
      <c r="G27" s="167">
        <v>140756</v>
      </c>
      <c r="H27" s="819" t="s">
        <v>55</v>
      </c>
      <c r="I27" s="167">
        <v>14.67</v>
      </c>
      <c r="J27" s="819">
        <v>11800</v>
      </c>
      <c r="K27" s="167">
        <v>12.45</v>
      </c>
      <c r="L27" s="819">
        <v>2804775</v>
      </c>
      <c r="M27" s="816">
        <v>11618.65</v>
      </c>
      <c r="N27" s="816">
        <v>11650</v>
      </c>
      <c r="O27" s="435">
        <v>-22.574999999999999</v>
      </c>
      <c r="P27" s="816">
        <v>11676</v>
      </c>
      <c r="Q27" s="816">
        <v>11688</v>
      </c>
      <c r="R27" s="816">
        <v>11645</v>
      </c>
      <c r="S27" s="88" t="e">
        <v>#REF!</v>
      </c>
      <c r="T27" s="480" t="e">
        <v>#REF!</v>
      </c>
      <c r="U27" s="480" t="e">
        <v>#REF!</v>
      </c>
      <c r="V27" s="818" t="e">
        <v>#REF!</v>
      </c>
      <c r="W27" s="434"/>
      <c r="X27" s="434"/>
      <c r="Y27" s="434"/>
      <c r="AM27" s="275">
        <v>0.52083333333333337</v>
      </c>
      <c r="AN27" s="479"/>
      <c r="AO27" s="479" t="s">
        <v>207</v>
      </c>
    </row>
    <row r="28" spans="1:41" ht="14.5" customHeight="1" thickBot="1" x14ac:dyDescent="0.4">
      <c r="A28" s="822"/>
      <c r="B28" s="824"/>
      <c r="C28" s="90" t="s">
        <v>42</v>
      </c>
      <c r="D28" s="168">
        <v>11600</v>
      </c>
      <c r="E28" s="168" t="s">
        <v>211</v>
      </c>
      <c r="F28" s="168">
        <v>743025</v>
      </c>
      <c r="G28" s="168" t="s">
        <v>211</v>
      </c>
      <c r="H28" s="825"/>
      <c r="I28" s="168" t="s">
        <v>211</v>
      </c>
      <c r="J28" s="820" t="s">
        <v>211</v>
      </c>
      <c r="K28" s="168" t="s">
        <v>211</v>
      </c>
      <c r="L28" s="820" t="s">
        <v>211</v>
      </c>
      <c r="M28" s="817"/>
      <c r="N28" s="817"/>
      <c r="O28" s="435" t="s">
        <v>211</v>
      </c>
      <c r="P28" s="817"/>
      <c r="Q28" s="817"/>
      <c r="R28" s="817"/>
      <c r="S28" s="92" t="e">
        <v>#REF!</v>
      </c>
      <c r="T28" s="480" t="s">
        <v>211</v>
      </c>
      <c r="U28" s="480" t="s">
        <v>211</v>
      </c>
      <c r="V28" s="818"/>
      <c r="W28" s="434"/>
      <c r="X28" s="434"/>
      <c r="Y28" s="434"/>
      <c r="AM28" s="275">
        <v>0.52361111111111114</v>
      </c>
      <c r="AN28" s="479"/>
      <c r="AO28" s="479"/>
    </row>
    <row r="29" spans="1:41" ht="15" customHeight="1" thickBot="1" x14ac:dyDescent="0.4">
      <c r="A29" s="821" t="s">
        <v>473</v>
      </c>
      <c r="B29" s="823" t="s">
        <v>180</v>
      </c>
      <c r="C29" s="167" t="s">
        <v>211</v>
      </c>
      <c r="D29" s="167" t="s">
        <v>211</v>
      </c>
      <c r="E29" s="167">
        <v>33.049999999999997</v>
      </c>
      <c r="F29" s="167">
        <v>1783650</v>
      </c>
      <c r="G29" s="167">
        <v>144032</v>
      </c>
      <c r="H29" s="819" t="s">
        <v>55</v>
      </c>
      <c r="I29" s="167">
        <v>14.9</v>
      </c>
      <c r="J29" s="819">
        <v>11800</v>
      </c>
      <c r="K29" s="167">
        <v>12.2</v>
      </c>
      <c r="L29" s="819">
        <v>2798475</v>
      </c>
      <c r="M29" s="816">
        <v>11617.45</v>
      </c>
      <c r="N29" s="816">
        <v>11650</v>
      </c>
      <c r="O29" s="435">
        <v>-23.175000000000001</v>
      </c>
      <c r="P29" s="816">
        <v>11674</v>
      </c>
      <c r="Q29" s="816">
        <v>11688</v>
      </c>
      <c r="R29" s="816">
        <v>11645</v>
      </c>
      <c r="S29" s="88" t="e">
        <v>#REF!</v>
      </c>
      <c r="T29" s="480" t="e">
        <v>#REF!</v>
      </c>
      <c r="U29" s="480" t="e">
        <v>#REF!</v>
      </c>
      <c r="V29" s="818" t="e">
        <v>#REF!</v>
      </c>
      <c r="W29" s="434"/>
      <c r="X29" s="434"/>
      <c r="Y29" s="434"/>
      <c r="AM29" s="275">
        <v>0.53125</v>
      </c>
      <c r="AO29" s="479" t="s">
        <v>207</v>
      </c>
    </row>
    <row r="30" spans="1:41" ht="15" customHeight="1" thickBot="1" x14ac:dyDescent="0.4">
      <c r="A30" s="822"/>
      <c r="B30" s="824"/>
      <c r="C30" s="90" t="s">
        <v>42</v>
      </c>
      <c r="D30" s="168">
        <v>11600</v>
      </c>
      <c r="E30" s="168" t="s">
        <v>211</v>
      </c>
      <c r="F30" s="168">
        <v>740250</v>
      </c>
      <c r="G30" s="168" t="s">
        <v>211</v>
      </c>
      <c r="H30" s="825"/>
      <c r="I30" s="168" t="s">
        <v>211</v>
      </c>
      <c r="J30" s="820" t="s">
        <v>211</v>
      </c>
      <c r="K30" s="168" t="s">
        <v>211</v>
      </c>
      <c r="L30" s="820" t="s">
        <v>211</v>
      </c>
      <c r="M30" s="817"/>
      <c r="N30" s="817"/>
      <c r="O30" s="435" t="s">
        <v>211</v>
      </c>
      <c r="P30" s="817"/>
      <c r="Q30" s="817"/>
      <c r="R30" s="817"/>
      <c r="S30" s="92" t="e">
        <v>#REF!</v>
      </c>
      <c r="T30" s="480" t="s">
        <v>211</v>
      </c>
      <c r="U30" s="480" t="s">
        <v>211</v>
      </c>
      <c r="V30" s="818"/>
      <c r="W30" s="434"/>
      <c r="X30" s="434"/>
      <c r="Y30" s="434"/>
      <c r="AM30" s="275">
        <v>0.53402777777777777</v>
      </c>
      <c r="AO30" s="479"/>
    </row>
    <row r="31" spans="1:41" ht="15" customHeight="1" thickBot="1" x14ac:dyDescent="0.4">
      <c r="A31" s="821" t="s">
        <v>474</v>
      </c>
      <c r="B31" s="823" t="s">
        <v>180</v>
      </c>
      <c r="C31" s="167" t="s">
        <v>211</v>
      </c>
      <c r="D31" s="167" t="s">
        <v>211</v>
      </c>
      <c r="E31" s="167">
        <v>34.5</v>
      </c>
      <c r="F31" s="167">
        <v>1730550</v>
      </c>
      <c r="G31" s="167">
        <v>155470</v>
      </c>
      <c r="H31" s="819" t="s">
        <v>55</v>
      </c>
      <c r="I31" s="167">
        <v>14.86</v>
      </c>
      <c r="J31" s="819">
        <v>11800</v>
      </c>
      <c r="K31" s="167">
        <v>12.9</v>
      </c>
      <c r="L31" s="819">
        <v>2726475</v>
      </c>
      <c r="M31" s="816">
        <v>11620</v>
      </c>
      <c r="N31" s="816">
        <v>11650</v>
      </c>
      <c r="O31" s="435">
        <v>-20.841666666666672</v>
      </c>
      <c r="P31" s="816">
        <v>11680</v>
      </c>
      <c r="Q31" s="816">
        <v>11695</v>
      </c>
      <c r="R31" s="816">
        <v>11645</v>
      </c>
      <c r="S31" s="88" t="e">
        <v>#REF!</v>
      </c>
      <c r="T31" s="480" t="e">
        <v>#REF!</v>
      </c>
      <c r="U31" s="480" t="e">
        <v>#REF!</v>
      </c>
      <c r="V31" s="818" t="e">
        <v>#REF!</v>
      </c>
      <c r="W31" s="434"/>
      <c r="X31" s="434"/>
      <c r="Y31" s="434"/>
      <c r="AM31" s="275">
        <v>0.54166666666666663</v>
      </c>
      <c r="AO31" s="479" t="s">
        <v>207</v>
      </c>
    </row>
    <row r="32" spans="1:41" ht="15" customHeight="1" thickBot="1" x14ac:dyDescent="0.4">
      <c r="A32" s="822"/>
      <c r="B32" s="824"/>
      <c r="C32" s="90" t="s">
        <v>42</v>
      </c>
      <c r="D32" s="168">
        <v>11600</v>
      </c>
      <c r="E32" s="168" t="s">
        <v>211</v>
      </c>
      <c r="F32" s="168">
        <v>793800</v>
      </c>
      <c r="G32" s="168" t="s">
        <v>211</v>
      </c>
      <c r="H32" s="825"/>
      <c r="I32" s="168" t="s">
        <v>211</v>
      </c>
      <c r="J32" s="820" t="s">
        <v>211</v>
      </c>
      <c r="K32" s="168" t="s">
        <v>211</v>
      </c>
      <c r="L32" s="820" t="s">
        <v>211</v>
      </c>
      <c r="M32" s="817"/>
      <c r="N32" s="817"/>
      <c r="O32" s="435" t="s">
        <v>211</v>
      </c>
      <c r="P32" s="817"/>
      <c r="Q32" s="817"/>
      <c r="R32" s="817"/>
      <c r="S32" s="92" t="e">
        <v>#REF!</v>
      </c>
      <c r="T32" s="480" t="s">
        <v>211</v>
      </c>
      <c r="U32" s="480" t="s">
        <v>211</v>
      </c>
      <c r="V32" s="818"/>
      <c r="W32" s="434"/>
      <c r="X32" s="434"/>
      <c r="Y32" s="434"/>
      <c r="AM32" s="275">
        <v>0.5444444444444444</v>
      </c>
      <c r="AO32" s="479"/>
    </row>
    <row r="33" spans="1:41" ht="15" customHeight="1" thickBot="1" x14ac:dyDescent="0.4">
      <c r="A33" s="821" t="s">
        <v>475</v>
      </c>
      <c r="B33" s="823" t="s">
        <v>180</v>
      </c>
      <c r="C33" s="167" t="s">
        <v>211</v>
      </c>
      <c r="D33" s="167" t="s">
        <v>211</v>
      </c>
      <c r="E33" s="167">
        <v>32.5</v>
      </c>
      <c r="F33" s="167">
        <v>1755300</v>
      </c>
      <c r="G33" s="167">
        <v>164635</v>
      </c>
      <c r="H33" s="819" t="s">
        <v>55</v>
      </c>
      <c r="I33" s="167">
        <v>15.65</v>
      </c>
      <c r="J33" s="819">
        <v>11800</v>
      </c>
      <c r="K33" s="167">
        <v>12.3</v>
      </c>
      <c r="L33" s="819">
        <v>2737350</v>
      </c>
      <c r="M33" s="816">
        <v>11604.6</v>
      </c>
      <c r="N33" s="816">
        <v>11650</v>
      </c>
      <c r="O33" s="435">
        <v>-27.575000000000003</v>
      </c>
      <c r="P33" s="816">
        <v>11662</v>
      </c>
      <c r="Q33" s="816">
        <v>11695</v>
      </c>
      <c r="R33" s="816">
        <v>11645</v>
      </c>
      <c r="S33" s="88" t="e">
        <v>#REF!</v>
      </c>
      <c r="T33" s="480" t="e">
        <v>#REF!</v>
      </c>
      <c r="U33" s="480" t="e">
        <v>#REF!</v>
      </c>
      <c r="V33" s="818" t="e">
        <v>#REF!</v>
      </c>
      <c r="W33" s="434"/>
      <c r="X33" s="434"/>
      <c r="Y33" s="434"/>
      <c r="AM33" s="275">
        <v>0.55208333333333337</v>
      </c>
      <c r="AO33" s="479" t="s">
        <v>207</v>
      </c>
    </row>
    <row r="34" spans="1:41" ht="15" customHeight="1" thickBot="1" x14ac:dyDescent="0.4">
      <c r="A34" s="822"/>
      <c r="B34" s="824"/>
      <c r="C34" s="90" t="s">
        <v>42</v>
      </c>
      <c r="D34" s="168">
        <v>11600</v>
      </c>
      <c r="E34" s="168" t="s">
        <v>211</v>
      </c>
      <c r="F34" s="168">
        <v>738150</v>
      </c>
      <c r="G34" s="168" t="s">
        <v>211</v>
      </c>
      <c r="H34" s="825"/>
      <c r="I34" s="168" t="s">
        <v>211</v>
      </c>
      <c r="J34" s="820" t="s">
        <v>211</v>
      </c>
      <c r="K34" s="168" t="s">
        <v>211</v>
      </c>
      <c r="L34" s="820" t="s">
        <v>211</v>
      </c>
      <c r="M34" s="817"/>
      <c r="N34" s="817"/>
      <c r="O34" s="435" t="s">
        <v>211</v>
      </c>
      <c r="P34" s="817"/>
      <c r="Q34" s="817"/>
      <c r="R34" s="817"/>
      <c r="S34" s="92" t="e">
        <v>#REF!</v>
      </c>
      <c r="T34" s="480" t="s">
        <v>211</v>
      </c>
      <c r="U34" s="480" t="s">
        <v>211</v>
      </c>
      <c r="V34" s="818"/>
      <c r="W34" s="434"/>
      <c r="X34" s="434"/>
      <c r="Y34" s="434"/>
      <c r="AM34" s="275">
        <v>0.55486111111111114</v>
      </c>
      <c r="AO34" s="479"/>
    </row>
    <row r="35" spans="1:41" ht="15" customHeight="1" thickBot="1" x14ac:dyDescent="0.4">
      <c r="A35" s="821" t="s">
        <v>476</v>
      </c>
      <c r="B35" s="823" t="s">
        <v>180</v>
      </c>
      <c r="C35" s="167" t="s">
        <v>211</v>
      </c>
      <c r="D35" s="167" t="s">
        <v>211</v>
      </c>
      <c r="E35" s="167">
        <v>31.8</v>
      </c>
      <c r="F35" s="167">
        <v>1943850</v>
      </c>
      <c r="G35" s="167">
        <v>181037</v>
      </c>
      <c r="H35" s="819" t="s">
        <v>55</v>
      </c>
      <c r="I35" s="167">
        <v>15.47</v>
      </c>
      <c r="J35" s="819">
        <v>11800</v>
      </c>
      <c r="K35" s="167">
        <v>12.05</v>
      </c>
      <c r="L35" s="819">
        <v>2786700</v>
      </c>
      <c r="M35" s="816">
        <v>11605.2</v>
      </c>
      <c r="N35" s="816">
        <v>11650</v>
      </c>
      <c r="O35" s="435">
        <v>-26.266666666666676</v>
      </c>
      <c r="P35" s="816">
        <v>11662.75</v>
      </c>
      <c r="Q35" s="816">
        <v>11695</v>
      </c>
      <c r="R35" s="816">
        <v>11645</v>
      </c>
      <c r="S35" s="88" t="e">
        <v>#REF!</v>
      </c>
      <c r="T35" s="480" t="e">
        <v>#REF!</v>
      </c>
      <c r="U35" s="480" t="e">
        <v>#REF!</v>
      </c>
      <c r="V35" s="818" t="e">
        <v>#REF!</v>
      </c>
      <c r="W35" s="434"/>
      <c r="X35" s="434"/>
      <c r="Y35" s="434"/>
      <c r="AM35" s="275">
        <v>0.5625</v>
      </c>
      <c r="AO35" s="479" t="s">
        <v>207</v>
      </c>
    </row>
    <row r="36" spans="1:41" ht="15" customHeight="1" thickBot="1" x14ac:dyDescent="0.4">
      <c r="A36" s="822"/>
      <c r="B36" s="824"/>
      <c r="C36" s="90" t="s">
        <v>42</v>
      </c>
      <c r="D36" s="168">
        <v>11600</v>
      </c>
      <c r="E36" s="168" t="s">
        <v>211</v>
      </c>
      <c r="F36" s="168">
        <v>591675</v>
      </c>
      <c r="G36" s="168" t="s">
        <v>211</v>
      </c>
      <c r="H36" s="825"/>
      <c r="I36" s="168" t="s">
        <v>211</v>
      </c>
      <c r="J36" s="820" t="s">
        <v>211</v>
      </c>
      <c r="K36" s="168" t="s">
        <v>211</v>
      </c>
      <c r="L36" s="820" t="s">
        <v>211</v>
      </c>
      <c r="M36" s="817"/>
      <c r="N36" s="817"/>
      <c r="O36" s="435" t="s">
        <v>211</v>
      </c>
      <c r="P36" s="817"/>
      <c r="Q36" s="817"/>
      <c r="R36" s="817"/>
      <c r="S36" s="92" t="e">
        <v>#REF!</v>
      </c>
      <c r="T36" s="480" t="s">
        <v>211</v>
      </c>
      <c r="U36" s="480" t="s">
        <v>211</v>
      </c>
      <c r="V36" s="818"/>
      <c r="W36" s="434"/>
      <c r="X36" s="434"/>
      <c r="Y36" s="434"/>
      <c r="AM36" s="275">
        <v>0.56527777777777777</v>
      </c>
      <c r="AO36" s="479"/>
    </row>
    <row r="37" spans="1:41" ht="15" customHeight="1" thickBot="1" x14ac:dyDescent="0.4">
      <c r="A37" s="821" t="s">
        <v>477</v>
      </c>
      <c r="B37" s="823" t="s">
        <v>180</v>
      </c>
      <c r="C37" s="167" t="s">
        <v>211</v>
      </c>
      <c r="D37" s="167" t="s">
        <v>211</v>
      </c>
      <c r="E37" s="167">
        <v>31.3</v>
      </c>
      <c r="F37" s="167">
        <v>1990050</v>
      </c>
      <c r="G37" s="167">
        <v>188441</v>
      </c>
      <c r="H37" s="819" t="s">
        <v>55</v>
      </c>
      <c r="I37" s="167">
        <v>16.059999999999999</v>
      </c>
      <c r="J37" s="819">
        <v>11800</v>
      </c>
      <c r="K37" s="167">
        <v>11.7</v>
      </c>
      <c r="L37" s="819">
        <v>2814900</v>
      </c>
      <c r="M37" s="816">
        <v>11597.65</v>
      </c>
      <c r="N37" s="816">
        <v>11650</v>
      </c>
      <c r="O37" s="435">
        <v>-28.866666666666656</v>
      </c>
      <c r="P37" s="816">
        <v>11659.85</v>
      </c>
      <c r="Q37" s="816">
        <v>11695</v>
      </c>
      <c r="R37" s="816">
        <v>11645</v>
      </c>
      <c r="S37" s="88" t="e">
        <v>#REF!</v>
      </c>
      <c r="T37" s="480" t="e">
        <v>#REF!</v>
      </c>
      <c r="U37" s="480" t="e">
        <v>#REF!</v>
      </c>
      <c r="V37" s="818" t="e">
        <v>#REF!</v>
      </c>
      <c r="W37" s="434"/>
      <c r="X37" s="434"/>
      <c r="Y37" s="434"/>
      <c r="AM37" s="275">
        <v>0.57291666666666663</v>
      </c>
      <c r="AO37" s="479" t="s">
        <v>207</v>
      </c>
    </row>
    <row r="38" spans="1:41" ht="15" customHeight="1" thickBot="1" x14ac:dyDescent="0.4">
      <c r="A38" s="822"/>
      <c r="B38" s="824"/>
      <c r="C38" s="90" t="s">
        <v>42</v>
      </c>
      <c r="D38" s="168">
        <v>11600</v>
      </c>
      <c r="E38" s="168" t="s">
        <v>211</v>
      </c>
      <c r="F38" s="168">
        <v>599475</v>
      </c>
      <c r="G38" s="168" t="s">
        <v>211</v>
      </c>
      <c r="H38" s="825"/>
      <c r="I38" s="168" t="s">
        <v>211</v>
      </c>
      <c r="J38" s="820" t="s">
        <v>211</v>
      </c>
      <c r="K38" s="168" t="s">
        <v>211</v>
      </c>
      <c r="L38" s="820" t="s">
        <v>211</v>
      </c>
      <c r="M38" s="817"/>
      <c r="N38" s="817"/>
      <c r="O38" s="435" t="s">
        <v>211</v>
      </c>
      <c r="P38" s="817"/>
      <c r="Q38" s="817"/>
      <c r="R38" s="817"/>
      <c r="S38" s="92" t="e">
        <v>#REF!</v>
      </c>
      <c r="T38" s="480" t="s">
        <v>211</v>
      </c>
      <c r="U38" s="480" t="s">
        <v>211</v>
      </c>
      <c r="V38" s="818"/>
      <c r="W38" s="434"/>
      <c r="X38" s="434"/>
      <c r="Y38" s="434"/>
      <c r="AM38" s="275">
        <v>0.5756944444444444</v>
      </c>
      <c r="AO38" s="479"/>
    </row>
    <row r="39" spans="1:41" ht="15" customHeight="1" thickBot="1" x14ac:dyDescent="0.4">
      <c r="A39" s="821" t="s">
        <v>478</v>
      </c>
      <c r="B39" s="823" t="s">
        <v>180</v>
      </c>
      <c r="C39" s="167" t="s">
        <v>211</v>
      </c>
      <c r="D39" s="167" t="s">
        <v>211</v>
      </c>
      <c r="E39" s="167">
        <v>31</v>
      </c>
      <c r="F39" s="167">
        <v>2014275</v>
      </c>
      <c r="G39" s="167">
        <v>199038</v>
      </c>
      <c r="H39" s="819" t="s">
        <v>55</v>
      </c>
      <c r="I39" s="167">
        <v>16.260000000000002</v>
      </c>
      <c r="J39" s="819">
        <v>11800</v>
      </c>
      <c r="K39" s="167">
        <v>11.6</v>
      </c>
      <c r="L39" s="819">
        <v>2802750</v>
      </c>
      <c r="M39" s="816">
        <v>11596.55</v>
      </c>
      <c r="N39" s="816">
        <v>11650</v>
      </c>
      <c r="O39" s="435">
        <v>-28.675000000000001</v>
      </c>
      <c r="P39" s="816">
        <v>11661.85</v>
      </c>
      <c r="Q39" s="816">
        <v>11695</v>
      </c>
      <c r="R39" s="816">
        <v>11645</v>
      </c>
      <c r="S39" s="88" t="e">
        <v>#REF!</v>
      </c>
      <c r="T39" s="416" t="e">
        <v>#REF!</v>
      </c>
      <c r="U39" s="480" t="e">
        <v>#REF!</v>
      </c>
      <c r="V39" s="818" t="e">
        <v>#REF!</v>
      </c>
      <c r="W39" s="434"/>
      <c r="X39" s="434"/>
      <c r="Y39" s="434"/>
      <c r="AM39" s="275">
        <v>0.58333333333333337</v>
      </c>
      <c r="AO39" s="479" t="s">
        <v>207</v>
      </c>
    </row>
    <row r="40" spans="1:41" ht="15" customHeight="1" thickBot="1" x14ac:dyDescent="0.4">
      <c r="A40" s="822"/>
      <c r="B40" s="824"/>
      <c r="C40" s="90" t="s">
        <v>42</v>
      </c>
      <c r="D40" s="168">
        <v>11600</v>
      </c>
      <c r="E40" s="168" t="s">
        <v>211</v>
      </c>
      <c r="F40" s="168">
        <v>618300</v>
      </c>
      <c r="G40" s="168" t="s">
        <v>211</v>
      </c>
      <c r="H40" s="825"/>
      <c r="I40" s="168" t="s">
        <v>211</v>
      </c>
      <c r="J40" s="820" t="s">
        <v>211</v>
      </c>
      <c r="K40" s="168" t="s">
        <v>211</v>
      </c>
      <c r="L40" s="820" t="s">
        <v>211</v>
      </c>
      <c r="M40" s="817"/>
      <c r="N40" s="817"/>
      <c r="O40" s="435" t="s">
        <v>211</v>
      </c>
      <c r="P40" s="817"/>
      <c r="Q40" s="817"/>
      <c r="R40" s="817"/>
      <c r="S40" s="92" t="e">
        <v>#REF!</v>
      </c>
      <c r="T40" s="485" t="s">
        <v>211</v>
      </c>
      <c r="U40" s="417" t="s">
        <v>211</v>
      </c>
      <c r="V40" s="818"/>
      <c r="W40" s="434"/>
      <c r="X40" s="434"/>
      <c r="Y40" s="434"/>
      <c r="AM40" s="275">
        <v>0.58611111111111114</v>
      </c>
      <c r="AO40" s="479"/>
    </row>
    <row r="41" spans="1:41" ht="15" customHeight="1" thickBot="1" x14ac:dyDescent="0.4">
      <c r="A41" s="821" t="s">
        <v>479</v>
      </c>
      <c r="B41" s="823" t="s">
        <v>180</v>
      </c>
      <c r="C41" s="167" t="s">
        <v>211</v>
      </c>
      <c r="D41" s="167" t="s">
        <v>211</v>
      </c>
      <c r="E41" s="167">
        <v>31.45</v>
      </c>
      <c r="F41" s="167">
        <v>2065725</v>
      </c>
      <c r="G41" s="167">
        <v>205030</v>
      </c>
      <c r="H41" s="819" t="s">
        <v>55</v>
      </c>
      <c r="I41" s="167">
        <v>16</v>
      </c>
      <c r="J41" s="819">
        <v>11700</v>
      </c>
      <c r="K41" s="167">
        <v>31.45</v>
      </c>
      <c r="L41" s="819">
        <v>2833425</v>
      </c>
      <c r="M41" s="816">
        <v>11605.1</v>
      </c>
      <c r="N41" s="816">
        <v>11650</v>
      </c>
      <c r="O41" s="435">
        <v>-26.833333333333332</v>
      </c>
      <c r="P41" s="816">
        <v>11665</v>
      </c>
      <c r="Q41" s="816">
        <v>11695</v>
      </c>
      <c r="R41" s="816">
        <v>11645</v>
      </c>
      <c r="S41" s="88" t="e">
        <v>#REF!</v>
      </c>
      <c r="T41" s="480" t="e">
        <v>#REF!</v>
      </c>
      <c r="U41" s="480" t="e">
        <v>#REF!</v>
      </c>
      <c r="V41" s="818" t="e">
        <v>#REF!</v>
      </c>
      <c r="W41" s="434"/>
      <c r="X41" s="434"/>
      <c r="Y41" s="434"/>
      <c r="AM41" s="275">
        <v>0.59375</v>
      </c>
      <c r="AO41" s="479" t="s">
        <v>207</v>
      </c>
    </row>
    <row r="42" spans="1:41" ht="15" customHeight="1" thickBot="1" x14ac:dyDescent="0.4">
      <c r="A42" s="822"/>
      <c r="B42" s="824"/>
      <c r="C42" s="90" t="s">
        <v>42</v>
      </c>
      <c r="D42" s="168">
        <v>11600</v>
      </c>
      <c r="E42" s="168" t="s">
        <v>211</v>
      </c>
      <c r="F42" s="168">
        <v>673650</v>
      </c>
      <c r="G42" s="168" t="s">
        <v>211</v>
      </c>
      <c r="H42" s="825"/>
      <c r="I42" s="168" t="s">
        <v>211</v>
      </c>
      <c r="J42" s="820" t="s">
        <v>211</v>
      </c>
      <c r="K42" s="168" t="s">
        <v>211</v>
      </c>
      <c r="L42" s="820" t="s">
        <v>211</v>
      </c>
      <c r="M42" s="817"/>
      <c r="N42" s="817"/>
      <c r="O42" s="435" t="s">
        <v>211</v>
      </c>
      <c r="P42" s="817"/>
      <c r="Q42" s="817"/>
      <c r="R42" s="817"/>
      <c r="S42" s="92" t="e">
        <v>#REF!</v>
      </c>
      <c r="T42" s="413" t="s">
        <v>211</v>
      </c>
      <c r="U42" s="413" t="s">
        <v>211</v>
      </c>
      <c r="V42" s="818"/>
      <c r="W42" s="434"/>
      <c r="X42" s="434"/>
      <c r="Y42" s="434"/>
      <c r="AM42" s="275">
        <v>0.59652777777777777</v>
      </c>
      <c r="AO42" s="479"/>
    </row>
    <row r="43" spans="1:41" ht="15" customHeight="1" thickBot="1" x14ac:dyDescent="0.4">
      <c r="A43" s="821" t="s">
        <v>480</v>
      </c>
      <c r="B43" s="823" t="s">
        <v>180</v>
      </c>
      <c r="C43" s="167" t="s">
        <v>211</v>
      </c>
      <c r="D43" s="167" t="s">
        <v>211</v>
      </c>
      <c r="E43" s="167">
        <v>30.7</v>
      </c>
      <c r="F43" s="167">
        <v>2116050</v>
      </c>
      <c r="G43" s="167">
        <v>211843</v>
      </c>
      <c r="H43" s="819" t="s">
        <v>55</v>
      </c>
      <c r="I43" s="167">
        <v>15.65</v>
      </c>
      <c r="J43" s="819">
        <v>11700</v>
      </c>
      <c r="K43" s="167">
        <v>30.7</v>
      </c>
      <c r="L43" s="819">
        <v>2883750</v>
      </c>
      <c r="M43" s="816">
        <v>11601.15</v>
      </c>
      <c r="N43" s="816">
        <v>11650</v>
      </c>
      <c r="O43" s="435">
        <v>-27.591666666666665</v>
      </c>
      <c r="P43" s="816">
        <v>11666.95</v>
      </c>
      <c r="Q43" s="816">
        <v>11695</v>
      </c>
      <c r="R43" s="816">
        <v>11645</v>
      </c>
      <c r="S43" s="88" t="e">
        <v>#REF!</v>
      </c>
      <c r="T43" s="480" t="e">
        <v>#REF!</v>
      </c>
      <c r="U43" s="480" t="e">
        <v>#REF!</v>
      </c>
      <c r="V43" s="818" t="e">
        <v>#REF!</v>
      </c>
      <c r="W43" s="434"/>
      <c r="X43" s="434"/>
      <c r="Y43" s="434"/>
      <c r="AM43" s="275">
        <v>0.60416666666666663</v>
      </c>
      <c r="AO43" s="479" t="s">
        <v>207</v>
      </c>
    </row>
    <row r="44" spans="1:41" ht="15" customHeight="1" thickBot="1" x14ac:dyDescent="0.4">
      <c r="A44" s="822"/>
      <c r="B44" s="824"/>
      <c r="C44" s="90" t="s">
        <v>42</v>
      </c>
      <c r="D44" s="168">
        <v>11600</v>
      </c>
      <c r="E44" s="168" t="s">
        <v>211</v>
      </c>
      <c r="F44" s="168">
        <v>741225</v>
      </c>
      <c r="G44" s="168" t="s">
        <v>211</v>
      </c>
      <c r="H44" s="825"/>
      <c r="I44" s="168" t="s">
        <v>211</v>
      </c>
      <c r="J44" s="820" t="s">
        <v>211</v>
      </c>
      <c r="K44" s="168" t="s">
        <v>211</v>
      </c>
      <c r="L44" s="820" t="s">
        <v>211</v>
      </c>
      <c r="M44" s="817"/>
      <c r="N44" s="817"/>
      <c r="O44" s="435" t="s">
        <v>211</v>
      </c>
      <c r="P44" s="817"/>
      <c r="Q44" s="817"/>
      <c r="R44" s="817"/>
      <c r="S44" s="92" t="e">
        <v>#REF!</v>
      </c>
      <c r="T44" s="413" t="s">
        <v>211</v>
      </c>
      <c r="U44" s="413" t="s">
        <v>211</v>
      </c>
      <c r="V44" s="818"/>
      <c r="W44" s="434"/>
      <c r="X44" s="434"/>
      <c r="Y44" s="434"/>
      <c r="AM44" s="275">
        <v>0.6069444444444444</v>
      </c>
      <c r="AO44" s="479"/>
    </row>
    <row r="45" spans="1:41" ht="15" customHeight="1" thickBot="1" x14ac:dyDescent="0.4">
      <c r="A45" s="821" t="s">
        <v>481</v>
      </c>
      <c r="B45" s="823" t="s">
        <v>180</v>
      </c>
      <c r="C45" s="167" t="s">
        <v>211</v>
      </c>
      <c r="D45" s="167" t="s">
        <v>211</v>
      </c>
      <c r="E45" s="167">
        <v>27.55</v>
      </c>
      <c r="F45" s="167">
        <v>2206350</v>
      </c>
      <c r="G45" s="167">
        <v>236539</v>
      </c>
      <c r="H45" s="819" t="s">
        <v>55</v>
      </c>
      <c r="I45" s="167">
        <v>16.2</v>
      </c>
      <c r="J45" s="819">
        <v>11700</v>
      </c>
      <c r="K45" s="167">
        <v>27.55</v>
      </c>
      <c r="L45" s="819">
        <v>2974050</v>
      </c>
      <c r="M45" s="816">
        <v>11584.4</v>
      </c>
      <c r="N45" s="816">
        <v>11650</v>
      </c>
      <c r="O45" s="435">
        <v>-10.524999999999999</v>
      </c>
      <c r="P45" s="816">
        <v>11648.5</v>
      </c>
      <c r="Q45" s="816">
        <v>11695</v>
      </c>
      <c r="R45" s="816">
        <v>11631.55</v>
      </c>
      <c r="S45" s="88" t="e">
        <v>#REF!</v>
      </c>
      <c r="T45" s="480" t="e">
        <v>#REF!</v>
      </c>
      <c r="U45" s="480" t="e">
        <v>#REF!</v>
      </c>
      <c r="V45" s="818" t="e">
        <v>#REF!</v>
      </c>
      <c r="W45" s="434"/>
      <c r="X45" s="434"/>
      <c r="Y45" s="434"/>
      <c r="AM45" s="275">
        <v>0.61458333333333337</v>
      </c>
      <c r="AO45" s="479" t="s">
        <v>207</v>
      </c>
    </row>
    <row r="46" spans="1:41" ht="15" customHeight="1" thickBot="1" x14ac:dyDescent="0.4">
      <c r="A46" s="822"/>
      <c r="B46" s="824"/>
      <c r="C46" s="90" t="s">
        <v>42</v>
      </c>
      <c r="D46" s="168">
        <v>11600</v>
      </c>
      <c r="E46" s="168" t="s">
        <v>211</v>
      </c>
      <c r="F46" s="168">
        <v>668625</v>
      </c>
      <c r="G46" s="168" t="s">
        <v>211</v>
      </c>
      <c r="H46" s="825"/>
      <c r="I46" s="168" t="s">
        <v>211</v>
      </c>
      <c r="J46" s="820" t="s">
        <v>211</v>
      </c>
      <c r="K46" s="168" t="s">
        <v>211</v>
      </c>
      <c r="L46" s="820" t="s">
        <v>211</v>
      </c>
      <c r="M46" s="817"/>
      <c r="N46" s="817"/>
      <c r="O46" s="435" t="s">
        <v>211</v>
      </c>
      <c r="P46" s="817"/>
      <c r="Q46" s="817"/>
      <c r="R46" s="817"/>
      <c r="S46" s="92" t="e">
        <v>#REF!</v>
      </c>
      <c r="T46" s="413" t="s">
        <v>211</v>
      </c>
      <c r="U46" s="413" t="s">
        <v>211</v>
      </c>
      <c r="V46" s="818"/>
      <c r="W46" s="434"/>
      <c r="X46" s="434"/>
      <c r="Y46" s="434"/>
      <c r="AM46" s="275">
        <v>0.61736111111111114</v>
      </c>
      <c r="AO46" s="479"/>
    </row>
    <row r="47" spans="1:41" ht="15" customHeight="1" thickBot="1" x14ac:dyDescent="0.4">
      <c r="A47" s="821" t="s">
        <v>482</v>
      </c>
      <c r="B47" s="823" t="s">
        <v>180</v>
      </c>
      <c r="C47" s="167" t="s">
        <v>211</v>
      </c>
      <c r="D47" s="167" t="s">
        <v>211</v>
      </c>
      <c r="E47" s="167">
        <v>29.1</v>
      </c>
      <c r="F47" s="167">
        <v>2215725</v>
      </c>
      <c r="G47" s="167">
        <v>257878</v>
      </c>
      <c r="H47" s="819" t="s">
        <v>55</v>
      </c>
      <c r="I47" s="167">
        <v>15.99</v>
      </c>
      <c r="J47" s="819">
        <v>11700</v>
      </c>
      <c r="K47" s="167">
        <v>29.1</v>
      </c>
      <c r="L47" s="819">
        <v>2983425</v>
      </c>
      <c r="M47" s="816">
        <v>11597.7</v>
      </c>
      <c r="N47" s="816">
        <v>11650</v>
      </c>
      <c r="O47" s="435">
        <v>-7.6499999999999986</v>
      </c>
      <c r="P47" s="816">
        <v>11660</v>
      </c>
      <c r="Q47" s="816">
        <v>11695</v>
      </c>
      <c r="R47" s="816">
        <v>11626.85</v>
      </c>
      <c r="S47" s="818" t="e">
        <v>#REF!</v>
      </c>
      <c r="T47" s="480" t="e">
        <v>#REF!</v>
      </c>
      <c r="U47" s="414" t="e">
        <v>#REF!</v>
      </c>
      <c r="V47" s="818" t="e">
        <v>#REF!</v>
      </c>
      <c r="W47" s="434"/>
      <c r="X47" s="434"/>
      <c r="Y47" s="434"/>
      <c r="AM47" s="275">
        <v>0.625</v>
      </c>
      <c r="AO47" s="479" t="s">
        <v>207</v>
      </c>
    </row>
    <row r="48" spans="1:41" ht="15" customHeight="1" thickBot="1" x14ac:dyDescent="0.4">
      <c r="A48" s="822"/>
      <c r="B48" s="824"/>
      <c r="C48" s="90" t="s">
        <v>42</v>
      </c>
      <c r="D48" s="168">
        <v>11600</v>
      </c>
      <c r="E48" s="168" t="s">
        <v>211</v>
      </c>
      <c r="F48" s="168">
        <v>623100</v>
      </c>
      <c r="G48" s="168" t="s">
        <v>211</v>
      </c>
      <c r="H48" s="825"/>
      <c r="I48" s="168" t="s">
        <v>211</v>
      </c>
      <c r="J48" s="820" t="s">
        <v>211</v>
      </c>
      <c r="K48" s="168" t="s">
        <v>211</v>
      </c>
      <c r="L48" s="820" t="s">
        <v>211</v>
      </c>
      <c r="M48" s="817"/>
      <c r="N48" s="817"/>
      <c r="O48" s="435" t="s">
        <v>211</v>
      </c>
      <c r="P48" s="817"/>
      <c r="Q48" s="817"/>
      <c r="R48" s="817"/>
      <c r="S48" s="818" t="e">
        <v>#REF!</v>
      </c>
      <c r="T48" s="413" t="s">
        <v>211</v>
      </c>
      <c r="U48" s="481" t="s">
        <v>211</v>
      </c>
      <c r="V48" s="818"/>
      <c r="W48" s="434"/>
      <c r="X48" s="434"/>
      <c r="Y48" s="434"/>
      <c r="AM48" s="275">
        <v>0.62777777777777777</v>
      </c>
      <c r="AO48" s="479"/>
    </row>
    <row r="49" spans="1:41" ht="15" customHeight="1" thickBot="1" x14ac:dyDescent="0.4">
      <c r="A49" s="821" t="s">
        <v>483</v>
      </c>
      <c r="B49" s="823" t="s">
        <v>180</v>
      </c>
      <c r="C49" s="167" t="s">
        <v>211</v>
      </c>
      <c r="D49" s="167" t="s">
        <v>211</v>
      </c>
      <c r="E49" s="167">
        <v>28.5</v>
      </c>
      <c r="F49" s="167">
        <v>2137350</v>
      </c>
      <c r="G49" s="167">
        <v>270995</v>
      </c>
      <c r="H49" s="819" t="s">
        <v>55</v>
      </c>
      <c r="I49" s="167">
        <v>14.97</v>
      </c>
      <c r="J49" s="819">
        <v>11800</v>
      </c>
      <c r="K49" s="167">
        <v>10.5</v>
      </c>
      <c r="L49" s="819">
        <v>2912775</v>
      </c>
      <c r="M49" s="816">
        <v>11596.65</v>
      </c>
      <c r="N49" s="816">
        <v>11650</v>
      </c>
      <c r="O49" s="435">
        <v>-6.716666666666665</v>
      </c>
      <c r="P49" s="816">
        <v>11655.2</v>
      </c>
      <c r="Q49" s="816">
        <v>11695</v>
      </c>
      <c r="R49" s="816">
        <v>11626.85</v>
      </c>
      <c r="S49" s="88" t="e">
        <v>#REF!</v>
      </c>
      <c r="T49" s="480" t="e">
        <v>#REF!</v>
      </c>
      <c r="U49" s="480" t="e">
        <v>#REF!</v>
      </c>
      <c r="V49" s="818" t="e">
        <v>#REF!</v>
      </c>
      <c r="W49" s="434"/>
      <c r="X49" s="434"/>
      <c r="Y49" s="434"/>
      <c r="AM49" s="275">
        <v>0.63541666666666663</v>
      </c>
      <c r="AO49" s="479" t="s">
        <v>207</v>
      </c>
    </row>
    <row r="50" spans="1:41" ht="15" customHeight="1" thickBot="1" x14ac:dyDescent="0.4">
      <c r="A50" s="822"/>
      <c r="B50" s="824"/>
      <c r="C50" s="90" t="s">
        <v>42</v>
      </c>
      <c r="D50" s="168">
        <v>11600</v>
      </c>
      <c r="E50" s="168" t="s">
        <v>211</v>
      </c>
      <c r="F50" s="168">
        <v>675675</v>
      </c>
      <c r="G50" s="168" t="s">
        <v>211</v>
      </c>
      <c r="H50" s="825"/>
      <c r="I50" s="168" t="s">
        <v>211</v>
      </c>
      <c r="J50" s="820" t="s">
        <v>211</v>
      </c>
      <c r="K50" s="168" t="s">
        <v>211</v>
      </c>
      <c r="L50" s="820" t="s">
        <v>211</v>
      </c>
      <c r="M50" s="817"/>
      <c r="N50" s="817"/>
      <c r="O50" s="435" t="s">
        <v>211</v>
      </c>
      <c r="P50" s="817"/>
      <c r="Q50" s="817"/>
      <c r="R50" s="817"/>
      <c r="S50" s="92" t="e">
        <v>#REF!</v>
      </c>
      <c r="T50" s="413" t="s">
        <v>211</v>
      </c>
      <c r="U50" s="413" t="s">
        <v>211</v>
      </c>
      <c r="V50" s="818"/>
      <c r="W50" s="434"/>
      <c r="X50" s="434"/>
      <c r="Y50" s="434"/>
      <c r="AM50" s="275">
        <v>0.6381944444444444</v>
      </c>
      <c r="AO50" s="479"/>
    </row>
    <row r="51" spans="1:41" ht="15" customHeight="1" thickBot="1" x14ac:dyDescent="0.4">
      <c r="A51" s="821" t="s">
        <v>484</v>
      </c>
      <c r="B51" s="823" t="s">
        <v>180</v>
      </c>
      <c r="C51" s="167" t="s">
        <v>211</v>
      </c>
      <c r="D51" s="167" t="s">
        <v>211</v>
      </c>
      <c r="E51" s="167">
        <v>28.5</v>
      </c>
      <c r="F51" s="167">
        <v>1877175</v>
      </c>
      <c r="G51" s="167">
        <v>293671</v>
      </c>
      <c r="H51" s="819" t="s">
        <v>55</v>
      </c>
      <c r="I51" s="167">
        <v>15.83</v>
      </c>
      <c r="J51" s="819">
        <v>11800</v>
      </c>
      <c r="K51" s="167">
        <v>10.5</v>
      </c>
      <c r="L51" s="819">
        <v>2754300</v>
      </c>
      <c r="M51" s="816">
        <v>11592.25</v>
      </c>
      <c r="N51" s="816">
        <v>11650</v>
      </c>
      <c r="O51" s="435">
        <v>-12.749999999999996</v>
      </c>
      <c r="P51" s="816">
        <v>11652.1</v>
      </c>
      <c r="Q51" s="816">
        <v>11695</v>
      </c>
      <c r="R51" s="816">
        <v>11626.85</v>
      </c>
      <c r="S51" s="88" t="e">
        <v>#REF!</v>
      </c>
      <c r="T51" s="480" t="e">
        <v>#REF!</v>
      </c>
      <c r="U51" s="480" t="e">
        <v>#REF!</v>
      </c>
      <c r="V51" s="818" t="e">
        <v>#REF!</v>
      </c>
      <c r="W51" s="434"/>
      <c r="X51" s="434"/>
      <c r="Y51" s="434"/>
      <c r="AM51" s="275">
        <v>0.64583333333333337</v>
      </c>
      <c r="AO51" s="479" t="s">
        <v>207</v>
      </c>
    </row>
    <row r="52" spans="1:41" ht="15" customHeight="1" thickBot="1" x14ac:dyDescent="0.4">
      <c r="A52" s="822"/>
      <c r="B52" s="824"/>
      <c r="C52" s="90" t="s">
        <v>42</v>
      </c>
      <c r="D52" s="168">
        <v>11600</v>
      </c>
      <c r="E52" s="168" t="s">
        <v>211</v>
      </c>
      <c r="F52" s="168">
        <v>454800</v>
      </c>
      <c r="G52" s="168" t="s">
        <v>211</v>
      </c>
      <c r="H52" s="825"/>
      <c r="I52" s="168" t="s">
        <v>211</v>
      </c>
      <c r="J52" s="820" t="s">
        <v>211</v>
      </c>
      <c r="K52" s="168" t="s">
        <v>211</v>
      </c>
      <c r="L52" s="820" t="s">
        <v>211</v>
      </c>
      <c r="M52" s="817"/>
      <c r="N52" s="817"/>
      <c r="O52" s="435" t="s">
        <v>211</v>
      </c>
      <c r="P52" s="817"/>
      <c r="Q52" s="817"/>
      <c r="R52" s="817"/>
      <c r="S52" s="92" t="e">
        <v>#REF!</v>
      </c>
      <c r="T52" s="415" t="s">
        <v>211</v>
      </c>
      <c r="U52" s="415" t="s">
        <v>211</v>
      </c>
      <c r="V52" s="818"/>
      <c r="W52" s="434"/>
      <c r="X52" s="434"/>
      <c r="Y52" s="434"/>
      <c r="AM52" s="275">
        <v>0.64861111111111114</v>
      </c>
      <c r="AO52" s="479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C4A0E-EBE9-429E-BE98-140EF57B1DDD}">
  <sheetPr codeName="Sheet32"/>
  <dimension ref="A1:AS52"/>
  <sheetViews>
    <sheetView workbookViewId="0">
      <selection activeCell="H9" sqref="H9:H10"/>
    </sheetView>
  </sheetViews>
  <sheetFormatPr defaultColWidth="9.1796875" defaultRowHeight="14.5" x14ac:dyDescent="0.35"/>
  <cols>
    <col min="1" max="1" width="9.1796875" style="469"/>
    <col min="2" max="2" width="9.1796875" style="274"/>
    <col min="3" max="3" width="5.453125" style="469" customWidth="1"/>
    <col min="4" max="4" width="8.453125" style="469" customWidth="1"/>
    <col min="5" max="5" width="8.7265625" style="469" customWidth="1"/>
    <col min="6" max="6" width="12.7265625" style="468" customWidth="1"/>
    <col min="7" max="7" width="13" style="468" customWidth="1"/>
    <col min="8" max="9" width="6.453125" style="469" customWidth="1"/>
    <col min="10" max="10" width="10.08984375" style="469" customWidth="1"/>
    <col min="11" max="11" width="8" style="469" customWidth="1"/>
    <col min="12" max="12" width="13.54296875" style="468" customWidth="1"/>
    <col min="13" max="13" width="8.26953125" style="469" customWidth="1"/>
    <col min="14" max="14" width="9.453125" style="469" hidden="1" customWidth="1"/>
    <col min="15" max="15" width="12.453125" style="469" bestFit="1" customWidth="1"/>
    <col min="16" max="18" width="9.1796875" style="469"/>
    <col min="19" max="19" width="5.453125" style="469" hidden="1" customWidth="1"/>
    <col min="20" max="20" width="6.81640625" style="469" hidden="1" customWidth="1"/>
    <col min="21" max="22" width="0" style="469" hidden="1" customWidth="1"/>
    <col min="23" max="25" width="9.1796875" style="469"/>
    <col min="26" max="26" width="9.453125" style="469" customWidth="1"/>
    <col min="27" max="38" width="9.1796875" style="469"/>
    <col min="39" max="40" width="7.90625" style="469" bestFit="1" customWidth="1"/>
    <col min="41" max="41" width="9.6328125" style="469" bestFit="1" customWidth="1"/>
    <col min="42" max="44" width="9.1796875" style="469"/>
    <col min="45" max="45" width="0" style="469" hidden="1" customWidth="1"/>
    <col min="46" max="16384" width="9.1796875" style="469"/>
  </cols>
  <sheetData>
    <row r="1" spans="1:45" ht="14.5" customHeight="1" thickBot="1" x14ac:dyDescent="0.4">
      <c r="A1" s="80"/>
      <c r="B1" s="273"/>
      <c r="C1" s="647" t="s">
        <v>35</v>
      </c>
      <c r="D1" s="811"/>
      <c r="E1" s="811"/>
      <c r="F1" s="811"/>
      <c r="G1" s="811"/>
      <c r="H1" s="473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">
        <v>451</v>
      </c>
      <c r="R1" s="814"/>
      <c r="S1" s="810" t="s">
        <v>87</v>
      </c>
      <c r="T1" s="811"/>
      <c r="U1" s="811"/>
      <c r="V1" s="815"/>
      <c r="W1" s="432"/>
      <c r="X1" s="432"/>
      <c r="Y1" s="432"/>
      <c r="Z1" s="470"/>
      <c r="AA1" s="470"/>
      <c r="AB1" s="470"/>
      <c r="AC1" s="470"/>
      <c r="AD1" s="470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472" t="s">
        <v>54</v>
      </c>
      <c r="D2" s="471" t="s">
        <v>14</v>
      </c>
      <c r="E2" s="471" t="s">
        <v>6</v>
      </c>
      <c r="F2" s="166" t="s">
        <v>35</v>
      </c>
      <c r="G2" s="166" t="s">
        <v>37</v>
      </c>
      <c r="H2" s="473" t="s">
        <v>43</v>
      </c>
      <c r="I2" s="81" t="s">
        <v>88</v>
      </c>
      <c r="J2" s="472" t="s">
        <v>14</v>
      </c>
      <c r="K2" s="471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70"/>
      <c r="AA2" s="470"/>
      <c r="AB2" s="271" t="s">
        <v>97</v>
      </c>
      <c r="AC2" s="272" t="s">
        <v>98</v>
      </c>
      <c r="AD2" s="470"/>
      <c r="AS2" s="470" t="s">
        <v>99</v>
      </c>
    </row>
    <row r="3" spans="1:45" ht="14.5" customHeight="1" thickBot="1" x14ac:dyDescent="0.4">
      <c r="A3" s="821" t="s">
        <v>211</v>
      </c>
      <c r="B3" s="823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9" t="s">
        <v>211</v>
      </c>
      <c r="I3" s="167" t="s">
        <v>211</v>
      </c>
      <c r="J3" s="819" t="s">
        <v>211</v>
      </c>
      <c r="K3" s="167" t="s">
        <v>211</v>
      </c>
      <c r="L3" s="819" t="s">
        <v>211</v>
      </c>
      <c r="M3" s="816" t="s">
        <v>211</v>
      </c>
      <c r="N3" s="816" t="s">
        <v>211</v>
      </c>
      <c r="O3" s="435" t="s">
        <v>211</v>
      </c>
      <c r="P3" s="816" t="s">
        <v>211</v>
      </c>
      <c r="Q3" s="816" t="s">
        <v>211</v>
      </c>
      <c r="R3" s="816" t="s">
        <v>211</v>
      </c>
      <c r="S3" s="88" t="s">
        <v>211</v>
      </c>
      <c r="T3" s="474" t="s">
        <v>211</v>
      </c>
      <c r="U3" s="474" t="s">
        <v>211</v>
      </c>
      <c r="V3" s="818" t="s">
        <v>211</v>
      </c>
      <c r="W3" s="434"/>
      <c r="X3" s="434"/>
      <c r="Y3" s="434"/>
      <c r="Z3" s="470"/>
      <c r="AA3" s="470"/>
      <c r="AB3" s="470"/>
      <c r="AC3" s="470"/>
      <c r="AD3" s="470"/>
      <c r="AL3" s="470" t="s">
        <v>171</v>
      </c>
      <c r="AM3" s="275">
        <v>0.39583333333333331</v>
      </c>
      <c r="AN3" s="89">
        <v>43591.446890162035</v>
      </c>
      <c r="AO3" s="470" t="s">
        <v>207</v>
      </c>
      <c r="AS3" s="470" t="s">
        <v>98</v>
      </c>
    </row>
    <row r="4" spans="1:45" ht="14.5" customHeight="1" thickBot="1" x14ac:dyDescent="0.4">
      <c r="A4" s="822"/>
      <c r="B4" s="824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20"/>
      <c r="I4" s="168" t="s">
        <v>211</v>
      </c>
      <c r="J4" s="820" t="s">
        <v>211</v>
      </c>
      <c r="K4" s="168" t="s">
        <v>211</v>
      </c>
      <c r="L4" s="820" t="s">
        <v>211</v>
      </c>
      <c r="M4" s="817"/>
      <c r="N4" s="817"/>
      <c r="O4" s="435" t="s">
        <v>211</v>
      </c>
      <c r="P4" s="817"/>
      <c r="Q4" s="817"/>
      <c r="R4" s="817"/>
      <c r="S4" s="92" t="s">
        <v>211</v>
      </c>
      <c r="T4" s="474" t="s">
        <v>211</v>
      </c>
      <c r="U4" s="474" t="s">
        <v>211</v>
      </c>
      <c r="V4" s="818"/>
      <c r="W4" s="434"/>
      <c r="X4" s="434"/>
      <c r="Y4" s="434"/>
      <c r="Z4" s="470"/>
      <c r="AA4" s="470"/>
      <c r="AB4" s="470"/>
      <c r="AC4" s="470"/>
      <c r="AD4" s="470"/>
      <c r="AL4" s="470" t="s">
        <v>172</v>
      </c>
      <c r="AM4" s="275">
        <v>0.39861111111111108</v>
      </c>
      <c r="AN4" s="470"/>
      <c r="AO4" s="470"/>
    </row>
    <row r="5" spans="1:45" ht="14.5" customHeight="1" thickBot="1" x14ac:dyDescent="0.4">
      <c r="A5" s="821" t="s">
        <v>452</v>
      </c>
      <c r="B5" s="823" t="s">
        <v>180</v>
      </c>
      <c r="C5" s="167" t="s">
        <v>211</v>
      </c>
      <c r="D5" s="167" t="s">
        <v>211</v>
      </c>
      <c r="E5" s="167">
        <v>46</v>
      </c>
      <c r="F5" s="167">
        <v>204150</v>
      </c>
      <c r="G5" s="167">
        <v>180627</v>
      </c>
      <c r="H5" s="819" t="s">
        <v>55</v>
      </c>
      <c r="I5" s="167">
        <v>8.9499999999999993</v>
      </c>
      <c r="J5" s="819">
        <v>11800</v>
      </c>
      <c r="K5" s="167">
        <v>46</v>
      </c>
      <c r="L5" s="819">
        <v>703800</v>
      </c>
      <c r="M5" s="816">
        <v>11752.3</v>
      </c>
      <c r="N5" s="816">
        <v>11700</v>
      </c>
      <c r="O5" s="435">
        <v>6.4750000000000085</v>
      </c>
      <c r="P5" s="816">
        <v>11789</v>
      </c>
      <c r="Q5" s="816">
        <v>11790.45</v>
      </c>
      <c r="R5" s="816">
        <v>11735</v>
      </c>
      <c r="S5" s="88" t="e">
        <v>#REF!</v>
      </c>
      <c r="T5" s="474" t="e">
        <v>#REF!</v>
      </c>
      <c r="U5" s="474" t="e">
        <v>#REF!</v>
      </c>
      <c r="V5" s="818" t="e">
        <v>#REF!</v>
      </c>
      <c r="W5" s="434"/>
      <c r="X5" s="434"/>
      <c r="Y5" s="434"/>
      <c r="Z5" s="470"/>
      <c r="AA5" s="470"/>
      <c r="AB5" s="470"/>
      <c r="AC5" s="470"/>
      <c r="AD5" s="470"/>
      <c r="AM5" s="275">
        <v>0.40625</v>
      </c>
      <c r="AN5" s="470"/>
      <c r="AO5" s="470" t="s">
        <v>207</v>
      </c>
    </row>
    <row r="6" spans="1:45" ht="14.5" customHeight="1" thickBot="1" x14ac:dyDescent="0.4">
      <c r="A6" s="822"/>
      <c r="B6" s="824"/>
      <c r="C6" s="90" t="s">
        <v>42</v>
      </c>
      <c r="D6" s="168">
        <v>11700</v>
      </c>
      <c r="E6" s="168" t="s">
        <v>211</v>
      </c>
      <c r="F6" s="168">
        <v>146850</v>
      </c>
      <c r="G6" s="168">
        <v>226557</v>
      </c>
      <c r="H6" s="825"/>
      <c r="I6" s="168" t="s">
        <v>211</v>
      </c>
      <c r="J6" s="820" t="s">
        <v>211</v>
      </c>
      <c r="K6" s="168" t="s">
        <v>211</v>
      </c>
      <c r="L6" s="820" t="s">
        <v>211</v>
      </c>
      <c r="M6" s="817"/>
      <c r="N6" s="817"/>
      <c r="O6" s="435" t="s">
        <v>211</v>
      </c>
      <c r="P6" s="817"/>
      <c r="Q6" s="817"/>
      <c r="R6" s="817"/>
      <c r="S6" s="92" t="e">
        <v>#REF!</v>
      </c>
      <c r="T6" s="474" t="s">
        <v>211</v>
      </c>
      <c r="U6" s="474" t="s">
        <v>211</v>
      </c>
      <c r="V6" s="818"/>
      <c r="W6" s="434"/>
      <c r="X6" s="434"/>
      <c r="Y6" s="434"/>
      <c r="Z6" s="470"/>
      <c r="AA6" s="470"/>
      <c r="AB6" s="470"/>
      <c r="AC6" s="470"/>
      <c r="AD6" s="470"/>
      <c r="AM6" s="275">
        <v>0.40902777777777777</v>
      </c>
      <c r="AN6" s="470"/>
      <c r="AO6" s="470"/>
    </row>
    <row r="7" spans="1:45" ht="14.5" customHeight="1" thickBot="1" x14ac:dyDescent="0.4">
      <c r="A7" s="821" t="s">
        <v>437</v>
      </c>
      <c r="B7" s="823" t="s">
        <v>180</v>
      </c>
      <c r="C7" s="167" t="s">
        <v>211</v>
      </c>
      <c r="D7" s="167" t="s">
        <v>211</v>
      </c>
      <c r="E7" s="167">
        <v>44.9</v>
      </c>
      <c r="F7" s="167">
        <v>230025</v>
      </c>
      <c r="G7" s="167">
        <v>180627</v>
      </c>
      <c r="H7" s="819" t="s">
        <v>55</v>
      </c>
      <c r="I7" s="167">
        <v>9.35</v>
      </c>
      <c r="J7" s="819">
        <v>11800</v>
      </c>
      <c r="K7" s="167">
        <v>44.9</v>
      </c>
      <c r="L7" s="819">
        <v>729675</v>
      </c>
      <c r="M7" s="816">
        <v>11741.25</v>
      </c>
      <c r="N7" s="816">
        <v>11700</v>
      </c>
      <c r="O7" s="435">
        <v>-3.1083333333333343</v>
      </c>
      <c r="P7" s="816">
        <v>11779.9</v>
      </c>
      <c r="Q7" s="816">
        <v>11792</v>
      </c>
      <c r="R7" s="816">
        <v>11735</v>
      </c>
      <c r="S7" s="88" t="e">
        <v>#REF!</v>
      </c>
      <c r="T7" s="474" t="e">
        <v>#REF!</v>
      </c>
      <c r="U7" s="474" t="e">
        <v>#REF!</v>
      </c>
      <c r="V7" s="818" t="e">
        <v>#REF!</v>
      </c>
      <c r="W7" s="434"/>
      <c r="X7" s="434"/>
      <c r="Y7" s="434"/>
      <c r="Z7" s="470"/>
      <c r="AA7" s="470"/>
      <c r="AB7" s="470"/>
      <c r="AC7" s="470"/>
      <c r="AD7" s="470"/>
      <c r="AM7" s="275">
        <v>0.41666666666666669</v>
      </c>
      <c r="AN7" s="470"/>
      <c r="AO7" s="470" t="s">
        <v>364</v>
      </c>
    </row>
    <row r="8" spans="1:45" ht="14.5" customHeight="1" thickBot="1" x14ac:dyDescent="0.4">
      <c r="A8" s="822"/>
      <c r="B8" s="824"/>
      <c r="C8" s="90" t="s">
        <v>42</v>
      </c>
      <c r="D8" s="168">
        <v>11700</v>
      </c>
      <c r="E8" s="168" t="s">
        <v>211</v>
      </c>
      <c r="F8" s="168">
        <v>232125</v>
      </c>
      <c r="G8" s="168">
        <v>226557</v>
      </c>
      <c r="H8" s="825"/>
      <c r="I8" s="168" t="s">
        <v>211</v>
      </c>
      <c r="J8" s="820" t="s">
        <v>211</v>
      </c>
      <c r="K8" s="168" t="s">
        <v>211</v>
      </c>
      <c r="L8" s="820" t="s">
        <v>211</v>
      </c>
      <c r="M8" s="817"/>
      <c r="N8" s="817"/>
      <c r="O8" s="435" t="s">
        <v>211</v>
      </c>
      <c r="P8" s="817"/>
      <c r="Q8" s="817"/>
      <c r="R8" s="817"/>
      <c r="S8" s="92" t="e">
        <v>#REF!</v>
      </c>
      <c r="T8" s="474" t="s">
        <v>211</v>
      </c>
      <c r="U8" s="474" t="s">
        <v>211</v>
      </c>
      <c r="V8" s="818"/>
      <c r="W8" s="434"/>
      <c r="X8" s="434"/>
      <c r="Y8" s="434"/>
      <c r="Z8" s="470"/>
      <c r="AA8" s="470"/>
      <c r="AB8" s="470"/>
      <c r="AC8" s="470"/>
      <c r="AD8" s="470"/>
      <c r="AM8" s="275">
        <v>0.41944444444444445</v>
      </c>
      <c r="AN8" s="470"/>
      <c r="AO8" s="470"/>
    </row>
    <row r="9" spans="1:45" ht="14.5" customHeight="1" thickBot="1" x14ac:dyDescent="0.4">
      <c r="A9" s="821" t="s">
        <v>423</v>
      </c>
      <c r="B9" s="823" t="s">
        <v>180</v>
      </c>
      <c r="C9" s="167" t="s">
        <v>211</v>
      </c>
      <c r="D9" s="167" t="s">
        <v>211</v>
      </c>
      <c r="E9" s="167">
        <v>58.1</v>
      </c>
      <c r="F9" s="167">
        <v>247950</v>
      </c>
      <c r="G9" s="167">
        <v>180627</v>
      </c>
      <c r="H9" s="819" t="s">
        <v>55</v>
      </c>
      <c r="I9" s="167">
        <v>8.6199999999999992</v>
      </c>
      <c r="J9" s="819">
        <v>11800</v>
      </c>
      <c r="K9" s="167">
        <v>58.1</v>
      </c>
      <c r="L9" s="819">
        <v>747600</v>
      </c>
      <c r="M9" s="816">
        <v>11777.45</v>
      </c>
      <c r="N9" s="816">
        <v>11700</v>
      </c>
      <c r="O9" s="435">
        <v>16.933333333333334</v>
      </c>
      <c r="P9" s="816">
        <v>11822.05</v>
      </c>
      <c r="Q9" s="816">
        <v>11825.25</v>
      </c>
      <c r="R9" s="816">
        <v>11735</v>
      </c>
      <c r="S9" s="88" t="e">
        <v>#REF!</v>
      </c>
      <c r="T9" s="474" t="e">
        <v>#REF!</v>
      </c>
      <c r="U9" s="474" t="e">
        <v>#REF!</v>
      </c>
      <c r="V9" s="818" t="e">
        <v>#REF!</v>
      </c>
      <c r="W9" s="434"/>
      <c r="X9" s="434"/>
      <c r="Y9" s="434"/>
      <c r="Z9" s="470"/>
      <c r="AA9" s="470"/>
      <c r="AB9" s="718" t="s">
        <v>165</v>
      </c>
      <c r="AC9" s="719"/>
      <c r="AD9" s="719"/>
      <c r="AM9" s="275">
        <v>0.42708333333333331</v>
      </c>
      <c r="AN9" s="470"/>
      <c r="AO9" s="470" t="s">
        <v>364</v>
      </c>
    </row>
    <row r="10" spans="1:45" ht="14.5" customHeight="1" thickBot="1" x14ac:dyDescent="0.4">
      <c r="A10" s="822"/>
      <c r="B10" s="824"/>
      <c r="C10" s="90" t="s">
        <v>42</v>
      </c>
      <c r="D10" s="168">
        <v>11700</v>
      </c>
      <c r="E10" s="168" t="s">
        <v>211</v>
      </c>
      <c r="F10" s="168">
        <v>294900</v>
      </c>
      <c r="G10" s="168">
        <v>226557</v>
      </c>
      <c r="H10" s="825"/>
      <c r="I10" s="168" t="s">
        <v>211</v>
      </c>
      <c r="J10" s="820" t="s">
        <v>211</v>
      </c>
      <c r="K10" s="168" t="s">
        <v>211</v>
      </c>
      <c r="L10" s="820" t="s">
        <v>211</v>
      </c>
      <c r="M10" s="817"/>
      <c r="N10" s="817"/>
      <c r="O10" s="435" t="s">
        <v>211</v>
      </c>
      <c r="P10" s="817"/>
      <c r="Q10" s="817"/>
      <c r="R10" s="817"/>
      <c r="S10" s="92" t="e">
        <v>#REF!</v>
      </c>
      <c r="T10" s="474" t="s">
        <v>211</v>
      </c>
      <c r="U10" s="474" t="s">
        <v>211</v>
      </c>
      <c r="V10" s="818"/>
      <c r="W10" s="434"/>
      <c r="X10" s="434"/>
      <c r="Y10" s="434"/>
      <c r="Z10" s="470"/>
      <c r="AA10" s="470"/>
      <c r="AB10" s="718" t="s">
        <v>365</v>
      </c>
      <c r="AC10" s="719"/>
      <c r="AD10" s="719"/>
      <c r="AM10" s="275">
        <v>0.42986111111111108</v>
      </c>
      <c r="AN10" s="470"/>
      <c r="AO10" s="470"/>
    </row>
    <row r="11" spans="1:45" ht="14.5" customHeight="1" thickBot="1" x14ac:dyDescent="0.4">
      <c r="A11" s="821" t="s">
        <v>453</v>
      </c>
      <c r="B11" s="823" t="s">
        <v>180</v>
      </c>
      <c r="C11" s="167" t="s">
        <v>211</v>
      </c>
      <c r="D11" s="167" t="s">
        <v>211</v>
      </c>
      <c r="E11" s="167">
        <v>57.45</v>
      </c>
      <c r="F11" s="167">
        <v>240825</v>
      </c>
      <c r="G11" s="167">
        <v>180627</v>
      </c>
      <c r="H11" s="819" t="s">
        <v>61</v>
      </c>
      <c r="I11" s="167">
        <v>8.57</v>
      </c>
      <c r="J11" s="819">
        <v>11800</v>
      </c>
      <c r="K11" s="167">
        <v>57.45</v>
      </c>
      <c r="L11" s="819">
        <v>740475</v>
      </c>
      <c r="M11" s="816">
        <v>11778.25</v>
      </c>
      <c r="N11" s="816">
        <v>11700</v>
      </c>
      <c r="O11" s="435">
        <v>15.308333333333337</v>
      </c>
      <c r="P11" s="816">
        <v>11821.05</v>
      </c>
      <c r="Q11" s="816">
        <v>11830</v>
      </c>
      <c r="R11" s="816">
        <v>11735</v>
      </c>
      <c r="S11" s="88" t="e">
        <v>#REF!</v>
      </c>
      <c r="T11" s="474" t="e">
        <v>#REF!</v>
      </c>
      <c r="U11" s="474" t="e">
        <v>#REF!</v>
      </c>
      <c r="V11" s="818" t="e">
        <v>#REF!</v>
      </c>
      <c r="W11" s="434"/>
      <c r="X11" s="434"/>
      <c r="Y11" s="434"/>
      <c r="Z11" s="470"/>
      <c r="AA11" s="470"/>
      <c r="AB11" s="718" t="s">
        <v>366</v>
      </c>
      <c r="AC11" s="718"/>
      <c r="AD11" s="718"/>
      <c r="AM11" s="275">
        <v>0.4375</v>
      </c>
      <c r="AN11" s="470"/>
      <c r="AO11" s="470" t="s">
        <v>364</v>
      </c>
    </row>
    <row r="12" spans="1:45" ht="14.5" customHeight="1" thickBot="1" x14ac:dyDescent="0.4">
      <c r="A12" s="822"/>
      <c r="B12" s="824"/>
      <c r="C12" s="90" t="s">
        <v>42</v>
      </c>
      <c r="D12" s="168">
        <v>11700</v>
      </c>
      <c r="E12" s="168" t="s">
        <v>211</v>
      </c>
      <c r="F12" s="168">
        <v>343650</v>
      </c>
      <c r="G12" s="168">
        <v>19665</v>
      </c>
      <c r="H12" s="825"/>
      <c r="I12" s="168" t="s">
        <v>211</v>
      </c>
      <c r="J12" s="820" t="s">
        <v>211</v>
      </c>
      <c r="K12" s="168" t="s">
        <v>211</v>
      </c>
      <c r="L12" s="820" t="s">
        <v>211</v>
      </c>
      <c r="M12" s="817"/>
      <c r="N12" s="817"/>
      <c r="O12" s="435" t="s">
        <v>211</v>
      </c>
      <c r="P12" s="817"/>
      <c r="Q12" s="817"/>
      <c r="R12" s="817"/>
      <c r="S12" s="92" t="e">
        <v>#REF!</v>
      </c>
      <c r="T12" s="474" t="s">
        <v>211</v>
      </c>
      <c r="U12" s="474" t="s">
        <v>211</v>
      </c>
      <c r="V12" s="818"/>
      <c r="W12" s="434"/>
      <c r="X12" s="434"/>
      <c r="Y12" s="434"/>
      <c r="Z12" s="470"/>
      <c r="AA12" s="470"/>
      <c r="AB12" s="718" t="s">
        <v>167</v>
      </c>
      <c r="AC12" s="718"/>
      <c r="AD12" s="718"/>
      <c r="AM12" s="275">
        <v>0.44027777777777777</v>
      </c>
      <c r="AN12" s="470"/>
      <c r="AO12" s="470"/>
    </row>
    <row r="13" spans="1:45" ht="14.5" customHeight="1" thickBot="1" x14ac:dyDescent="0.4">
      <c r="A13" s="821" t="s">
        <v>454</v>
      </c>
      <c r="B13" s="823" t="s">
        <v>180</v>
      </c>
      <c r="C13" s="167" t="s">
        <v>211</v>
      </c>
      <c r="D13" s="167" t="s">
        <v>211</v>
      </c>
      <c r="E13" s="167">
        <v>57</v>
      </c>
      <c r="F13" s="167">
        <v>263100</v>
      </c>
      <c r="G13" s="167">
        <v>21123</v>
      </c>
      <c r="H13" s="819" t="s">
        <v>61</v>
      </c>
      <c r="I13" s="167">
        <v>8.64</v>
      </c>
      <c r="J13" s="819">
        <v>11800</v>
      </c>
      <c r="K13" s="167">
        <v>57</v>
      </c>
      <c r="L13" s="819">
        <v>762750</v>
      </c>
      <c r="M13" s="816">
        <v>11781.95</v>
      </c>
      <c r="N13" s="816">
        <v>11700</v>
      </c>
      <c r="O13" s="435">
        <v>10.708333333333329</v>
      </c>
      <c r="P13" s="816">
        <v>11823.7</v>
      </c>
      <c r="Q13" s="816">
        <v>11830</v>
      </c>
      <c r="R13" s="816">
        <v>11735</v>
      </c>
      <c r="S13" s="88" t="e">
        <v>#REF!</v>
      </c>
      <c r="T13" s="474" t="e">
        <v>#REF!</v>
      </c>
      <c r="U13" s="474" t="e">
        <v>#REF!</v>
      </c>
      <c r="V13" s="818" t="e">
        <v>#REF!</v>
      </c>
      <c r="W13" s="434"/>
      <c r="X13" s="434"/>
      <c r="Y13" s="434"/>
      <c r="Z13" s="470"/>
      <c r="AA13" s="470"/>
      <c r="AB13" s="718" t="s">
        <v>168</v>
      </c>
      <c r="AC13" s="718"/>
      <c r="AD13" s="718"/>
      <c r="AM13" s="275">
        <v>0.44791666666666669</v>
      </c>
      <c r="AN13" s="470"/>
      <c r="AO13" s="470" t="s">
        <v>364</v>
      </c>
    </row>
    <row r="14" spans="1:45" ht="14.5" customHeight="1" thickBot="1" x14ac:dyDescent="0.4">
      <c r="A14" s="822"/>
      <c r="B14" s="824"/>
      <c r="C14" s="90" t="s">
        <v>42</v>
      </c>
      <c r="D14" s="168">
        <v>11700</v>
      </c>
      <c r="E14" s="168" t="s">
        <v>211</v>
      </c>
      <c r="F14" s="168">
        <v>449100</v>
      </c>
      <c r="G14" s="168" t="s">
        <v>211</v>
      </c>
      <c r="H14" s="825"/>
      <c r="I14" s="168" t="s">
        <v>211</v>
      </c>
      <c r="J14" s="820" t="s">
        <v>211</v>
      </c>
      <c r="K14" s="168" t="s">
        <v>211</v>
      </c>
      <c r="L14" s="820" t="s">
        <v>211</v>
      </c>
      <c r="M14" s="817"/>
      <c r="N14" s="817"/>
      <c r="O14" s="435" t="s">
        <v>211</v>
      </c>
      <c r="P14" s="817"/>
      <c r="Q14" s="817"/>
      <c r="R14" s="817"/>
      <c r="S14" s="92" t="e">
        <v>#REF!</v>
      </c>
      <c r="T14" s="474" t="s">
        <v>211</v>
      </c>
      <c r="U14" s="474" t="s">
        <v>211</v>
      </c>
      <c r="V14" s="818"/>
      <c r="W14" s="434"/>
      <c r="X14" s="434"/>
      <c r="Y14" s="434"/>
      <c r="AM14" s="275">
        <v>0.45069444444444445</v>
      </c>
      <c r="AN14" s="470"/>
      <c r="AO14" s="470"/>
    </row>
    <row r="15" spans="1:45" ht="14.5" customHeight="1" thickBot="1" x14ac:dyDescent="0.4">
      <c r="A15" s="821" t="s">
        <v>455</v>
      </c>
      <c r="B15" s="823" t="s">
        <v>180</v>
      </c>
      <c r="C15" s="167" t="s">
        <v>211</v>
      </c>
      <c r="D15" s="167" t="s">
        <v>211</v>
      </c>
      <c r="E15" s="167">
        <v>53.75</v>
      </c>
      <c r="F15" s="167">
        <v>268575</v>
      </c>
      <c r="G15" s="167">
        <v>22694</v>
      </c>
      <c r="H15" s="819" t="s">
        <v>61</v>
      </c>
      <c r="I15" s="167">
        <v>8.41</v>
      </c>
      <c r="J15" s="819">
        <v>11800</v>
      </c>
      <c r="K15" s="167">
        <v>53.75</v>
      </c>
      <c r="L15" s="819">
        <v>768225</v>
      </c>
      <c r="M15" s="816">
        <v>11768.55</v>
      </c>
      <c r="N15" s="816">
        <v>11700</v>
      </c>
      <c r="O15" s="435">
        <v>7.2250000000000085</v>
      </c>
      <c r="P15" s="816">
        <v>11813.85</v>
      </c>
      <c r="Q15" s="816">
        <v>11834.4</v>
      </c>
      <c r="R15" s="816">
        <v>11735</v>
      </c>
      <c r="S15" s="88" t="e">
        <v>#REF!</v>
      </c>
      <c r="T15" s="474" t="e">
        <v>#REF!</v>
      </c>
      <c r="U15" s="474" t="e">
        <v>#REF!</v>
      </c>
      <c r="V15" s="818" t="e">
        <v>#REF!</v>
      </c>
      <c r="W15" s="434"/>
      <c r="X15" s="434"/>
      <c r="Y15" s="434"/>
      <c r="AM15" s="275">
        <v>0.45833333333333331</v>
      </c>
      <c r="AN15" s="470"/>
      <c r="AO15" s="470" t="s">
        <v>207</v>
      </c>
    </row>
    <row r="16" spans="1:45" ht="14.5" customHeight="1" thickBot="1" x14ac:dyDescent="0.4">
      <c r="A16" s="822"/>
      <c r="B16" s="824"/>
      <c r="C16" s="90" t="s">
        <v>42</v>
      </c>
      <c r="D16" s="168">
        <v>11700</v>
      </c>
      <c r="E16" s="168" t="s">
        <v>211</v>
      </c>
      <c r="F16" s="168">
        <v>587100</v>
      </c>
      <c r="G16" s="168" t="s">
        <v>211</v>
      </c>
      <c r="H16" s="825"/>
      <c r="I16" s="168" t="s">
        <v>211</v>
      </c>
      <c r="J16" s="820" t="s">
        <v>211</v>
      </c>
      <c r="K16" s="168" t="s">
        <v>211</v>
      </c>
      <c r="L16" s="820" t="s">
        <v>211</v>
      </c>
      <c r="M16" s="817"/>
      <c r="N16" s="817"/>
      <c r="O16" s="435" t="s">
        <v>211</v>
      </c>
      <c r="P16" s="817"/>
      <c r="Q16" s="817"/>
      <c r="R16" s="817"/>
      <c r="S16" s="92" t="e">
        <v>#REF!</v>
      </c>
      <c r="T16" s="474" t="s">
        <v>211</v>
      </c>
      <c r="U16" s="474" t="s">
        <v>211</v>
      </c>
      <c r="V16" s="818"/>
      <c r="W16" s="434"/>
      <c r="X16" s="434"/>
      <c r="Y16" s="434"/>
      <c r="AM16" s="275">
        <v>0.46111111111111108</v>
      </c>
      <c r="AN16" s="470"/>
      <c r="AO16" s="470"/>
    </row>
    <row r="17" spans="1:41" ht="14.5" customHeight="1" thickBot="1" x14ac:dyDescent="0.4">
      <c r="A17" s="821" t="s">
        <v>215</v>
      </c>
      <c r="B17" s="823" t="s">
        <v>180</v>
      </c>
      <c r="C17" s="167" t="s">
        <v>211</v>
      </c>
      <c r="D17" s="167" t="s">
        <v>211</v>
      </c>
      <c r="E17" s="167">
        <v>54.45</v>
      </c>
      <c r="F17" s="167">
        <v>288600</v>
      </c>
      <c r="G17" s="167">
        <v>24248</v>
      </c>
      <c r="H17" s="819" t="s">
        <v>61</v>
      </c>
      <c r="I17" s="167">
        <v>8.77</v>
      </c>
      <c r="J17" s="819">
        <v>11800</v>
      </c>
      <c r="K17" s="167">
        <v>54.45</v>
      </c>
      <c r="L17" s="819">
        <v>788250</v>
      </c>
      <c r="M17" s="816">
        <v>11770.8</v>
      </c>
      <c r="N17" s="816">
        <v>11700</v>
      </c>
      <c r="O17" s="435">
        <v>8.11666666666666</v>
      </c>
      <c r="P17" s="816">
        <v>11815</v>
      </c>
      <c r="Q17" s="816">
        <v>11834.4</v>
      </c>
      <c r="R17" s="816">
        <v>11735</v>
      </c>
      <c r="S17" s="88" t="e">
        <v>#REF!</v>
      </c>
      <c r="T17" s="474" t="e">
        <v>#REF!</v>
      </c>
      <c r="U17" s="474" t="e">
        <v>#REF!</v>
      </c>
      <c r="V17" s="818" t="e">
        <v>#REF!</v>
      </c>
      <c r="W17" s="434"/>
      <c r="X17" s="434"/>
      <c r="Y17" s="434"/>
      <c r="AM17" s="275">
        <v>0.46875</v>
      </c>
      <c r="AN17" s="470"/>
      <c r="AO17" s="470" t="s">
        <v>207</v>
      </c>
    </row>
    <row r="18" spans="1:41" ht="14.5" customHeight="1" thickBot="1" x14ac:dyDescent="0.4">
      <c r="A18" s="822"/>
      <c r="B18" s="824"/>
      <c r="C18" s="90" t="s">
        <v>42</v>
      </c>
      <c r="D18" s="168">
        <v>11700</v>
      </c>
      <c r="E18" s="168" t="s">
        <v>211</v>
      </c>
      <c r="F18" s="168">
        <v>592575</v>
      </c>
      <c r="G18" s="168" t="s">
        <v>211</v>
      </c>
      <c r="H18" s="825"/>
      <c r="I18" s="168" t="s">
        <v>211</v>
      </c>
      <c r="J18" s="820" t="s">
        <v>211</v>
      </c>
      <c r="K18" s="168" t="s">
        <v>211</v>
      </c>
      <c r="L18" s="820" t="s">
        <v>211</v>
      </c>
      <c r="M18" s="817"/>
      <c r="N18" s="817"/>
      <c r="O18" s="435" t="s">
        <v>211</v>
      </c>
      <c r="P18" s="817"/>
      <c r="Q18" s="817"/>
      <c r="R18" s="817"/>
      <c r="S18" s="92" t="e">
        <v>#REF!</v>
      </c>
      <c r="T18" s="474" t="s">
        <v>211</v>
      </c>
      <c r="U18" s="474" t="s">
        <v>211</v>
      </c>
      <c r="V18" s="818"/>
      <c r="W18" s="434"/>
      <c r="X18" s="434"/>
      <c r="Y18" s="434"/>
      <c r="AM18" s="275">
        <v>0.47152777777777777</v>
      </c>
      <c r="AN18" s="470"/>
      <c r="AO18" s="470"/>
    </row>
    <row r="19" spans="1:41" ht="14.5" customHeight="1" thickBot="1" x14ac:dyDescent="0.4">
      <c r="A19" s="821" t="s">
        <v>456</v>
      </c>
      <c r="B19" s="823" t="s">
        <v>180</v>
      </c>
      <c r="C19" s="167" t="s">
        <v>211</v>
      </c>
      <c r="D19" s="167" t="s">
        <v>211</v>
      </c>
      <c r="E19" s="167">
        <v>54.35</v>
      </c>
      <c r="F19" s="167">
        <v>309075</v>
      </c>
      <c r="G19" s="167">
        <v>25474</v>
      </c>
      <c r="H19" s="819" t="s">
        <v>61</v>
      </c>
      <c r="I19" s="167">
        <v>8.8800000000000008</v>
      </c>
      <c r="J19" s="819">
        <v>11800</v>
      </c>
      <c r="K19" s="167">
        <v>54.35</v>
      </c>
      <c r="L19" s="819">
        <v>808725</v>
      </c>
      <c r="M19" s="816">
        <v>11771.4</v>
      </c>
      <c r="N19" s="816">
        <v>11700</v>
      </c>
      <c r="O19" s="435">
        <v>8.1333333333333258</v>
      </c>
      <c r="P19" s="816">
        <v>11813.35</v>
      </c>
      <c r="Q19" s="816">
        <v>11834.4</v>
      </c>
      <c r="R19" s="816">
        <v>11735</v>
      </c>
      <c r="S19" s="88" t="e">
        <v>#REF!</v>
      </c>
      <c r="T19" s="474" t="e">
        <v>#REF!</v>
      </c>
      <c r="U19" s="474" t="e">
        <v>#REF!</v>
      </c>
      <c r="V19" s="818" t="e">
        <v>#REF!</v>
      </c>
      <c r="W19" s="434"/>
      <c r="X19" s="434"/>
      <c r="Y19" s="434"/>
      <c r="AM19" s="275">
        <v>0.47916666666666669</v>
      </c>
      <c r="AN19" s="470"/>
      <c r="AO19" s="470" t="s">
        <v>207</v>
      </c>
    </row>
    <row r="20" spans="1:41" ht="14.5" customHeight="1" thickBot="1" x14ac:dyDescent="0.4">
      <c r="A20" s="822"/>
      <c r="B20" s="824"/>
      <c r="C20" s="90" t="s">
        <v>42</v>
      </c>
      <c r="D20" s="168">
        <v>11700</v>
      </c>
      <c r="E20" s="168" t="s">
        <v>211</v>
      </c>
      <c r="F20" s="168">
        <v>603600</v>
      </c>
      <c r="G20" s="168" t="s">
        <v>211</v>
      </c>
      <c r="H20" s="825"/>
      <c r="I20" s="168" t="s">
        <v>211</v>
      </c>
      <c r="J20" s="820" t="s">
        <v>211</v>
      </c>
      <c r="K20" s="168" t="s">
        <v>211</v>
      </c>
      <c r="L20" s="820" t="s">
        <v>211</v>
      </c>
      <c r="M20" s="817"/>
      <c r="N20" s="817"/>
      <c r="O20" s="435" t="s">
        <v>211</v>
      </c>
      <c r="P20" s="817"/>
      <c r="Q20" s="817"/>
      <c r="R20" s="817"/>
      <c r="S20" s="92" t="e">
        <v>#REF!</v>
      </c>
      <c r="T20" s="474" t="s">
        <v>211</v>
      </c>
      <c r="U20" s="474" t="s">
        <v>211</v>
      </c>
      <c r="V20" s="818"/>
      <c r="W20" s="434"/>
      <c r="X20" s="434"/>
      <c r="Y20" s="434"/>
      <c r="AM20" s="275">
        <v>0.48194444444444445</v>
      </c>
      <c r="AN20" s="470"/>
      <c r="AO20" s="470"/>
    </row>
    <row r="21" spans="1:41" ht="14.5" customHeight="1" thickBot="1" x14ac:dyDescent="0.4">
      <c r="A21" s="821" t="s">
        <v>457</v>
      </c>
      <c r="B21" s="823" t="s">
        <v>180</v>
      </c>
      <c r="C21" s="167" t="s">
        <v>211</v>
      </c>
      <c r="D21" s="167" t="s">
        <v>211</v>
      </c>
      <c r="E21" s="167">
        <v>52.7</v>
      </c>
      <c r="F21" s="167">
        <v>337125</v>
      </c>
      <c r="G21" s="167">
        <v>27158</v>
      </c>
      <c r="H21" s="819" t="s">
        <v>61</v>
      </c>
      <c r="I21" s="167">
        <v>8.9700000000000006</v>
      </c>
      <c r="J21" s="819">
        <v>11800</v>
      </c>
      <c r="K21" s="167">
        <v>52.7</v>
      </c>
      <c r="L21" s="819">
        <v>836775</v>
      </c>
      <c r="M21" s="816">
        <v>11766.7</v>
      </c>
      <c r="N21" s="816">
        <v>11700</v>
      </c>
      <c r="O21" s="435">
        <v>5.8416666666666686</v>
      </c>
      <c r="P21" s="816">
        <v>11812.2</v>
      </c>
      <c r="Q21" s="816">
        <v>11834.4</v>
      </c>
      <c r="R21" s="816">
        <v>11735</v>
      </c>
      <c r="S21" s="88" t="e">
        <v>#REF!</v>
      </c>
      <c r="T21" s="474" t="e">
        <v>#REF!</v>
      </c>
      <c r="U21" s="474" t="e">
        <v>#REF!</v>
      </c>
      <c r="V21" s="818" t="e">
        <v>#REF!</v>
      </c>
      <c r="W21" s="434"/>
      <c r="X21" s="434"/>
      <c r="Y21" s="434"/>
      <c r="AM21" s="275">
        <v>0.48958333333333331</v>
      </c>
      <c r="AN21" s="470"/>
      <c r="AO21" s="470" t="s">
        <v>207</v>
      </c>
    </row>
    <row r="22" spans="1:41" ht="14.5" customHeight="1" thickBot="1" x14ac:dyDescent="0.4">
      <c r="A22" s="822"/>
      <c r="B22" s="824"/>
      <c r="C22" s="90" t="s">
        <v>42</v>
      </c>
      <c r="D22" s="168">
        <v>11700</v>
      </c>
      <c r="E22" s="168" t="s">
        <v>211</v>
      </c>
      <c r="F22" s="168">
        <v>612525</v>
      </c>
      <c r="G22" s="168" t="s">
        <v>211</v>
      </c>
      <c r="H22" s="825"/>
      <c r="I22" s="168" t="s">
        <v>211</v>
      </c>
      <c r="J22" s="820" t="s">
        <v>211</v>
      </c>
      <c r="K22" s="168" t="s">
        <v>211</v>
      </c>
      <c r="L22" s="820" t="s">
        <v>211</v>
      </c>
      <c r="M22" s="817"/>
      <c r="N22" s="817"/>
      <c r="O22" s="435" t="s">
        <v>211</v>
      </c>
      <c r="P22" s="817"/>
      <c r="Q22" s="817"/>
      <c r="R22" s="817"/>
      <c r="S22" s="92" t="e">
        <v>#REF!</v>
      </c>
      <c r="T22" s="474" t="s">
        <v>211</v>
      </c>
      <c r="U22" s="474" t="s">
        <v>211</v>
      </c>
      <c r="V22" s="818"/>
      <c r="W22" s="434"/>
      <c r="X22" s="434"/>
      <c r="Y22" s="434"/>
      <c r="AM22" s="275">
        <v>0.49236111111111108</v>
      </c>
      <c r="AN22" s="470"/>
      <c r="AO22" s="470"/>
    </row>
    <row r="23" spans="1:41" ht="14.5" customHeight="1" thickBot="1" x14ac:dyDescent="0.4">
      <c r="A23" s="821" t="s">
        <v>458</v>
      </c>
      <c r="B23" s="823" t="s">
        <v>180</v>
      </c>
      <c r="C23" s="167" t="s">
        <v>211</v>
      </c>
      <c r="D23" s="167" t="s">
        <v>211</v>
      </c>
      <c r="E23" s="167">
        <v>51.25</v>
      </c>
      <c r="F23" s="167">
        <v>340125</v>
      </c>
      <c r="G23" s="167">
        <v>28588</v>
      </c>
      <c r="H23" s="819" t="s">
        <v>61</v>
      </c>
      <c r="I23" s="167">
        <v>9.42</v>
      </c>
      <c r="J23" s="819">
        <v>11800</v>
      </c>
      <c r="K23" s="167">
        <v>51.25</v>
      </c>
      <c r="L23" s="819">
        <v>839775</v>
      </c>
      <c r="M23" s="816">
        <v>11758.8</v>
      </c>
      <c r="N23" s="816">
        <v>11700</v>
      </c>
      <c r="O23" s="435">
        <v>5.3083333333333229</v>
      </c>
      <c r="P23" s="816">
        <v>11803.25</v>
      </c>
      <c r="Q23" s="816">
        <v>11834.4</v>
      </c>
      <c r="R23" s="816">
        <v>11735</v>
      </c>
      <c r="S23" s="88" t="e">
        <v>#REF!</v>
      </c>
      <c r="T23" s="474" t="e">
        <v>#REF!</v>
      </c>
      <c r="U23" s="474" t="e">
        <v>#REF!</v>
      </c>
      <c r="V23" s="818" t="e">
        <v>#REF!</v>
      </c>
      <c r="W23" s="434"/>
      <c r="X23" s="434"/>
      <c r="Y23" s="434"/>
      <c r="AM23" s="275">
        <v>0.5</v>
      </c>
      <c r="AN23" s="470"/>
      <c r="AO23" s="470" t="s">
        <v>207</v>
      </c>
    </row>
    <row r="24" spans="1:41" ht="14.5" customHeight="1" thickBot="1" x14ac:dyDescent="0.4">
      <c r="A24" s="822"/>
      <c r="B24" s="824"/>
      <c r="C24" s="90" t="s">
        <v>42</v>
      </c>
      <c r="D24" s="168">
        <v>11700</v>
      </c>
      <c r="E24" s="168" t="s">
        <v>211</v>
      </c>
      <c r="F24" s="168">
        <v>781950</v>
      </c>
      <c r="G24" s="168" t="s">
        <v>211</v>
      </c>
      <c r="H24" s="825"/>
      <c r="I24" s="168" t="s">
        <v>211</v>
      </c>
      <c r="J24" s="820" t="s">
        <v>211</v>
      </c>
      <c r="K24" s="168" t="s">
        <v>211</v>
      </c>
      <c r="L24" s="820" t="s">
        <v>211</v>
      </c>
      <c r="M24" s="817"/>
      <c r="N24" s="817"/>
      <c r="O24" s="435" t="s">
        <v>211</v>
      </c>
      <c r="P24" s="817"/>
      <c r="Q24" s="817"/>
      <c r="R24" s="817"/>
      <c r="S24" s="92" t="e">
        <v>#REF!</v>
      </c>
      <c r="T24" s="474" t="s">
        <v>211</v>
      </c>
      <c r="U24" s="474" t="s">
        <v>211</v>
      </c>
      <c r="V24" s="818"/>
      <c r="W24" s="434"/>
      <c r="X24" s="434"/>
      <c r="Y24" s="434"/>
      <c r="AM24" s="275">
        <v>0.50277777777777777</v>
      </c>
      <c r="AN24" s="470"/>
      <c r="AO24" s="470"/>
    </row>
    <row r="25" spans="1:41" ht="14.5" customHeight="1" thickBot="1" x14ac:dyDescent="0.4">
      <c r="A25" s="821" t="s">
        <v>459</v>
      </c>
      <c r="B25" s="823" t="s">
        <v>180</v>
      </c>
      <c r="C25" s="167" t="s">
        <v>211</v>
      </c>
      <c r="D25" s="167" t="s">
        <v>211</v>
      </c>
      <c r="E25" s="167">
        <v>49.5</v>
      </c>
      <c r="F25" s="167">
        <v>372600</v>
      </c>
      <c r="G25" s="167">
        <v>30512</v>
      </c>
      <c r="H25" s="819" t="s">
        <v>61</v>
      </c>
      <c r="I25" s="167">
        <v>9.69</v>
      </c>
      <c r="J25" s="819">
        <v>11800</v>
      </c>
      <c r="K25" s="167">
        <v>49.5</v>
      </c>
      <c r="L25" s="819">
        <v>872250</v>
      </c>
      <c r="M25" s="816">
        <v>11746.95</v>
      </c>
      <c r="N25" s="816">
        <v>11700</v>
      </c>
      <c r="O25" s="435">
        <v>2.4583333333333286</v>
      </c>
      <c r="P25" s="816">
        <v>11798.45</v>
      </c>
      <c r="Q25" s="816">
        <v>11834.4</v>
      </c>
      <c r="R25" s="816">
        <v>11735</v>
      </c>
      <c r="S25" s="88" t="e">
        <v>#REF!</v>
      </c>
      <c r="T25" s="474" t="e">
        <v>#REF!</v>
      </c>
      <c r="U25" s="474" t="e">
        <v>#REF!</v>
      </c>
      <c r="V25" s="818" t="e">
        <v>#REF!</v>
      </c>
      <c r="W25" s="434"/>
      <c r="X25" s="434"/>
      <c r="Y25" s="434"/>
      <c r="AM25" s="275">
        <v>0.51041666666666663</v>
      </c>
      <c r="AN25" s="470"/>
      <c r="AO25" s="470" t="s">
        <v>207</v>
      </c>
    </row>
    <row r="26" spans="1:41" ht="14.5" customHeight="1" thickBot="1" x14ac:dyDescent="0.4">
      <c r="A26" s="822"/>
      <c r="B26" s="824"/>
      <c r="C26" s="90" t="s">
        <v>42</v>
      </c>
      <c r="D26" s="168">
        <v>11700</v>
      </c>
      <c r="E26" s="168" t="s">
        <v>211</v>
      </c>
      <c r="F26" s="168">
        <v>769200</v>
      </c>
      <c r="G26" s="168" t="s">
        <v>211</v>
      </c>
      <c r="H26" s="825"/>
      <c r="I26" s="168" t="s">
        <v>211</v>
      </c>
      <c r="J26" s="820" t="s">
        <v>211</v>
      </c>
      <c r="K26" s="168" t="s">
        <v>211</v>
      </c>
      <c r="L26" s="820" t="s">
        <v>211</v>
      </c>
      <c r="M26" s="817"/>
      <c r="N26" s="817"/>
      <c r="O26" s="435" t="s">
        <v>211</v>
      </c>
      <c r="P26" s="817"/>
      <c r="Q26" s="817"/>
      <c r="R26" s="817"/>
      <c r="S26" s="92" t="e">
        <v>#REF!</v>
      </c>
      <c r="T26" s="474" t="s">
        <v>211</v>
      </c>
      <c r="U26" s="474" t="s">
        <v>211</v>
      </c>
      <c r="V26" s="818"/>
      <c r="W26" s="434"/>
      <c r="X26" s="434"/>
      <c r="Y26" s="434"/>
      <c r="AM26" s="275">
        <v>0.5131944444444444</v>
      </c>
      <c r="AN26" s="470"/>
      <c r="AO26" s="470"/>
    </row>
    <row r="27" spans="1:41" ht="14.5" customHeight="1" thickBot="1" x14ac:dyDescent="0.4">
      <c r="A27" s="821" t="s">
        <v>211</v>
      </c>
      <c r="B27" s="823" t="s">
        <v>211</v>
      </c>
      <c r="C27" s="167" t="s">
        <v>211</v>
      </c>
      <c r="D27" s="167" t="s">
        <v>211</v>
      </c>
      <c r="E27" s="167" t="s">
        <v>211</v>
      </c>
      <c r="F27" s="167" t="s">
        <v>211</v>
      </c>
      <c r="G27" s="167" t="s">
        <v>211</v>
      </c>
      <c r="H27" s="819" t="s">
        <v>211</v>
      </c>
      <c r="I27" s="167" t="s">
        <v>211</v>
      </c>
      <c r="J27" s="819" t="s">
        <v>211</v>
      </c>
      <c r="K27" s="167" t="s">
        <v>211</v>
      </c>
      <c r="L27" s="819" t="s">
        <v>211</v>
      </c>
      <c r="M27" s="816" t="s">
        <v>211</v>
      </c>
      <c r="N27" s="816" t="s">
        <v>211</v>
      </c>
      <c r="O27" s="435" t="s">
        <v>211</v>
      </c>
      <c r="P27" s="816" t="s">
        <v>211</v>
      </c>
      <c r="Q27" s="816" t="s">
        <v>211</v>
      </c>
      <c r="R27" s="816" t="s">
        <v>211</v>
      </c>
      <c r="S27" s="88" t="s">
        <v>211</v>
      </c>
      <c r="T27" s="474" t="s">
        <v>211</v>
      </c>
      <c r="U27" s="474" t="s">
        <v>211</v>
      </c>
      <c r="V27" s="818" t="s">
        <v>211</v>
      </c>
      <c r="W27" s="434"/>
      <c r="X27" s="434"/>
      <c r="Y27" s="434"/>
      <c r="AM27" s="275">
        <v>0.52083333333333337</v>
      </c>
      <c r="AN27" s="470"/>
      <c r="AO27" s="470" t="s">
        <v>207</v>
      </c>
    </row>
    <row r="28" spans="1:41" ht="14.5" customHeight="1" thickBot="1" x14ac:dyDescent="0.4">
      <c r="A28" s="822"/>
      <c r="B28" s="824"/>
      <c r="C28" s="90" t="s">
        <v>211</v>
      </c>
      <c r="D28" s="168" t="s">
        <v>211</v>
      </c>
      <c r="E28" s="168" t="s">
        <v>211</v>
      </c>
      <c r="F28" s="168" t="s">
        <v>211</v>
      </c>
      <c r="G28" s="168" t="s">
        <v>211</v>
      </c>
      <c r="H28" s="825"/>
      <c r="I28" s="168" t="s">
        <v>211</v>
      </c>
      <c r="J28" s="820" t="s">
        <v>211</v>
      </c>
      <c r="K28" s="168" t="s">
        <v>211</v>
      </c>
      <c r="L28" s="820" t="s">
        <v>211</v>
      </c>
      <c r="M28" s="817"/>
      <c r="N28" s="817"/>
      <c r="O28" s="435" t="s">
        <v>211</v>
      </c>
      <c r="P28" s="817"/>
      <c r="Q28" s="817"/>
      <c r="R28" s="817"/>
      <c r="S28" s="92" t="s">
        <v>211</v>
      </c>
      <c r="T28" s="474" t="s">
        <v>211</v>
      </c>
      <c r="U28" s="474" t="s">
        <v>211</v>
      </c>
      <c r="V28" s="818"/>
      <c r="W28" s="434"/>
      <c r="X28" s="434"/>
      <c r="Y28" s="434"/>
      <c r="AM28" s="275">
        <v>0.52361111111111114</v>
      </c>
      <c r="AN28" s="470"/>
      <c r="AO28" s="470"/>
    </row>
    <row r="29" spans="1:41" ht="15" customHeight="1" thickBot="1" x14ac:dyDescent="0.4">
      <c r="A29" s="821" t="s">
        <v>211</v>
      </c>
      <c r="B29" s="823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19" t="s">
        <v>211</v>
      </c>
      <c r="I29" s="167" t="s">
        <v>211</v>
      </c>
      <c r="J29" s="819" t="s">
        <v>211</v>
      </c>
      <c r="K29" s="167" t="s">
        <v>211</v>
      </c>
      <c r="L29" s="819" t="s">
        <v>211</v>
      </c>
      <c r="M29" s="816" t="s">
        <v>211</v>
      </c>
      <c r="N29" s="816" t="s">
        <v>211</v>
      </c>
      <c r="O29" s="435" t="s">
        <v>211</v>
      </c>
      <c r="P29" s="816" t="s">
        <v>211</v>
      </c>
      <c r="Q29" s="816" t="s">
        <v>211</v>
      </c>
      <c r="R29" s="816" t="s">
        <v>211</v>
      </c>
      <c r="S29" s="88" t="s">
        <v>211</v>
      </c>
      <c r="T29" s="474" t="s">
        <v>211</v>
      </c>
      <c r="U29" s="474" t="s">
        <v>211</v>
      </c>
      <c r="V29" s="818" t="s">
        <v>211</v>
      </c>
      <c r="W29" s="434"/>
      <c r="X29" s="434"/>
      <c r="Y29" s="434"/>
      <c r="AM29" s="275">
        <v>0.53125</v>
      </c>
      <c r="AO29" s="470" t="s">
        <v>207</v>
      </c>
    </row>
    <row r="30" spans="1:41" ht="15" customHeight="1" thickBot="1" x14ac:dyDescent="0.4">
      <c r="A30" s="822"/>
      <c r="B30" s="824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25"/>
      <c r="I30" s="168" t="s">
        <v>211</v>
      </c>
      <c r="J30" s="820" t="s">
        <v>211</v>
      </c>
      <c r="K30" s="168" t="s">
        <v>211</v>
      </c>
      <c r="L30" s="820" t="s">
        <v>211</v>
      </c>
      <c r="M30" s="817"/>
      <c r="N30" s="817"/>
      <c r="O30" s="435" t="s">
        <v>211</v>
      </c>
      <c r="P30" s="817"/>
      <c r="Q30" s="817"/>
      <c r="R30" s="817"/>
      <c r="S30" s="92" t="s">
        <v>211</v>
      </c>
      <c r="T30" s="474" t="s">
        <v>211</v>
      </c>
      <c r="U30" s="474" t="s">
        <v>211</v>
      </c>
      <c r="V30" s="818"/>
      <c r="W30" s="434"/>
      <c r="X30" s="434"/>
      <c r="Y30" s="434"/>
      <c r="AM30" s="275">
        <v>0.53402777777777777</v>
      </c>
      <c r="AO30" s="470"/>
    </row>
    <row r="31" spans="1:41" ht="15" customHeight="1" thickBot="1" x14ac:dyDescent="0.4">
      <c r="A31" s="821" t="s">
        <v>401</v>
      </c>
      <c r="B31" s="823" t="s">
        <v>180</v>
      </c>
      <c r="C31" s="167" t="s">
        <v>211</v>
      </c>
      <c r="D31" s="167" t="s">
        <v>211</v>
      </c>
      <c r="E31" s="167">
        <v>41.5</v>
      </c>
      <c r="F31" s="167">
        <v>476100</v>
      </c>
      <c r="G31" s="167">
        <v>36770</v>
      </c>
      <c r="H31" s="819" t="s">
        <v>61</v>
      </c>
      <c r="I31" s="167">
        <v>9.64</v>
      </c>
      <c r="J31" s="819">
        <v>11800</v>
      </c>
      <c r="K31" s="167">
        <v>41.5</v>
      </c>
      <c r="L31" s="819">
        <v>975750</v>
      </c>
      <c r="M31" s="816">
        <v>11725.1</v>
      </c>
      <c r="N31" s="816">
        <v>11700</v>
      </c>
      <c r="O31" s="435">
        <v>-9.5750000000000028</v>
      </c>
      <c r="P31" s="816">
        <v>11771.75</v>
      </c>
      <c r="Q31" s="816">
        <v>11834.4</v>
      </c>
      <c r="R31" s="816">
        <v>11735</v>
      </c>
      <c r="S31" s="88" t="e">
        <v>#REF!</v>
      </c>
      <c r="T31" s="474" t="e">
        <v>#REF!</v>
      </c>
      <c r="U31" s="474" t="e">
        <v>#REF!</v>
      </c>
      <c r="V31" s="818" t="e">
        <v>#REF!</v>
      </c>
      <c r="W31" s="434"/>
      <c r="X31" s="434"/>
      <c r="Y31" s="434"/>
      <c r="AM31" s="275">
        <v>0.54166666666666663</v>
      </c>
      <c r="AO31" s="470" t="s">
        <v>207</v>
      </c>
    </row>
    <row r="32" spans="1:41" ht="15" customHeight="1" thickBot="1" x14ac:dyDescent="0.4">
      <c r="A32" s="822"/>
      <c r="B32" s="824"/>
      <c r="C32" s="90" t="s">
        <v>42</v>
      </c>
      <c r="D32" s="168">
        <v>11700</v>
      </c>
      <c r="E32" s="168" t="s">
        <v>211</v>
      </c>
      <c r="F32" s="168">
        <v>777825</v>
      </c>
      <c r="G32" s="168" t="s">
        <v>211</v>
      </c>
      <c r="H32" s="825"/>
      <c r="I32" s="168" t="s">
        <v>211</v>
      </c>
      <c r="J32" s="820" t="s">
        <v>211</v>
      </c>
      <c r="K32" s="168" t="s">
        <v>211</v>
      </c>
      <c r="L32" s="820" t="s">
        <v>211</v>
      </c>
      <c r="M32" s="817"/>
      <c r="N32" s="817"/>
      <c r="O32" s="435" t="s">
        <v>211</v>
      </c>
      <c r="P32" s="817"/>
      <c r="Q32" s="817"/>
      <c r="R32" s="817"/>
      <c r="S32" s="92" t="e">
        <v>#REF!</v>
      </c>
      <c r="T32" s="474" t="s">
        <v>211</v>
      </c>
      <c r="U32" s="474" t="s">
        <v>211</v>
      </c>
      <c r="V32" s="818"/>
      <c r="W32" s="434"/>
      <c r="X32" s="434"/>
      <c r="Y32" s="434"/>
      <c r="AM32" s="275">
        <v>0.5444444444444444</v>
      </c>
      <c r="AO32" s="470"/>
    </row>
    <row r="33" spans="1:41" ht="15" customHeight="1" thickBot="1" x14ac:dyDescent="0.4">
      <c r="A33" s="821" t="s">
        <v>230</v>
      </c>
      <c r="B33" s="823" t="s">
        <v>180</v>
      </c>
      <c r="C33" s="167" t="s">
        <v>211</v>
      </c>
      <c r="D33" s="167" t="s">
        <v>211</v>
      </c>
      <c r="E33" s="167">
        <v>38.549999999999997</v>
      </c>
      <c r="F33" s="167">
        <v>1117725</v>
      </c>
      <c r="G33" s="167">
        <v>93493</v>
      </c>
      <c r="H33" s="819" t="s">
        <v>55</v>
      </c>
      <c r="I33" s="167">
        <v>9.6</v>
      </c>
      <c r="J33" s="819">
        <v>11800</v>
      </c>
      <c r="K33" s="167">
        <v>38.549999999999997</v>
      </c>
      <c r="L33" s="819">
        <v>1617375</v>
      </c>
      <c r="M33" s="816">
        <v>11724.75</v>
      </c>
      <c r="N33" s="816">
        <v>11700</v>
      </c>
      <c r="O33" s="435">
        <v>7.3166666666666664</v>
      </c>
      <c r="P33" s="816">
        <v>11764</v>
      </c>
      <c r="Q33" s="816">
        <v>11834.4</v>
      </c>
      <c r="R33" s="816">
        <v>11735</v>
      </c>
      <c r="S33" s="88" t="e">
        <v>#REF!</v>
      </c>
      <c r="T33" s="474" t="e">
        <v>#REF!</v>
      </c>
      <c r="U33" s="474" t="e">
        <v>#REF!</v>
      </c>
      <c r="V33" s="818" t="e">
        <v>#REF!</v>
      </c>
      <c r="W33" s="434"/>
      <c r="X33" s="434"/>
      <c r="Y33" s="434"/>
      <c r="AM33" s="275">
        <v>0.55208333333333337</v>
      </c>
      <c r="AO33" s="470" t="s">
        <v>207</v>
      </c>
    </row>
    <row r="34" spans="1:41" ht="15" customHeight="1" thickBot="1" x14ac:dyDescent="0.4">
      <c r="A34" s="822"/>
      <c r="B34" s="824"/>
      <c r="C34" s="90" t="s">
        <v>42</v>
      </c>
      <c r="D34" s="168">
        <v>11700</v>
      </c>
      <c r="E34" s="168" t="s">
        <v>211</v>
      </c>
      <c r="F34" s="168">
        <v>858300</v>
      </c>
      <c r="G34" s="168" t="s">
        <v>211</v>
      </c>
      <c r="H34" s="825"/>
      <c r="I34" s="168" t="s">
        <v>211</v>
      </c>
      <c r="J34" s="820" t="s">
        <v>211</v>
      </c>
      <c r="K34" s="168" t="s">
        <v>211</v>
      </c>
      <c r="L34" s="820" t="s">
        <v>211</v>
      </c>
      <c r="M34" s="817"/>
      <c r="N34" s="817"/>
      <c r="O34" s="435" t="s">
        <v>211</v>
      </c>
      <c r="P34" s="817"/>
      <c r="Q34" s="817"/>
      <c r="R34" s="817"/>
      <c r="S34" s="92" t="e">
        <v>#REF!</v>
      </c>
      <c r="T34" s="474" t="s">
        <v>211</v>
      </c>
      <c r="U34" s="474" t="s">
        <v>211</v>
      </c>
      <c r="V34" s="818"/>
      <c r="W34" s="434"/>
      <c r="X34" s="434"/>
      <c r="Y34" s="434"/>
      <c r="AM34" s="275">
        <v>0.55486111111111114</v>
      </c>
      <c r="AO34" s="470"/>
    </row>
    <row r="35" spans="1:41" ht="15" customHeight="1" thickBot="1" x14ac:dyDescent="0.4">
      <c r="A35" s="821" t="s">
        <v>460</v>
      </c>
      <c r="B35" s="823" t="s">
        <v>180</v>
      </c>
      <c r="C35" s="167" t="s">
        <v>211</v>
      </c>
      <c r="D35" s="167" t="s">
        <v>211</v>
      </c>
      <c r="E35" s="167">
        <v>42.85</v>
      </c>
      <c r="F35" s="167">
        <v>930825</v>
      </c>
      <c r="G35" s="167">
        <v>157764</v>
      </c>
      <c r="H35" s="819" t="s">
        <v>61</v>
      </c>
      <c r="I35" s="167">
        <v>9.9600000000000009</v>
      </c>
      <c r="J35" s="819">
        <v>11800</v>
      </c>
      <c r="K35" s="167">
        <v>42.85</v>
      </c>
      <c r="L35" s="819">
        <v>2586750</v>
      </c>
      <c r="M35" s="816">
        <v>11736</v>
      </c>
      <c r="N35" s="816">
        <v>11750</v>
      </c>
      <c r="O35" s="435">
        <v>-0.22500000000000142</v>
      </c>
      <c r="P35" s="816">
        <v>11777</v>
      </c>
      <c r="Q35" s="816">
        <v>11809.45</v>
      </c>
      <c r="R35" s="816">
        <v>11734.95</v>
      </c>
      <c r="S35" s="88" t="e">
        <v>#REF!</v>
      </c>
      <c r="T35" s="474" t="e">
        <v>#REF!</v>
      </c>
      <c r="U35" s="474" t="e">
        <v>#REF!</v>
      </c>
      <c r="V35" s="818" t="e">
        <v>#REF!</v>
      </c>
      <c r="W35" s="434"/>
      <c r="X35" s="434"/>
      <c r="Y35" s="434"/>
      <c r="AM35" s="275">
        <v>0.5625</v>
      </c>
      <c r="AO35" s="470" t="s">
        <v>207</v>
      </c>
    </row>
    <row r="36" spans="1:41" ht="15" customHeight="1" thickBot="1" x14ac:dyDescent="0.4">
      <c r="A36" s="822"/>
      <c r="B36" s="824"/>
      <c r="C36" s="90" t="s">
        <v>42</v>
      </c>
      <c r="D36" s="168">
        <v>11700</v>
      </c>
      <c r="E36" s="168" t="s">
        <v>211</v>
      </c>
      <c r="F36" s="168">
        <v>1373775</v>
      </c>
      <c r="G36" s="168" t="s">
        <v>211</v>
      </c>
      <c r="H36" s="825"/>
      <c r="I36" s="168" t="s">
        <v>211</v>
      </c>
      <c r="J36" s="820" t="s">
        <v>211</v>
      </c>
      <c r="K36" s="168" t="s">
        <v>211</v>
      </c>
      <c r="L36" s="820" t="s">
        <v>211</v>
      </c>
      <c r="M36" s="817"/>
      <c r="N36" s="817"/>
      <c r="O36" s="435" t="s">
        <v>211</v>
      </c>
      <c r="P36" s="817"/>
      <c r="Q36" s="817"/>
      <c r="R36" s="817"/>
      <c r="S36" s="92" t="e">
        <v>#REF!</v>
      </c>
      <c r="T36" s="474" t="s">
        <v>211</v>
      </c>
      <c r="U36" s="474" t="s">
        <v>211</v>
      </c>
      <c r="V36" s="818"/>
      <c r="W36" s="434"/>
      <c r="X36" s="434"/>
      <c r="Y36" s="434"/>
      <c r="AM36" s="275">
        <v>0.56527777777777777</v>
      </c>
      <c r="AO36" s="470"/>
    </row>
    <row r="37" spans="1:41" ht="15" customHeight="1" thickBot="1" x14ac:dyDescent="0.4">
      <c r="A37" s="821" t="s">
        <v>461</v>
      </c>
      <c r="B37" s="823" t="s">
        <v>180</v>
      </c>
      <c r="C37" s="167" t="s">
        <v>211</v>
      </c>
      <c r="D37" s="167" t="s">
        <v>211</v>
      </c>
      <c r="E37" s="167">
        <v>45.05</v>
      </c>
      <c r="F37" s="167">
        <v>954150</v>
      </c>
      <c r="G37" s="167">
        <v>166937</v>
      </c>
      <c r="H37" s="819" t="s">
        <v>61</v>
      </c>
      <c r="I37" s="167">
        <v>10.17</v>
      </c>
      <c r="J37" s="819">
        <v>11800</v>
      </c>
      <c r="K37" s="167">
        <v>45.05</v>
      </c>
      <c r="L37" s="819">
        <v>2610075</v>
      </c>
      <c r="M37" s="816">
        <v>11744.1</v>
      </c>
      <c r="N37" s="816">
        <v>11750</v>
      </c>
      <c r="O37" s="435">
        <v>4.7166666666666615</v>
      </c>
      <c r="P37" s="816">
        <v>11787.75</v>
      </c>
      <c r="Q37" s="816">
        <v>11809.45</v>
      </c>
      <c r="R37" s="816">
        <v>11734.95</v>
      </c>
      <c r="S37" s="88" t="e">
        <v>#REF!</v>
      </c>
      <c r="T37" s="474" t="e">
        <v>#REF!</v>
      </c>
      <c r="U37" s="474" t="e">
        <v>#REF!</v>
      </c>
      <c r="V37" s="818" t="e">
        <v>#REF!</v>
      </c>
      <c r="W37" s="434"/>
      <c r="X37" s="434"/>
      <c r="Y37" s="434"/>
      <c r="AM37" s="275">
        <v>0.57291666666666663</v>
      </c>
      <c r="AO37" s="470" t="s">
        <v>207</v>
      </c>
    </row>
    <row r="38" spans="1:41" ht="15" customHeight="1" thickBot="1" x14ac:dyDescent="0.4">
      <c r="A38" s="822"/>
      <c r="B38" s="824"/>
      <c r="C38" s="90" t="s">
        <v>42</v>
      </c>
      <c r="D38" s="168">
        <v>11700</v>
      </c>
      <c r="E38" s="168" t="s">
        <v>211</v>
      </c>
      <c r="F38" s="168">
        <v>1352775</v>
      </c>
      <c r="G38" s="168" t="s">
        <v>211</v>
      </c>
      <c r="H38" s="825"/>
      <c r="I38" s="168" t="s">
        <v>211</v>
      </c>
      <c r="J38" s="820" t="s">
        <v>211</v>
      </c>
      <c r="K38" s="168" t="s">
        <v>211</v>
      </c>
      <c r="L38" s="820" t="s">
        <v>211</v>
      </c>
      <c r="M38" s="817"/>
      <c r="N38" s="817"/>
      <c r="O38" s="435" t="s">
        <v>211</v>
      </c>
      <c r="P38" s="817"/>
      <c r="Q38" s="817"/>
      <c r="R38" s="817"/>
      <c r="S38" s="92" t="e">
        <v>#REF!</v>
      </c>
      <c r="T38" s="474" t="s">
        <v>211</v>
      </c>
      <c r="U38" s="474" t="s">
        <v>211</v>
      </c>
      <c r="V38" s="818"/>
      <c r="W38" s="434"/>
      <c r="X38" s="434"/>
      <c r="Y38" s="434"/>
      <c r="AM38" s="275">
        <v>0.5756944444444444</v>
      </c>
      <c r="AO38" s="470"/>
    </row>
    <row r="39" spans="1:41" ht="15" customHeight="1" thickBot="1" x14ac:dyDescent="0.4">
      <c r="A39" s="821" t="s">
        <v>462</v>
      </c>
      <c r="B39" s="823" t="s">
        <v>180</v>
      </c>
      <c r="C39" s="167" t="s">
        <v>211</v>
      </c>
      <c r="D39" s="167" t="s">
        <v>211</v>
      </c>
      <c r="E39" s="167">
        <v>53.5</v>
      </c>
      <c r="F39" s="167">
        <v>919050</v>
      </c>
      <c r="G39" s="167">
        <v>186690</v>
      </c>
      <c r="H39" s="819" t="s">
        <v>61</v>
      </c>
      <c r="I39" s="167">
        <v>9.73</v>
      </c>
      <c r="J39" s="819">
        <v>11800</v>
      </c>
      <c r="K39" s="167">
        <v>53.5</v>
      </c>
      <c r="L39" s="819">
        <v>2574975</v>
      </c>
      <c r="M39" s="816">
        <v>11769.75</v>
      </c>
      <c r="N39" s="816">
        <v>11750</v>
      </c>
      <c r="O39" s="435">
        <v>17.708333333333336</v>
      </c>
      <c r="P39" s="816">
        <v>11821.35</v>
      </c>
      <c r="Q39" s="816">
        <v>11824.45</v>
      </c>
      <c r="R39" s="816">
        <v>11734.95</v>
      </c>
      <c r="S39" s="88" t="e">
        <v>#REF!</v>
      </c>
      <c r="T39" s="416" t="e">
        <v>#REF!</v>
      </c>
      <c r="U39" s="474" t="e">
        <v>#REF!</v>
      </c>
      <c r="V39" s="818" t="e">
        <v>#REF!</v>
      </c>
      <c r="W39" s="434"/>
      <c r="X39" s="434"/>
      <c r="Y39" s="434"/>
      <c r="AM39" s="275">
        <v>0.58333333333333337</v>
      </c>
      <c r="AO39" s="470" t="s">
        <v>207</v>
      </c>
    </row>
    <row r="40" spans="1:41" ht="15" customHeight="1" thickBot="1" x14ac:dyDescent="0.4">
      <c r="A40" s="822"/>
      <c r="B40" s="824"/>
      <c r="C40" s="90" t="s">
        <v>42</v>
      </c>
      <c r="D40" s="168">
        <v>11700</v>
      </c>
      <c r="E40" s="168" t="s">
        <v>211</v>
      </c>
      <c r="F40" s="168">
        <v>1397775</v>
      </c>
      <c r="G40" s="168" t="s">
        <v>211</v>
      </c>
      <c r="H40" s="825"/>
      <c r="I40" s="168" t="s">
        <v>211</v>
      </c>
      <c r="J40" s="820" t="s">
        <v>211</v>
      </c>
      <c r="K40" s="168" t="s">
        <v>211</v>
      </c>
      <c r="L40" s="820" t="s">
        <v>211</v>
      </c>
      <c r="M40" s="817"/>
      <c r="N40" s="817"/>
      <c r="O40" s="435" t="s">
        <v>211</v>
      </c>
      <c r="P40" s="817"/>
      <c r="Q40" s="817"/>
      <c r="R40" s="817"/>
      <c r="S40" s="92" t="e">
        <v>#REF!</v>
      </c>
      <c r="T40" s="476" t="s">
        <v>211</v>
      </c>
      <c r="U40" s="417" t="s">
        <v>211</v>
      </c>
      <c r="V40" s="818"/>
      <c r="W40" s="434"/>
      <c r="X40" s="434"/>
      <c r="Y40" s="434"/>
      <c r="AM40" s="275">
        <v>0.58611111111111114</v>
      </c>
      <c r="AO40" s="470"/>
    </row>
    <row r="41" spans="1:41" ht="15" customHeight="1" thickBot="1" x14ac:dyDescent="0.4">
      <c r="A41" s="821" t="s">
        <v>463</v>
      </c>
      <c r="B41" s="823" t="s">
        <v>180</v>
      </c>
      <c r="C41" s="167" t="s">
        <v>211</v>
      </c>
      <c r="D41" s="167" t="s">
        <v>211</v>
      </c>
      <c r="E41" s="167">
        <v>45.5</v>
      </c>
      <c r="F41" s="167">
        <v>712275</v>
      </c>
      <c r="G41" s="167">
        <v>208364</v>
      </c>
      <c r="H41" s="819" t="s">
        <v>61</v>
      </c>
      <c r="I41" s="167">
        <v>10.029999999999999</v>
      </c>
      <c r="J41" s="819">
        <v>11800</v>
      </c>
      <c r="K41" s="167">
        <v>45.5</v>
      </c>
      <c r="L41" s="819">
        <v>2368200</v>
      </c>
      <c r="M41" s="816">
        <v>11742.65</v>
      </c>
      <c r="N41" s="816">
        <v>11750</v>
      </c>
      <c r="O41" s="435">
        <v>5.6916666666666771</v>
      </c>
      <c r="P41" s="816">
        <v>11785</v>
      </c>
      <c r="Q41" s="816">
        <v>11824.45</v>
      </c>
      <c r="R41" s="816">
        <v>11734.95</v>
      </c>
      <c r="S41" s="88" t="e">
        <v>#REF!</v>
      </c>
      <c r="T41" s="474" t="e">
        <v>#REF!</v>
      </c>
      <c r="U41" s="474" t="e">
        <v>#REF!</v>
      </c>
      <c r="V41" s="818" t="e">
        <v>#REF!</v>
      </c>
      <c r="W41" s="434"/>
      <c r="X41" s="434"/>
      <c r="Y41" s="434"/>
      <c r="AM41" s="275">
        <v>0.59375</v>
      </c>
      <c r="AO41" s="470" t="s">
        <v>207</v>
      </c>
    </row>
    <row r="42" spans="1:41" ht="15" customHeight="1" thickBot="1" x14ac:dyDescent="0.4">
      <c r="A42" s="822"/>
      <c r="B42" s="824"/>
      <c r="C42" s="90" t="s">
        <v>42</v>
      </c>
      <c r="D42" s="168">
        <v>11700</v>
      </c>
      <c r="E42" s="168" t="s">
        <v>211</v>
      </c>
      <c r="F42" s="168">
        <v>1572225</v>
      </c>
      <c r="G42" s="168" t="s">
        <v>211</v>
      </c>
      <c r="H42" s="825"/>
      <c r="I42" s="168" t="s">
        <v>211</v>
      </c>
      <c r="J42" s="820" t="s">
        <v>211</v>
      </c>
      <c r="K42" s="168" t="s">
        <v>211</v>
      </c>
      <c r="L42" s="820" t="s">
        <v>211</v>
      </c>
      <c r="M42" s="817"/>
      <c r="N42" s="817"/>
      <c r="O42" s="435" t="s">
        <v>211</v>
      </c>
      <c r="P42" s="817"/>
      <c r="Q42" s="817"/>
      <c r="R42" s="817"/>
      <c r="S42" s="92" t="e">
        <v>#REF!</v>
      </c>
      <c r="T42" s="413" t="s">
        <v>211</v>
      </c>
      <c r="U42" s="413" t="s">
        <v>211</v>
      </c>
      <c r="V42" s="818"/>
      <c r="W42" s="434"/>
      <c r="X42" s="434"/>
      <c r="Y42" s="434"/>
      <c r="AM42" s="275">
        <v>0.59652777777777777</v>
      </c>
      <c r="AO42" s="470"/>
    </row>
    <row r="43" spans="1:41" ht="15" customHeight="1" thickBot="1" x14ac:dyDescent="0.4">
      <c r="A43" s="821" t="s">
        <v>464</v>
      </c>
      <c r="B43" s="823" t="s">
        <v>180</v>
      </c>
      <c r="C43" s="167" t="s">
        <v>211</v>
      </c>
      <c r="D43" s="167" t="s">
        <v>211</v>
      </c>
      <c r="E43" s="167">
        <v>45.5</v>
      </c>
      <c r="F43" s="167">
        <v>805950</v>
      </c>
      <c r="G43" s="167">
        <v>218122</v>
      </c>
      <c r="H43" s="819" t="s">
        <v>61</v>
      </c>
      <c r="I43" s="167">
        <v>9.9</v>
      </c>
      <c r="J43" s="819">
        <v>11800</v>
      </c>
      <c r="K43" s="167">
        <v>45.5</v>
      </c>
      <c r="L43" s="819">
        <v>2461875</v>
      </c>
      <c r="M43" s="816">
        <v>11751.75</v>
      </c>
      <c r="N43" s="816">
        <v>11750</v>
      </c>
      <c r="O43" s="435">
        <v>5.9583333333333286</v>
      </c>
      <c r="P43" s="816">
        <v>11795</v>
      </c>
      <c r="Q43" s="816">
        <v>11824.45</v>
      </c>
      <c r="R43" s="816">
        <v>11734.95</v>
      </c>
      <c r="S43" s="88" t="e">
        <v>#REF!</v>
      </c>
      <c r="T43" s="474" t="e">
        <v>#REF!</v>
      </c>
      <c r="U43" s="474" t="e">
        <v>#REF!</v>
      </c>
      <c r="V43" s="818" t="e">
        <v>#REF!</v>
      </c>
      <c r="W43" s="434"/>
      <c r="X43" s="434"/>
      <c r="Y43" s="434"/>
      <c r="AM43" s="275">
        <v>0.60416666666666663</v>
      </c>
      <c r="AO43" s="470" t="s">
        <v>207</v>
      </c>
    </row>
    <row r="44" spans="1:41" ht="15" customHeight="1" thickBot="1" x14ac:dyDescent="0.4">
      <c r="A44" s="822"/>
      <c r="B44" s="824"/>
      <c r="C44" s="90" t="s">
        <v>42</v>
      </c>
      <c r="D44" s="168">
        <v>11700</v>
      </c>
      <c r="E44" s="168" t="s">
        <v>211</v>
      </c>
      <c r="F44" s="168">
        <v>1525800</v>
      </c>
      <c r="G44" s="168" t="s">
        <v>211</v>
      </c>
      <c r="H44" s="825"/>
      <c r="I44" s="168" t="s">
        <v>211</v>
      </c>
      <c r="J44" s="820" t="s">
        <v>211</v>
      </c>
      <c r="K44" s="168" t="s">
        <v>211</v>
      </c>
      <c r="L44" s="820" t="s">
        <v>211</v>
      </c>
      <c r="M44" s="817"/>
      <c r="N44" s="817"/>
      <c r="O44" s="435" t="s">
        <v>211</v>
      </c>
      <c r="P44" s="817"/>
      <c r="Q44" s="817"/>
      <c r="R44" s="817"/>
      <c r="S44" s="92" t="e">
        <v>#REF!</v>
      </c>
      <c r="T44" s="413" t="s">
        <v>211</v>
      </c>
      <c r="U44" s="413" t="s">
        <v>211</v>
      </c>
      <c r="V44" s="818"/>
      <c r="W44" s="434"/>
      <c r="X44" s="434"/>
      <c r="Y44" s="434"/>
      <c r="AM44" s="275">
        <v>0.6069444444444444</v>
      </c>
      <c r="AO44" s="470"/>
    </row>
    <row r="45" spans="1:41" ht="15" customHeight="1" thickBot="1" x14ac:dyDescent="0.4">
      <c r="A45" s="821" t="s">
        <v>464</v>
      </c>
      <c r="B45" s="823" t="s">
        <v>180</v>
      </c>
      <c r="C45" s="167" t="s">
        <v>211</v>
      </c>
      <c r="D45" s="167" t="s">
        <v>211</v>
      </c>
      <c r="E45" s="167">
        <v>45.5</v>
      </c>
      <c r="F45" s="167">
        <v>805950</v>
      </c>
      <c r="G45" s="167">
        <v>218122</v>
      </c>
      <c r="H45" s="819" t="s">
        <v>61</v>
      </c>
      <c r="I45" s="167">
        <v>9.9</v>
      </c>
      <c r="J45" s="819">
        <v>11800</v>
      </c>
      <c r="K45" s="167">
        <v>45.5</v>
      </c>
      <c r="L45" s="819">
        <v>2461875</v>
      </c>
      <c r="M45" s="816">
        <v>11751.75</v>
      </c>
      <c r="N45" s="816">
        <v>11750</v>
      </c>
      <c r="O45" s="435">
        <v>5.9583333333333286</v>
      </c>
      <c r="P45" s="816">
        <v>11795</v>
      </c>
      <c r="Q45" s="816">
        <v>11824.45</v>
      </c>
      <c r="R45" s="816">
        <v>11734.95</v>
      </c>
      <c r="S45" s="88" t="e">
        <v>#REF!</v>
      </c>
      <c r="T45" s="474" t="e">
        <v>#REF!</v>
      </c>
      <c r="U45" s="474" t="e">
        <v>#REF!</v>
      </c>
      <c r="V45" s="818" t="e">
        <v>#REF!</v>
      </c>
      <c r="W45" s="434"/>
      <c r="X45" s="434"/>
      <c r="Y45" s="434"/>
      <c r="AM45" s="275">
        <v>0.61458333333333337</v>
      </c>
      <c r="AO45" s="470" t="s">
        <v>207</v>
      </c>
    </row>
    <row r="46" spans="1:41" ht="15" customHeight="1" thickBot="1" x14ac:dyDescent="0.4">
      <c r="A46" s="822"/>
      <c r="B46" s="824"/>
      <c r="C46" s="90" t="s">
        <v>42</v>
      </c>
      <c r="D46" s="168">
        <v>11700</v>
      </c>
      <c r="E46" s="168" t="s">
        <v>211</v>
      </c>
      <c r="F46" s="168">
        <v>1525800</v>
      </c>
      <c r="G46" s="168" t="s">
        <v>211</v>
      </c>
      <c r="H46" s="825"/>
      <c r="I46" s="168" t="s">
        <v>211</v>
      </c>
      <c r="J46" s="820" t="s">
        <v>211</v>
      </c>
      <c r="K46" s="168" t="s">
        <v>211</v>
      </c>
      <c r="L46" s="820" t="s">
        <v>211</v>
      </c>
      <c r="M46" s="817"/>
      <c r="N46" s="817"/>
      <c r="O46" s="435" t="s">
        <v>211</v>
      </c>
      <c r="P46" s="817"/>
      <c r="Q46" s="817"/>
      <c r="R46" s="817"/>
      <c r="S46" s="92" t="e">
        <v>#REF!</v>
      </c>
      <c r="T46" s="413" t="s">
        <v>211</v>
      </c>
      <c r="U46" s="413" t="s">
        <v>211</v>
      </c>
      <c r="V46" s="818"/>
      <c r="W46" s="434"/>
      <c r="X46" s="434"/>
      <c r="Y46" s="434"/>
      <c r="AM46" s="275">
        <v>0.61736111111111114</v>
      </c>
      <c r="AO46" s="470"/>
    </row>
    <row r="47" spans="1:41" ht="15" customHeight="1" thickBot="1" x14ac:dyDescent="0.4">
      <c r="A47" s="821" t="s">
        <v>465</v>
      </c>
      <c r="B47" s="823" t="s">
        <v>180</v>
      </c>
      <c r="C47" s="167" t="s">
        <v>211</v>
      </c>
      <c r="D47" s="167" t="s">
        <v>211</v>
      </c>
      <c r="E47" s="167">
        <v>43.3</v>
      </c>
      <c r="F47" s="167">
        <v>841650</v>
      </c>
      <c r="G47" s="167">
        <v>238587</v>
      </c>
      <c r="H47" s="819" t="s">
        <v>61</v>
      </c>
      <c r="I47" s="167">
        <v>10</v>
      </c>
      <c r="J47" s="819">
        <v>11800</v>
      </c>
      <c r="K47" s="167">
        <v>43.3</v>
      </c>
      <c r="L47" s="819">
        <v>2497575</v>
      </c>
      <c r="M47" s="816">
        <v>11741.35</v>
      </c>
      <c r="N47" s="816">
        <v>11750</v>
      </c>
      <c r="O47" s="435">
        <v>3.6416666666666657</v>
      </c>
      <c r="P47" s="816">
        <v>11791</v>
      </c>
      <c r="Q47" s="816">
        <v>11824.45</v>
      </c>
      <c r="R47" s="816">
        <v>11734.95</v>
      </c>
      <c r="S47" s="818" t="e">
        <v>#REF!</v>
      </c>
      <c r="T47" s="474" t="e">
        <v>#REF!</v>
      </c>
      <c r="U47" s="414" t="e">
        <v>#REF!</v>
      </c>
      <c r="V47" s="818" t="e">
        <v>#REF!</v>
      </c>
      <c r="W47" s="434"/>
      <c r="X47" s="434"/>
      <c r="Y47" s="434"/>
      <c r="AM47" s="275">
        <v>0.625</v>
      </c>
      <c r="AO47" s="470" t="s">
        <v>207</v>
      </c>
    </row>
    <row r="48" spans="1:41" ht="15" customHeight="1" thickBot="1" x14ac:dyDescent="0.4">
      <c r="A48" s="822"/>
      <c r="B48" s="824"/>
      <c r="C48" s="90" t="s">
        <v>42</v>
      </c>
      <c r="D48" s="168">
        <v>11700</v>
      </c>
      <c r="E48" s="168" t="s">
        <v>211</v>
      </c>
      <c r="F48" s="168">
        <v>1543275</v>
      </c>
      <c r="G48" s="168" t="s">
        <v>211</v>
      </c>
      <c r="H48" s="825"/>
      <c r="I48" s="168" t="s">
        <v>211</v>
      </c>
      <c r="J48" s="820" t="s">
        <v>211</v>
      </c>
      <c r="K48" s="168" t="s">
        <v>211</v>
      </c>
      <c r="L48" s="820" t="s">
        <v>211</v>
      </c>
      <c r="M48" s="817"/>
      <c r="N48" s="817"/>
      <c r="O48" s="435" t="s">
        <v>211</v>
      </c>
      <c r="P48" s="817"/>
      <c r="Q48" s="817"/>
      <c r="R48" s="817"/>
      <c r="S48" s="818" t="e">
        <v>#REF!</v>
      </c>
      <c r="T48" s="413" t="s">
        <v>211</v>
      </c>
      <c r="U48" s="475" t="s">
        <v>211</v>
      </c>
      <c r="V48" s="818"/>
      <c r="W48" s="434"/>
      <c r="X48" s="434"/>
      <c r="Y48" s="434"/>
      <c r="AM48" s="275">
        <v>0.62777777777777777</v>
      </c>
      <c r="AO48" s="470"/>
    </row>
    <row r="49" spans="1:41" ht="15" customHeight="1" thickBot="1" x14ac:dyDescent="0.4">
      <c r="A49" s="821" t="s">
        <v>466</v>
      </c>
      <c r="B49" s="823" t="s">
        <v>180</v>
      </c>
      <c r="C49" s="167" t="s">
        <v>211</v>
      </c>
      <c r="D49" s="167" t="s">
        <v>211</v>
      </c>
      <c r="E49" s="167">
        <v>30.5</v>
      </c>
      <c r="F49" s="167">
        <v>990450</v>
      </c>
      <c r="G49" s="167">
        <v>280276</v>
      </c>
      <c r="H49" s="819" t="s">
        <v>55</v>
      </c>
      <c r="I49" s="167">
        <v>10.35</v>
      </c>
      <c r="J49" s="819">
        <v>11800</v>
      </c>
      <c r="K49" s="167">
        <v>30.5</v>
      </c>
      <c r="L49" s="819">
        <v>2646375</v>
      </c>
      <c r="M49" s="816">
        <v>11703.35</v>
      </c>
      <c r="N49" s="816">
        <v>11750</v>
      </c>
      <c r="O49" s="435">
        <v>-16.483333333333338</v>
      </c>
      <c r="P49" s="816">
        <v>11754</v>
      </c>
      <c r="Q49" s="816">
        <v>11824.45</v>
      </c>
      <c r="R49" s="816">
        <v>11734.95</v>
      </c>
      <c r="S49" s="88" t="e">
        <v>#REF!</v>
      </c>
      <c r="T49" s="474" t="e">
        <v>#REF!</v>
      </c>
      <c r="U49" s="474" t="e">
        <v>#REF!</v>
      </c>
      <c r="V49" s="818" t="e">
        <v>#REF!</v>
      </c>
      <c r="W49" s="434"/>
      <c r="X49" s="434"/>
      <c r="Y49" s="434"/>
      <c r="AM49" s="275">
        <v>0.63541666666666663</v>
      </c>
      <c r="AO49" s="470" t="s">
        <v>207</v>
      </c>
    </row>
    <row r="50" spans="1:41" ht="15" customHeight="1" thickBot="1" x14ac:dyDescent="0.4">
      <c r="A50" s="822"/>
      <c r="B50" s="824"/>
      <c r="C50" s="90" t="s">
        <v>42</v>
      </c>
      <c r="D50" s="168">
        <v>11700</v>
      </c>
      <c r="E50" s="168" t="s">
        <v>211</v>
      </c>
      <c r="F50" s="168">
        <v>739275</v>
      </c>
      <c r="G50" s="168" t="s">
        <v>211</v>
      </c>
      <c r="H50" s="825"/>
      <c r="I50" s="168" t="s">
        <v>211</v>
      </c>
      <c r="J50" s="820" t="s">
        <v>211</v>
      </c>
      <c r="K50" s="168" t="s">
        <v>211</v>
      </c>
      <c r="L50" s="820" t="s">
        <v>211</v>
      </c>
      <c r="M50" s="817"/>
      <c r="N50" s="817"/>
      <c r="O50" s="435" t="s">
        <v>211</v>
      </c>
      <c r="P50" s="817"/>
      <c r="Q50" s="817"/>
      <c r="R50" s="817"/>
      <c r="S50" s="92" t="e">
        <v>#REF!</v>
      </c>
      <c r="T50" s="413" t="s">
        <v>211</v>
      </c>
      <c r="U50" s="413" t="s">
        <v>211</v>
      </c>
      <c r="V50" s="818"/>
      <c r="W50" s="434"/>
      <c r="X50" s="434"/>
      <c r="Y50" s="434"/>
      <c r="AM50" s="275">
        <v>0.6381944444444444</v>
      </c>
      <c r="AO50" s="470"/>
    </row>
    <row r="51" spans="1:41" ht="15" customHeight="1" thickBot="1" x14ac:dyDescent="0.4">
      <c r="A51" s="821" t="s">
        <v>348</v>
      </c>
      <c r="B51" s="823" t="s">
        <v>180</v>
      </c>
      <c r="C51" s="167" t="s">
        <v>211</v>
      </c>
      <c r="D51" s="167" t="s">
        <v>211</v>
      </c>
      <c r="E51" s="167">
        <v>31</v>
      </c>
      <c r="F51" s="167">
        <v>899850</v>
      </c>
      <c r="G51" s="167">
        <v>305312</v>
      </c>
      <c r="H51" s="819" t="s">
        <v>55</v>
      </c>
      <c r="I51" s="167">
        <v>0</v>
      </c>
      <c r="J51" s="819">
        <v>11800</v>
      </c>
      <c r="K51" s="167">
        <v>31</v>
      </c>
      <c r="L51" s="819">
        <v>2555775</v>
      </c>
      <c r="M51" s="816">
        <v>11709.9</v>
      </c>
      <c r="N51" s="816">
        <v>11700</v>
      </c>
      <c r="O51" s="435">
        <v>15.591666666666665</v>
      </c>
      <c r="P51" s="816">
        <v>11762.2</v>
      </c>
      <c r="Q51" s="816">
        <v>11824.45</v>
      </c>
      <c r="R51" s="816">
        <v>11734.95</v>
      </c>
      <c r="S51" s="88" t="e">
        <v>#REF!</v>
      </c>
      <c r="T51" s="474" t="e">
        <v>#REF!</v>
      </c>
      <c r="U51" s="474" t="e">
        <v>#REF!</v>
      </c>
      <c r="V51" s="818" t="e">
        <v>#REF!</v>
      </c>
      <c r="W51" s="434"/>
      <c r="X51" s="434"/>
      <c r="Y51" s="434"/>
      <c r="AM51" s="275">
        <v>0.64583333333333337</v>
      </c>
      <c r="AO51" s="470" t="s">
        <v>207</v>
      </c>
    </row>
    <row r="52" spans="1:41" ht="15" customHeight="1" thickBot="1" x14ac:dyDescent="0.4">
      <c r="A52" s="822"/>
      <c r="B52" s="824"/>
      <c r="C52" s="90" t="s">
        <v>42</v>
      </c>
      <c r="D52" s="168">
        <v>11600</v>
      </c>
      <c r="E52" s="168" t="s">
        <v>211</v>
      </c>
      <c r="F52" s="168">
        <v>360675</v>
      </c>
      <c r="G52" s="168" t="s">
        <v>211</v>
      </c>
      <c r="H52" s="825"/>
      <c r="I52" s="168" t="s">
        <v>211</v>
      </c>
      <c r="J52" s="820" t="s">
        <v>211</v>
      </c>
      <c r="K52" s="168" t="s">
        <v>211</v>
      </c>
      <c r="L52" s="820" t="s">
        <v>211</v>
      </c>
      <c r="M52" s="817"/>
      <c r="N52" s="817"/>
      <c r="O52" s="435" t="s">
        <v>211</v>
      </c>
      <c r="P52" s="817"/>
      <c r="Q52" s="817"/>
      <c r="R52" s="817"/>
      <c r="S52" s="92" t="e">
        <v>#REF!</v>
      </c>
      <c r="T52" s="415" t="s">
        <v>211</v>
      </c>
      <c r="U52" s="415" t="s">
        <v>211</v>
      </c>
      <c r="V52" s="818"/>
      <c r="W52" s="434"/>
      <c r="X52" s="434"/>
      <c r="Y52" s="434"/>
      <c r="AM52" s="275">
        <v>0.64861111111111114</v>
      </c>
      <c r="AO52" s="470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3253-7865-41F6-B707-279926CCDA5F}">
  <sheetPr codeName="Sheet20"/>
  <dimension ref="A1:AS52"/>
  <sheetViews>
    <sheetView workbookViewId="0">
      <selection sqref="A1:XFD1048576"/>
    </sheetView>
  </sheetViews>
  <sheetFormatPr defaultColWidth="9.1796875" defaultRowHeight="14.5" x14ac:dyDescent="0.35"/>
  <cols>
    <col min="1" max="1" width="9.1796875" style="460"/>
    <col min="2" max="2" width="9.1796875" style="274"/>
    <col min="3" max="3" width="5.453125" style="460" customWidth="1"/>
    <col min="4" max="4" width="8.453125" style="460" customWidth="1"/>
    <col min="5" max="5" width="8.7265625" style="460" customWidth="1"/>
    <col min="6" max="6" width="12.7265625" style="459" customWidth="1"/>
    <col min="7" max="7" width="13" style="459" customWidth="1"/>
    <col min="8" max="9" width="6.453125" style="460" customWidth="1"/>
    <col min="10" max="10" width="10.08984375" style="460" customWidth="1"/>
    <col min="11" max="11" width="8" style="460" customWidth="1"/>
    <col min="12" max="12" width="13.54296875" style="459" customWidth="1"/>
    <col min="13" max="13" width="8.26953125" style="460" customWidth="1"/>
    <col min="14" max="14" width="9.453125" style="460" hidden="1" customWidth="1"/>
    <col min="15" max="15" width="12.453125" style="460" bestFit="1" customWidth="1"/>
    <col min="16" max="18" width="9.1796875" style="460"/>
    <col min="19" max="19" width="5.453125" style="460" hidden="1" customWidth="1"/>
    <col min="20" max="20" width="6.81640625" style="460" hidden="1" customWidth="1"/>
    <col min="21" max="22" width="0" style="460" hidden="1" customWidth="1"/>
    <col min="23" max="25" width="9.1796875" style="460"/>
    <col min="26" max="26" width="9.453125" style="460" customWidth="1"/>
    <col min="27" max="38" width="9.1796875" style="460"/>
    <col min="39" max="40" width="7.90625" style="460" bestFit="1" customWidth="1"/>
    <col min="41" max="41" width="9.6328125" style="460" bestFit="1" customWidth="1"/>
    <col min="42" max="44" width="9.1796875" style="460"/>
    <col min="45" max="45" width="0" style="460" hidden="1" customWidth="1"/>
    <col min="46" max="16384" width="9.1796875" style="460"/>
  </cols>
  <sheetData>
    <row r="1" spans="1:45" ht="14.5" customHeight="1" thickBot="1" x14ac:dyDescent="0.4">
      <c r="A1" s="80"/>
      <c r="B1" s="273"/>
      <c r="C1" s="647" t="s">
        <v>35</v>
      </c>
      <c r="D1" s="811"/>
      <c r="E1" s="811"/>
      <c r="F1" s="811"/>
      <c r="G1" s="811"/>
      <c r="H1" s="464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">
        <v>436</v>
      </c>
      <c r="R1" s="814"/>
      <c r="S1" s="810" t="s">
        <v>87</v>
      </c>
      <c r="T1" s="811"/>
      <c r="U1" s="811"/>
      <c r="V1" s="815"/>
      <c r="W1" s="432"/>
      <c r="X1" s="432"/>
      <c r="Y1" s="432"/>
      <c r="Z1" s="461"/>
      <c r="AA1" s="461"/>
      <c r="AB1" s="461"/>
      <c r="AC1" s="461"/>
      <c r="AD1" s="461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463" t="s">
        <v>54</v>
      </c>
      <c r="D2" s="462" t="s">
        <v>14</v>
      </c>
      <c r="E2" s="462" t="s">
        <v>6</v>
      </c>
      <c r="F2" s="166" t="s">
        <v>35</v>
      </c>
      <c r="G2" s="166" t="s">
        <v>37</v>
      </c>
      <c r="H2" s="464" t="s">
        <v>43</v>
      </c>
      <c r="I2" s="81" t="s">
        <v>88</v>
      </c>
      <c r="J2" s="463" t="s">
        <v>14</v>
      </c>
      <c r="K2" s="462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61"/>
      <c r="AA2" s="461"/>
      <c r="AB2" s="271" t="s">
        <v>97</v>
      </c>
      <c r="AC2" s="272" t="s">
        <v>98</v>
      </c>
      <c r="AD2" s="461"/>
      <c r="AS2" s="461" t="s">
        <v>99</v>
      </c>
    </row>
    <row r="3" spans="1:45" ht="14.5" customHeight="1" thickBot="1" x14ac:dyDescent="0.4">
      <c r="A3" s="821" t="s">
        <v>211</v>
      </c>
      <c r="B3" s="823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9" t="s">
        <v>211</v>
      </c>
      <c r="I3" s="167" t="s">
        <v>211</v>
      </c>
      <c r="J3" s="819" t="s">
        <v>211</v>
      </c>
      <c r="K3" s="167" t="s">
        <v>211</v>
      </c>
      <c r="L3" s="819" t="s">
        <v>211</v>
      </c>
      <c r="M3" s="816" t="s">
        <v>211</v>
      </c>
      <c r="N3" s="816" t="s">
        <v>211</v>
      </c>
      <c r="O3" s="435" t="s">
        <v>211</v>
      </c>
      <c r="P3" s="816" t="s">
        <v>211</v>
      </c>
      <c r="Q3" s="816" t="s">
        <v>211</v>
      </c>
      <c r="R3" s="816" t="s">
        <v>211</v>
      </c>
      <c r="S3" s="88" t="s">
        <v>211</v>
      </c>
      <c r="T3" s="465" t="s">
        <v>211</v>
      </c>
      <c r="U3" s="465" t="s">
        <v>211</v>
      </c>
      <c r="V3" s="818" t="s">
        <v>211</v>
      </c>
      <c r="W3" s="434"/>
      <c r="X3" s="434"/>
      <c r="Y3" s="434"/>
      <c r="Z3" s="461"/>
      <c r="AA3" s="461"/>
      <c r="AB3" s="461"/>
      <c r="AC3" s="461"/>
      <c r="AD3" s="461"/>
      <c r="AL3" s="461" t="s">
        <v>171</v>
      </c>
      <c r="AM3" s="275">
        <v>0.39583333333333331</v>
      </c>
      <c r="AN3" s="89">
        <v>43587.404303935182</v>
      </c>
      <c r="AO3" s="461" t="s">
        <v>364</v>
      </c>
      <c r="AS3" s="461" t="s">
        <v>98</v>
      </c>
    </row>
    <row r="4" spans="1:45" ht="14.5" customHeight="1" thickBot="1" x14ac:dyDescent="0.4">
      <c r="A4" s="822"/>
      <c r="B4" s="824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20"/>
      <c r="I4" s="168" t="s">
        <v>211</v>
      </c>
      <c r="J4" s="820" t="s">
        <v>211</v>
      </c>
      <c r="K4" s="168" t="s">
        <v>211</v>
      </c>
      <c r="L4" s="820" t="s">
        <v>211</v>
      </c>
      <c r="M4" s="817"/>
      <c r="N4" s="817"/>
      <c r="O4" s="435" t="s">
        <v>211</v>
      </c>
      <c r="P4" s="817"/>
      <c r="Q4" s="817"/>
      <c r="R4" s="817"/>
      <c r="S4" s="92" t="s">
        <v>211</v>
      </c>
      <c r="T4" s="465" t="s">
        <v>211</v>
      </c>
      <c r="U4" s="465" t="s">
        <v>211</v>
      </c>
      <c r="V4" s="818"/>
      <c r="W4" s="434"/>
      <c r="X4" s="434"/>
      <c r="Y4" s="434"/>
      <c r="Z4" s="461"/>
      <c r="AA4" s="461"/>
      <c r="AB4" s="461"/>
      <c r="AC4" s="461"/>
      <c r="AD4" s="461"/>
      <c r="AL4" s="461" t="s">
        <v>172</v>
      </c>
      <c r="AM4" s="275">
        <v>0.39861111111111108</v>
      </c>
      <c r="AN4" s="461"/>
      <c r="AO4" s="461"/>
    </row>
    <row r="5" spans="1:45" ht="14.5" customHeight="1" thickBot="1" x14ac:dyDescent="0.4">
      <c r="A5" s="821" t="s">
        <v>211</v>
      </c>
      <c r="B5" s="823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19" t="s">
        <v>211</v>
      </c>
      <c r="I5" s="167" t="s">
        <v>211</v>
      </c>
      <c r="J5" s="819" t="s">
        <v>211</v>
      </c>
      <c r="K5" s="167" t="s">
        <v>211</v>
      </c>
      <c r="L5" s="819" t="s">
        <v>211</v>
      </c>
      <c r="M5" s="816" t="s">
        <v>211</v>
      </c>
      <c r="N5" s="816" t="s">
        <v>211</v>
      </c>
      <c r="O5" s="435" t="s">
        <v>211</v>
      </c>
      <c r="P5" s="816" t="s">
        <v>211</v>
      </c>
      <c r="Q5" s="816" t="s">
        <v>211</v>
      </c>
      <c r="R5" s="816" t="s">
        <v>211</v>
      </c>
      <c r="S5" s="88" t="s">
        <v>211</v>
      </c>
      <c r="T5" s="465" t="s">
        <v>211</v>
      </c>
      <c r="U5" s="465" t="s">
        <v>211</v>
      </c>
      <c r="V5" s="818" t="s">
        <v>211</v>
      </c>
      <c r="W5" s="434"/>
      <c r="X5" s="434"/>
      <c r="Y5" s="434"/>
      <c r="Z5" s="461"/>
      <c r="AA5" s="461"/>
      <c r="AB5" s="461"/>
      <c r="AC5" s="461"/>
      <c r="AD5" s="461"/>
      <c r="AM5" s="275">
        <v>0.40625</v>
      </c>
      <c r="AN5" s="461"/>
      <c r="AO5" s="461" t="s">
        <v>364</v>
      </c>
    </row>
    <row r="6" spans="1:45" ht="14.5" customHeight="1" thickBot="1" x14ac:dyDescent="0.4">
      <c r="A6" s="822"/>
      <c r="B6" s="824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25"/>
      <c r="I6" s="168" t="s">
        <v>211</v>
      </c>
      <c r="J6" s="820" t="s">
        <v>211</v>
      </c>
      <c r="K6" s="168" t="s">
        <v>211</v>
      </c>
      <c r="L6" s="820" t="s">
        <v>211</v>
      </c>
      <c r="M6" s="817"/>
      <c r="N6" s="817"/>
      <c r="O6" s="435" t="s">
        <v>211</v>
      </c>
      <c r="P6" s="817"/>
      <c r="Q6" s="817"/>
      <c r="R6" s="817"/>
      <c r="S6" s="92" t="s">
        <v>211</v>
      </c>
      <c r="T6" s="465" t="s">
        <v>211</v>
      </c>
      <c r="U6" s="465" t="s">
        <v>211</v>
      </c>
      <c r="V6" s="818"/>
      <c r="W6" s="434"/>
      <c r="X6" s="434"/>
      <c r="Y6" s="434"/>
      <c r="Z6" s="461"/>
      <c r="AA6" s="461"/>
      <c r="AB6" s="461"/>
      <c r="AC6" s="461"/>
      <c r="AD6" s="461"/>
      <c r="AM6" s="275">
        <v>0.40902777777777777</v>
      </c>
      <c r="AN6" s="461"/>
      <c r="AO6" s="461"/>
    </row>
    <row r="7" spans="1:45" ht="14.5" customHeight="1" thickBot="1" x14ac:dyDescent="0.4">
      <c r="A7" s="821" t="s">
        <v>437</v>
      </c>
      <c r="B7" s="823" t="s">
        <v>180</v>
      </c>
      <c r="C7" s="167" t="s">
        <v>211</v>
      </c>
      <c r="D7" s="167" t="s">
        <v>211</v>
      </c>
      <c r="E7" s="167">
        <v>10.050000000000001</v>
      </c>
      <c r="F7" s="167">
        <v>892275</v>
      </c>
      <c r="G7" s="167">
        <v>180627</v>
      </c>
      <c r="H7" s="819" t="s">
        <v>55</v>
      </c>
      <c r="I7" s="167">
        <v>14.54</v>
      </c>
      <c r="J7" s="819">
        <v>11800</v>
      </c>
      <c r="K7" s="167">
        <v>10.050000000000001</v>
      </c>
      <c r="L7" s="819">
        <v>2825400</v>
      </c>
      <c r="M7" s="816">
        <v>11665.85</v>
      </c>
      <c r="N7" s="816">
        <v>11700</v>
      </c>
      <c r="O7" s="435">
        <v>-8.9583333333333339</v>
      </c>
      <c r="P7" s="816" t="s">
        <v>211</v>
      </c>
      <c r="Q7" s="816" t="s">
        <v>211</v>
      </c>
      <c r="R7" s="816" t="s">
        <v>211</v>
      </c>
      <c r="S7" s="88" t="e">
        <v>#REF!</v>
      </c>
      <c r="T7" s="465" t="e">
        <v>#REF!</v>
      </c>
      <c r="U7" s="465" t="e">
        <v>#REF!</v>
      </c>
      <c r="V7" s="818" t="e">
        <v>#REF!</v>
      </c>
      <c r="W7" s="434"/>
      <c r="X7" s="434"/>
      <c r="Y7" s="434"/>
      <c r="Z7" s="461"/>
      <c r="AA7" s="461"/>
      <c r="AB7" s="461"/>
      <c r="AC7" s="461"/>
      <c r="AD7" s="461"/>
      <c r="AM7" s="275">
        <v>0.41666666666666669</v>
      </c>
      <c r="AN7" s="461"/>
      <c r="AO7" s="461" t="s">
        <v>207</v>
      </c>
    </row>
    <row r="8" spans="1:45" ht="14.5" customHeight="1" thickBot="1" x14ac:dyDescent="0.4">
      <c r="A8" s="822"/>
      <c r="B8" s="824"/>
      <c r="C8" s="90" t="s">
        <v>42</v>
      </c>
      <c r="D8" s="168">
        <v>11700</v>
      </c>
      <c r="E8" s="168" t="s">
        <v>211</v>
      </c>
      <c r="F8" s="168">
        <v>-367875</v>
      </c>
      <c r="G8" s="168">
        <v>226557</v>
      </c>
      <c r="H8" s="825"/>
      <c r="I8" s="168" t="s">
        <v>211</v>
      </c>
      <c r="J8" s="820" t="s">
        <v>211</v>
      </c>
      <c r="K8" s="168" t="s">
        <v>211</v>
      </c>
      <c r="L8" s="820" t="s">
        <v>211</v>
      </c>
      <c r="M8" s="817"/>
      <c r="N8" s="817"/>
      <c r="O8" s="435" t="s">
        <v>211</v>
      </c>
      <c r="P8" s="817"/>
      <c r="Q8" s="817"/>
      <c r="R8" s="817"/>
      <c r="S8" s="92" t="e">
        <v>#REF!</v>
      </c>
      <c r="T8" s="465" t="s">
        <v>211</v>
      </c>
      <c r="U8" s="465" t="s">
        <v>211</v>
      </c>
      <c r="V8" s="818"/>
      <c r="W8" s="434"/>
      <c r="X8" s="434"/>
      <c r="Y8" s="434"/>
      <c r="Z8" s="461"/>
      <c r="AA8" s="461"/>
      <c r="AB8" s="461"/>
      <c r="AC8" s="461"/>
      <c r="AD8" s="461"/>
      <c r="AM8" s="275">
        <v>0.41944444444444445</v>
      </c>
      <c r="AN8" s="461"/>
      <c r="AO8" s="461"/>
    </row>
    <row r="9" spans="1:45" ht="14.5" customHeight="1" thickBot="1" x14ac:dyDescent="0.4">
      <c r="A9" s="821" t="s">
        <v>438</v>
      </c>
      <c r="B9" s="823" t="s">
        <v>180</v>
      </c>
      <c r="C9" s="167" t="s">
        <v>211</v>
      </c>
      <c r="D9" s="167" t="s">
        <v>211</v>
      </c>
      <c r="E9" s="167">
        <v>34.1</v>
      </c>
      <c r="F9" s="167">
        <v>1193850</v>
      </c>
      <c r="G9" s="167">
        <v>180627</v>
      </c>
      <c r="H9" s="819" t="s">
        <v>55</v>
      </c>
      <c r="I9" s="167">
        <v>14.23</v>
      </c>
      <c r="J9" s="819">
        <v>11800</v>
      </c>
      <c r="K9" s="167">
        <v>9.65</v>
      </c>
      <c r="L9" s="819">
        <v>2904450</v>
      </c>
      <c r="M9" s="816">
        <v>11669.45</v>
      </c>
      <c r="N9" s="816">
        <v>11700</v>
      </c>
      <c r="O9" s="435">
        <v>-9.1833333333333318</v>
      </c>
      <c r="P9" s="816" t="s">
        <v>211</v>
      </c>
      <c r="Q9" s="816" t="s">
        <v>211</v>
      </c>
      <c r="R9" s="816" t="s">
        <v>211</v>
      </c>
      <c r="S9" s="88" t="e">
        <v>#REF!</v>
      </c>
      <c r="T9" s="465" t="e">
        <v>#REF!</v>
      </c>
      <c r="U9" s="465" t="e">
        <v>#REF!</v>
      </c>
      <c r="V9" s="818" t="e">
        <v>#REF!</v>
      </c>
      <c r="W9" s="434"/>
      <c r="X9" s="434"/>
      <c r="Y9" s="434"/>
      <c r="Z9" s="461"/>
      <c r="AA9" s="461"/>
      <c r="AB9" s="718" t="s">
        <v>165</v>
      </c>
      <c r="AC9" s="719"/>
      <c r="AD9" s="719"/>
      <c r="AM9" s="275">
        <v>0.42708333333333331</v>
      </c>
      <c r="AN9" s="461"/>
      <c r="AO9" s="461" t="s">
        <v>207</v>
      </c>
    </row>
    <row r="10" spans="1:45" ht="14.5" customHeight="1" thickBot="1" x14ac:dyDescent="0.4">
      <c r="A10" s="822"/>
      <c r="B10" s="824"/>
      <c r="C10" s="90" t="s">
        <v>42</v>
      </c>
      <c r="D10" s="168">
        <v>11700</v>
      </c>
      <c r="E10" s="168" t="s">
        <v>211</v>
      </c>
      <c r="F10" s="168">
        <v>-421650</v>
      </c>
      <c r="G10" s="168">
        <v>226557</v>
      </c>
      <c r="H10" s="825"/>
      <c r="I10" s="168" t="s">
        <v>211</v>
      </c>
      <c r="J10" s="820" t="s">
        <v>211</v>
      </c>
      <c r="K10" s="168" t="s">
        <v>211</v>
      </c>
      <c r="L10" s="820" t="s">
        <v>211</v>
      </c>
      <c r="M10" s="817"/>
      <c r="N10" s="817"/>
      <c r="O10" s="435" t="s">
        <v>211</v>
      </c>
      <c r="P10" s="817"/>
      <c r="Q10" s="817"/>
      <c r="R10" s="817"/>
      <c r="S10" s="92" t="e">
        <v>#REF!</v>
      </c>
      <c r="T10" s="465" t="s">
        <v>211</v>
      </c>
      <c r="U10" s="465" t="s">
        <v>211</v>
      </c>
      <c r="V10" s="818"/>
      <c r="W10" s="434"/>
      <c r="X10" s="434"/>
      <c r="Y10" s="434"/>
      <c r="Z10" s="461"/>
      <c r="AA10" s="461"/>
      <c r="AB10" s="718" t="s">
        <v>365</v>
      </c>
      <c r="AC10" s="719"/>
      <c r="AD10" s="719"/>
      <c r="AM10" s="275">
        <v>0.42986111111111108</v>
      </c>
      <c r="AN10" s="461"/>
      <c r="AO10" s="461"/>
    </row>
    <row r="11" spans="1:45" ht="14.5" customHeight="1" thickBot="1" x14ac:dyDescent="0.4">
      <c r="A11" s="821" t="s">
        <v>439</v>
      </c>
      <c r="B11" s="823" t="s">
        <v>180</v>
      </c>
      <c r="C11" s="167" t="s">
        <v>211</v>
      </c>
      <c r="D11" s="167" t="s">
        <v>211</v>
      </c>
      <c r="E11" s="167">
        <v>34.85</v>
      </c>
      <c r="F11" s="167">
        <v>1266075</v>
      </c>
      <c r="G11" s="167">
        <v>180627</v>
      </c>
      <c r="H11" s="819" t="s">
        <v>55</v>
      </c>
      <c r="I11" s="167">
        <v>13.56</v>
      </c>
      <c r="J11" s="819">
        <v>11800</v>
      </c>
      <c r="K11" s="167">
        <v>9.6999999999999993</v>
      </c>
      <c r="L11" s="819">
        <v>2995425</v>
      </c>
      <c r="M11" s="816">
        <v>11662.9</v>
      </c>
      <c r="N11" s="816">
        <v>11700</v>
      </c>
      <c r="O11" s="435">
        <v>-8.7916666666666625</v>
      </c>
      <c r="P11" s="816">
        <v>11728</v>
      </c>
      <c r="Q11" s="816">
        <v>11838.5</v>
      </c>
      <c r="R11" s="816">
        <v>11712.05</v>
      </c>
      <c r="S11" s="88" t="e">
        <v>#REF!</v>
      </c>
      <c r="T11" s="465" t="e">
        <v>#REF!</v>
      </c>
      <c r="U11" s="465" t="e">
        <v>#REF!</v>
      </c>
      <c r="V11" s="818" t="e">
        <v>#REF!</v>
      </c>
      <c r="W11" s="434"/>
      <c r="X11" s="434"/>
      <c r="Y11" s="434"/>
      <c r="Z11" s="461"/>
      <c r="AA11" s="461"/>
      <c r="AB11" s="718" t="s">
        <v>366</v>
      </c>
      <c r="AC11" s="718"/>
      <c r="AD11" s="718"/>
      <c r="AM11" s="275">
        <v>0.4375</v>
      </c>
      <c r="AN11" s="461"/>
      <c r="AO11" s="461" t="s">
        <v>207</v>
      </c>
    </row>
    <row r="12" spans="1:45" ht="14.5" customHeight="1" thickBot="1" x14ac:dyDescent="0.4">
      <c r="A12" s="822"/>
      <c r="B12" s="824"/>
      <c r="C12" s="90" t="s">
        <v>42</v>
      </c>
      <c r="D12" s="168">
        <v>11700</v>
      </c>
      <c r="E12" s="168" t="s">
        <v>211</v>
      </c>
      <c r="F12" s="168">
        <v>-422025</v>
      </c>
      <c r="G12" s="168">
        <v>114023</v>
      </c>
      <c r="H12" s="825"/>
      <c r="I12" s="168" t="s">
        <v>211</v>
      </c>
      <c r="J12" s="820" t="s">
        <v>211</v>
      </c>
      <c r="K12" s="168" t="s">
        <v>211</v>
      </c>
      <c r="L12" s="820" t="s">
        <v>211</v>
      </c>
      <c r="M12" s="817"/>
      <c r="N12" s="817"/>
      <c r="O12" s="435" t="s">
        <v>211</v>
      </c>
      <c r="P12" s="817"/>
      <c r="Q12" s="817"/>
      <c r="R12" s="817"/>
      <c r="S12" s="92" t="e">
        <v>#REF!</v>
      </c>
      <c r="T12" s="465" t="s">
        <v>211</v>
      </c>
      <c r="U12" s="465" t="s">
        <v>211</v>
      </c>
      <c r="V12" s="818"/>
      <c r="W12" s="434"/>
      <c r="X12" s="434"/>
      <c r="Y12" s="434"/>
      <c r="Z12" s="461"/>
      <c r="AA12" s="461"/>
      <c r="AB12" s="718" t="s">
        <v>167</v>
      </c>
      <c r="AC12" s="718"/>
      <c r="AD12" s="718"/>
      <c r="AM12" s="275">
        <v>0.44027777777777777</v>
      </c>
      <c r="AN12" s="461"/>
      <c r="AO12" s="461"/>
    </row>
    <row r="13" spans="1:45" ht="14.5" customHeight="1" thickBot="1" x14ac:dyDescent="0.4">
      <c r="A13" s="821" t="s">
        <v>354</v>
      </c>
      <c r="B13" s="823" t="s">
        <v>180</v>
      </c>
      <c r="C13" s="167" t="s">
        <v>211</v>
      </c>
      <c r="D13" s="167" t="s">
        <v>211</v>
      </c>
      <c r="E13" s="167">
        <v>0</v>
      </c>
      <c r="F13" s="167">
        <v>0</v>
      </c>
      <c r="G13" s="167">
        <v>0</v>
      </c>
      <c r="H13" s="819" t="s">
        <v>55</v>
      </c>
      <c r="I13" s="167">
        <v>0</v>
      </c>
      <c r="J13" s="819">
        <v>0</v>
      </c>
      <c r="K13" s="167">
        <v>0</v>
      </c>
      <c r="L13" s="819" t="e">
        <v>#NUM!</v>
      </c>
      <c r="M13" s="816">
        <v>11662.55</v>
      </c>
      <c r="N13" s="816">
        <v>11700</v>
      </c>
      <c r="O13" s="435" t="e">
        <v>#NUM!</v>
      </c>
      <c r="P13" s="816">
        <v>11726.05</v>
      </c>
      <c r="Q13" s="816">
        <v>11838.5</v>
      </c>
      <c r="R13" s="816">
        <v>11712.05</v>
      </c>
      <c r="S13" s="88" t="e">
        <v>#REF!</v>
      </c>
      <c r="T13" s="465" t="e">
        <v>#REF!</v>
      </c>
      <c r="U13" s="465" t="e">
        <v>#REF!</v>
      </c>
      <c r="V13" s="818" t="e">
        <v>#REF!</v>
      </c>
      <c r="W13" s="434"/>
      <c r="X13" s="434"/>
      <c r="Y13" s="434"/>
      <c r="Z13" s="461"/>
      <c r="AA13" s="461"/>
      <c r="AB13" s="718" t="s">
        <v>168</v>
      </c>
      <c r="AC13" s="718"/>
      <c r="AD13" s="718"/>
      <c r="AM13" s="275">
        <v>0.44791666666666669</v>
      </c>
      <c r="AN13" s="461"/>
      <c r="AO13" s="461" t="s">
        <v>207</v>
      </c>
    </row>
    <row r="14" spans="1:45" ht="14.5" customHeight="1" thickBot="1" x14ac:dyDescent="0.4">
      <c r="A14" s="822"/>
      <c r="B14" s="824"/>
      <c r="C14" s="90" t="s">
        <v>42</v>
      </c>
      <c r="D14" s="168">
        <v>725400</v>
      </c>
      <c r="E14" s="168" t="s">
        <v>211</v>
      </c>
      <c r="F14" s="168">
        <v>0</v>
      </c>
      <c r="G14" s="168" t="s">
        <v>211</v>
      </c>
      <c r="H14" s="825"/>
      <c r="I14" s="168" t="s">
        <v>211</v>
      </c>
      <c r="J14" s="820" t="s">
        <v>211</v>
      </c>
      <c r="K14" s="168" t="s">
        <v>211</v>
      </c>
      <c r="L14" s="820" t="s">
        <v>211</v>
      </c>
      <c r="M14" s="817"/>
      <c r="N14" s="817"/>
      <c r="O14" s="435" t="s">
        <v>211</v>
      </c>
      <c r="P14" s="817"/>
      <c r="Q14" s="817"/>
      <c r="R14" s="817"/>
      <c r="S14" s="92" t="e">
        <v>#REF!</v>
      </c>
      <c r="T14" s="465" t="s">
        <v>211</v>
      </c>
      <c r="U14" s="465" t="s">
        <v>211</v>
      </c>
      <c r="V14" s="818"/>
      <c r="W14" s="434"/>
      <c r="X14" s="434"/>
      <c r="Y14" s="434"/>
      <c r="AM14" s="275">
        <v>0.45069444444444445</v>
      </c>
      <c r="AN14" s="461"/>
      <c r="AO14" s="461"/>
    </row>
    <row r="15" spans="1:45" ht="14.5" customHeight="1" thickBot="1" x14ac:dyDescent="0.4">
      <c r="A15" s="821" t="s">
        <v>440</v>
      </c>
      <c r="B15" s="823" t="s">
        <v>180</v>
      </c>
      <c r="C15" s="167" t="s">
        <v>211</v>
      </c>
      <c r="D15" s="167" t="s">
        <v>211</v>
      </c>
      <c r="E15" s="167">
        <v>38.65</v>
      </c>
      <c r="F15" s="167">
        <v>1361850</v>
      </c>
      <c r="G15" s="167">
        <v>138353</v>
      </c>
      <c r="H15" s="819" t="s">
        <v>55</v>
      </c>
      <c r="I15" s="167">
        <v>11.57</v>
      </c>
      <c r="J15" s="819">
        <v>11800</v>
      </c>
      <c r="K15" s="167">
        <v>10.7</v>
      </c>
      <c r="L15" s="819">
        <v>3061800</v>
      </c>
      <c r="M15" s="816">
        <v>11690.85</v>
      </c>
      <c r="N15" s="816">
        <v>11700</v>
      </c>
      <c r="O15" s="435">
        <v>-5.8250000000000046</v>
      </c>
      <c r="P15" s="816">
        <v>11744.75</v>
      </c>
      <c r="Q15" s="816">
        <v>11838.5</v>
      </c>
      <c r="R15" s="816">
        <v>11712.05</v>
      </c>
      <c r="S15" s="88" t="e">
        <v>#REF!</v>
      </c>
      <c r="T15" s="465" t="e">
        <v>#REF!</v>
      </c>
      <c r="U15" s="465" t="e">
        <v>#REF!</v>
      </c>
      <c r="V15" s="818" t="e">
        <v>#REF!</v>
      </c>
      <c r="W15" s="434"/>
      <c r="X15" s="434"/>
      <c r="Y15" s="434"/>
      <c r="AM15" s="275">
        <v>0.45833333333333331</v>
      </c>
      <c r="AN15" s="461"/>
      <c r="AO15" s="461" t="s">
        <v>207</v>
      </c>
    </row>
    <row r="16" spans="1:45" ht="14.5" customHeight="1" thickBot="1" x14ac:dyDescent="0.4">
      <c r="A16" s="822"/>
      <c r="B16" s="824"/>
      <c r="C16" s="90" t="s">
        <v>42</v>
      </c>
      <c r="D16" s="168">
        <v>11700</v>
      </c>
      <c r="E16" s="168" t="s">
        <v>211</v>
      </c>
      <c r="F16" s="168">
        <v>-474825</v>
      </c>
      <c r="G16" s="168" t="s">
        <v>211</v>
      </c>
      <c r="H16" s="825"/>
      <c r="I16" s="168" t="s">
        <v>211</v>
      </c>
      <c r="J16" s="820" t="s">
        <v>211</v>
      </c>
      <c r="K16" s="168" t="s">
        <v>211</v>
      </c>
      <c r="L16" s="820" t="s">
        <v>211</v>
      </c>
      <c r="M16" s="817"/>
      <c r="N16" s="817"/>
      <c r="O16" s="435" t="s">
        <v>211</v>
      </c>
      <c r="P16" s="817"/>
      <c r="Q16" s="817"/>
      <c r="R16" s="817"/>
      <c r="S16" s="92" t="e">
        <v>#REF!</v>
      </c>
      <c r="T16" s="465" t="s">
        <v>211</v>
      </c>
      <c r="U16" s="465" t="s">
        <v>211</v>
      </c>
      <c r="V16" s="818"/>
      <c r="W16" s="434"/>
      <c r="X16" s="434"/>
      <c r="Y16" s="434"/>
      <c r="AM16" s="275">
        <v>0.46111111111111108</v>
      </c>
      <c r="AN16" s="461"/>
      <c r="AO16" s="461"/>
    </row>
    <row r="17" spans="1:41" ht="14.5" customHeight="1" thickBot="1" x14ac:dyDescent="0.4">
      <c r="A17" s="821" t="s">
        <v>441</v>
      </c>
      <c r="B17" s="823" t="s">
        <v>180</v>
      </c>
      <c r="C17" s="167" t="s">
        <v>211</v>
      </c>
      <c r="D17" s="167" t="s">
        <v>211</v>
      </c>
      <c r="E17" s="167">
        <v>1.5</v>
      </c>
      <c r="F17" s="167">
        <v>1238175</v>
      </c>
      <c r="G17" s="167">
        <v>89775</v>
      </c>
      <c r="H17" s="819" t="s">
        <v>55</v>
      </c>
      <c r="I17" s="167">
        <v>12.56</v>
      </c>
      <c r="J17" s="819">
        <v>11800</v>
      </c>
      <c r="K17" s="167">
        <v>11.45</v>
      </c>
      <c r="L17" s="819">
        <v>3073800</v>
      </c>
      <c r="M17" s="816">
        <v>11697.65</v>
      </c>
      <c r="N17" s="816">
        <v>11700</v>
      </c>
      <c r="O17" s="435">
        <v>-2.7083333333333321</v>
      </c>
      <c r="P17" s="816">
        <v>11747.85</v>
      </c>
      <c r="Q17" s="816">
        <v>11838.5</v>
      </c>
      <c r="R17" s="816">
        <v>11712.05</v>
      </c>
      <c r="S17" s="88" t="e">
        <v>#REF!</v>
      </c>
      <c r="T17" s="465" t="e">
        <v>#REF!</v>
      </c>
      <c r="U17" s="465" t="e">
        <v>#REF!</v>
      </c>
      <c r="V17" s="818" t="e">
        <v>#REF!</v>
      </c>
      <c r="W17" s="434"/>
      <c r="X17" s="434"/>
      <c r="Y17" s="434"/>
      <c r="AM17" s="275">
        <v>0.46875</v>
      </c>
      <c r="AN17" s="461"/>
      <c r="AO17" s="461" t="s">
        <v>207</v>
      </c>
    </row>
    <row r="18" spans="1:41" ht="14.5" customHeight="1" thickBot="1" x14ac:dyDescent="0.4">
      <c r="A18" s="822"/>
      <c r="B18" s="824"/>
      <c r="C18" s="90" t="s">
        <v>42</v>
      </c>
      <c r="D18" s="168">
        <v>11700</v>
      </c>
      <c r="E18" s="168" t="s">
        <v>211</v>
      </c>
      <c r="F18" s="168">
        <v>-382725</v>
      </c>
      <c r="G18" s="168" t="s">
        <v>211</v>
      </c>
      <c r="H18" s="825"/>
      <c r="I18" s="168" t="s">
        <v>211</v>
      </c>
      <c r="J18" s="820" t="s">
        <v>211</v>
      </c>
      <c r="K18" s="168" t="s">
        <v>211</v>
      </c>
      <c r="L18" s="820" t="s">
        <v>211</v>
      </c>
      <c r="M18" s="817"/>
      <c r="N18" s="817"/>
      <c r="O18" s="435" t="s">
        <v>211</v>
      </c>
      <c r="P18" s="817"/>
      <c r="Q18" s="817"/>
      <c r="R18" s="817"/>
      <c r="S18" s="92" t="e">
        <v>#REF!</v>
      </c>
      <c r="T18" s="465" t="s">
        <v>211</v>
      </c>
      <c r="U18" s="465" t="s">
        <v>211</v>
      </c>
      <c r="V18" s="818"/>
      <c r="W18" s="434"/>
      <c r="X18" s="434"/>
      <c r="Y18" s="434"/>
      <c r="AM18" s="275">
        <v>0.47152777777777777</v>
      </c>
      <c r="AN18" s="461"/>
      <c r="AO18" s="461"/>
    </row>
    <row r="19" spans="1:41" ht="14.5" customHeight="1" thickBot="1" x14ac:dyDescent="0.4">
      <c r="A19" s="821" t="s">
        <v>442</v>
      </c>
      <c r="B19" s="823" t="s">
        <v>180</v>
      </c>
      <c r="C19" s="167" t="s">
        <v>211</v>
      </c>
      <c r="D19" s="167" t="s">
        <v>211</v>
      </c>
      <c r="E19" s="167">
        <v>1.45</v>
      </c>
      <c r="F19" s="167">
        <v>1290075</v>
      </c>
      <c r="G19" s="167">
        <v>95441</v>
      </c>
      <c r="H19" s="819" t="s">
        <v>55</v>
      </c>
      <c r="I19" s="167">
        <v>12.36</v>
      </c>
      <c r="J19" s="819">
        <v>11800</v>
      </c>
      <c r="K19" s="167">
        <v>10.95</v>
      </c>
      <c r="L19" s="819">
        <v>3095700</v>
      </c>
      <c r="M19" s="816">
        <v>11697.85</v>
      </c>
      <c r="N19" s="816">
        <v>11700</v>
      </c>
      <c r="O19" s="435">
        <v>-3.5583333333333353</v>
      </c>
      <c r="P19" s="816">
        <v>11747.95</v>
      </c>
      <c r="Q19" s="816">
        <v>11838.5</v>
      </c>
      <c r="R19" s="816">
        <v>11712.05</v>
      </c>
      <c r="S19" s="88" t="e">
        <v>#REF!</v>
      </c>
      <c r="T19" s="465" t="e">
        <v>#REF!</v>
      </c>
      <c r="U19" s="465" t="e">
        <v>#REF!</v>
      </c>
      <c r="V19" s="818" t="e">
        <v>#REF!</v>
      </c>
      <c r="W19" s="434"/>
      <c r="X19" s="434"/>
      <c r="Y19" s="434"/>
      <c r="AM19" s="275">
        <v>0.47916666666666669</v>
      </c>
      <c r="AN19" s="461"/>
      <c r="AO19" s="461" t="s">
        <v>207</v>
      </c>
    </row>
    <row r="20" spans="1:41" ht="14.5" customHeight="1" thickBot="1" x14ac:dyDescent="0.4">
      <c r="A20" s="822"/>
      <c r="B20" s="824"/>
      <c r="C20" s="90" t="s">
        <v>42</v>
      </c>
      <c r="D20" s="168">
        <v>11700</v>
      </c>
      <c r="E20" s="168" t="s">
        <v>211</v>
      </c>
      <c r="F20" s="168">
        <v>-365850</v>
      </c>
      <c r="G20" s="168" t="s">
        <v>211</v>
      </c>
      <c r="H20" s="825"/>
      <c r="I20" s="168" t="s">
        <v>211</v>
      </c>
      <c r="J20" s="820" t="s">
        <v>211</v>
      </c>
      <c r="K20" s="168" t="s">
        <v>211</v>
      </c>
      <c r="L20" s="820" t="s">
        <v>211</v>
      </c>
      <c r="M20" s="817"/>
      <c r="N20" s="817"/>
      <c r="O20" s="435" t="s">
        <v>211</v>
      </c>
      <c r="P20" s="817"/>
      <c r="Q20" s="817"/>
      <c r="R20" s="817"/>
      <c r="S20" s="92" t="e">
        <v>#REF!</v>
      </c>
      <c r="T20" s="465" t="s">
        <v>211</v>
      </c>
      <c r="U20" s="465" t="s">
        <v>211</v>
      </c>
      <c r="V20" s="818"/>
      <c r="W20" s="434"/>
      <c r="X20" s="434"/>
      <c r="Y20" s="434"/>
      <c r="AM20" s="275">
        <v>0.48194444444444445</v>
      </c>
      <c r="AN20" s="461"/>
      <c r="AO20" s="461"/>
    </row>
    <row r="21" spans="1:41" ht="14.5" customHeight="1" thickBot="1" x14ac:dyDescent="0.4">
      <c r="A21" s="821" t="s">
        <v>443</v>
      </c>
      <c r="B21" s="823" t="s">
        <v>180</v>
      </c>
      <c r="C21" s="167" t="s">
        <v>211</v>
      </c>
      <c r="D21" s="167" t="s">
        <v>211</v>
      </c>
      <c r="E21" s="167">
        <v>1.55</v>
      </c>
      <c r="F21" s="167">
        <v>1306875</v>
      </c>
      <c r="G21" s="167">
        <v>104371</v>
      </c>
      <c r="H21" s="819" t="s">
        <v>55</v>
      </c>
      <c r="I21" s="167">
        <v>12.06</v>
      </c>
      <c r="J21" s="819">
        <v>11800</v>
      </c>
      <c r="K21" s="167">
        <v>12.65</v>
      </c>
      <c r="L21" s="819">
        <v>3010125</v>
      </c>
      <c r="M21" s="816">
        <v>11703.85</v>
      </c>
      <c r="N21" s="816">
        <v>11700</v>
      </c>
      <c r="O21" s="435">
        <v>-0.80000000000000249</v>
      </c>
      <c r="P21" s="816">
        <v>11754.9</v>
      </c>
      <c r="Q21" s="816">
        <v>11838.5</v>
      </c>
      <c r="R21" s="816">
        <v>11712.05</v>
      </c>
      <c r="S21" s="88" t="e">
        <v>#REF!</v>
      </c>
      <c r="T21" s="465" t="e">
        <v>#REF!</v>
      </c>
      <c r="U21" s="465" t="e">
        <v>#REF!</v>
      </c>
      <c r="V21" s="818" t="e">
        <v>#REF!</v>
      </c>
      <c r="W21" s="434"/>
      <c r="X21" s="434"/>
      <c r="Y21" s="434"/>
      <c r="AM21" s="275">
        <v>0.48958333333333331</v>
      </c>
      <c r="AN21" s="461"/>
      <c r="AO21" s="461" t="s">
        <v>207</v>
      </c>
    </row>
    <row r="22" spans="1:41" ht="14.5" customHeight="1" thickBot="1" x14ac:dyDescent="0.4">
      <c r="A22" s="822"/>
      <c r="B22" s="824"/>
      <c r="C22" s="90" t="s">
        <v>42</v>
      </c>
      <c r="D22" s="168">
        <v>11650</v>
      </c>
      <c r="E22" s="168" t="s">
        <v>211</v>
      </c>
      <c r="F22" s="168">
        <v>367725</v>
      </c>
      <c r="G22" s="168" t="s">
        <v>211</v>
      </c>
      <c r="H22" s="825"/>
      <c r="I22" s="168" t="s">
        <v>211</v>
      </c>
      <c r="J22" s="820" t="s">
        <v>211</v>
      </c>
      <c r="K22" s="168" t="s">
        <v>211</v>
      </c>
      <c r="L22" s="820" t="s">
        <v>211</v>
      </c>
      <c r="M22" s="817"/>
      <c r="N22" s="817"/>
      <c r="O22" s="435" t="s">
        <v>211</v>
      </c>
      <c r="P22" s="817"/>
      <c r="Q22" s="817"/>
      <c r="R22" s="817"/>
      <c r="S22" s="92" t="e">
        <v>#REF!</v>
      </c>
      <c r="T22" s="465" t="s">
        <v>211</v>
      </c>
      <c r="U22" s="465" t="s">
        <v>211</v>
      </c>
      <c r="V22" s="818"/>
      <c r="W22" s="434"/>
      <c r="X22" s="434"/>
      <c r="Y22" s="434"/>
      <c r="AM22" s="275">
        <v>0.49236111111111108</v>
      </c>
      <c r="AN22" s="461"/>
      <c r="AO22" s="461"/>
    </row>
    <row r="23" spans="1:41" ht="14.5" customHeight="1" thickBot="1" x14ac:dyDescent="0.4">
      <c r="A23" s="821" t="s">
        <v>211</v>
      </c>
      <c r="B23" s="823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19" t="s">
        <v>211</v>
      </c>
      <c r="I23" s="167" t="s">
        <v>211</v>
      </c>
      <c r="J23" s="819" t="s">
        <v>211</v>
      </c>
      <c r="K23" s="167" t="s">
        <v>211</v>
      </c>
      <c r="L23" s="819" t="s">
        <v>211</v>
      </c>
      <c r="M23" s="816" t="s">
        <v>211</v>
      </c>
      <c r="N23" s="816" t="s">
        <v>211</v>
      </c>
      <c r="O23" s="435" t="s">
        <v>211</v>
      </c>
      <c r="P23" s="816" t="s">
        <v>211</v>
      </c>
      <c r="Q23" s="816" t="s">
        <v>211</v>
      </c>
      <c r="R23" s="816" t="s">
        <v>211</v>
      </c>
      <c r="S23" s="88" t="s">
        <v>211</v>
      </c>
      <c r="T23" s="465" t="s">
        <v>211</v>
      </c>
      <c r="U23" s="465" t="s">
        <v>211</v>
      </c>
      <c r="V23" s="818" t="s">
        <v>211</v>
      </c>
      <c r="W23" s="434"/>
      <c r="X23" s="434"/>
      <c r="Y23" s="434"/>
      <c r="AM23" s="275">
        <v>0.5</v>
      </c>
      <c r="AN23" s="461"/>
      <c r="AO23" s="461" t="s">
        <v>207</v>
      </c>
    </row>
    <row r="24" spans="1:41" ht="14.5" customHeight="1" thickBot="1" x14ac:dyDescent="0.4">
      <c r="A24" s="822"/>
      <c r="B24" s="824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25"/>
      <c r="I24" s="168" t="s">
        <v>211</v>
      </c>
      <c r="J24" s="820" t="s">
        <v>211</v>
      </c>
      <c r="K24" s="168" t="s">
        <v>211</v>
      </c>
      <c r="L24" s="820" t="s">
        <v>211</v>
      </c>
      <c r="M24" s="817"/>
      <c r="N24" s="817"/>
      <c r="O24" s="435" t="s">
        <v>211</v>
      </c>
      <c r="P24" s="817"/>
      <c r="Q24" s="817"/>
      <c r="R24" s="817"/>
      <c r="S24" s="92" t="s">
        <v>211</v>
      </c>
      <c r="T24" s="465" t="s">
        <v>211</v>
      </c>
      <c r="U24" s="465" t="s">
        <v>211</v>
      </c>
      <c r="V24" s="818"/>
      <c r="W24" s="434"/>
      <c r="X24" s="434"/>
      <c r="Y24" s="434"/>
      <c r="AM24" s="275">
        <v>0.50277777777777777</v>
      </c>
      <c r="AN24" s="461"/>
      <c r="AO24" s="461"/>
    </row>
    <row r="25" spans="1:41" ht="14.5" customHeight="1" thickBot="1" x14ac:dyDescent="0.4">
      <c r="A25" s="821" t="s">
        <v>211</v>
      </c>
      <c r="B25" s="823" t="s">
        <v>211</v>
      </c>
      <c r="C25" s="167" t="s">
        <v>211</v>
      </c>
      <c r="D25" s="167" t="s">
        <v>211</v>
      </c>
      <c r="E25" s="167" t="s">
        <v>211</v>
      </c>
      <c r="F25" s="167" t="s">
        <v>211</v>
      </c>
      <c r="G25" s="167" t="s">
        <v>211</v>
      </c>
      <c r="H25" s="819" t="s">
        <v>211</v>
      </c>
      <c r="I25" s="167" t="s">
        <v>211</v>
      </c>
      <c r="J25" s="819" t="s">
        <v>211</v>
      </c>
      <c r="K25" s="167" t="s">
        <v>211</v>
      </c>
      <c r="L25" s="819" t="s">
        <v>211</v>
      </c>
      <c r="M25" s="816" t="s">
        <v>211</v>
      </c>
      <c r="N25" s="816" t="s">
        <v>211</v>
      </c>
      <c r="O25" s="435" t="s">
        <v>211</v>
      </c>
      <c r="P25" s="816" t="s">
        <v>211</v>
      </c>
      <c r="Q25" s="816" t="s">
        <v>211</v>
      </c>
      <c r="R25" s="816" t="s">
        <v>211</v>
      </c>
      <c r="S25" s="88" t="s">
        <v>211</v>
      </c>
      <c r="T25" s="465" t="s">
        <v>211</v>
      </c>
      <c r="U25" s="465" t="s">
        <v>211</v>
      </c>
      <c r="V25" s="818" t="s">
        <v>211</v>
      </c>
      <c r="W25" s="434"/>
      <c r="X25" s="434"/>
      <c r="Y25" s="434"/>
      <c r="AM25" s="275">
        <v>0.51041666666666663</v>
      </c>
      <c r="AN25" s="461"/>
      <c r="AO25" s="461" t="s">
        <v>207</v>
      </c>
    </row>
    <row r="26" spans="1:41" ht="14.5" customHeight="1" thickBot="1" x14ac:dyDescent="0.4">
      <c r="A26" s="822"/>
      <c r="B26" s="824"/>
      <c r="C26" s="90" t="s">
        <v>211</v>
      </c>
      <c r="D26" s="168" t="s">
        <v>211</v>
      </c>
      <c r="E26" s="168" t="s">
        <v>211</v>
      </c>
      <c r="F26" s="168" t="s">
        <v>211</v>
      </c>
      <c r="G26" s="168" t="s">
        <v>211</v>
      </c>
      <c r="H26" s="825"/>
      <c r="I26" s="168" t="s">
        <v>211</v>
      </c>
      <c r="J26" s="820" t="s">
        <v>211</v>
      </c>
      <c r="K26" s="168" t="s">
        <v>211</v>
      </c>
      <c r="L26" s="820" t="s">
        <v>211</v>
      </c>
      <c r="M26" s="817"/>
      <c r="N26" s="817"/>
      <c r="O26" s="435" t="s">
        <v>211</v>
      </c>
      <c r="P26" s="817"/>
      <c r="Q26" s="817"/>
      <c r="R26" s="817"/>
      <c r="S26" s="92" t="s">
        <v>211</v>
      </c>
      <c r="T26" s="465" t="s">
        <v>211</v>
      </c>
      <c r="U26" s="465" t="s">
        <v>211</v>
      </c>
      <c r="V26" s="818"/>
      <c r="W26" s="434"/>
      <c r="X26" s="434"/>
      <c r="Y26" s="434"/>
      <c r="AM26" s="275">
        <v>0.5131944444444444</v>
      </c>
      <c r="AN26" s="461"/>
      <c r="AO26" s="461"/>
    </row>
    <row r="27" spans="1:41" ht="14.5" customHeight="1" thickBot="1" x14ac:dyDescent="0.4">
      <c r="A27" s="821" t="s">
        <v>211</v>
      </c>
      <c r="B27" s="823" t="s">
        <v>211</v>
      </c>
      <c r="C27" s="167" t="s">
        <v>211</v>
      </c>
      <c r="D27" s="167" t="s">
        <v>211</v>
      </c>
      <c r="E27" s="167" t="s">
        <v>211</v>
      </c>
      <c r="F27" s="167" t="s">
        <v>211</v>
      </c>
      <c r="G27" s="167" t="s">
        <v>211</v>
      </c>
      <c r="H27" s="819" t="s">
        <v>211</v>
      </c>
      <c r="I27" s="167" t="s">
        <v>211</v>
      </c>
      <c r="J27" s="819" t="s">
        <v>211</v>
      </c>
      <c r="K27" s="167" t="s">
        <v>211</v>
      </c>
      <c r="L27" s="819" t="s">
        <v>211</v>
      </c>
      <c r="M27" s="816" t="s">
        <v>211</v>
      </c>
      <c r="N27" s="816" t="s">
        <v>211</v>
      </c>
      <c r="O27" s="435" t="s">
        <v>211</v>
      </c>
      <c r="P27" s="816" t="s">
        <v>211</v>
      </c>
      <c r="Q27" s="816" t="s">
        <v>211</v>
      </c>
      <c r="R27" s="816" t="s">
        <v>211</v>
      </c>
      <c r="S27" s="88" t="s">
        <v>211</v>
      </c>
      <c r="T27" s="465" t="s">
        <v>211</v>
      </c>
      <c r="U27" s="465" t="s">
        <v>211</v>
      </c>
      <c r="V27" s="818" t="s">
        <v>211</v>
      </c>
      <c r="W27" s="434"/>
      <c r="X27" s="434"/>
      <c r="Y27" s="434"/>
      <c r="AM27" s="275">
        <v>0.52083333333333337</v>
      </c>
      <c r="AN27" s="461"/>
      <c r="AO27" s="461" t="s">
        <v>207</v>
      </c>
    </row>
    <row r="28" spans="1:41" ht="14.5" customHeight="1" thickBot="1" x14ac:dyDescent="0.4">
      <c r="A28" s="822"/>
      <c r="B28" s="824"/>
      <c r="C28" s="90" t="s">
        <v>211</v>
      </c>
      <c r="D28" s="168" t="s">
        <v>211</v>
      </c>
      <c r="E28" s="168" t="s">
        <v>211</v>
      </c>
      <c r="F28" s="168" t="s">
        <v>211</v>
      </c>
      <c r="G28" s="168" t="s">
        <v>211</v>
      </c>
      <c r="H28" s="825"/>
      <c r="I28" s="168" t="s">
        <v>211</v>
      </c>
      <c r="J28" s="820" t="s">
        <v>211</v>
      </c>
      <c r="K28" s="168" t="s">
        <v>211</v>
      </c>
      <c r="L28" s="820" t="s">
        <v>211</v>
      </c>
      <c r="M28" s="817"/>
      <c r="N28" s="817"/>
      <c r="O28" s="435" t="s">
        <v>211</v>
      </c>
      <c r="P28" s="817"/>
      <c r="Q28" s="817"/>
      <c r="R28" s="817"/>
      <c r="S28" s="92" t="s">
        <v>211</v>
      </c>
      <c r="T28" s="465" t="s">
        <v>211</v>
      </c>
      <c r="U28" s="465" t="s">
        <v>211</v>
      </c>
      <c r="V28" s="818"/>
      <c r="W28" s="434"/>
      <c r="X28" s="434"/>
      <c r="Y28" s="434"/>
      <c r="AM28" s="275">
        <v>0.52361111111111114</v>
      </c>
      <c r="AN28" s="461"/>
      <c r="AO28" s="461"/>
    </row>
    <row r="29" spans="1:41" ht="15" customHeight="1" thickBot="1" x14ac:dyDescent="0.4">
      <c r="A29" s="821" t="s">
        <v>211</v>
      </c>
      <c r="B29" s="823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19" t="s">
        <v>211</v>
      </c>
      <c r="I29" s="167" t="s">
        <v>211</v>
      </c>
      <c r="J29" s="819" t="s">
        <v>211</v>
      </c>
      <c r="K29" s="167" t="s">
        <v>211</v>
      </c>
      <c r="L29" s="819" t="s">
        <v>211</v>
      </c>
      <c r="M29" s="816" t="s">
        <v>211</v>
      </c>
      <c r="N29" s="816" t="s">
        <v>211</v>
      </c>
      <c r="O29" s="435" t="s">
        <v>211</v>
      </c>
      <c r="P29" s="816" t="s">
        <v>211</v>
      </c>
      <c r="Q29" s="816" t="s">
        <v>211</v>
      </c>
      <c r="R29" s="816" t="s">
        <v>211</v>
      </c>
      <c r="S29" s="88" t="s">
        <v>211</v>
      </c>
      <c r="T29" s="465" t="s">
        <v>211</v>
      </c>
      <c r="U29" s="465" t="s">
        <v>211</v>
      </c>
      <c r="V29" s="818" t="s">
        <v>211</v>
      </c>
      <c r="W29" s="434"/>
      <c r="X29" s="434"/>
      <c r="Y29" s="434"/>
      <c r="AM29" s="275">
        <v>0.53125</v>
      </c>
      <c r="AO29" s="461" t="s">
        <v>207</v>
      </c>
    </row>
    <row r="30" spans="1:41" ht="15" customHeight="1" thickBot="1" x14ac:dyDescent="0.4">
      <c r="A30" s="822"/>
      <c r="B30" s="824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25"/>
      <c r="I30" s="168" t="s">
        <v>211</v>
      </c>
      <c r="J30" s="820" t="s">
        <v>211</v>
      </c>
      <c r="K30" s="168" t="s">
        <v>211</v>
      </c>
      <c r="L30" s="820" t="s">
        <v>211</v>
      </c>
      <c r="M30" s="817"/>
      <c r="N30" s="817"/>
      <c r="O30" s="435" t="s">
        <v>211</v>
      </c>
      <c r="P30" s="817"/>
      <c r="Q30" s="817"/>
      <c r="R30" s="817"/>
      <c r="S30" s="92" t="s">
        <v>211</v>
      </c>
      <c r="T30" s="465" t="s">
        <v>211</v>
      </c>
      <c r="U30" s="465" t="s">
        <v>211</v>
      </c>
      <c r="V30" s="818"/>
      <c r="W30" s="434"/>
      <c r="X30" s="434"/>
      <c r="Y30" s="434"/>
      <c r="AM30" s="275">
        <v>0.53402777777777777</v>
      </c>
      <c r="AO30" s="461"/>
    </row>
    <row r="31" spans="1:41" ht="15" customHeight="1" thickBot="1" x14ac:dyDescent="0.4">
      <c r="A31" s="821" t="s">
        <v>211</v>
      </c>
      <c r="B31" s="823" t="s">
        <v>211</v>
      </c>
      <c r="C31" s="167" t="s">
        <v>211</v>
      </c>
      <c r="D31" s="167" t="s">
        <v>211</v>
      </c>
      <c r="E31" s="167" t="s">
        <v>211</v>
      </c>
      <c r="F31" s="167" t="s">
        <v>211</v>
      </c>
      <c r="G31" s="167" t="s">
        <v>211</v>
      </c>
      <c r="H31" s="819" t="s">
        <v>211</v>
      </c>
      <c r="I31" s="167" t="s">
        <v>211</v>
      </c>
      <c r="J31" s="819" t="s">
        <v>211</v>
      </c>
      <c r="K31" s="167" t="s">
        <v>211</v>
      </c>
      <c r="L31" s="819" t="s">
        <v>211</v>
      </c>
      <c r="M31" s="816" t="s">
        <v>211</v>
      </c>
      <c r="N31" s="816" t="s">
        <v>211</v>
      </c>
      <c r="O31" s="435" t="s">
        <v>211</v>
      </c>
      <c r="P31" s="816" t="s">
        <v>211</v>
      </c>
      <c r="Q31" s="816" t="s">
        <v>211</v>
      </c>
      <c r="R31" s="816" t="s">
        <v>211</v>
      </c>
      <c r="S31" s="88" t="s">
        <v>211</v>
      </c>
      <c r="T31" s="465" t="s">
        <v>211</v>
      </c>
      <c r="U31" s="465" t="s">
        <v>211</v>
      </c>
      <c r="V31" s="818" t="s">
        <v>211</v>
      </c>
      <c r="W31" s="434"/>
      <c r="X31" s="434"/>
      <c r="Y31" s="434"/>
      <c r="AM31" s="275">
        <v>0.54166666666666663</v>
      </c>
      <c r="AO31" s="461" t="s">
        <v>207</v>
      </c>
    </row>
    <row r="32" spans="1:41" ht="15" customHeight="1" thickBot="1" x14ac:dyDescent="0.4">
      <c r="A32" s="822"/>
      <c r="B32" s="824"/>
      <c r="C32" s="90" t="s">
        <v>211</v>
      </c>
      <c r="D32" s="168" t="s">
        <v>211</v>
      </c>
      <c r="E32" s="168" t="s">
        <v>211</v>
      </c>
      <c r="F32" s="168" t="s">
        <v>211</v>
      </c>
      <c r="G32" s="168" t="s">
        <v>211</v>
      </c>
      <c r="H32" s="825"/>
      <c r="I32" s="168" t="s">
        <v>211</v>
      </c>
      <c r="J32" s="820" t="s">
        <v>211</v>
      </c>
      <c r="K32" s="168" t="s">
        <v>211</v>
      </c>
      <c r="L32" s="820" t="s">
        <v>211</v>
      </c>
      <c r="M32" s="817"/>
      <c r="N32" s="817"/>
      <c r="O32" s="435" t="s">
        <v>211</v>
      </c>
      <c r="P32" s="817"/>
      <c r="Q32" s="817"/>
      <c r="R32" s="817"/>
      <c r="S32" s="92" t="s">
        <v>211</v>
      </c>
      <c r="T32" s="465" t="s">
        <v>211</v>
      </c>
      <c r="U32" s="465" t="s">
        <v>211</v>
      </c>
      <c r="V32" s="818"/>
      <c r="W32" s="434"/>
      <c r="X32" s="434"/>
      <c r="Y32" s="434"/>
      <c r="AM32" s="275">
        <v>0.5444444444444444</v>
      </c>
      <c r="AO32" s="461"/>
    </row>
    <row r="33" spans="1:41" ht="15" customHeight="1" thickBot="1" x14ac:dyDescent="0.4">
      <c r="A33" s="821" t="s">
        <v>350</v>
      </c>
      <c r="B33" s="823" t="s">
        <v>180</v>
      </c>
      <c r="C33" s="167" t="s">
        <v>211</v>
      </c>
      <c r="D33" s="167" t="s">
        <v>211</v>
      </c>
      <c r="E33" s="167">
        <v>45.2</v>
      </c>
      <c r="F33" s="167">
        <v>569925</v>
      </c>
      <c r="G33" s="167">
        <v>59585</v>
      </c>
      <c r="H33" s="819" t="s">
        <v>61</v>
      </c>
      <c r="I33" s="167">
        <v>7.23</v>
      </c>
      <c r="J33" s="819">
        <v>11800</v>
      </c>
      <c r="K33" s="167">
        <v>45.2</v>
      </c>
      <c r="L33" s="819">
        <v>1046325</v>
      </c>
      <c r="M33" s="816">
        <v>11774.05</v>
      </c>
      <c r="N33" s="816">
        <v>11700</v>
      </c>
      <c r="O33" s="435">
        <v>39.333333333333343</v>
      </c>
      <c r="P33" s="816">
        <v>11771.95</v>
      </c>
      <c r="Q33" s="816">
        <v>11797.85</v>
      </c>
      <c r="R33" s="816">
        <v>11713.7</v>
      </c>
      <c r="S33" s="88" t="e">
        <v>#REF!</v>
      </c>
      <c r="T33" s="465" t="e">
        <v>#REF!</v>
      </c>
      <c r="U33" s="465" t="e">
        <v>#REF!</v>
      </c>
      <c r="V33" s="818" t="e">
        <v>#REF!</v>
      </c>
      <c r="W33" s="434"/>
      <c r="X33" s="434"/>
      <c r="Y33" s="434"/>
      <c r="AM33" s="275">
        <v>0.55208333333333337</v>
      </c>
      <c r="AO33" s="461" t="s">
        <v>207</v>
      </c>
    </row>
    <row r="34" spans="1:41" ht="15" customHeight="1" thickBot="1" x14ac:dyDescent="0.4">
      <c r="A34" s="822"/>
      <c r="B34" s="824"/>
      <c r="C34" s="90" t="s">
        <v>42</v>
      </c>
      <c r="D34" s="168">
        <v>11700</v>
      </c>
      <c r="E34" s="168" t="s">
        <v>211</v>
      </c>
      <c r="F34" s="168">
        <v>760200</v>
      </c>
      <c r="G34" s="168" t="s">
        <v>211</v>
      </c>
      <c r="H34" s="825"/>
      <c r="I34" s="168" t="s">
        <v>211</v>
      </c>
      <c r="J34" s="820" t="s">
        <v>211</v>
      </c>
      <c r="K34" s="168" t="s">
        <v>211</v>
      </c>
      <c r="L34" s="820" t="s">
        <v>211</v>
      </c>
      <c r="M34" s="817"/>
      <c r="N34" s="817"/>
      <c r="O34" s="435" t="s">
        <v>211</v>
      </c>
      <c r="P34" s="817"/>
      <c r="Q34" s="817"/>
      <c r="R34" s="817"/>
      <c r="S34" s="92" t="e">
        <v>#REF!</v>
      </c>
      <c r="T34" s="465" t="s">
        <v>211</v>
      </c>
      <c r="U34" s="465" t="s">
        <v>211</v>
      </c>
      <c r="V34" s="818"/>
      <c r="W34" s="434"/>
      <c r="X34" s="434"/>
      <c r="Y34" s="434"/>
      <c r="AM34" s="275">
        <v>0.55486111111111114</v>
      </c>
      <c r="AO34" s="461"/>
    </row>
    <row r="35" spans="1:41" ht="15" customHeight="1" thickBot="1" x14ac:dyDescent="0.4">
      <c r="A35" s="821" t="s">
        <v>444</v>
      </c>
      <c r="B35" s="823" t="s">
        <v>180</v>
      </c>
      <c r="C35" s="167" t="s">
        <v>211</v>
      </c>
      <c r="D35" s="167" t="s">
        <v>211</v>
      </c>
      <c r="E35" s="167">
        <v>29</v>
      </c>
      <c r="F35" s="167">
        <v>658050</v>
      </c>
      <c r="G35" s="167">
        <v>71408</v>
      </c>
      <c r="H35" s="819" t="s">
        <v>61</v>
      </c>
      <c r="I35" s="167">
        <v>7.46</v>
      </c>
      <c r="J35" s="819">
        <v>11800</v>
      </c>
      <c r="K35" s="167">
        <v>29</v>
      </c>
      <c r="L35" s="819">
        <v>1134450</v>
      </c>
      <c r="M35" s="816">
        <v>11731.45</v>
      </c>
      <c r="N35" s="816">
        <v>11700</v>
      </c>
      <c r="O35" s="435">
        <v>6.875</v>
      </c>
      <c r="P35" s="816">
        <v>11726.5</v>
      </c>
      <c r="Q35" s="816">
        <v>11797.85</v>
      </c>
      <c r="R35" s="816">
        <v>11713.7</v>
      </c>
      <c r="S35" s="88" t="e">
        <v>#REF!</v>
      </c>
      <c r="T35" s="465" t="e">
        <v>#REF!</v>
      </c>
      <c r="U35" s="465" t="e">
        <v>#REF!</v>
      </c>
      <c r="V35" s="818" t="e">
        <v>#REF!</v>
      </c>
      <c r="W35" s="434"/>
      <c r="X35" s="434"/>
      <c r="Y35" s="434"/>
      <c r="AM35" s="275">
        <v>0.5625</v>
      </c>
      <c r="AO35" s="461" t="s">
        <v>207</v>
      </c>
    </row>
    <row r="36" spans="1:41" ht="15" customHeight="1" thickBot="1" x14ac:dyDescent="0.4">
      <c r="A36" s="822"/>
      <c r="B36" s="824"/>
      <c r="C36" s="90" t="s">
        <v>42</v>
      </c>
      <c r="D36" s="168">
        <v>11700</v>
      </c>
      <c r="E36" s="168" t="s">
        <v>211</v>
      </c>
      <c r="F36" s="168">
        <v>665850</v>
      </c>
      <c r="G36" s="168" t="s">
        <v>211</v>
      </c>
      <c r="H36" s="825"/>
      <c r="I36" s="168" t="s">
        <v>211</v>
      </c>
      <c r="J36" s="820" t="s">
        <v>211</v>
      </c>
      <c r="K36" s="168" t="s">
        <v>211</v>
      </c>
      <c r="L36" s="820" t="s">
        <v>211</v>
      </c>
      <c r="M36" s="817"/>
      <c r="N36" s="817"/>
      <c r="O36" s="435" t="s">
        <v>211</v>
      </c>
      <c r="P36" s="817"/>
      <c r="Q36" s="817"/>
      <c r="R36" s="817"/>
      <c r="S36" s="92" t="e">
        <v>#REF!</v>
      </c>
      <c r="T36" s="465" t="s">
        <v>211</v>
      </c>
      <c r="U36" s="465" t="s">
        <v>211</v>
      </c>
      <c r="V36" s="818"/>
      <c r="W36" s="434"/>
      <c r="X36" s="434"/>
      <c r="Y36" s="434"/>
      <c r="AM36" s="275">
        <v>0.56527777777777777</v>
      </c>
      <c r="AO36" s="461"/>
    </row>
    <row r="37" spans="1:41" ht="15" customHeight="1" thickBot="1" x14ac:dyDescent="0.4">
      <c r="A37" s="821" t="s">
        <v>445</v>
      </c>
      <c r="B37" s="823" t="s">
        <v>180</v>
      </c>
      <c r="C37" s="167" t="s">
        <v>211</v>
      </c>
      <c r="D37" s="167" t="s">
        <v>211</v>
      </c>
      <c r="E37" s="167">
        <v>1.2</v>
      </c>
      <c r="F37" s="167">
        <v>1387050</v>
      </c>
      <c r="G37" s="167">
        <v>165494</v>
      </c>
      <c r="H37" s="819" t="s">
        <v>55</v>
      </c>
      <c r="I37" s="167">
        <v>11.72</v>
      </c>
      <c r="J37" s="819">
        <v>11800</v>
      </c>
      <c r="K37" s="167">
        <v>9.6999999999999993</v>
      </c>
      <c r="L37" s="819">
        <v>3200850</v>
      </c>
      <c r="M37" s="816">
        <v>11689.8</v>
      </c>
      <c r="N37" s="816">
        <v>11700</v>
      </c>
      <c r="O37" s="435">
        <v>-6.1499999999999986</v>
      </c>
      <c r="P37" s="816">
        <v>11738</v>
      </c>
      <c r="Q37" s="816">
        <v>11838.5</v>
      </c>
      <c r="R37" s="816">
        <v>11712.05</v>
      </c>
      <c r="S37" s="88" t="e">
        <v>#REF!</v>
      </c>
      <c r="T37" s="465" t="e">
        <v>#REF!</v>
      </c>
      <c r="U37" s="465" t="e">
        <v>#REF!</v>
      </c>
      <c r="V37" s="818" t="e">
        <v>#REF!</v>
      </c>
      <c r="W37" s="434"/>
      <c r="X37" s="434"/>
      <c r="Y37" s="434"/>
      <c r="AM37" s="275">
        <v>0.57291666666666663</v>
      </c>
      <c r="AO37" s="461" t="s">
        <v>207</v>
      </c>
    </row>
    <row r="38" spans="1:41" ht="15" customHeight="1" thickBot="1" x14ac:dyDescent="0.4">
      <c r="A38" s="822"/>
      <c r="B38" s="824"/>
      <c r="C38" s="90" t="s">
        <v>42</v>
      </c>
      <c r="D38" s="168">
        <v>11650</v>
      </c>
      <c r="E38" s="168" t="s">
        <v>211</v>
      </c>
      <c r="F38" s="168">
        <v>532650</v>
      </c>
      <c r="G38" s="168" t="s">
        <v>211</v>
      </c>
      <c r="H38" s="825"/>
      <c r="I38" s="168" t="s">
        <v>211</v>
      </c>
      <c r="J38" s="820" t="s">
        <v>211</v>
      </c>
      <c r="K38" s="168" t="s">
        <v>211</v>
      </c>
      <c r="L38" s="820" t="s">
        <v>211</v>
      </c>
      <c r="M38" s="817"/>
      <c r="N38" s="817"/>
      <c r="O38" s="435" t="s">
        <v>211</v>
      </c>
      <c r="P38" s="817"/>
      <c r="Q38" s="817"/>
      <c r="R38" s="817"/>
      <c r="S38" s="92" t="e">
        <v>#REF!</v>
      </c>
      <c r="T38" s="465" t="s">
        <v>211</v>
      </c>
      <c r="U38" s="465" t="s">
        <v>211</v>
      </c>
      <c r="V38" s="818"/>
      <c r="W38" s="434"/>
      <c r="X38" s="434"/>
      <c r="Y38" s="434"/>
      <c r="AM38" s="275">
        <v>0.5756944444444444</v>
      </c>
      <c r="AO38" s="461"/>
    </row>
    <row r="39" spans="1:41" ht="15" customHeight="1" thickBot="1" x14ac:dyDescent="0.4">
      <c r="A39" s="821" t="s">
        <v>430</v>
      </c>
      <c r="B39" s="823" t="s">
        <v>180</v>
      </c>
      <c r="C39" s="167" t="s">
        <v>211</v>
      </c>
      <c r="D39" s="167" t="s">
        <v>211</v>
      </c>
      <c r="E39" s="167">
        <v>27.35</v>
      </c>
      <c r="F39" s="167">
        <v>923250</v>
      </c>
      <c r="G39" s="167">
        <v>84502</v>
      </c>
      <c r="H39" s="819" t="s">
        <v>55</v>
      </c>
      <c r="I39" s="167">
        <v>7.33</v>
      </c>
      <c r="J39" s="819">
        <v>11800</v>
      </c>
      <c r="K39" s="167">
        <v>27.35</v>
      </c>
      <c r="L39" s="819">
        <v>1399650</v>
      </c>
      <c r="M39" s="816">
        <v>11728.95</v>
      </c>
      <c r="N39" s="816">
        <v>11700</v>
      </c>
      <c r="O39" s="435">
        <v>-15.616666666666667</v>
      </c>
      <c r="P39" s="816">
        <v>11724.8</v>
      </c>
      <c r="Q39" s="816">
        <v>11797.85</v>
      </c>
      <c r="R39" s="816">
        <v>11711.4</v>
      </c>
      <c r="S39" s="88" t="e">
        <v>#REF!</v>
      </c>
      <c r="T39" s="416" t="e">
        <v>#REF!</v>
      </c>
      <c r="U39" s="465" t="e">
        <v>#REF!</v>
      </c>
      <c r="V39" s="818" t="e">
        <v>#REF!</v>
      </c>
      <c r="W39" s="434"/>
      <c r="X39" s="434"/>
      <c r="Y39" s="434"/>
      <c r="AM39" s="275">
        <v>0.58333333333333337</v>
      </c>
      <c r="AO39" s="461" t="s">
        <v>207</v>
      </c>
    </row>
    <row r="40" spans="1:41" ht="15" customHeight="1" thickBot="1" x14ac:dyDescent="0.4">
      <c r="A40" s="822"/>
      <c r="B40" s="824"/>
      <c r="C40" s="90" t="s">
        <v>42</v>
      </c>
      <c r="D40" s="168">
        <v>11700</v>
      </c>
      <c r="E40" s="168" t="s">
        <v>211</v>
      </c>
      <c r="F40" s="168">
        <v>625500</v>
      </c>
      <c r="G40" s="168" t="s">
        <v>211</v>
      </c>
      <c r="H40" s="825"/>
      <c r="I40" s="168" t="s">
        <v>211</v>
      </c>
      <c r="J40" s="820" t="s">
        <v>211</v>
      </c>
      <c r="K40" s="168" t="s">
        <v>211</v>
      </c>
      <c r="L40" s="820" t="s">
        <v>211</v>
      </c>
      <c r="M40" s="817"/>
      <c r="N40" s="817"/>
      <c r="O40" s="435" t="s">
        <v>211</v>
      </c>
      <c r="P40" s="817"/>
      <c r="Q40" s="817"/>
      <c r="R40" s="817"/>
      <c r="S40" s="92" t="e">
        <v>#REF!</v>
      </c>
      <c r="T40" s="467" t="s">
        <v>211</v>
      </c>
      <c r="U40" s="417" t="s">
        <v>211</v>
      </c>
      <c r="V40" s="818"/>
      <c r="W40" s="434"/>
      <c r="X40" s="434"/>
      <c r="Y40" s="434"/>
      <c r="AM40" s="275">
        <v>0.58611111111111114</v>
      </c>
      <c r="AO40" s="461"/>
    </row>
    <row r="41" spans="1:41" ht="15" customHeight="1" thickBot="1" x14ac:dyDescent="0.4">
      <c r="A41" s="821" t="s">
        <v>446</v>
      </c>
      <c r="B41" s="823" t="s">
        <v>180</v>
      </c>
      <c r="C41" s="167" t="s">
        <v>211</v>
      </c>
      <c r="D41" s="167" t="s">
        <v>211</v>
      </c>
      <c r="E41" s="167">
        <v>10</v>
      </c>
      <c r="F41" s="167">
        <v>1194675</v>
      </c>
      <c r="G41" s="167">
        <v>334241</v>
      </c>
      <c r="H41" s="819" t="s">
        <v>55</v>
      </c>
      <c r="I41" s="167">
        <v>11.78</v>
      </c>
      <c r="J41" s="819">
        <v>11800</v>
      </c>
      <c r="K41" s="167">
        <v>10</v>
      </c>
      <c r="L41" s="819">
        <v>3127800</v>
      </c>
      <c r="M41" s="816">
        <v>11708.3</v>
      </c>
      <c r="N41" s="816">
        <v>11700</v>
      </c>
      <c r="O41" s="435">
        <v>-0.92500000000000249</v>
      </c>
      <c r="P41" s="816">
        <v>11756.75</v>
      </c>
      <c r="Q41" s="816">
        <v>11838.5</v>
      </c>
      <c r="R41" s="816">
        <v>11712.05</v>
      </c>
      <c r="S41" s="88" t="e">
        <v>#REF!</v>
      </c>
      <c r="T41" s="465" t="e">
        <v>#REF!</v>
      </c>
      <c r="U41" s="465" t="e">
        <v>#REF!</v>
      </c>
      <c r="V41" s="818" t="e">
        <v>#REF!</v>
      </c>
      <c r="W41" s="434"/>
      <c r="X41" s="434"/>
      <c r="Y41" s="434"/>
      <c r="AM41" s="275">
        <v>0.59375</v>
      </c>
      <c r="AO41" s="461" t="s">
        <v>207</v>
      </c>
    </row>
    <row r="42" spans="1:41" ht="15" customHeight="1" thickBot="1" x14ac:dyDescent="0.4">
      <c r="A42" s="822"/>
      <c r="B42" s="824"/>
      <c r="C42" s="90" t="s">
        <v>42</v>
      </c>
      <c r="D42" s="168">
        <v>11650</v>
      </c>
      <c r="E42" s="168" t="s">
        <v>211</v>
      </c>
      <c r="F42" s="168">
        <v>520275</v>
      </c>
      <c r="G42" s="168" t="s">
        <v>211</v>
      </c>
      <c r="H42" s="825"/>
      <c r="I42" s="168" t="s">
        <v>211</v>
      </c>
      <c r="J42" s="820" t="s">
        <v>211</v>
      </c>
      <c r="K42" s="168" t="s">
        <v>211</v>
      </c>
      <c r="L42" s="820" t="s">
        <v>211</v>
      </c>
      <c r="M42" s="817"/>
      <c r="N42" s="817"/>
      <c r="O42" s="435" t="s">
        <v>211</v>
      </c>
      <c r="P42" s="817"/>
      <c r="Q42" s="817"/>
      <c r="R42" s="817"/>
      <c r="S42" s="92" t="e">
        <v>#REF!</v>
      </c>
      <c r="T42" s="413" t="s">
        <v>211</v>
      </c>
      <c r="U42" s="413" t="s">
        <v>211</v>
      </c>
      <c r="V42" s="818"/>
      <c r="W42" s="434"/>
      <c r="X42" s="434"/>
      <c r="Y42" s="434"/>
      <c r="AM42" s="275">
        <v>0.59652777777777777</v>
      </c>
      <c r="AO42" s="461"/>
    </row>
    <row r="43" spans="1:41" ht="15" customHeight="1" thickBot="1" x14ac:dyDescent="0.4">
      <c r="A43" s="821" t="s">
        <v>226</v>
      </c>
      <c r="B43" s="823" t="s">
        <v>180</v>
      </c>
      <c r="C43" s="167" t="s">
        <v>211</v>
      </c>
      <c r="D43" s="167" t="s">
        <v>211</v>
      </c>
      <c r="E43" s="167">
        <v>8.9</v>
      </c>
      <c r="F43" s="167">
        <v>1203225</v>
      </c>
      <c r="G43" s="167">
        <v>354724</v>
      </c>
      <c r="H43" s="819" t="s">
        <v>55</v>
      </c>
      <c r="I43" s="167">
        <v>11.21</v>
      </c>
      <c r="J43" s="819">
        <v>11800</v>
      </c>
      <c r="K43" s="167">
        <v>8.9</v>
      </c>
      <c r="L43" s="819">
        <v>3136350</v>
      </c>
      <c r="M43" s="816">
        <v>11703.95</v>
      </c>
      <c r="N43" s="816">
        <v>11700</v>
      </c>
      <c r="O43" s="435">
        <v>-2.3833333333333329</v>
      </c>
      <c r="P43" s="816">
        <v>11749</v>
      </c>
      <c r="Q43" s="816">
        <v>11838.5</v>
      </c>
      <c r="R43" s="816">
        <v>11712.05</v>
      </c>
      <c r="S43" s="88" t="e">
        <v>#REF!</v>
      </c>
      <c r="T43" s="465" t="e">
        <v>#REF!</v>
      </c>
      <c r="U43" s="465" t="e">
        <v>#REF!</v>
      </c>
      <c r="V43" s="818" t="e">
        <v>#REF!</v>
      </c>
      <c r="W43" s="434"/>
      <c r="X43" s="434"/>
      <c r="Y43" s="434"/>
      <c r="AM43" s="275">
        <v>0.60416666666666663</v>
      </c>
      <c r="AO43" s="461" t="s">
        <v>207</v>
      </c>
    </row>
    <row r="44" spans="1:41" ht="15" customHeight="1" thickBot="1" x14ac:dyDescent="0.4">
      <c r="A44" s="822"/>
      <c r="B44" s="824"/>
      <c r="C44" s="90" t="s">
        <v>42</v>
      </c>
      <c r="D44" s="168">
        <v>11650</v>
      </c>
      <c r="E44" s="168" t="s">
        <v>211</v>
      </c>
      <c r="F44" s="168">
        <v>483375</v>
      </c>
      <c r="G44" s="168" t="s">
        <v>211</v>
      </c>
      <c r="H44" s="825"/>
      <c r="I44" s="168" t="s">
        <v>211</v>
      </c>
      <c r="J44" s="820" t="s">
        <v>211</v>
      </c>
      <c r="K44" s="168" t="s">
        <v>211</v>
      </c>
      <c r="L44" s="820" t="s">
        <v>211</v>
      </c>
      <c r="M44" s="817"/>
      <c r="N44" s="817"/>
      <c r="O44" s="435" t="s">
        <v>211</v>
      </c>
      <c r="P44" s="817"/>
      <c r="Q44" s="817"/>
      <c r="R44" s="817"/>
      <c r="S44" s="92" t="e">
        <v>#REF!</v>
      </c>
      <c r="T44" s="413" t="s">
        <v>211</v>
      </c>
      <c r="U44" s="413" t="s">
        <v>211</v>
      </c>
      <c r="V44" s="818"/>
      <c r="W44" s="434"/>
      <c r="X44" s="434"/>
      <c r="Y44" s="434"/>
      <c r="AM44" s="275">
        <v>0.6069444444444444</v>
      </c>
      <c r="AO44" s="461"/>
    </row>
    <row r="45" spans="1:41" ht="15" customHeight="1" thickBot="1" x14ac:dyDescent="0.4">
      <c r="A45" s="821" t="s">
        <v>447</v>
      </c>
      <c r="B45" s="823" t="s">
        <v>180</v>
      </c>
      <c r="C45" s="167" t="s">
        <v>211</v>
      </c>
      <c r="D45" s="167" t="s">
        <v>211</v>
      </c>
      <c r="E45" s="167">
        <v>7.55</v>
      </c>
      <c r="F45" s="167">
        <v>1091250</v>
      </c>
      <c r="G45" s="167">
        <v>374872</v>
      </c>
      <c r="H45" s="819" t="s">
        <v>55</v>
      </c>
      <c r="I45" s="167">
        <v>10.86</v>
      </c>
      <c r="J45" s="819">
        <v>11800</v>
      </c>
      <c r="K45" s="167">
        <v>7.55</v>
      </c>
      <c r="L45" s="819">
        <v>3024375</v>
      </c>
      <c r="M45" s="816">
        <v>11705.8</v>
      </c>
      <c r="N45" s="816">
        <v>11700</v>
      </c>
      <c r="O45" s="435">
        <v>-3.1833333333333318</v>
      </c>
      <c r="P45" s="816">
        <v>11750</v>
      </c>
      <c r="Q45" s="816">
        <v>11838.5</v>
      </c>
      <c r="R45" s="816">
        <v>11712.05</v>
      </c>
      <c r="S45" s="88" t="e">
        <v>#REF!</v>
      </c>
      <c r="T45" s="465" t="e">
        <v>#REF!</v>
      </c>
      <c r="U45" s="465" t="e">
        <v>#REF!</v>
      </c>
      <c r="V45" s="818" t="e">
        <v>#REF!</v>
      </c>
      <c r="W45" s="434"/>
      <c r="X45" s="434"/>
      <c r="Y45" s="434"/>
      <c r="AM45" s="275">
        <v>0.61458333333333337</v>
      </c>
      <c r="AO45" s="461" t="s">
        <v>207</v>
      </c>
    </row>
    <row r="46" spans="1:41" ht="15" customHeight="1" thickBot="1" x14ac:dyDescent="0.4">
      <c r="A46" s="822"/>
      <c r="B46" s="824"/>
      <c r="C46" s="90" t="s">
        <v>42</v>
      </c>
      <c r="D46" s="168">
        <v>11650</v>
      </c>
      <c r="E46" s="168" t="s">
        <v>211</v>
      </c>
      <c r="F46" s="168">
        <v>468375</v>
      </c>
      <c r="G46" s="168" t="s">
        <v>211</v>
      </c>
      <c r="H46" s="825"/>
      <c r="I46" s="168" t="s">
        <v>211</v>
      </c>
      <c r="J46" s="820" t="s">
        <v>211</v>
      </c>
      <c r="K46" s="168" t="s">
        <v>211</v>
      </c>
      <c r="L46" s="820" t="s">
        <v>211</v>
      </c>
      <c r="M46" s="817"/>
      <c r="N46" s="817"/>
      <c r="O46" s="435" t="s">
        <v>211</v>
      </c>
      <c r="P46" s="817"/>
      <c r="Q46" s="817"/>
      <c r="R46" s="817"/>
      <c r="S46" s="92" t="e">
        <v>#REF!</v>
      </c>
      <c r="T46" s="413" t="s">
        <v>211</v>
      </c>
      <c r="U46" s="413" t="s">
        <v>211</v>
      </c>
      <c r="V46" s="818"/>
      <c r="W46" s="434"/>
      <c r="X46" s="434"/>
      <c r="Y46" s="434"/>
      <c r="AM46" s="275">
        <v>0.61736111111111114</v>
      </c>
      <c r="AO46" s="461"/>
    </row>
    <row r="47" spans="1:41" ht="15" customHeight="1" thickBot="1" x14ac:dyDescent="0.4">
      <c r="A47" s="821" t="s">
        <v>448</v>
      </c>
      <c r="B47" s="823" t="s">
        <v>180</v>
      </c>
      <c r="C47" s="167" t="s">
        <v>211</v>
      </c>
      <c r="D47" s="167" t="s">
        <v>211</v>
      </c>
      <c r="E47" s="167">
        <v>1.35</v>
      </c>
      <c r="F47" s="167">
        <v>924225</v>
      </c>
      <c r="G47" s="167">
        <v>224615</v>
      </c>
      <c r="H47" s="819" t="s">
        <v>55</v>
      </c>
      <c r="I47" s="167">
        <v>11.3</v>
      </c>
      <c r="J47" s="819">
        <v>11800</v>
      </c>
      <c r="K47" s="167">
        <v>10.9</v>
      </c>
      <c r="L47" s="819">
        <v>2641425</v>
      </c>
      <c r="M47" s="816">
        <v>11738.85</v>
      </c>
      <c r="N47" s="816">
        <v>11700</v>
      </c>
      <c r="O47" s="435">
        <v>6.1666666666666679</v>
      </c>
      <c r="P47" s="816">
        <v>11788.2</v>
      </c>
      <c r="Q47" s="816">
        <v>11838.5</v>
      </c>
      <c r="R47" s="816">
        <v>11712.05</v>
      </c>
      <c r="S47" s="818" t="e">
        <v>#REF!</v>
      </c>
      <c r="T47" s="465" t="e">
        <v>#REF!</v>
      </c>
      <c r="U47" s="414" t="e">
        <v>#REF!</v>
      </c>
      <c r="V47" s="818" t="e">
        <v>#REF!</v>
      </c>
      <c r="W47" s="434"/>
      <c r="X47" s="434"/>
      <c r="Y47" s="434"/>
      <c r="AM47" s="275">
        <v>0.625</v>
      </c>
      <c r="AO47" s="461" t="s">
        <v>207</v>
      </c>
    </row>
    <row r="48" spans="1:41" ht="15" customHeight="1" thickBot="1" x14ac:dyDescent="0.4">
      <c r="A48" s="822"/>
      <c r="B48" s="824"/>
      <c r="C48" s="90" t="s">
        <v>42</v>
      </c>
      <c r="D48" s="168">
        <v>11650</v>
      </c>
      <c r="E48" s="168" t="s">
        <v>211</v>
      </c>
      <c r="F48" s="168">
        <v>447750</v>
      </c>
      <c r="G48" s="168" t="s">
        <v>211</v>
      </c>
      <c r="H48" s="825"/>
      <c r="I48" s="168" t="s">
        <v>211</v>
      </c>
      <c r="J48" s="820" t="s">
        <v>211</v>
      </c>
      <c r="K48" s="168" t="s">
        <v>211</v>
      </c>
      <c r="L48" s="820" t="s">
        <v>211</v>
      </c>
      <c r="M48" s="817"/>
      <c r="N48" s="817"/>
      <c r="O48" s="435" t="s">
        <v>211</v>
      </c>
      <c r="P48" s="817"/>
      <c r="Q48" s="817"/>
      <c r="R48" s="817"/>
      <c r="S48" s="818" t="e">
        <v>#REF!</v>
      </c>
      <c r="T48" s="413" t="s">
        <v>211</v>
      </c>
      <c r="U48" s="466" t="s">
        <v>211</v>
      </c>
      <c r="V48" s="818"/>
      <c r="W48" s="434"/>
      <c r="X48" s="434"/>
      <c r="Y48" s="434"/>
      <c r="AM48" s="275">
        <v>0.62777777777777777</v>
      </c>
      <c r="AO48" s="461"/>
    </row>
    <row r="49" spans="1:41" ht="15" customHeight="1" thickBot="1" x14ac:dyDescent="0.4">
      <c r="A49" s="821" t="s">
        <v>449</v>
      </c>
      <c r="B49" s="823" t="s">
        <v>180</v>
      </c>
      <c r="C49" s="167" t="s">
        <v>211</v>
      </c>
      <c r="D49" s="167" t="s">
        <v>211</v>
      </c>
      <c r="E49" s="167">
        <v>1.3</v>
      </c>
      <c r="F49" s="167">
        <v>879375</v>
      </c>
      <c r="G49" s="167">
        <v>250827</v>
      </c>
      <c r="H49" s="819" t="s">
        <v>55</v>
      </c>
      <c r="I49" s="167">
        <v>9.25</v>
      </c>
      <c r="J49" s="819">
        <v>11800</v>
      </c>
      <c r="K49" s="167">
        <v>11.8</v>
      </c>
      <c r="L49" s="819">
        <v>2651325</v>
      </c>
      <c r="M49" s="816">
        <v>11748.75</v>
      </c>
      <c r="N49" s="816">
        <v>11700</v>
      </c>
      <c r="O49" s="435">
        <v>5.4250000000000007</v>
      </c>
      <c r="P49" s="816">
        <v>11792.9</v>
      </c>
      <c r="Q49" s="816">
        <v>11838.5</v>
      </c>
      <c r="R49" s="816">
        <v>11712.05</v>
      </c>
      <c r="S49" s="88" t="e">
        <v>#REF!</v>
      </c>
      <c r="T49" s="465" t="e">
        <v>#REF!</v>
      </c>
      <c r="U49" s="465" t="e">
        <v>#REF!</v>
      </c>
      <c r="V49" s="818" t="e">
        <v>#REF!</v>
      </c>
      <c r="W49" s="434"/>
      <c r="X49" s="434"/>
      <c r="Y49" s="434"/>
      <c r="AM49" s="275">
        <v>0.63541666666666663</v>
      </c>
      <c r="AO49" s="461" t="s">
        <v>207</v>
      </c>
    </row>
    <row r="50" spans="1:41" ht="15" customHeight="1" thickBot="1" x14ac:dyDescent="0.4">
      <c r="A50" s="822"/>
      <c r="B50" s="824"/>
      <c r="C50" s="90" t="s">
        <v>42</v>
      </c>
      <c r="D50" s="168">
        <v>11650</v>
      </c>
      <c r="E50" s="168" t="s">
        <v>211</v>
      </c>
      <c r="F50" s="168">
        <v>393750</v>
      </c>
      <c r="G50" s="168" t="s">
        <v>211</v>
      </c>
      <c r="H50" s="825"/>
      <c r="I50" s="168" t="s">
        <v>211</v>
      </c>
      <c r="J50" s="820" t="s">
        <v>211</v>
      </c>
      <c r="K50" s="168" t="s">
        <v>211</v>
      </c>
      <c r="L50" s="820" t="s">
        <v>211</v>
      </c>
      <c r="M50" s="817"/>
      <c r="N50" s="817"/>
      <c r="O50" s="435" t="s">
        <v>211</v>
      </c>
      <c r="P50" s="817"/>
      <c r="Q50" s="817"/>
      <c r="R50" s="817"/>
      <c r="S50" s="92" t="e">
        <v>#REF!</v>
      </c>
      <c r="T50" s="413" t="s">
        <v>211</v>
      </c>
      <c r="U50" s="413" t="s">
        <v>211</v>
      </c>
      <c r="V50" s="818"/>
      <c r="W50" s="434"/>
      <c r="X50" s="434"/>
      <c r="Y50" s="434"/>
      <c r="AM50" s="275">
        <v>0.6381944444444444</v>
      </c>
      <c r="AO50" s="461"/>
    </row>
    <row r="51" spans="1:41" ht="15" customHeight="1" thickBot="1" x14ac:dyDescent="0.4">
      <c r="A51" s="821" t="s">
        <v>450</v>
      </c>
      <c r="B51" s="823" t="s">
        <v>180</v>
      </c>
      <c r="C51" s="167" t="s">
        <v>211</v>
      </c>
      <c r="D51" s="167" t="s">
        <v>211</v>
      </c>
      <c r="E51" s="167">
        <v>1.2</v>
      </c>
      <c r="F51" s="167">
        <v>1100625</v>
      </c>
      <c r="G51" s="167">
        <v>268730</v>
      </c>
      <c r="H51" s="819" t="s">
        <v>55</v>
      </c>
      <c r="I51" s="167">
        <v>9.36</v>
      </c>
      <c r="J51" s="819">
        <v>11800</v>
      </c>
      <c r="K51" s="167">
        <v>10.1</v>
      </c>
      <c r="L51" s="819">
        <v>2489925</v>
      </c>
      <c r="M51" s="816">
        <v>11741.9</v>
      </c>
      <c r="N51" s="816">
        <v>11700</v>
      </c>
      <c r="O51" s="435">
        <v>4.5750000000000028</v>
      </c>
      <c r="P51" s="816">
        <v>11787</v>
      </c>
      <c r="Q51" s="816">
        <v>11838.5</v>
      </c>
      <c r="R51" s="816">
        <v>11712.05</v>
      </c>
      <c r="S51" s="88" t="e">
        <v>#REF!</v>
      </c>
      <c r="T51" s="465" t="e">
        <v>#REF!</v>
      </c>
      <c r="U51" s="465" t="e">
        <v>#REF!</v>
      </c>
      <c r="V51" s="818" t="e">
        <v>#REF!</v>
      </c>
      <c r="W51" s="434"/>
      <c r="X51" s="434"/>
      <c r="Y51" s="434"/>
      <c r="AM51" s="275">
        <v>0.64583333333333337</v>
      </c>
      <c r="AO51" s="461" t="s">
        <v>207</v>
      </c>
    </row>
    <row r="52" spans="1:41" ht="15" customHeight="1" thickBot="1" x14ac:dyDescent="0.4">
      <c r="A52" s="822"/>
      <c r="B52" s="824"/>
      <c r="C52" s="90" t="s">
        <v>42</v>
      </c>
      <c r="D52" s="168">
        <v>11650</v>
      </c>
      <c r="E52" s="168" t="s">
        <v>211</v>
      </c>
      <c r="F52" s="168">
        <v>383175</v>
      </c>
      <c r="G52" s="168" t="s">
        <v>211</v>
      </c>
      <c r="H52" s="825"/>
      <c r="I52" s="168" t="s">
        <v>211</v>
      </c>
      <c r="J52" s="820" t="s">
        <v>211</v>
      </c>
      <c r="K52" s="168" t="s">
        <v>211</v>
      </c>
      <c r="L52" s="820" t="s">
        <v>211</v>
      </c>
      <c r="M52" s="817"/>
      <c r="N52" s="817"/>
      <c r="O52" s="435" t="s">
        <v>211</v>
      </c>
      <c r="P52" s="817"/>
      <c r="Q52" s="817"/>
      <c r="R52" s="817"/>
      <c r="S52" s="92" t="e">
        <v>#REF!</v>
      </c>
      <c r="T52" s="415" t="s">
        <v>211</v>
      </c>
      <c r="U52" s="415" t="s">
        <v>211</v>
      </c>
      <c r="V52" s="818"/>
      <c r="W52" s="434"/>
      <c r="X52" s="434"/>
      <c r="Y52" s="434"/>
      <c r="AM52" s="275">
        <v>0.64861111111111114</v>
      </c>
      <c r="AO52" s="461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90625-1AD5-4785-A8A2-7C46D38B6D7A}">
  <sheetPr codeName="Sheet19"/>
  <dimension ref="A1:AS52"/>
  <sheetViews>
    <sheetView workbookViewId="0">
      <selection activeCell="J7" sqref="J7:J8"/>
    </sheetView>
  </sheetViews>
  <sheetFormatPr defaultColWidth="9.1796875" defaultRowHeight="14.5" x14ac:dyDescent="0.35"/>
  <cols>
    <col min="1" max="1" width="9.1796875" style="451"/>
    <col min="2" max="2" width="9.1796875" style="274"/>
    <col min="3" max="3" width="5.453125" style="451" customWidth="1"/>
    <col min="4" max="4" width="8.453125" style="451" customWidth="1"/>
    <col min="5" max="5" width="8.7265625" style="451" customWidth="1"/>
    <col min="6" max="6" width="12.7265625" style="450" customWidth="1"/>
    <col min="7" max="7" width="13" style="450" customWidth="1"/>
    <col min="8" max="9" width="6.453125" style="451" customWidth="1"/>
    <col min="10" max="10" width="10.08984375" style="451" customWidth="1"/>
    <col min="11" max="11" width="8" style="451" customWidth="1"/>
    <col min="12" max="12" width="13.54296875" style="450" customWidth="1"/>
    <col min="13" max="13" width="8.26953125" style="451" customWidth="1"/>
    <col min="14" max="14" width="9.453125" style="451" hidden="1" customWidth="1"/>
    <col min="15" max="18" width="9.1796875" style="451"/>
    <col min="19" max="19" width="5.453125" style="451" hidden="1" customWidth="1"/>
    <col min="20" max="20" width="6.81640625" style="451" hidden="1" customWidth="1"/>
    <col min="21" max="22" width="0" style="451" hidden="1" customWidth="1"/>
    <col min="23" max="25" width="9.1796875" style="451"/>
    <col min="26" max="26" width="9.453125" style="451" customWidth="1"/>
    <col min="27" max="38" width="9.1796875" style="451"/>
    <col min="39" max="40" width="7.90625" style="451" bestFit="1" customWidth="1"/>
    <col min="41" max="41" width="9.6328125" style="451" bestFit="1" customWidth="1"/>
    <col min="42" max="44" width="9.1796875" style="451"/>
    <col min="45" max="45" width="0" style="451" hidden="1" customWidth="1"/>
    <col min="46" max="16384" width="9.1796875" style="451"/>
  </cols>
  <sheetData>
    <row r="1" spans="1:45" ht="14.5" customHeight="1" thickBot="1" x14ac:dyDescent="0.4">
      <c r="A1" s="80"/>
      <c r="B1" s="273"/>
      <c r="C1" s="647" t="s">
        <v>35</v>
      </c>
      <c r="D1" s="811"/>
      <c r="E1" s="811"/>
      <c r="F1" s="811"/>
      <c r="G1" s="811"/>
      <c r="H1" s="455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">
        <v>407</v>
      </c>
      <c r="R1" s="814"/>
      <c r="S1" s="810" t="s">
        <v>87</v>
      </c>
      <c r="T1" s="811"/>
      <c r="U1" s="811"/>
      <c r="V1" s="815"/>
      <c r="W1" s="432"/>
      <c r="X1" s="432"/>
      <c r="Y1" s="432"/>
      <c r="Z1" s="452"/>
      <c r="AA1" s="452"/>
      <c r="AB1" s="452"/>
      <c r="AC1" s="452"/>
      <c r="AD1" s="452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454" t="s">
        <v>54</v>
      </c>
      <c r="D2" s="453" t="s">
        <v>14</v>
      </c>
      <c r="E2" s="453" t="s">
        <v>6</v>
      </c>
      <c r="F2" s="166" t="s">
        <v>35</v>
      </c>
      <c r="G2" s="166" t="s">
        <v>37</v>
      </c>
      <c r="H2" s="455" t="s">
        <v>43</v>
      </c>
      <c r="I2" s="81" t="s">
        <v>88</v>
      </c>
      <c r="J2" s="454" t="s">
        <v>14</v>
      </c>
      <c r="K2" s="453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52"/>
      <c r="AA2" s="452"/>
      <c r="AB2" s="271" t="s">
        <v>97</v>
      </c>
      <c r="AC2" s="272" t="s">
        <v>98</v>
      </c>
      <c r="AD2" s="452"/>
      <c r="AS2" s="452" t="s">
        <v>99</v>
      </c>
    </row>
    <row r="3" spans="1:45" ht="14.5" customHeight="1" thickBot="1" x14ac:dyDescent="0.4">
      <c r="A3" s="821" t="s">
        <v>211</v>
      </c>
      <c r="B3" s="823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9" t="s">
        <v>211</v>
      </c>
      <c r="I3" s="167" t="s">
        <v>211</v>
      </c>
      <c r="J3" s="819" t="s">
        <v>211</v>
      </c>
      <c r="K3" s="167" t="s">
        <v>211</v>
      </c>
      <c r="L3" s="819" t="s">
        <v>211</v>
      </c>
      <c r="M3" s="816" t="s">
        <v>211</v>
      </c>
      <c r="N3" s="816" t="s">
        <v>211</v>
      </c>
      <c r="O3" s="435" t="s">
        <v>211</v>
      </c>
      <c r="P3" s="816" t="s">
        <v>211</v>
      </c>
      <c r="Q3" s="816" t="s">
        <v>211</v>
      </c>
      <c r="R3" s="816" t="s">
        <v>211</v>
      </c>
      <c r="S3" s="88" t="s">
        <v>211</v>
      </c>
      <c r="T3" s="456" t="s">
        <v>211</v>
      </c>
      <c r="U3" s="456" t="s">
        <v>211</v>
      </c>
      <c r="V3" s="818" t="s">
        <v>211</v>
      </c>
      <c r="W3" s="434"/>
      <c r="X3" s="434"/>
      <c r="Y3" s="434"/>
      <c r="Z3" s="452"/>
      <c r="AA3" s="452"/>
      <c r="AB3" s="452"/>
      <c r="AC3" s="452"/>
      <c r="AD3" s="452"/>
      <c r="AL3" s="452" t="s">
        <v>171</v>
      </c>
      <c r="AM3" s="275">
        <v>0.39583333333333331</v>
      </c>
      <c r="AN3" s="89">
        <v>43580.324977083335</v>
      </c>
      <c r="AO3" s="452" t="s">
        <v>207</v>
      </c>
      <c r="AS3" s="452" t="s">
        <v>98</v>
      </c>
    </row>
    <row r="4" spans="1:45" ht="14.5" customHeight="1" thickBot="1" x14ac:dyDescent="0.4">
      <c r="A4" s="822"/>
      <c r="B4" s="824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20"/>
      <c r="I4" s="168" t="s">
        <v>211</v>
      </c>
      <c r="J4" s="820" t="s">
        <v>211</v>
      </c>
      <c r="K4" s="168" t="s">
        <v>211</v>
      </c>
      <c r="L4" s="820" t="s">
        <v>211</v>
      </c>
      <c r="M4" s="817"/>
      <c r="N4" s="817"/>
      <c r="O4" s="435" t="s">
        <v>211</v>
      </c>
      <c r="P4" s="817"/>
      <c r="Q4" s="817"/>
      <c r="R4" s="817"/>
      <c r="S4" s="92" t="s">
        <v>211</v>
      </c>
      <c r="T4" s="456" t="s">
        <v>211</v>
      </c>
      <c r="U4" s="456" t="s">
        <v>211</v>
      </c>
      <c r="V4" s="818"/>
      <c r="W4" s="434"/>
      <c r="X4" s="434"/>
      <c r="Y4" s="434"/>
      <c r="Z4" s="452"/>
      <c r="AA4" s="452"/>
      <c r="AB4" s="452"/>
      <c r="AC4" s="452"/>
      <c r="AD4" s="452"/>
      <c r="AL4" s="452" t="s">
        <v>172</v>
      </c>
      <c r="AM4" s="275">
        <v>0.39861111111111108</v>
      </c>
      <c r="AN4" s="452"/>
      <c r="AO4" s="452"/>
    </row>
    <row r="5" spans="1:45" ht="14.5" customHeight="1" thickBot="1" x14ac:dyDescent="0.4">
      <c r="A5" s="821" t="s">
        <v>211</v>
      </c>
      <c r="B5" s="823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19" t="s">
        <v>211</v>
      </c>
      <c r="I5" s="167" t="s">
        <v>211</v>
      </c>
      <c r="J5" s="819" t="s">
        <v>211</v>
      </c>
      <c r="K5" s="167" t="s">
        <v>211</v>
      </c>
      <c r="L5" s="819" t="s">
        <v>211</v>
      </c>
      <c r="M5" s="816" t="s">
        <v>211</v>
      </c>
      <c r="N5" s="816" t="s">
        <v>211</v>
      </c>
      <c r="O5" s="435" t="s">
        <v>211</v>
      </c>
      <c r="P5" s="816" t="s">
        <v>211</v>
      </c>
      <c r="Q5" s="816" t="s">
        <v>211</v>
      </c>
      <c r="R5" s="816" t="s">
        <v>211</v>
      </c>
      <c r="S5" s="88" t="s">
        <v>211</v>
      </c>
      <c r="T5" s="456" t="s">
        <v>211</v>
      </c>
      <c r="U5" s="456" t="s">
        <v>211</v>
      </c>
      <c r="V5" s="818" t="s">
        <v>211</v>
      </c>
      <c r="W5" s="434"/>
      <c r="X5" s="434"/>
      <c r="Y5" s="434"/>
      <c r="Z5" s="452"/>
      <c r="AA5" s="452"/>
      <c r="AB5" s="452"/>
      <c r="AC5" s="452"/>
      <c r="AD5" s="452"/>
      <c r="AM5" s="275">
        <v>0.40625</v>
      </c>
      <c r="AN5" s="452"/>
      <c r="AO5" s="452" t="s">
        <v>207</v>
      </c>
    </row>
    <row r="6" spans="1:45" ht="14.5" customHeight="1" thickBot="1" x14ac:dyDescent="0.4">
      <c r="A6" s="822"/>
      <c r="B6" s="824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25"/>
      <c r="I6" s="168" t="s">
        <v>211</v>
      </c>
      <c r="J6" s="820" t="s">
        <v>211</v>
      </c>
      <c r="K6" s="168" t="s">
        <v>211</v>
      </c>
      <c r="L6" s="820" t="s">
        <v>211</v>
      </c>
      <c r="M6" s="817"/>
      <c r="N6" s="817"/>
      <c r="O6" s="435" t="s">
        <v>211</v>
      </c>
      <c r="P6" s="817"/>
      <c r="Q6" s="817"/>
      <c r="R6" s="817"/>
      <c r="S6" s="92" t="s">
        <v>211</v>
      </c>
      <c r="T6" s="456" t="s">
        <v>211</v>
      </c>
      <c r="U6" s="456" t="s">
        <v>211</v>
      </c>
      <c r="V6" s="818"/>
      <c r="W6" s="434"/>
      <c r="X6" s="434"/>
      <c r="Y6" s="434"/>
      <c r="Z6" s="452"/>
      <c r="AA6" s="452"/>
      <c r="AB6" s="452"/>
      <c r="AC6" s="452"/>
      <c r="AD6" s="452"/>
      <c r="AM6" s="275">
        <v>0.40902777777777777</v>
      </c>
      <c r="AN6" s="452"/>
      <c r="AO6" s="452"/>
    </row>
    <row r="7" spans="1:45" ht="14.5" customHeight="1" thickBot="1" x14ac:dyDescent="0.4">
      <c r="A7" s="821" t="s">
        <v>211</v>
      </c>
      <c r="B7" s="823" t="s">
        <v>211</v>
      </c>
      <c r="C7" s="167" t="s">
        <v>211</v>
      </c>
      <c r="D7" s="167" t="s">
        <v>211</v>
      </c>
      <c r="E7" s="167" t="s">
        <v>211</v>
      </c>
      <c r="F7" s="167" t="s">
        <v>211</v>
      </c>
      <c r="G7" s="167" t="s">
        <v>211</v>
      </c>
      <c r="H7" s="819" t="s">
        <v>211</v>
      </c>
      <c r="I7" s="167" t="s">
        <v>211</v>
      </c>
      <c r="J7" s="819" t="s">
        <v>211</v>
      </c>
      <c r="K7" s="167" t="s">
        <v>211</v>
      </c>
      <c r="L7" s="819" t="s">
        <v>211</v>
      </c>
      <c r="M7" s="816" t="s">
        <v>211</v>
      </c>
      <c r="N7" s="816" t="s">
        <v>211</v>
      </c>
      <c r="O7" s="435" t="s">
        <v>211</v>
      </c>
      <c r="P7" s="816" t="s">
        <v>211</v>
      </c>
      <c r="Q7" s="816" t="s">
        <v>211</v>
      </c>
      <c r="R7" s="816" t="s">
        <v>211</v>
      </c>
      <c r="S7" s="88" t="s">
        <v>211</v>
      </c>
      <c r="T7" s="456" t="s">
        <v>211</v>
      </c>
      <c r="U7" s="456" t="s">
        <v>211</v>
      </c>
      <c r="V7" s="818" t="s">
        <v>211</v>
      </c>
      <c r="W7" s="434"/>
      <c r="X7" s="434"/>
      <c r="Y7" s="434"/>
      <c r="Z7" s="452"/>
      <c r="AA7" s="452"/>
      <c r="AB7" s="452"/>
      <c r="AC7" s="452"/>
      <c r="AD7" s="452"/>
      <c r="AM7" s="275">
        <v>0.41666666666666669</v>
      </c>
      <c r="AN7" s="452"/>
      <c r="AO7" s="452" t="s">
        <v>207</v>
      </c>
    </row>
    <row r="8" spans="1:45" ht="14.5" customHeight="1" thickBot="1" x14ac:dyDescent="0.4">
      <c r="A8" s="822"/>
      <c r="B8" s="824"/>
      <c r="C8" s="90" t="s">
        <v>211</v>
      </c>
      <c r="D8" s="168" t="s">
        <v>211</v>
      </c>
      <c r="E8" s="168" t="s">
        <v>211</v>
      </c>
      <c r="F8" s="168" t="s">
        <v>211</v>
      </c>
      <c r="G8" s="168" t="s">
        <v>211</v>
      </c>
      <c r="H8" s="825"/>
      <c r="I8" s="168" t="s">
        <v>211</v>
      </c>
      <c r="J8" s="820" t="s">
        <v>211</v>
      </c>
      <c r="K8" s="168" t="s">
        <v>211</v>
      </c>
      <c r="L8" s="820" t="s">
        <v>211</v>
      </c>
      <c r="M8" s="817"/>
      <c r="N8" s="817"/>
      <c r="O8" s="435" t="s">
        <v>211</v>
      </c>
      <c r="P8" s="817"/>
      <c r="Q8" s="817"/>
      <c r="R8" s="817"/>
      <c r="S8" s="92" t="s">
        <v>211</v>
      </c>
      <c r="T8" s="456" t="s">
        <v>211</v>
      </c>
      <c r="U8" s="456" t="s">
        <v>211</v>
      </c>
      <c r="V8" s="818"/>
      <c r="W8" s="434"/>
      <c r="X8" s="434"/>
      <c r="Y8" s="434"/>
      <c r="Z8" s="452"/>
      <c r="AA8" s="452"/>
      <c r="AB8" s="452"/>
      <c r="AC8" s="452"/>
      <c r="AD8" s="452"/>
      <c r="AM8" s="275">
        <v>0.41944444444444445</v>
      </c>
      <c r="AN8" s="452"/>
      <c r="AO8" s="452"/>
    </row>
    <row r="9" spans="1:45" ht="14.5" customHeight="1" thickBot="1" x14ac:dyDescent="0.4">
      <c r="A9" s="821" t="s">
        <v>423</v>
      </c>
      <c r="B9" s="823" t="s">
        <v>180</v>
      </c>
      <c r="C9" s="167" t="s">
        <v>211</v>
      </c>
      <c r="D9" s="167" t="s">
        <v>211</v>
      </c>
      <c r="E9" s="167">
        <v>37.700000000000003</v>
      </c>
      <c r="F9" s="167">
        <v>-1112925</v>
      </c>
      <c r="G9" s="167">
        <v>180627</v>
      </c>
      <c r="H9" s="819" t="s">
        <v>55</v>
      </c>
      <c r="I9" s="167">
        <v>15.08</v>
      </c>
      <c r="J9" s="819">
        <v>11700</v>
      </c>
      <c r="K9" s="167">
        <v>10.15</v>
      </c>
      <c r="L9" s="819">
        <v>5578875</v>
      </c>
      <c r="M9" s="816">
        <v>11602</v>
      </c>
      <c r="N9" s="816">
        <v>11600</v>
      </c>
      <c r="O9" s="435">
        <v>-14.158333333333333</v>
      </c>
      <c r="P9" s="816">
        <v>11604.55</v>
      </c>
      <c r="Q9" s="816">
        <v>11619.6</v>
      </c>
      <c r="R9" s="816">
        <v>11592.25</v>
      </c>
      <c r="S9" s="88" t="e">
        <v>#REF!</v>
      </c>
      <c r="T9" s="456" t="e">
        <v>#REF!</v>
      </c>
      <c r="U9" s="456" t="e">
        <v>#REF!</v>
      </c>
      <c r="V9" s="818" t="e">
        <v>#REF!</v>
      </c>
      <c r="W9" s="434"/>
      <c r="X9" s="434"/>
      <c r="Y9" s="434"/>
      <c r="Z9" s="452"/>
      <c r="AA9" s="452"/>
      <c r="AB9" s="718" t="s">
        <v>165</v>
      </c>
      <c r="AC9" s="719"/>
      <c r="AD9" s="719"/>
      <c r="AM9" s="275">
        <v>0.42708333333333331</v>
      </c>
      <c r="AN9" s="452"/>
      <c r="AO9" s="452" t="s">
        <v>207</v>
      </c>
    </row>
    <row r="10" spans="1:45" ht="14.5" customHeight="1" thickBot="1" x14ac:dyDescent="0.4">
      <c r="A10" s="822"/>
      <c r="B10" s="824"/>
      <c r="C10" s="90" t="s">
        <v>42</v>
      </c>
      <c r="D10" s="168">
        <v>11600</v>
      </c>
      <c r="E10" s="168" t="s">
        <v>211</v>
      </c>
      <c r="F10" s="168">
        <v>1103325</v>
      </c>
      <c r="G10" s="168">
        <v>226557</v>
      </c>
      <c r="H10" s="825"/>
      <c r="I10" s="168" t="s">
        <v>211</v>
      </c>
      <c r="J10" s="820" t="s">
        <v>211</v>
      </c>
      <c r="K10" s="168" t="s">
        <v>211</v>
      </c>
      <c r="L10" s="820" t="s">
        <v>211</v>
      </c>
      <c r="M10" s="817"/>
      <c r="N10" s="817"/>
      <c r="O10" s="435" t="s">
        <v>211</v>
      </c>
      <c r="P10" s="817"/>
      <c r="Q10" s="817"/>
      <c r="R10" s="817"/>
      <c r="S10" s="92" t="e">
        <v>#REF!</v>
      </c>
      <c r="T10" s="456" t="s">
        <v>211</v>
      </c>
      <c r="U10" s="456" t="s">
        <v>211</v>
      </c>
      <c r="V10" s="818"/>
      <c r="W10" s="434"/>
      <c r="X10" s="434"/>
      <c r="Y10" s="434"/>
      <c r="Z10" s="452"/>
      <c r="AA10" s="452"/>
      <c r="AB10" s="718" t="s">
        <v>365</v>
      </c>
      <c r="AC10" s="719"/>
      <c r="AD10" s="719"/>
      <c r="AM10" s="275">
        <v>0.42986111111111108</v>
      </c>
      <c r="AN10" s="452"/>
      <c r="AO10" s="452"/>
    </row>
    <row r="11" spans="1:45" ht="14.5" customHeight="1" thickBot="1" x14ac:dyDescent="0.4">
      <c r="A11" s="821" t="s">
        <v>396</v>
      </c>
      <c r="B11" s="823" t="s">
        <v>180</v>
      </c>
      <c r="C11" s="167" t="s">
        <v>211</v>
      </c>
      <c r="D11" s="167" t="s">
        <v>211</v>
      </c>
      <c r="E11" s="167">
        <v>39.549999999999997</v>
      </c>
      <c r="F11" s="167">
        <v>-1112925</v>
      </c>
      <c r="G11" s="167">
        <v>180627</v>
      </c>
      <c r="H11" s="819" t="s">
        <v>61</v>
      </c>
      <c r="I11" s="167">
        <v>14.37</v>
      </c>
      <c r="J11" s="819">
        <v>11700</v>
      </c>
      <c r="K11" s="167">
        <v>10.5</v>
      </c>
      <c r="L11" s="819">
        <v>5559825</v>
      </c>
      <c r="M11" s="816">
        <v>11601.1</v>
      </c>
      <c r="N11" s="816">
        <v>11600</v>
      </c>
      <c r="O11" s="435">
        <v>-12.616666666666665</v>
      </c>
      <c r="P11" s="816">
        <v>11606.25</v>
      </c>
      <c r="Q11" s="816">
        <v>11619.6</v>
      </c>
      <c r="R11" s="816">
        <v>11592.25</v>
      </c>
      <c r="S11" s="88" t="e">
        <v>#REF!</v>
      </c>
      <c r="T11" s="456" t="e">
        <v>#REF!</v>
      </c>
      <c r="U11" s="456" t="e">
        <v>#REF!</v>
      </c>
      <c r="V11" s="818" t="e">
        <v>#REF!</v>
      </c>
      <c r="W11" s="434"/>
      <c r="X11" s="434"/>
      <c r="Y11" s="434"/>
      <c r="Z11" s="452"/>
      <c r="AA11" s="452"/>
      <c r="AB11" s="718" t="s">
        <v>366</v>
      </c>
      <c r="AC11" s="718"/>
      <c r="AD11" s="718"/>
      <c r="AM11" s="275">
        <v>0.4375</v>
      </c>
      <c r="AN11" s="452"/>
      <c r="AO11" s="452" t="s">
        <v>207</v>
      </c>
    </row>
    <row r="12" spans="1:45" ht="14.5" customHeight="1" thickBot="1" x14ac:dyDescent="0.4">
      <c r="A12" s="822"/>
      <c r="B12" s="824"/>
      <c r="C12" s="90" t="s">
        <v>42</v>
      </c>
      <c r="D12" s="168">
        <v>11600</v>
      </c>
      <c r="E12" s="168" t="s">
        <v>211</v>
      </c>
      <c r="F12" s="168">
        <v>870825</v>
      </c>
      <c r="G12" s="168">
        <v>99749</v>
      </c>
      <c r="H12" s="825"/>
      <c r="I12" s="168" t="s">
        <v>211</v>
      </c>
      <c r="J12" s="820" t="s">
        <v>211</v>
      </c>
      <c r="K12" s="168" t="s">
        <v>211</v>
      </c>
      <c r="L12" s="820" t="s">
        <v>211</v>
      </c>
      <c r="M12" s="817"/>
      <c r="N12" s="817"/>
      <c r="O12" s="435" t="s">
        <v>211</v>
      </c>
      <c r="P12" s="817"/>
      <c r="Q12" s="817"/>
      <c r="R12" s="817"/>
      <c r="S12" s="92" t="e">
        <v>#REF!</v>
      </c>
      <c r="T12" s="456" t="s">
        <v>211</v>
      </c>
      <c r="U12" s="456" t="s">
        <v>211</v>
      </c>
      <c r="V12" s="818"/>
      <c r="W12" s="434"/>
      <c r="X12" s="434"/>
      <c r="Y12" s="434"/>
      <c r="Z12" s="452"/>
      <c r="AA12" s="452"/>
      <c r="AB12" s="718" t="s">
        <v>167</v>
      </c>
      <c r="AC12" s="718"/>
      <c r="AD12" s="718"/>
      <c r="AM12" s="275">
        <v>0.44027777777777777</v>
      </c>
      <c r="AN12" s="452"/>
      <c r="AO12" s="452"/>
    </row>
    <row r="13" spans="1:45" ht="14.5" customHeight="1" thickBot="1" x14ac:dyDescent="0.4">
      <c r="A13" s="821" t="s">
        <v>397</v>
      </c>
      <c r="B13" s="823" t="s">
        <v>180</v>
      </c>
      <c r="C13" s="167" t="s">
        <v>211</v>
      </c>
      <c r="D13" s="167" t="s">
        <v>211</v>
      </c>
      <c r="E13" s="167">
        <v>42.75</v>
      </c>
      <c r="F13" s="167" t="s">
        <v>211</v>
      </c>
      <c r="G13" s="167">
        <v>109159</v>
      </c>
      <c r="H13" s="819" t="s">
        <v>61</v>
      </c>
      <c r="I13" s="167">
        <v>14.86</v>
      </c>
      <c r="J13" s="819">
        <v>11700</v>
      </c>
      <c r="K13" s="167">
        <v>11.4</v>
      </c>
      <c r="L13" s="819">
        <v>5552925</v>
      </c>
      <c r="M13" s="816">
        <v>11609.75</v>
      </c>
      <c r="N13" s="816">
        <v>11600</v>
      </c>
      <c r="O13" s="435">
        <v>-10.516666666666667</v>
      </c>
      <c r="P13" s="816">
        <v>11612.05</v>
      </c>
      <c r="Q13" s="816">
        <v>11619.6</v>
      </c>
      <c r="R13" s="816">
        <v>11592.25</v>
      </c>
      <c r="S13" s="88" t="e">
        <v>#REF!</v>
      </c>
      <c r="T13" s="456" t="e">
        <v>#REF!</v>
      </c>
      <c r="U13" s="456" t="e">
        <v>#REF!</v>
      </c>
      <c r="V13" s="818" t="e">
        <v>#REF!</v>
      </c>
      <c r="W13" s="434"/>
      <c r="X13" s="434"/>
      <c r="Y13" s="434"/>
      <c r="Z13" s="452"/>
      <c r="AA13" s="452"/>
      <c r="AB13" s="718" t="s">
        <v>168</v>
      </c>
      <c r="AC13" s="718"/>
      <c r="AD13" s="718"/>
      <c r="AM13" s="275">
        <v>0.44791666666666669</v>
      </c>
      <c r="AN13" s="452"/>
      <c r="AO13" s="452" t="s">
        <v>207</v>
      </c>
    </row>
    <row r="14" spans="1:45" ht="14.5" customHeight="1" thickBot="1" x14ac:dyDescent="0.4">
      <c r="A14" s="822"/>
      <c r="B14" s="824"/>
      <c r="C14" s="90" t="s">
        <v>42</v>
      </c>
      <c r="D14" s="168">
        <v>11600</v>
      </c>
      <c r="E14" s="168" t="s">
        <v>211</v>
      </c>
      <c r="F14" s="168">
        <v>883275</v>
      </c>
      <c r="G14" s="168" t="s">
        <v>211</v>
      </c>
      <c r="H14" s="825"/>
      <c r="I14" s="168" t="s">
        <v>211</v>
      </c>
      <c r="J14" s="820" t="s">
        <v>211</v>
      </c>
      <c r="K14" s="168" t="s">
        <v>211</v>
      </c>
      <c r="L14" s="820" t="s">
        <v>211</v>
      </c>
      <c r="M14" s="817"/>
      <c r="N14" s="817"/>
      <c r="O14" s="435" t="s">
        <v>211</v>
      </c>
      <c r="P14" s="817"/>
      <c r="Q14" s="817"/>
      <c r="R14" s="817"/>
      <c r="S14" s="92" t="e">
        <v>#REF!</v>
      </c>
      <c r="T14" s="456" t="s">
        <v>211</v>
      </c>
      <c r="U14" s="456" t="s">
        <v>211</v>
      </c>
      <c r="V14" s="818"/>
      <c r="W14" s="434"/>
      <c r="X14" s="434"/>
      <c r="Y14" s="434"/>
      <c r="AM14" s="275">
        <v>0.45069444444444445</v>
      </c>
      <c r="AN14" s="452"/>
      <c r="AO14" s="452"/>
    </row>
    <row r="15" spans="1:45" ht="14.5" customHeight="1" thickBot="1" x14ac:dyDescent="0.4">
      <c r="A15" s="821" t="s">
        <v>398</v>
      </c>
      <c r="B15" s="823" t="s">
        <v>180</v>
      </c>
      <c r="C15" s="167" t="s">
        <v>211</v>
      </c>
      <c r="D15" s="167" t="s">
        <v>211</v>
      </c>
      <c r="E15" s="167">
        <v>31.15</v>
      </c>
      <c r="F15" s="167" t="s">
        <v>211</v>
      </c>
      <c r="G15" s="167">
        <v>134999</v>
      </c>
      <c r="H15" s="819" t="s">
        <v>61</v>
      </c>
      <c r="I15" s="167">
        <v>15.22</v>
      </c>
      <c r="J15" s="819">
        <v>11700</v>
      </c>
      <c r="K15" s="167">
        <v>8</v>
      </c>
      <c r="L15" s="819">
        <v>5667600</v>
      </c>
      <c r="M15" s="816">
        <v>11582.3</v>
      </c>
      <c r="N15" s="816">
        <v>11600</v>
      </c>
      <c r="O15" s="435">
        <v>-19.308333333333334</v>
      </c>
      <c r="P15" s="816">
        <v>11583.35</v>
      </c>
      <c r="Q15" s="816">
        <v>11619.6</v>
      </c>
      <c r="R15" s="816">
        <v>11579.05</v>
      </c>
      <c r="S15" s="88" t="e">
        <v>#REF!</v>
      </c>
      <c r="T15" s="456" t="e">
        <v>#REF!</v>
      </c>
      <c r="U15" s="456" t="e">
        <v>#REF!</v>
      </c>
      <c r="V15" s="818" t="e">
        <v>#REF!</v>
      </c>
      <c r="W15" s="434"/>
      <c r="X15" s="434"/>
      <c r="Y15" s="434"/>
      <c r="AM15" s="275">
        <v>0.45833333333333331</v>
      </c>
      <c r="AN15" s="452"/>
      <c r="AO15" s="452" t="s">
        <v>207</v>
      </c>
    </row>
    <row r="16" spans="1:45" ht="14.5" customHeight="1" thickBot="1" x14ac:dyDescent="0.4">
      <c r="A16" s="822"/>
      <c r="B16" s="824"/>
      <c r="C16" s="90" t="s">
        <v>42</v>
      </c>
      <c r="D16" s="168">
        <v>11600</v>
      </c>
      <c r="E16" s="168" t="s">
        <v>211</v>
      </c>
      <c r="F16" s="168">
        <v>682800</v>
      </c>
      <c r="G16" s="168" t="s">
        <v>211</v>
      </c>
      <c r="H16" s="825"/>
      <c r="I16" s="168" t="s">
        <v>211</v>
      </c>
      <c r="J16" s="820" t="s">
        <v>211</v>
      </c>
      <c r="K16" s="168" t="s">
        <v>211</v>
      </c>
      <c r="L16" s="820" t="s">
        <v>211</v>
      </c>
      <c r="M16" s="817"/>
      <c r="N16" s="817"/>
      <c r="O16" s="435" t="s">
        <v>211</v>
      </c>
      <c r="P16" s="817"/>
      <c r="Q16" s="817"/>
      <c r="R16" s="817"/>
      <c r="S16" s="92" t="e">
        <v>#REF!</v>
      </c>
      <c r="T16" s="456" t="s">
        <v>211</v>
      </c>
      <c r="U16" s="456" t="s">
        <v>211</v>
      </c>
      <c r="V16" s="818"/>
      <c r="W16" s="434"/>
      <c r="X16" s="434"/>
      <c r="Y16" s="434"/>
      <c r="AM16" s="275">
        <v>0.46111111111111108</v>
      </c>
      <c r="AN16" s="452"/>
      <c r="AO16" s="452"/>
    </row>
    <row r="17" spans="1:41" ht="14.5" customHeight="1" thickBot="1" x14ac:dyDescent="0.4">
      <c r="A17" s="821" t="s">
        <v>326</v>
      </c>
      <c r="B17" s="823" t="s">
        <v>180</v>
      </c>
      <c r="C17" s="167" t="s">
        <v>211</v>
      </c>
      <c r="D17" s="167" t="s">
        <v>211</v>
      </c>
      <c r="E17" s="167">
        <v>32.049999999999997</v>
      </c>
      <c r="F17" s="167" t="s">
        <v>211</v>
      </c>
      <c r="G17" s="167">
        <v>153065</v>
      </c>
      <c r="H17" s="819" t="s">
        <v>55</v>
      </c>
      <c r="I17" s="167">
        <v>14.88</v>
      </c>
      <c r="J17" s="819">
        <v>11700</v>
      </c>
      <c r="K17" s="167">
        <v>8.15</v>
      </c>
      <c r="L17" s="819">
        <v>5706975</v>
      </c>
      <c r="M17" s="816">
        <v>11594.3</v>
      </c>
      <c r="N17" s="816">
        <v>11600</v>
      </c>
      <c r="O17" s="435">
        <v>-17.8</v>
      </c>
      <c r="P17" s="816">
        <v>11595.15</v>
      </c>
      <c r="Q17" s="816">
        <v>11619.6</v>
      </c>
      <c r="R17" s="816">
        <v>11579.05</v>
      </c>
      <c r="S17" s="88" t="e">
        <v>#REF!</v>
      </c>
      <c r="T17" s="456" t="e">
        <v>#REF!</v>
      </c>
      <c r="U17" s="456" t="e">
        <v>#REF!</v>
      </c>
      <c r="V17" s="818" t="e">
        <v>#REF!</v>
      </c>
      <c r="W17" s="434"/>
      <c r="X17" s="434"/>
      <c r="Y17" s="434"/>
      <c r="AM17" s="275">
        <v>0.46875</v>
      </c>
      <c r="AN17" s="452"/>
      <c r="AO17" s="452" t="s">
        <v>207</v>
      </c>
    </row>
    <row r="18" spans="1:41" ht="14.5" customHeight="1" thickBot="1" x14ac:dyDescent="0.4">
      <c r="A18" s="822"/>
      <c r="B18" s="824"/>
      <c r="C18" s="90" t="s">
        <v>42</v>
      </c>
      <c r="D18" s="168">
        <v>11600</v>
      </c>
      <c r="E18" s="168" t="s">
        <v>211</v>
      </c>
      <c r="F18" s="168">
        <v>667725</v>
      </c>
      <c r="G18" s="168" t="s">
        <v>211</v>
      </c>
      <c r="H18" s="825"/>
      <c r="I18" s="168" t="s">
        <v>211</v>
      </c>
      <c r="J18" s="820" t="s">
        <v>211</v>
      </c>
      <c r="K18" s="168" t="s">
        <v>211</v>
      </c>
      <c r="L18" s="820" t="s">
        <v>211</v>
      </c>
      <c r="M18" s="817"/>
      <c r="N18" s="817"/>
      <c r="O18" s="435" t="s">
        <v>211</v>
      </c>
      <c r="P18" s="817"/>
      <c r="Q18" s="817"/>
      <c r="R18" s="817"/>
      <c r="S18" s="92" t="e">
        <v>#REF!</v>
      </c>
      <c r="T18" s="456" t="s">
        <v>211</v>
      </c>
      <c r="U18" s="456" t="s">
        <v>211</v>
      </c>
      <c r="V18" s="818"/>
      <c r="W18" s="434"/>
      <c r="X18" s="434"/>
      <c r="Y18" s="434"/>
      <c r="AM18" s="275">
        <v>0.47152777777777777</v>
      </c>
      <c r="AN18" s="452"/>
      <c r="AO18" s="452"/>
    </row>
    <row r="19" spans="1:41" ht="14.5" customHeight="1" thickBot="1" x14ac:dyDescent="0.4">
      <c r="A19" s="821" t="s">
        <v>424</v>
      </c>
      <c r="B19" s="823" t="s">
        <v>180</v>
      </c>
      <c r="C19" s="167" t="s">
        <v>211</v>
      </c>
      <c r="D19" s="167" t="s">
        <v>211</v>
      </c>
      <c r="E19" s="167">
        <v>35</v>
      </c>
      <c r="F19" s="167" t="s">
        <v>211</v>
      </c>
      <c r="G19" s="167">
        <v>168698</v>
      </c>
      <c r="H19" s="819" t="s">
        <v>55</v>
      </c>
      <c r="I19" s="167">
        <v>14.57</v>
      </c>
      <c r="J19" s="819">
        <v>11700</v>
      </c>
      <c r="K19" s="167">
        <v>8.65</v>
      </c>
      <c r="L19" s="819">
        <v>5709075</v>
      </c>
      <c r="M19" s="816">
        <v>11599.2</v>
      </c>
      <c r="N19" s="816">
        <v>11600</v>
      </c>
      <c r="O19" s="435">
        <v>-15.575000000000001</v>
      </c>
      <c r="P19" s="816">
        <v>11598.05</v>
      </c>
      <c r="Q19" s="816">
        <v>11619.6</v>
      </c>
      <c r="R19" s="816">
        <v>11579.05</v>
      </c>
      <c r="S19" s="88" t="e">
        <v>#REF!</v>
      </c>
      <c r="T19" s="456" t="e">
        <v>#REF!</v>
      </c>
      <c r="U19" s="456" t="e">
        <v>#REF!</v>
      </c>
      <c r="V19" s="818" t="e">
        <v>#REF!</v>
      </c>
      <c r="W19" s="434"/>
      <c r="X19" s="434"/>
      <c r="Y19" s="434"/>
      <c r="AM19" s="275">
        <v>0.47916666666666669</v>
      </c>
      <c r="AN19" s="452"/>
      <c r="AO19" s="452" t="s">
        <v>207</v>
      </c>
    </row>
    <row r="20" spans="1:41" ht="14.5" customHeight="1" thickBot="1" x14ac:dyDescent="0.4">
      <c r="A20" s="822"/>
      <c r="B20" s="824"/>
      <c r="C20" s="90" t="s">
        <v>42</v>
      </c>
      <c r="D20" s="168">
        <v>11600</v>
      </c>
      <c r="E20" s="168" t="s">
        <v>211</v>
      </c>
      <c r="F20" s="168">
        <v>650325</v>
      </c>
      <c r="G20" s="168" t="s">
        <v>211</v>
      </c>
      <c r="H20" s="825"/>
      <c r="I20" s="168" t="s">
        <v>211</v>
      </c>
      <c r="J20" s="820" t="s">
        <v>211</v>
      </c>
      <c r="K20" s="168" t="s">
        <v>211</v>
      </c>
      <c r="L20" s="820" t="s">
        <v>211</v>
      </c>
      <c r="M20" s="817"/>
      <c r="N20" s="817"/>
      <c r="O20" s="435" t="s">
        <v>211</v>
      </c>
      <c r="P20" s="817"/>
      <c r="Q20" s="817"/>
      <c r="R20" s="817"/>
      <c r="S20" s="92" t="e">
        <v>#REF!</v>
      </c>
      <c r="T20" s="456" t="s">
        <v>211</v>
      </c>
      <c r="U20" s="456" t="s">
        <v>211</v>
      </c>
      <c r="V20" s="818"/>
      <c r="W20" s="434"/>
      <c r="X20" s="434"/>
      <c r="Y20" s="434"/>
      <c r="AM20" s="275">
        <v>0.48194444444444445</v>
      </c>
      <c r="AN20" s="452"/>
      <c r="AO20" s="452"/>
    </row>
    <row r="21" spans="1:41" ht="14.5" customHeight="1" thickBot="1" x14ac:dyDescent="0.4">
      <c r="A21" s="821" t="s">
        <v>425</v>
      </c>
      <c r="B21" s="823" t="s">
        <v>180</v>
      </c>
      <c r="C21" s="167" t="s">
        <v>211</v>
      </c>
      <c r="D21" s="167" t="s">
        <v>211</v>
      </c>
      <c r="E21" s="167">
        <v>37.1</v>
      </c>
      <c r="F21" s="167" t="s">
        <v>211</v>
      </c>
      <c r="G21" s="167">
        <v>178087</v>
      </c>
      <c r="H21" s="819" t="s">
        <v>55</v>
      </c>
      <c r="I21" s="167">
        <v>13.77</v>
      </c>
      <c r="J21" s="819">
        <v>11700</v>
      </c>
      <c r="K21" s="167">
        <v>9.5</v>
      </c>
      <c r="L21" s="819">
        <v>5648850</v>
      </c>
      <c r="M21" s="816">
        <v>11605.7</v>
      </c>
      <c r="N21" s="816">
        <v>11600</v>
      </c>
      <c r="O21" s="435">
        <v>-13.983333333333336</v>
      </c>
      <c r="P21" s="816">
        <v>11604.5</v>
      </c>
      <c r="Q21" s="816">
        <v>11619.6</v>
      </c>
      <c r="R21" s="816">
        <v>11579.05</v>
      </c>
      <c r="S21" s="88" t="e">
        <v>#REF!</v>
      </c>
      <c r="T21" s="456" t="e">
        <v>#REF!</v>
      </c>
      <c r="U21" s="456" t="e">
        <v>#REF!</v>
      </c>
      <c r="V21" s="818" t="e">
        <v>#REF!</v>
      </c>
      <c r="W21" s="434"/>
      <c r="X21" s="434"/>
      <c r="Y21" s="434"/>
      <c r="AM21" s="275">
        <v>0.48958333333333331</v>
      </c>
      <c r="AN21" s="452"/>
      <c r="AO21" s="452" t="s">
        <v>207</v>
      </c>
    </row>
    <row r="22" spans="1:41" ht="14.5" customHeight="1" thickBot="1" x14ac:dyDescent="0.4">
      <c r="A22" s="822"/>
      <c r="B22" s="824"/>
      <c r="C22" s="90" t="s">
        <v>42</v>
      </c>
      <c r="D22" s="168">
        <v>11600</v>
      </c>
      <c r="E22" s="168" t="s">
        <v>211</v>
      </c>
      <c r="F22" s="168">
        <v>659700</v>
      </c>
      <c r="G22" s="168" t="s">
        <v>211</v>
      </c>
      <c r="H22" s="825"/>
      <c r="I22" s="168" t="s">
        <v>211</v>
      </c>
      <c r="J22" s="820" t="s">
        <v>211</v>
      </c>
      <c r="K22" s="168" t="s">
        <v>211</v>
      </c>
      <c r="L22" s="820" t="s">
        <v>211</v>
      </c>
      <c r="M22" s="817"/>
      <c r="N22" s="817"/>
      <c r="O22" s="435" t="s">
        <v>211</v>
      </c>
      <c r="P22" s="817"/>
      <c r="Q22" s="817"/>
      <c r="R22" s="817"/>
      <c r="S22" s="92" t="e">
        <v>#REF!</v>
      </c>
      <c r="T22" s="456" t="s">
        <v>211</v>
      </c>
      <c r="U22" s="456" t="s">
        <v>211</v>
      </c>
      <c r="V22" s="818"/>
      <c r="W22" s="434"/>
      <c r="X22" s="434"/>
      <c r="Y22" s="434"/>
      <c r="AM22" s="275">
        <v>0.49236111111111108</v>
      </c>
      <c r="AN22" s="452"/>
      <c r="AO22" s="452"/>
    </row>
    <row r="23" spans="1:41" ht="14.5" customHeight="1" thickBot="1" x14ac:dyDescent="0.4">
      <c r="A23" s="821" t="s">
        <v>211</v>
      </c>
      <c r="B23" s="823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19" t="s">
        <v>211</v>
      </c>
      <c r="I23" s="167" t="s">
        <v>211</v>
      </c>
      <c r="J23" s="819" t="s">
        <v>211</v>
      </c>
      <c r="K23" s="167" t="s">
        <v>211</v>
      </c>
      <c r="L23" s="819" t="s">
        <v>211</v>
      </c>
      <c r="M23" s="816" t="s">
        <v>211</v>
      </c>
      <c r="N23" s="816" t="s">
        <v>211</v>
      </c>
      <c r="O23" s="435" t="s">
        <v>211</v>
      </c>
      <c r="P23" s="816" t="s">
        <v>211</v>
      </c>
      <c r="Q23" s="816" t="s">
        <v>211</v>
      </c>
      <c r="R23" s="816" t="s">
        <v>211</v>
      </c>
      <c r="S23" s="88" t="s">
        <v>211</v>
      </c>
      <c r="T23" s="456" t="s">
        <v>211</v>
      </c>
      <c r="U23" s="456" t="s">
        <v>211</v>
      </c>
      <c r="V23" s="818" t="s">
        <v>211</v>
      </c>
      <c r="W23" s="434"/>
      <c r="X23" s="434"/>
      <c r="Y23" s="434"/>
      <c r="AM23" s="275">
        <v>0.5</v>
      </c>
      <c r="AN23" s="452"/>
      <c r="AO23" s="452" t="s">
        <v>207</v>
      </c>
    </row>
    <row r="24" spans="1:41" ht="14.5" customHeight="1" thickBot="1" x14ac:dyDescent="0.4">
      <c r="A24" s="822"/>
      <c r="B24" s="824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25"/>
      <c r="I24" s="168" t="s">
        <v>211</v>
      </c>
      <c r="J24" s="820" t="s">
        <v>211</v>
      </c>
      <c r="K24" s="168" t="s">
        <v>211</v>
      </c>
      <c r="L24" s="820" t="s">
        <v>211</v>
      </c>
      <c r="M24" s="817"/>
      <c r="N24" s="817"/>
      <c r="O24" s="435" t="s">
        <v>211</v>
      </c>
      <c r="P24" s="817"/>
      <c r="Q24" s="817"/>
      <c r="R24" s="817"/>
      <c r="S24" s="92" t="s">
        <v>211</v>
      </c>
      <c r="T24" s="456" t="s">
        <v>211</v>
      </c>
      <c r="U24" s="456" t="s">
        <v>211</v>
      </c>
      <c r="V24" s="818"/>
      <c r="W24" s="434"/>
      <c r="X24" s="434"/>
      <c r="Y24" s="434"/>
      <c r="AM24" s="275">
        <v>0.50277777777777777</v>
      </c>
      <c r="AN24" s="452"/>
      <c r="AO24" s="452"/>
    </row>
    <row r="25" spans="1:41" ht="14.5" customHeight="1" thickBot="1" x14ac:dyDescent="0.4">
      <c r="A25" s="821" t="s">
        <v>211</v>
      </c>
      <c r="B25" s="823" t="s">
        <v>211</v>
      </c>
      <c r="C25" s="167" t="s">
        <v>211</v>
      </c>
      <c r="D25" s="167" t="s">
        <v>211</v>
      </c>
      <c r="E25" s="167" t="s">
        <v>211</v>
      </c>
      <c r="F25" s="167" t="s">
        <v>211</v>
      </c>
      <c r="G25" s="167" t="s">
        <v>211</v>
      </c>
      <c r="H25" s="819" t="s">
        <v>211</v>
      </c>
      <c r="I25" s="167" t="s">
        <v>211</v>
      </c>
      <c r="J25" s="819" t="s">
        <v>211</v>
      </c>
      <c r="K25" s="167" t="s">
        <v>211</v>
      </c>
      <c r="L25" s="819" t="s">
        <v>211</v>
      </c>
      <c r="M25" s="816" t="s">
        <v>211</v>
      </c>
      <c r="N25" s="816" t="s">
        <v>211</v>
      </c>
      <c r="O25" s="435" t="s">
        <v>211</v>
      </c>
      <c r="P25" s="816" t="s">
        <v>211</v>
      </c>
      <c r="Q25" s="816" t="s">
        <v>211</v>
      </c>
      <c r="R25" s="816" t="s">
        <v>211</v>
      </c>
      <c r="S25" s="88" t="s">
        <v>211</v>
      </c>
      <c r="T25" s="456" t="s">
        <v>211</v>
      </c>
      <c r="U25" s="456" t="s">
        <v>211</v>
      </c>
      <c r="V25" s="818" t="s">
        <v>211</v>
      </c>
      <c r="W25" s="434"/>
      <c r="X25" s="434"/>
      <c r="Y25" s="434"/>
      <c r="AM25" s="275">
        <v>0.51041666666666663</v>
      </c>
      <c r="AN25" s="452"/>
      <c r="AO25" s="452" t="s">
        <v>207</v>
      </c>
    </row>
    <row r="26" spans="1:41" ht="14.5" customHeight="1" thickBot="1" x14ac:dyDescent="0.4">
      <c r="A26" s="822"/>
      <c r="B26" s="824"/>
      <c r="C26" s="90" t="s">
        <v>211</v>
      </c>
      <c r="D26" s="168" t="s">
        <v>211</v>
      </c>
      <c r="E26" s="168" t="s">
        <v>211</v>
      </c>
      <c r="F26" s="168" t="s">
        <v>211</v>
      </c>
      <c r="G26" s="168" t="s">
        <v>211</v>
      </c>
      <c r="H26" s="825"/>
      <c r="I26" s="168" t="s">
        <v>211</v>
      </c>
      <c r="J26" s="820" t="s">
        <v>211</v>
      </c>
      <c r="K26" s="168" t="s">
        <v>211</v>
      </c>
      <c r="L26" s="820" t="s">
        <v>211</v>
      </c>
      <c r="M26" s="817"/>
      <c r="N26" s="817"/>
      <c r="O26" s="435" t="s">
        <v>211</v>
      </c>
      <c r="P26" s="817"/>
      <c r="Q26" s="817"/>
      <c r="R26" s="817"/>
      <c r="S26" s="92" t="s">
        <v>211</v>
      </c>
      <c r="T26" s="456" t="s">
        <v>211</v>
      </c>
      <c r="U26" s="456" t="s">
        <v>211</v>
      </c>
      <c r="V26" s="818"/>
      <c r="W26" s="434"/>
      <c r="X26" s="434"/>
      <c r="Y26" s="434"/>
      <c r="AM26" s="275">
        <v>0.5131944444444444</v>
      </c>
      <c r="AN26" s="452"/>
      <c r="AO26" s="452"/>
    </row>
    <row r="27" spans="1:41" ht="14.5" customHeight="1" thickBot="1" x14ac:dyDescent="0.4">
      <c r="A27" s="821" t="s">
        <v>426</v>
      </c>
      <c r="B27" s="823" t="s">
        <v>180</v>
      </c>
      <c r="C27" s="167" t="s">
        <v>211</v>
      </c>
      <c r="D27" s="167" t="s">
        <v>211</v>
      </c>
      <c r="E27" s="167">
        <v>34.700000000000003</v>
      </c>
      <c r="F27" s="167" t="s">
        <v>211</v>
      </c>
      <c r="G27" s="167">
        <v>215982</v>
      </c>
      <c r="H27" s="819" t="s">
        <v>61</v>
      </c>
      <c r="I27" s="167">
        <v>13.93</v>
      </c>
      <c r="J27" s="819">
        <v>11700</v>
      </c>
      <c r="K27" s="167">
        <v>8.6</v>
      </c>
      <c r="L27" s="819">
        <v>5604525</v>
      </c>
      <c r="M27" s="816">
        <v>11599.7</v>
      </c>
      <c r="N27" s="816">
        <v>11600</v>
      </c>
      <c r="O27" s="435">
        <v>-15.20833333333333</v>
      </c>
      <c r="P27" s="816">
        <v>11600.25</v>
      </c>
      <c r="Q27" s="816">
        <v>11619.6</v>
      </c>
      <c r="R27" s="816">
        <v>11579.05</v>
      </c>
      <c r="S27" s="88" t="e">
        <v>#REF!</v>
      </c>
      <c r="T27" s="456" t="e">
        <v>#REF!</v>
      </c>
      <c r="U27" s="456" t="e">
        <v>#REF!</v>
      </c>
      <c r="V27" s="818" t="e">
        <v>#REF!</v>
      </c>
      <c r="W27" s="434"/>
      <c r="X27" s="434"/>
      <c r="Y27" s="434"/>
      <c r="AM27" s="275">
        <v>0.52083333333333337</v>
      </c>
      <c r="AN27" s="452"/>
      <c r="AO27" s="452" t="s">
        <v>207</v>
      </c>
    </row>
    <row r="28" spans="1:41" ht="14.5" customHeight="1" thickBot="1" x14ac:dyDescent="0.4">
      <c r="A28" s="822"/>
      <c r="B28" s="824"/>
      <c r="C28" s="90" t="s">
        <v>42</v>
      </c>
      <c r="D28" s="168">
        <v>11600</v>
      </c>
      <c r="E28" s="168" t="s">
        <v>211</v>
      </c>
      <c r="F28" s="168">
        <v>832050</v>
      </c>
      <c r="G28" s="168" t="s">
        <v>211</v>
      </c>
      <c r="H28" s="825"/>
      <c r="I28" s="168" t="s">
        <v>211</v>
      </c>
      <c r="J28" s="820" t="s">
        <v>211</v>
      </c>
      <c r="K28" s="168" t="s">
        <v>211</v>
      </c>
      <c r="L28" s="820" t="s">
        <v>211</v>
      </c>
      <c r="M28" s="817"/>
      <c r="N28" s="817"/>
      <c r="O28" s="435" t="s">
        <v>211</v>
      </c>
      <c r="P28" s="817"/>
      <c r="Q28" s="817"/>
      <c r="R28" s="817"/>
      <c r="S28" s="92" t="e">
        <v>#REF!</v>
      </c>
      <c r="T28" s="456" t="s">
        <v>211</v>
      </c>
      <c r="U28" s="456" t="s">
        <v>211</v>
      </c>
      <c r="V28" s="818"/>
      <c r="W28" s="434"/>
      <c r="X28" s="434"/>
      <c r="Y28" s="434"/>
      <c r="AM28" s="275">
        <v>0.52361111111111114</v>
      </c>
      <c r="AN28" s="452"/>
      <c r="AO28" s="452"/>
    </row>
    <row r="29" spans="1:41" ht="15" customHeight="1" thickBot="1" x14ac:dyDescent="0.4">
      <c r="A29" s="821" t="s">
        <v>211</v>
      </c>
      <c r="B29" s="823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19" t="s">
        <v>211</v>
      </c>
      <c r="I29" s="167" t="s">
        <v>211</v>
      </c>
      <c r="J29" s="819" t="s">
        <v>211</v>
      </c>
      <c r="K29" s="167" t="s">
        <v>211</v>
      </c>
      <c r="L29" s="819" t="s">
        <v>211</v>
      </c>
      <c r="M29" s="816" t="s">
        <v>211</v>
      </c>
      <c r="N29" s="816" t="s">
        <v>211</v>
      </c>
      <c r="O29" s="435" t="s">
        <v>211</v>
      </c>
      <c r="P29" s="816" t="s">
        <v>211</v>
      </c>
      <c r="Q29" s="816" t="s">
        <v>211</v>
      </c>
      <c r="R29" s="816" t="s">
        <v>211</v>
      </c>
      <c r="S29" s="88" t="s">
        <v>211</v>
      </c>
      <c r="T29" s="456" t="s">
        <v>211</v>
      </c>
      <c r="U29" s="456" t="s">
        <v>211</v>
      </c>
      <c r="V29" s="818" t="s">
        <v>211</v>
      </c>
      <c r="W29" s="434"/>
      <c r="X29" s="434"/>
      <c r="Y29" s="434"/>
      <c r="AM29" s="275">
        <v>0.53125</v>
      </c>
      <c r="AO29" s="452" t="s">
        <v>207</v>
      </c>
    </row>
    <row r="30" spans="1:41" ht="15" customHeight="1" thickBot="1" x14ac:dyDescent="0.4">
      <c r="A30" s="822"/>
      <c r="B30" s="824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25"/>
      <c r="I30" s="168" t="s">
        <v>211</v>
      </c>
      <c r="J30" s="820" t="s">
        <v>211</v>
      </c>
      <c r="K30" s="168" t="s">
        <v>211</v>
      </c>
      <c r="L30" s="820" t="s">
        <v>211</v>
      </c>
      <c r="M30" s="817"/>
      <c r="N30" s="817"/>
      <c r="O30" s="435" t="s">
        <v>211</v>
      </c>
      <c r="P30" s="817"/>
      <c r="Q30" s="817"/>
      <c r="R30" s="817"/>
      <c r="S30" s="92" t="s">
        <v>211</v>
      </c>
      <c r="T30" s="456" t="s">
        <v>211</v>
      </c>
      <c r="U30" s="456" t="s">
        <v>211</v>
      </c>
      <c r="V30" s="818"/>
      <c r="W30" s="434"/>
      <c r="X30" s="434"/>
      <c r="Y30" s="434"/>
      <c r="AM30" s="275">
        <v>0.53402777777777777</v>
      </c>
      <c r="AO30" s="452"/>
    </row>
    <row r="31" spans="1:41" ht="15" customHeight="1" thickBot="1" x14ac:dyDescent="0.4">
      <c r="A31" s="821" t="s">
        <v>211</v>
      </c>
      <c r="B31" s="823" t="s">
        <v>211</v>
      </c>
      <c r="C31" s="167" t="s">
        <v>211</v>
      </c>
      <c r="D31" s="167" t="s">
        <v>211</v>
      </c>
      <c r="E31" s="167" t="s">
        <v>211</v>
      </c>
      <c r="F31" s="167" t="s">
        <v>211</v>
      </c>
      <c r="G31" s="167" t="s">
        <v>211</v>
      </c>
      <c r="H31" s="819" t="s">
        <v>211</v>
      </c>
      <c r="I31" s="167" t="s">
        <v>211</v>
      </c>
      <c r="J31" s="819" t="s">
        <v>211</v>
      </c>
      <c r="K31" s="167" t="s">
        <v>211</v>
      </c>
      <c r="L31" s="819" t="s">
        <v>211</v>
      </c>
      <c r="M31" s="816" t="s">
        <v>211</v>
      </c>
      <c r="N31" s="816" t="s">
        <v>211</v>
      </c>
      <c r="O31" s="435" t="s">
        <v>211</v>
      </c>
      <c r="P31" s="816" t="s">
        <v>211</v>
      </c>
      <c r="Q31" s="816" t="s">
        <v>211</v>
      </c>
      <c r="R31" s="816" t="s">
        <v>211</v>
      </c>
      <c r="S31" s="88" t="s">
        <v>211</v>
      </c>
      <c r="T31" s="456" t="s">
        <v>211</v>
      </c>
      <c r="U31" s="456" t="s">
        <v>211</v>
      </c>
      <c r="V31" s="818" t="s">
        <v>211</v>
      </c>
      <c r="W31" s="434"/>
      <c r="X31" s="434"/>
      <c r="Y31" s="434"/>
      <c r="AM31" s="275">
        <v>0.54166666666666663</v>
      </c>
      <c r="AO31" s="452" t="s">
        <v>207</v>
      </c>
    </row>
    <row r="32" spans="1:41" ht="15" customHeight="1" thickBot="1" x14ac:dyDescent="0.4">
      <c r="A32" s="822"/>
      <c r="B32" s="824"/>
      <c r="C32" s="90" t="s">
        <v>211</v>
      </c>
      <c r="D32" s="168" t="s">
        <v>211</v>
      </c>
      <c r="E32" s="168" t="s">
        <v>211</v>
      </c>
      <c r="F32" s="168" t="s">
        <v>211</v>
      </c>
      <c r="G32" s="168" t="s">
        <v>211</v>
      </c>
      <c r="H32" s="825"/>
      <c r="I32" s="168" t="s">
        <v>211</v>
      </c>
      <c r="J32" s="820" t="s">
        <v>211</v>
      </c>
      <c r="K32" s="168" t="s">
        <v>211</v>
      </c>
      <c r="L32" s="820" t="s">
        <v>211</v>
      </c>
      <c r="M32" s="817"/>
      <c r="N32" s="817"/>
      <c r="O32" s="435" t="s">
        <v>211</v>
      </c>
      <c r="P32" s="817"/>
      <c r="Q32" s="817"/>
      <c r="R32" s="817"/>
      <c r="S32" s="92" t="s">
        <v>211</v>
      </c>
      <c r="T32" s="456" t="s">
        <v>211</v>
      </c>
      <c r="U32" s="456" t="s">
        <v>211</v>
      </c>
      <c r="V32" s="818"/>
      <c r="W32" s="434"/>
      <c r="X32" s="434"/>
      <c r="Y32" s="434"/>
      <c r="AM32" s="275">
        <v>0.5444444444444444</v>
      </c>
      <c r="AO32" s="452"/>
    </row>
    <row r="33" spans="1:41" ht="15" customHeight="1" thickBot="1" x14ac:dyDescent="0.4">
      <c r="A33" s="821" t="s">
        <v>427</v>
      </c>
      <c r="B33" s="823" t="s">
        <v>180</v>
      </c>
      <c r="C33" s="167" t="s">
        <v>211</v>
      </c>
      <c r="D33" s="167" t="s">
        <v>211</v>
      </c>
      <c r="E33" s="167">
        <v>15.05</v>
      </c>
      <c r="F33" s="167" t="s">
        <v>211</v>
      </c>
      <c r="G33" s="167">
        <v>134542</v>
      </c>
      <c r="H33" s="819" t="s">
        <v>61</v>
      </c>
      <c r="I33" s="167">
        <v>13.91</v>
      </c>
      <c r="J33" s="819">
        <v>11700</v>
      </c>
      <c r="K33" s="167">
        <v>7.45</v>
      </c>
      <c r="L33" s="819">
        <v>5601825</v>
      </c>
      <c r="M33" s="816">
        <v>11607.65</v>
      </c>
      <c r="N33" s="816">
        <v>11600</v>
      </c>
      <c r="O33" s="435">
        <v>-16.266666666666666</v>
      </c>
      <c r="P33" s="816">
        <v>11610.85</v>
      </c>
      <c r="Q33" s="816">
        <v>11619.6</v>
      </c>
      <c r="R33" s="816">
        <v>11579.05</v>
      </c>
      <c r="S33" s="88" t="e">
        <v>#REF!</v>
      </c>
      <c r="T33" s="456" t="e">
        <v>#REF!</v>
      </c>
      <c r="U33" s="456" t="e">
        <v>#REF!</v>
      </c>
      <c r="V33" s="818" t="e">
        <v>#REF!</v>
      </c>
      <c r="W33" s="434"/>
      <c r="X33" s="434"/>
      <c r="Y33" s="434"/>
      <c r="AM33" s="275">
        <v>0.55208333333333337</v>
      </c>
      <c r="AO33" s="452" t="s">
        <v>207</v>
      </c>
    </row>
    <row r="34" spans="1:41" ht="15" customHeight="1" thickBot="1" x14ac:dyDescent="0.4">
      <c r="A34" s="822"/>
      <c r="B34" s="824"/>
      <c r="C34" s="90" t="s">
        <v>42</v>
      </c>
      <c r="D34" s="168">
        <v>11600</v>
      </c>
      <c r="E34" s="168" t="s">
        <v>211</v>
      </c>
      <c r="F34" s="168">
        <v>935250</v>
      </c>
      <c r="G34" s="168" t="s">
        <v>211</v>
      </c>
      <c r="H34" s="825"/>
      <c r="I34" s="168" t="s">
        <v>211</v>
      </c>
      <c r="J34" s="820" t="s">
        <v>211</v>
      </c>
      <c r="K34" s="168" t="s">
        <v>211</v>
      </c>
      <c r="L34" s="820" t="s">
        <v>211</v>
      </c>
      <c r="M34" s="817"/>
      <c r="N34" s="817"/>
      <c r="O34" s="435" t="s">
        <v>211</v>
      </c>
      <c r="P34" s="817"/>
      <c r="Q34" s="817"/>
      <c r="R34" s="817"/>
      <c r="S34" s="92" t="e">
        <v>#REF!</v>
      </c>
      <c r="T34" s="456" t="s">
        <v>211</v>
      </c>
      <c r="U34" s="456" t="s">
        <v>211</v>
      </c>
      <c r="V34" s="818"/>
      <c r="W34" s="434"/>
      <c r="X34" s="434"/>
      <c r="Y34" s="434"/>
      <c r="AM34" s="275">
        <v>0.55486111111111114</v>
      </c>
      <c r="AO34" s="452"/>
    </row>
    <row r="35" spans="1:41" ht="15" customHeight="1" thickBot="1" x14ac:dyDescent="0.4">
      <c r="A35" s="821" t="s">
        <v>428</v>
      </c>
      <c r="B35" s="823" t="s">
        <v>180</v>
      </c>
      <c r="C35" s="167" t="s">
        <v>211</v>
      </c>
      <c r="D35" s="167" t="s">
        <v>211</v>
      </c>
      <c r="E35" s="167">
        <v>16</v>
      </c>
      <c r="F35" s="167" t="s">
        <v>211</v>
      </c>
      <c r="G35" s="167">
        <v>143552</v>
      </c>
      <c r="H35" s="819" t="s">
        <v>61</v>
      </c>
      <c r="I35" s="167">
        <v>14.71</v>
      </c>
      <c r="J35" s="819">
        <v>11700</v>
      </c>
      <c r="K35" s="167">
        <v>7.5</v>
      </c>
      <c r="L35" s="819">
        <v>5620950</v>
      </c>
      <c r="M35" s="816">
        <v>11599.95</v>
      </c>
      <c r="N35" s="816">
        <v>11600</v>
      </c>
      <c r="O35" s="435">
        <v>-14.958333333333336</v>
      </c>
      <c r="P35" s="816">
        <v>11600.25</v>
      </c>
      <c r="Q35" s="816">
        <v>11619.6</v>
      </c>
      <c r="R35" s="816">
        <v>11579.05</v>
      </c>
      <c r="S35" s="88" t="e">
        <v>#REF!</v>
      </c>
      <c r="T35" s="456" t="e">
        <v>#REF!</v>
      </c>
      <c r="U35" s="456" t="e">
        <v>#REF!</v>
      </c>
      <c r="V35" s="818" t="e">
        <v>#REF!</v>
      </c>
      <c r="W35" s="434"/>
      <c r="X35" s="434"/>
      <c r="Y35" s="434"/>
      <c r="AM35" s="275">
        <v>0.5625</v>
      </c>
      <c r="AO35" s="452" t="s">
        <v>207</v>
      </c>
    </row>
    <row r="36" spans="1:41" ht="15" customHeight="1" thickBot="1" x14ac:dyDescent="0.4">
      <c r="A36" s="822"/>
      <c r="B36" s="824"/>
      <c r="C36" s="90" t="s">
        <v>42</v>
      </c>
      <c r="D36" s="168">
        <v>11600</v>
      </c>
      <c r="E36" s="168" t="s">
        <v>211</v>
      </c>
      <c r="F36" s="168">
        <v>867750</v>
      </c>
      <c r="G36" s="168" t="s">
        <v>211</v>
      </c>
      <c r="H36" s="825"/>
      <c r="I36" s="168" t="s">
        <v>211</v>
      </c>
      <c r="J36" s="820" t="s">
        <v>211</v>
      </c>
      <c r="K36" s="168" t="s">
        <v>211</v>
      </c>
      <c r="L36" s="820" t="s">
        <v>211</v>
      </c>
      <c r="M36" s="817"/>
      <c r="N36" s="817"/>
      <c r="O36" s="435" t="s">
        <v>211</v>
      </c>
      <c r="P36" s="817"/>
      <c r="Q36" s="817"/>
      <c r="R36" s="817"/>
      <c r="S36" s="92" t="e">
        <v>#REF!</v>
      </c>
      <c r="T36" s="456" t="s">
        <v>211</v>
      </c>
      <c r="U36" s="456" t="s">
        <v>211</v>
      </c>
      <c r="V36" s="818"/>
      <c r="W36" s="434"/>
      <c r="X36" s="434"/>
      <c r="Y36" s="434"/>
      <c r="AM36" s="275">
        <v>0.56527777777777777</v>
      </c>
      <c r="AO36" s="452"/>
    </row>
    <row r="37" spans="1:41" ht="15" customHeight="1" thickBot="1" x14ac:dyDescent="0.4">
      <c r="A37" s="821" t="s">
        <v>429</v>
      </c>
      <c r="B37" s="823" t="s">
        <v>180</v>
      </c>
      <c r="C37" s="167" t="s">
        <v>211</v>
      </c>
      <c r="D37" s="167" t="s">
        <v>211</v>
      </c>
      <c r="E37" s="167">
        <v>31.8</v>
      </c>
      <c r="F37" s="167" t="s">
        <v>211</v>
      </c>
      <c r="G37" s="167">
        <v>299924</v>
      </c>
      <c r="H37" s="819" t="s">
        <v>61</v>
      </c>
      <c r="I37" s="167">
        <v>13.36</v>
      </c>
      <c r="J37" s="819">
        <v>11700</v>
      </c>
      <c r="K37" s="167">
        <v>6.6</v>
      </c>
      <c r="L37" s="819">
        <v>5706450</v>
      </c>
      <c r="M37" s="816">
        <v>11595.25</v>
      </c>
      <c r="N37" s="816">
        <v>11600</v>
      </c>
      <c r="O37" s="435">
        <v>-16.466666666666669</v>
      </c>
      <c r="P37" s="816">
        <v>11595.6</v>
      </c>
      <c r="Q37" s="816">
        <v>11619.6</v>
      </c>
      <c r="R37" s="816">
        <v>11579.05</v>
      </c>
      <c r="S37" s="88" t="e">
        <v>#REF!</v>
      </c>
      <c r="T37" s="456" t="e">
        <v>#REF!</v>
      </c>
      <c r="U37" s="456" t="e">
        <v>#REF!</v>
      </c>
      <c r="V37" s="818" t="e">
        <v>#REF!</v>
      </c>
      <c r="W37" s="434"/>
      <c r="X37" s="434"/>
      <c r="Y37" s="434"/>
      <c r="AM37" s="275">
        <v>0.57291666666666663</v>
      </c>
      <c r="AO37" s="452" t="s">
        <v>207</v>
      </c>
    </row>
    <row r="38" spans="1:41" ht="15" customHeight="1" thickBot="1" x14ac:dyDescent="0.4">
      <c r="A38" s="822"/>
      <c r="B38" s="824"/>
      <c r="C38" s="90" t="s">
        <v>42</v>
      </c>
      <c r="D38" s="168">
        <v>11600</v>
      </c>
      <c r="E38" s="168" t="s">
        <v>211</v>
      </c>
      <c r="F38" s="168">
        <v>828600</v>
      </c>
      <c r="G38" s="168" t="s">
        <v>211</v>
      </c>
      <c r="H38" s="825"/>
      <c r="I38" s="168" t="s">
        <v>211</v>
      </c>
      <c r="J38" s="820" t="s">
        <v>211</v>
      </c>
      <c r="K38" s="168" t="s">
        <v>211</v>
      </c>
      <c r="L38" s="820" t="s">
        <v>211</v>
      </c>
      <c r="M38" s="817"/>
      <c r="N38" s="817"/>
      <c r="O38" s="435" t="s">
        <v>211</v>
      </c>
      <c r="P38" s="817"/>
      <c r="Q38" s="817"/>
      <c r="R38" s="817"/>
      <c r="S38" s="92" t="e">
        <v>#REF!</v>
      </c>
      <c r="T38" s="456" t="s">
        <v>211</v>
      </c>
      <c r="U38" s="456" t="s">
        <v>211</v>
      </c>
      <c r="V38" s="818"/>
      <c r="W38" s="434"/>
      <c r="X38" s="434"/>
      <c r="Y38" s="434"/>
      <c r="AM38" s="275">
        <v>0.5756944444444444</v>
      </c>
      <c r="AO38" s="452"/>
    </row>
    <row r="39" spans="1:41" ht="15" customHeight="1" thickBot="1" x14ac:dyDescent="0.4">
      <c r="A39" s="821" t="s">
        <v>430</v>
      </c>
      <c r="B39" s="823" t="s">
        <v>180</v>
      </c>
      <c r="C39" s="167" t="s">
        <v>211</v>
      </c>
      <c r="D39" s="167" t="s">
        <v>211</v>
      </c>
      <c r="E39" s="167">
        <v>0.75</v>
      </c>
      <c r="F39" s="167" t="s">
        <v>211</v>
      </c>
      <c r="G39" s="167">
        <v>42624</v>
      </c>
      <c r="H39" s="819" t="s">
        <v>61</v>
      </c>
      <c r="I39" s="167">
        <v>26.89</v>
      </c>
      <c r="J39" s="819">
        <v>11700</v>
      </c>
      <c r="K39" s="167">
        <v>13.3</v>
      </c>
      <c r="L39" s="819">
        <v>5510550</v>
      </c>
      <c r="M39" s="816">
        <v>11634.55</v>
      </c>
      <c r="N39" s="816">
        <v>11600</v>
      </c>
      <c r="O39" s="435">
        <v>1.1916666666666664</v>
      </c>
      <c r="P39" s="816">
        <v>11642.95</v>
      </c>
      <c r="Q39" s="816">
        <v>11647.25</v>
      </c>
      <c r="R39" s="816">
        <v>11579.05</v>
      </c>
      <c r="S39" s="88" t="e">
        <v>#REF!</v>
      </c>
      <c r="T39" s="416" t="e">
        <v>#REF!</v>
      </c>
      <c r="U39" s="456" t="e">
        <v>#REF!</v>
      </c>
      <c r="V39" s="818" t="e">
        <v>#REF!</v>
      </c>
      <c r="W39" s="434"/>
      <c r="X39" s="434"/>
      <c r="Y39" s="434"/>
      <c r="AM39" s="275">
        <v>0.58333333333333337</v>
      </c>
      <c r="AO39" s="452" t="s">
        <v>207</v>
      </c>
    </row>
    <row r="40" spans="1:41" ht="15" customHeight="1" thickBot="1" x14ac:dyDescent="0.4">
      <c r="A40" s="822"/>
      <c r="B40" s="824"/>
      <c r="C40" s="90" t="s">
        <v>42</v>
      </c>
      <c r="D40" s="168">
        <v>11600</v>
      </c>
      <c r="E40" s="168" t="s">
        <v>211</v>
      </c>
      <c r="F40" s="168">
        <v>917400</v>
      </c>
      <c r="G40" s="168" t="s">
        <v>211</v>
      </c>
      <c r="H40" s="825"/>
      <c r="I40" s="168" t="s">
        <v>211</v>
      </c>
      <c r="J40" s="820" t="s">
        <v>211</v>
      </c>
      <c r="K40" s="168" t="s">
        <v>211</v>
      </c>
      <c r="L40" s="820" t="s">
        <v>211</v>
      </c>
      <c r="M40" s="817"/>
      <c r="N40" s="817"/>
      <c r="O40" s="435" t="s">
        <v>211</v>
      </c>
      <c r="P40" s="817"/>
      <c r="Q40" s="817"/>
      <c r="R40" s="817"/>
      <c r="S40" s="92" t="e">
        <v>#REF!</v>
      </c>
      <c r="T40" s="458" t="s">
        <v>211</v>
      </c>
      <c r="U40" s="417" t="s">
        <v>211</v>
      </c>
      <c r="V40" s="818"/>
      <c r="W40" s="434"/>
      <c r="X40" s="434"/>
      <c r="Y40" s="434"/>
      <c r="AM40" s="275">
        <v>0.58611111111111114</v>
      </c>
      <c r="AO40" s="452"/>
    </row>
    <row r="41" spans="1:41" ht="15" customHeight="1" thickBot="1" x14ac:dyDescent="0.4">
      <c r="A41" s="821" t="s">
        <v>421</v>
      </c>
      <c r="B41" s="823" t="s">
        <v>180</v>
      </c>
      <c r="C41" s="167" t="s">
        <v>211</v>
      </c>
      <c r="D41" s="167" t="s">
        <v>211</v>
      </c>
      <c r="E41" s="167">
        <v>7.1</v>
      </c>
      <c r="F41" s="167" t="s">
        <v>211</v>
      </c>
      <c r="G41" s="167">
        <v>107827</v>
      </c>
      <c r="H41" s="819" t="s">
        <v>61</v>
      </c>
      <c r="I41" s="167">
        <v>14.53</v>
      </c>
      <c r="J41" s="819">
        <v>11700</v>
      </c>
      <c r="K41" s="167">
        <v>18.7</v>
      </c>
      <c r="L41" s="819">
        <v>5284500</v>
      </c>
      <c r="M41" s="816">
        <v>11660.05</v>
      </c>
      <c r="N41" s="816">
        <v>11600</v>
      </c>
      <c r="O41" s="435">
        <v>9.3333333333333304</v>
      </c>
      <c r="P41" s="816">
        <v>11669.9</v>
      </c>
      <c r="Q41" s="816">
        <v>11675</v>
      </c>
      <c r="R41" s="816">
        <v>11579.05</v>
      </c>
      <c r="S41" s="88" t="e">
        <v>#REF!</v>
      </c>
      <c r="T41" s="456" t="e">
        <v>#REF!</v>
      </c>
      <c r="U41" s="456" t="e">
        <v>#REF!</v>
      </c>
      <c r="V41" s="818" t="e">
        <v>#REF!</v>
      </c>
      <c r="W41" s="434"/>
      <c r="X41" s="434"/>
      <c r="Y41" s="434"/>
      <c r="AM41" s="275">
        <v>0.59375</v>
      </c>
      <c r="AO41" s="452" t="s">
        <v>207</v>
      </c>
    </row>
    <row r="42" spans="1:41" ht="15" customHeight="1" thickBot="1" x14ac:dyDescent="0.4">
      <c r="A42" s="822"/>
      <c r="B42" s="824"/>
      <c r="C42" s="90" t="s">
        <v>42</v>
      </c>
      <c r="D42" s="168">
        <v>11600</v>
      </c>
      <c r="E42" s="168" t="s">
        <v>211</v>
      </c>
      <c r="F42" s="168">
        <v>1191225</v>
      </c>
      <c r="G42" s="168" t="s">
        <v>211</v>
      </c>
      <c r="H42" s="825"/>
      <c r="I42" s="168" t="s">
        <v>211</v>
      </c>
      <c r="J42" s="820" t="s">
        <v>211</v>
      </c>
      <c r="K42" s="168" t="s">
        <v>211</v>
      </c>
      <c r="L42" s="820" t="s">
        <v>211</v>
      </c>
      <c r="M42" s="817"/>
      <c r="N42" s="817"/>
      <c r="O42" s="435" t="s">
        <v>211</v>
      </c>
      <c r="P42" s="817"/>
      <c r="Q42" s="817"/>
      <c r="R42" s="817"/>
      <c r="S42" s="92" t="e">
        <v>#REF!</v>
      </c>
      <c r="T42" s="413" t="s">
        <v>211</v>
      </c>
      <c r="U42" s="413" t="s">
        <v>211</v>
      </c>
      <c r="V42" s="818"/>
      <c r="W42" s="434"/>
      <c r="X42" s="434"/>
      <c r="Y42" s="434"/>
      <c r="AM42" s="275">
        <v>0.59652777777777777</v>
      </c>
      <c r="AO42" s="452"/>
    </row>
    <row r="43" spans="1:41" ht="15" customHeight="1" thickBot="1" x14ac:dyDescent="0.4">
      <c r="A43" s="821" t="s">
        <v>431</v>
      </c>
      <c r="B43" s="823" t="s">
        <v>180</v>
      </c>
      <c r="C43" s="167" t="s">
        <v>211</v>
      </c>
      <c r="D43" s="167" t="s">
        <v>211</v>
      </c>
      <c r="E43" s="167">
        <v>76.5</v>
      </c>
      <c r="F43" s="167" t="s">
        <v>211</v>
      </c>
      <c r="G43" s="167">
        <v>425065</v>
      </c>
      <c r="H43" s="819" t="s">
        <v>61</v>
      </c>
      <c r="I43" s="167">
        <v>16.54</v>
      </c>
      <c r="J43" s="819">
        <v>11700</v>
      </c>
      <c r="K43" s="167">
        <v>19.350000000000001</v>
      </c>
      <c r="L43" s="819">
        <v>5214075</v>
      </c>
      <c r="M43" s="816">
        <v>11661.95</v>
      </c>
      <c r="N43" s="816">
        <v>11650</v>
      </c>
      <c r="O43" s="435">
        <v>3.4166666666666643</v>
      </c>
      <c r="P43" s="816">
        <v>11675.25</v>
      </c>
      <c r="Q43" s="816">
        <v>11679.7</v>
      </c>
      <c r="R43" s="816">
        <v>11579.05</v>
      </c>
      <c r="S43" s="88" t="e">
        <v>#REF!</v>
      </c>
      <c r="T43" s="456" t="e">
        <v>#REF!</v>
      </c>
      <c r="U43" s="456" t="e">
        <v>#REF!</v>
      </c>
      <c r="V43" s="818" t="e">
        <v>#REF!</v>
      </c>
      <c r="W43" s="434"/>
      <c r="X43" s="434"/>
      <c r="Y43" s="434"/>
      <c r="AM43" s="275">
        <v>0.60416666666666663</v>
      </c>
      <c r="AO43" s="452" t="s">
        <v>207</v>
      </c>
    </row>
    <row r="44" spans="1:41" ht="15" customHeight="1" thickBot="1" x14ac:dyDescent="0.4">
      <c r="A44" s="822"/>
      <c r="B44" s="824"/>
      <c r="C44" s="90" t="s">
        <v>42</v>
      </c>
      <c r="D44" s="168">
        <v>11600</v>
      </c>
      <c r="E44" s="168" t="s">
        <v>211</v>
      </c>
      <c r="F44" s="168">
        <v>1362450</v>
      </c>
      <c r="G44" s="168" t="s">
        <v>211</v>
      </c>
      <c r="H44" s="825"/>
      <c r="I44" s="168" t="s">
        <v>211</v>
      </c>
      <c r="J44" s="820" t="s">
        <v>211</v>
      </c>
      <c r="K44" s="168" t="s">
        <v>211</v>
      </c>
      <c r="L44" s="820" t="s">
        <v>211</v>
      </c>
      <c r="M44" s="817"/>
      <c r="N44" s="817"/>
      <c r="O44" s="435" t="s">
        <v>211</v>
      </c>
      <c r="P44" s="817"/>
      <c r="Q44" s="817"/>
      <c r="R44" s="817"/>
      <c r="S44" s="92" t="e">
        <v>#REF!</v>
      </c>
      <c r="T44" s="413" t="s">
        <v>211</v>
      </c>
      <c r="U44" s="413" t="s">
        <v>211</v>
      </c>
      <c r="V44" s="818"/>
      <c r="W44" s="434"/>
      <c r="X44" s="434"/>
      <c r="Y44" s="434"/>
      <c r="AM44" s="275">
        <v>0.6069444444444444</v>
      </c>
      <c r="AO44" s="452"/>
    </row>
    <row r="45" spans="1:41" ht="15" customHeight="1" thickBot="1" x14ac:dyDescent="0.4">
      <c r="A45" s="821" t="s">
        <v>432</v>
      </c>
      <c r="B45" s="823" t="s">
        <v>180</v>
      </c>
      <c r="C45" s="167" t="s">
        <v>211</v>
      </c>
      <c r="D45" s="167" t="s">
        <v>211</v>
      </c>
      <c r="E45" s="167">
        <v>97.05</v>
      </c>
      <c r="F45" s="167" t="s">
        <v>211</v>
      </c>
      <c r="G45" s="167">
        <v>450720</v>
      </c>
      <c r="H45" s="819" t="s">
        <v>61</v>
      </c>
      <c r="I45" s="167">
        <v>13.62</v>
      </c>
      <c r="J45" s="819">
        <v>11700</v>
      </c>
      <c r="K45" s="167">
        <v>28.65</v>
      </c>
      <c r="L45" s="819">
        <v>5080200</v>
      </c>
      <c r="M45" s="816">
        <v>11685.25</v>
      </c>
      <c r="N45" s="816">
        <v>11650</v>
      </c>
      <c r="O45" s="435">
        <v>10.441666666666666</v>
      </c>
      <c r="P45" s="816">
        <v>11694.95</v>
      </c>
      <c r="Q45" s="816">
        <v>11699.45</v>
      </c>
      <c r="R45" s="816">
        <v>11579.05</v>
      </c>
      <c r="S45" s="88" t="e">
        <v>#REF!</v>
      </c>
      <c r="T45" s="456" t="e">
        <v>#REF!</v>
      </c>
      <c r="U45" s="456" t="e">
        <v>#REF!</v>
      </c>
      <c r="V45" s="818" t="e">
        <v>#REF!</v>
      </c>
      <c r="W45" s="434"/>
      <c r="X45" s="434"/>
      <c r="Y45" s="434"/>
      <c r="AM45" s="275">
        <v>0.61458333333333337</v>
      </c>
      <c r="AO45" s="452" t="s">
        <v>207</v>
      </c>
    </row>
    <row r="46" spans="1:41" ht="15" customHeight="1" thickBot="1" x14ac:dyDescent="0.4">
      <c r="A46" s="822"/>
      <c r="B46" s="824"/>
      <c r="C46" s="90" t="s">
        <v>42</v>
      </c>
      <c r="D46" s="168">
        <v>11600</v>
      </c>
      <c r="E46" s="168" t="s">
        <v>211</v>
      </c>
      <c r="F46" s="168">
        <v>1695450</v>
      </c>
      <c r="G46" s="168" t="s">
        <v>211</v>
      </c>
      <c r="H46" s="825"/>
      <c r="I46" s="168" t="s">
        <v>211</v>
      </c>
      <c r="J46" s="820" t="s">
        <v>211</v>
      </c>
      <c r="K46" s="168" t="s">
        <v>211</v>
      </c>
      <c r="L46" s="820" t="s">
        <v>211</v>
      </c>
      <c r="M46" s="817"/>
      <c r="N46" s="817"/>
      <c r="O46" s="435" t="s">
        <v>211</v>
      </c>
      <c r="P46" s="817"/>
      <c r="Q46" s="817"/>
      <c r="R46" s="817"/>
      <c r="S46" s="92" t="e">
        <v>#REF!</v>
      </c>
      <c r="T46" s="413" t="s">
        <v>211</v>
      </c>
      <c r="U46" s="413" t="s">
        <v>211</v>
      </c>
      <c r="V46" s="818"/>
      <c r="W46" s="434"/>
      <c r="X46" s="434"/>
      <c r="Y46" s="434"/>
      <c r="AM46" s="275">
        <v>0.61736111111111114</v>
      </c>
      <c r="AO46" s="452"/>
    </row>
    <row r="47" spans="1:41" ht="15" customHeight="1" thickBot="1" x14ac:dyDescent="0.4">
      <c r="A47" s="821" t="s">
        <v>433</v>
      </c>
      <c r="B47" s="823" t="s">
        <v>180</v>
      </c>
      <c r="C47" s="167" t="s">
        <v>211</v>
      </c>
      <c r="D47" s="167" t="s">
        <v>211</v>
      </c>
      <c r="E47" s="167">
        <v>108.65</v>
      </c>
      <c r="F47" s="167" t="s">
        <v>211</v>
      </c>
      <c r="G47" s="167">
        <v>465998</v>
      </c>
      <c r="H47" s="819" t="s">
        <v>61</v>
      </c>
      <c r="I47" s="167">
        <v>15.59</v>
      </c>
      <c r="J47" s="819">
        <v>11700</v>
      </c>
      <c r="K47" s="167">
        <v>33.25</v>
      </c>
      <c r="L47" s="819">
        <v>4645125</v>
      </c>
      <c r="M47" s="816">
        <v>11692.75</v>
      </c>
      <c r="N47" s="816">
        <v>11650</v>
      </c>
      <c r="O47" s="435">
        <v>14.675000000000001</v>
      </c>
      <c r="P47" s="816">
        <v>11707.65</v>
      </c>
      <c r="Q47" s="816">
        <v>11711</v>
      </c>
      <c r="R47" s="816">
        <v>11579.05</v>
      </c>
      <c r="S47" s="818" t="e">
        <v>#REF!</v>
      </c>
      <c r="T47" s="456" t="e">
        <v>#REF!</v>
      </c>
      <c r="U47" s="414" t="e">
        <v>#REF!</v>
      </c>
      <c r="V47" s="818" t="e">
        <v>#REF!</v>
      </c>
      <c r="W47" s="434"/>
      <c r="X47" s="434"/>
      <c r="Y47" s="434"/>
      <c r="AM47" s="275">
        <v>0.625</v>
      </c>
      <c r="AO47" s="452" t="s">
        <v>207</v>
      </c>
    </row>
    <row r="48" spans="1:41" ht="15" customHeight="1" thickBot="1" x14ac:dyDescent="0.4">
      <c r="A48" s="822"/>
      <c r="B48" s="824"/>
      <c r="C48" s="90" t="s">
        <v>42</v>
      </c>
      <c r="D48" s="168">
        <v>11600</v>
      </c>
      <c r="E48" s="168" t="s">
        <v>211</v>
      </c>
      <c r="F48" s="168">
        <v>1698075</v>
      </c>
      <c r="G48" s="168" t="s">
        <v>211</v>
      </c>
      <c r="H48" s="825"/>
      <c r="I48" s="168" t="s">
        <v>211</v>
      </c>
      <c r="J48" s="820" t="s">
        <v>211</v>
      </c>
      <c r="K48" s="168" t="s">
        <v>211</v>
      </c>
      <c r="L48" s="820" t="s">
        <v>211</v>
      </c>
      <c r="M48" s="817"/>
      <c r="N48" s="817"/>
      <c r="O48" s="435" t="s">
        <v>211</v>
      </c>
      <c r="P48" s="817"/>
      <c r="Q48" s="817"/>
      <c r="R48" s="817"/>
      <c r="S48" s="818" t="e">
        <v>#REF!</v>
      </c>
      <c r="T48" s="413" t="s">
        <v>211</v>
      </c>
      <c r="U48" s="457" t="s">
        <v>211</v>
      </c>
      <c r="V48" s="818"/>
      <c r="W48" s="434"/>
      <c r="X48" s="434"/>
      <c r="Y48" s="434"/>
      <c r="AM48" s="275">
        <v>0.62777777777777777</v>
      </c>
      <c r="AO48" s="452"/>
    </row>
    <row r="49" spans="1:41" ht="15" customHeight="1" thickBot="1" x14ac:dyDescent="0.4">
      <c r="A49" s="821" t="s">
        <v>434</v>
      </c>
      <c r="B49" s="823" t="s">
        <v>180</v>
      </c>
      <c r="C49" s="167" t="s">
        <v>211</v>
      </c>
      <c r="D49" s="167" t="s">
        <v>211</v>
      </c>
      <c r="E49" s="167">
        <v>53.5</v>
      </c>
      <c r="F49" s="167" t="s">
        <v>211</v>
      </c>
      <c r="G49" s="167">
        <v>630178</v>
      </c>
      <c r="H49" s="819" t="s">
        <v>55</v>
      </c>
      <c r="I49" s="167">
        <v>15.36</v>
      </c>
      <c r="J49" s="819">
        <v>11700</v>
      </c>
      <c r="K49" s="167">
        <v>53.5</v>
      </c>
      <c r="L49" s="819">
        <v>3472200</v>
      </c>
      <c r="M49" s="816">
        <v>11732.65</v>
      </c>
      <c r="N49" s="816">
        <v>11700</v>
      </c>
      <c r="O49" s="435">
        <v>0.42499999999999893</v>
      </c>
      <c r="P49" s="816">
        <v>11742.2</v>
      </c>
      <c r="Q49" s="816">
        <v>11756</v>
      </c>
      <c r="R49" s="816">
        <v>11579.05</v>
      </c>
      <c r="S49" s="88" t="e">
        <v>#REF!</v>
      </c>
      <c r="T49" s="456" t="e">
        <v>#REF!</v>
      </c>
      <c r="U49" s="456" t="e">
        <v>#REF!</v>
      </c>
      <c r="V49" s="818" t="e">
        <v>#REF!</v>
      </c>
      <c r="W49" s="434"/>
      <c r="X49" s="434"/>
      <c r="Y49" s="434"/>
      <c r="AM49" s="275">
        <v>0.63541666666666663</v>
      </c>
      <c r="AO49" s="452" t="s">
        <v>207</v>
      </c>
    </row>
    <row r="50" spans="1:41" ht="15" customHeight="1" thickBot="1" x14ac:dyDescent="0.4">
      <c r="A50" s="822"/>
      <c r="B50" s="824"/>
      <c r="C50" s="90" t="s">
        <v>42</v>
      </c>
      <c r="D50" s="168">
        <v>11700</v>
      </c>
      <c r="E50" s="168" t="s">
        <v>211</v>
      </c>
      <c r="F50" s="168">
        <v>1283700</v>
      </c>
      <c r="G50" s="168" t="s">
        <v>211</v>
      </c>
      <c r="H50" s="825"/>
      <c r="I50" s="168" t="s">
        <v>211</v>
      </c>
      <c r="J50" s="820" t="s">
        <v>211</v>
      </c>
      <c r="K50" s="168" t="s">
        <v>211</v>
      </c>
      <c r="L50" s="820" t="s">
        <v>211</v>
      </c>
      <c r="M50" s="817"/>
      <c r="N50" s="817"/>
      <c r="O50" s="435" t="s">
        <v>211</v>
      </c>
      <c r="P50" s="817"/>
      <c r="Q50" s="817"/>
      <c r="R50" s="817"/>
      <c r="S50" s="92" t="e">
        <v>#REF!</v>
      </c>
      <c r="T50" s="413" t="s">
        <v>211</v>
      </c>
      <c r="U50" s="413" t="s">
        <v>211</v>
      </c>
      <c r="V50" s="818"/>
      <c r="W50" s="434"/>
      <c r="X50" s="434"/>
      <c r="Y50" s="434"/>
      <c r="AM50" s="275">
        <v>0.6381944444444444</v>
      </c>
      <c r="AO50" s="452"/>
    </row>
    <row r="51" spans="1:41" ht="15" customHeight="1" thickBot="1" x14ac:dyDescent="0.4">
      <c r="A51" s="821" t="s">
        <v>435</v>
      </c>
      <c r="B51" s="823" t="s">
        <v>180</v>
      </c>
      <c r="C51" s="167" t="s">
        <v>211</v>
      </c>
      <c r="D51" s="167" t="s">
        <v>211</v>
      </c>
      <c r="E51" s="167">
        <v>42.2</v>
      </c>
      <c r="F51" s="167" t="s">
        <v>211</v>
      </c>
      <c r="G51" s="167">
        <v>664687</v>
      </c>
      <c r="H51" s="819" t="s">
        <v>55</v>
      </c>
      <c r="I51" s="167">
        <v>14.06</v>
      </c>
      <c r="J51" s="819">
        <v>11800</v>
      </c>
      <c r="K51" s="167">
        <v>5.7</v>
      </c>
      <c r="L51" s="819">
        <v>2991525</v>
      </c>
      <c r="M51" s="816">
        <v>11726.95</v>
      </c>
      <c r="N51" s="816">
        <v>11700</v>
      </c>
      <c r="O51" s="435">
        <v>5.3583333333333334</v>
      </c>
      <c r="P51" s="816">
        <v>11733.1</v>
      </c>
      <c r="Q51" s="816">
        <v>11756</v>
      </c>
      <c r="R51" s="816">
        <v>11579.05</v>
      </c>
      <c r="S51" s="88" t="e">
        <v>#REF!</v>
      </c>
      <c r="T51" s="456" t="e">
        <v>#REF!</v>
      </c>
      <c r="U51" s="456" t="e">
        <v>#REF!</v>
      </c>
      <c r="V51" s="818" t="e">
        <v>#REF!</v>
      </c>
      <c r="W51" s="434"/>
      <c r="X51" s="434"/>
      <c r="Y51" s="434"/>
      <c r="AM51" s="275">
        <v>0.64583333333333337</v>
      </c>
      <c r="AO51" s="452" t="s">
        <v>207</v>
      </c>
    </row>
    <row r="52" spans="1:41" ht="15" customHeight="1" thickBot="1" x14ac:dyDescent="0.4">
      <c r="A52" s="822"/>
      <c r="B52" s="824"/>
      <c r="C52" s="90" t="s">
        <v>42</v>
      </c>
      <c r="D52" s="168">
        <v>11700</v>
      </c>
      <c r="E52" s="168" t="s">
        <v>211</v>
      </c>
      <c r="F52" s="168">
        <v>1208625</v>
      </c>
      <c r="G52" s="168" t="s">
        <v>211</v>
      </c>
      <c r="H52" s="825"/>
      <c r="I52" s="168" t="s">
        <v>211</v>
      </c>
      <c r="J52" s="820" t="s">
        <v>211</v>
      </c>
      <c r="K52" s="168" t="s">
        <v>211</v>
      </c>
      <c r="L52" s="820" t="s">
        <v>211</v>
      </c>
      <c r="M52" s="817"/>
      <c r="N52" s="817"/>
      <c r="O52" s="435" t="s">
        <v>211</v>
      </c>
      <c r="P52" s="817"/>
      <c r="Q52" s="817"/>
      <c r="R52" s="817"/>
      <c r="S52" s="92" t="e">
        <v>#REF!</v>
      </c>
      <c r="T52" s="415" t="s">
        <v>211</v>
      </c>
      <c r="U52" s="415" t="s">
        <v>211</v>
      </c>
      <c r="V52" s="818"/>
      <c r="W52" s="434"/>
      <c r="X52" s="434"/>
      <c r="Y52" s="434"/>
      <c r="AM52" s="275">
        <v>0.64861111111111114</v>
      </c>
      <c r="AO52" s="452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D290-EA45-4AF3-8B26-A2F8302179A3}">
  <sheetPr codeName="Sheet3"/>
  <dimension ref="A1:AS52"/>
  <sheetViews>
    <sheetView workbookViewId="0">
      <selection activeCell="L11" sqref="L11:L12"/>
    </sheetView>
  </sheetViews>
  <sheetFormatPr defaultColWidth="9.1796875" defaultRowHeight="14.5" x14ac:dyDescent="0.35"/>
  <cols>
    <col min="1" max="1" width="9.1796875" style="437"/>
    <col min="2" max="2" width="9.1796875" style="274"/>
    <col min="3" max="3" width="5.453125" style="437" customWidth="1"/>
    <col min="4" max="4" width="8.453125" style="437" customWidth="1"/>
    <col min="5" max="5" width="8.7265625" style="437" customWidth="1"/>
    <col min="6" max="6" width="12.7265625" style="436" customWidth="1"/>
    <col min="7" max="7" width="13" style="436" customWidth="1"/>
    <col min="8" max="9" width="6.453125" style="437" customWidth="1"/>
    <col min="10" max="10" width="10.08984375" style="437" customWidth="1"/>
    <col min="11" max="11" width="8" style="437" customWidth="1"/>
    <col min="12" max="12" width="13.54296875" style="436" customWidth="1"/>
    <col min="13" max="13" width="8.26953125" style="437" customWidth="1"/>
    <col min="14" max="14" width="9.453125" style="437" hidden="1" customWidth="1"/>
    <col min="15" max="18" width="9.1796875" style="437"/>
    <col min="19" max="19" width="5.453125" style="437" hidden="1" customWidth="1"/>
    <col min="20" max="20" width="6.81640625" style="437" hidden="1" customWidth="1"/>
    <col min="21" max="22" width="0" style="437" hidden="1" customWidth="1"/>
    <col min="23" max="25" width="9.1796875" style="437"/>
    <col min="26" max="26" width="9.453125" style="437" customWidth="1"/>
    <col min="27" max="38" width="9.1796875" style="437"/>
    <col min="39" max="40" width="7.90625" style="437" bestFit="1" customWidth="1"/>
    <col min="41" max="41" width="9.6328125" style="437" bestFit="1" customWidth="1"/>
    <col min="42" max="44" width="9.1796875" style="437"/>
    <col min="45" max="45" width="0" style="437" hidden="1" customWidth="1"/>
    <col min="46" max="16384" width="9.1796875" style="437"/>
  </cols>
  <sheetData>
    <row r="1" spans="1:45" ht="14.5" customHeight="1" thickBot="1" x14ac:dyDescent="0.4">
      <c r="A1" s="80"/>
      <c r="B1" s="273"/>
      <c r="C1" s="647" t="s">
        <v>35</v>
      </c>
      <c r="D1" s="811"/>
      <c r="E1" s="811"/>
      <c r="F1" s="811"/>
      <c r="G1" s="811"/>
      <c r="H1" s="441"/>
      <c r="I1" s="80"/>
      <c r="J1" s="810" t="s">
        <v>0</v>
      </c>
      <c r="K1" s="811"/>
      <c r="L1" s="812"/>
      <c r="M1" s="80"/>
      <c r="N1" s="80"/>
      <c r="O1" s="433" t="s">
        <v>53</v>
      </c>
      <c r="P1" s="80"/>
      <c r="Q1" s="813" t="s">
        <v>407</v>
      </c>
      <c r="R1" s="814"/>
      <c r="S1" s="810" t="s">
        <v>87</v>
      </c>
      <c r="T1" s="811"/>
      <c r="U1" s="811"/>
      <c r="V1" s="815"/>
      <c r="W1" s="432"/>
      <c r="X1" s="432"/>
      <c r="Y1" s="432"/>
      <c r="Z1" s="438"/>
      <c r="AA1" s="438"/>
      <c r="AB1" s="438"/>
      <c r="AC1" s="438"/>
      <c r="AD1" s="438"/>
      <c r="AL1" s="787" t="s">
        <v>170</v>
      </c>
      <c r="AM1" s="787"/>
      <c r="AN1" s="787"/>
      <c r="AO1" s="787"/>
      <c r="AP1" s="787"/>
    </row>
    <row r="2" spans="1:45" ht="14.5" customHeight="1" thickBot="1" x14ac:dyDescent="0.4">
      <c r="A2" s="80" t="s">
        <v>86</v>
      </c>
      <c r="B2" s="273" t="s">
        <v>34</v>
      </c>
      <c r="C2" s="440" t="s">
        <v>54</v>
      </c>
      <c r="D2" s="439" t="s">
        <v>14</v>
      </c>
      <c r="E2" s="439" t="s">
        <v>6</v>
      </c>
      <c r="F2" s="166" t="s">
        <v>35</v>
      </c>
      <c r="G2" s="166" t="s">
        <v>37</v>
      </c>
      <c r="H2" s="441" t="s">
        <v>43</v>
      </c>
      <c r="I2" s="81" t="s">
        <v>88</v>
      </c>
      <c r="J2" s="440" t="s">
        <v>14</v>
      </c>
      <c r="K2" s="439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38"/>
      <c r="AA2" s="438"/>
      <c r="AB2" s="271" t="s">
        <v>97</v>
      </c>
      <c r="AC2" s="272" t="s">
        <v>98</v>
      </c>
      <c r="AD2" s="438"/>
      <c r="AS2" s="438" t="s">
        <v>99</v>
      </c>
    </row>
    <row r="3" spans="1:45" ht="14.5" customHeight="1" thickBot="1" x14ac:dyDescent="0.4">
      <c r="A3" s="821" t="s">
        <v>408</v>
      </c>
      <c r="B3" s="823" t="s">
        <v>180</v>
      </c>
      <c r="C3" s="86" t="s">
        <v>41</v>
      </c>
      <c r="D3" s="86">
        <v>11700</v>
      </c>
      <c r="E3" s="86">
        <v>29.45</v>
      </c>
      <c r="F3" s="167">
        <v>-1112925</v>
      </c>
      <c r="G3" s="167">
        <v>180627</v>
      </c>
      <c r="H3" s="819" t="s">
        <v>55</v>
      </c>
      <c r="I3" s="167">
        <v>16.04</v>
      </c>
      <c r="J3" s="819">
        <v>11700</v>
      </c>
      <c r="K3" s="167">
        <v>29.45</v>
      </c>
      <c r="L3" s="819">
        <v>4568325</v>
      </c>
      <c r="M3" s="816">
        <v>11628.95</v>
      </c>
      <c r="N3" s="816">
        <v>11650</v>
      </c>
      <c r="O3" s="435">
        <v>-4.2750000000000021</v>
      </c>
      <c r="P3" s="816">
        <v>11641.65</v>
      </c>
      <c r="Q3" s="816">
        <v>11653.85</v>
      </c>
      <c r="R3" s="816">
        <v>11611</v>
      </c>
      <c r="S3" s="88" t="s">
        <v>41</v>
      </c>
      <c r="T3" s="442" t="e">
        <v>#REF!</v>
      </c>
      <c r="U3" s="442" t="e">
        <v>#REF!</v>
      </c>
      <c r="V3" s="818" t="e">
        <v>#REF!</v>
      </c>
      <c r="W3" s="434"/>
      <c r="X3" s="434"/>
      <c r="Y3" s="434"/>
      <c r="Z3" s="438"/>
      <c r="AA3" s="438"/>
      <c r="AB3" s="438"/>
      <c r="AC3" s="438"/>
      <c r="AD3" s="438"/>
      <c r="AL3" s="438" t="s">
        <v>171</v>
      </c>
      <c r="AM3" s="275">
        <v>0.39583333333333331</v>
      </c>
      <c r="AN3" s="89">
        <v>43579.423417592596</v>
      </c>
      <c r="AO3" s="438" t="s">
        <v>207</v>
      </c>
      <c r="AS3" s="438" t="s">
        <v>98</v>
      </c>
    </row>
    <row r="4" spans="1:45" ht="14.5" customHeight="1" thickBot="1" x14ac:dyDescent="0.4">
      <c r="A4" s="822"/>
      <c r="B4" s="824"/>
      <c r="C4" s="90" t="s">
        <v>42</v>
      </c>
      <c r="D4" s="168">
        <v>11600</v>
      </c>
      <c r="E4" s="168" t="s">
        <v>211</v>
      </c>
      <c r="F4" s="168">
        <v>1103325</v>
      </c>
      <c r="G4" s="168">
        <v>226557</v>
      </c>
      <c r="H4" s="820"/>
      <c r="I4" s="168" t="s">
        <v>211</v>
      </c>
      <c r="J4" s="820" t="s">
        <v>211</v>
      </c>
      <c r="K4" s="168" t="s">
        <v>211</v>
      </c>
      <c r="L4" s="820" t="s">
        <v>211</v>
      </c>
      <c r="M4" s="817"/>
      <c r="N4" s="817"/>
      <c r="O4" s="435">
        <v>0</v>
      </c>
      <c r="P4" s="817"/>
      <c r="Q4" s="817"/>
      <c r="R4" s="817"/>
      <c r="S4" s="92" t="s">
        <v>42</v>
      </c>
      <c r="T4" s="442" t="s">
        <v>211</v>
      </c>
      <c r="U4" s="442" t="s">
        <v>211</v>
      </c>
      <c r="V4" s="818"/>
      <c r="W4" s="434"/>
      <c r="X4" s="434"/>
      <c r="Y4" s="434"/>
      <c r="Z4" s="438"/>
      <c r="AA4" s="438"/>
      <c r="AB4" s="438"/>
      <c r="AC4" s="438"/>
      <c r="AD4" s="438"/>
      <c r="AL4" s="438" t="s">
        <v>172</v>
      </c>
      <c r="AM4" s="275">
        <v>0.39861111111111108</v>
      </c>
      <c r="AN4" s="438"/>
      <c r="AO4" s="438"/>
    </row>
    <row r="5" spans="1:45" ht="14.5" customHeight="1" thickBot="1" x14ac:dyDescent="0.4">
      <c r="A5" s="821" t="s">
        <v>409</v>
      </c>
      <c r="B5" s="823" t="s">
        <v>180</v>
      </c>
      <c r="C5" s="167" t="s">
        <v>211</v>
      </c>
      <c r="D5" s="167" t="s">
        <v>211</v>
      </c>
      <c r="E5" s="167">
        <v>28.75</v>
      </c>
      <c r="F5" s="167">
        <v>-1112925</v>
      </c>
      <c r="G5" s="167">
        <v>180627</v>
      </c>
      <c r="H5" s="819" t="s">
        <v>55</v>
      </c>
      <c r="I5" s="167">
        <v>15.36</v>
      </c>
      <c r="J5" s="819">
        <v>11700</v>
      </c>
      <c r="K5" s="167">
        <v>28.75</v>
      </c>
      <c r="L5" s="819">
        <v>4754475</v>
      </c>
      <c r="M5" s="816">
        <v>11635.6</v>
      </c>
      <c r="N5" s="816">
        <v>11650</v>
      </c>
      <c r="O5" s="435">
        <v>-2.8499999999999979</v>
      </c>
      <c r="P5" s="816">
        <v>11645.2</v>
      </c>
      <c r="Q5" s="816">
        <v>11656.25</v>
      </c>
      <c r="R5" s="816">
        <v>11611</v>
      </c>
      <c r="S5" s="88" t="e">
        <v>#REF!</v>
      </c>
      <c r="T5" s="442" t="e">
        <v>#REF!</v>
      </c>
      <c r="U5" s="442" t="e">
        <v>#REF!</v>
      </c>
      <c r="V5" s="818" t="e">
        <v>#REF!</v>
      </c>
      <c r="W5" s="434"/>
      <c r="X5" s="434"/>
      <c r="Y5" s="434"/>
      <c r="Z5" s="438"/>
      <c r="AA5" s="438"/>
      <c r="AB5" s="438"/>
      <c r="AC5" s="438"/>
      <c r="AD5" s="438"/>
      <c r="AM5" s="275">
        <v>0.40625</v>
      </c>
      <c r="AN5" s="438"/>
      <c r="AO5" s="438" t="s">
        <v>207</v>
      </c>
    </row>
    <row r="6" spans="1:45" ht="14.5" customHeight="1" thickBot="1" x14ac:dyDescent="0.4">
      <c r="A6" s="822"/>
      <c r="B6" s="824"/>
      <c r="C6" s="90" t="s">
        <v>42</v>
      </c>
      <c r="D6" s="168">
        <v>11600</v>
      </c>
      <c r="E6" s="168" t="s">
        <v>211</v>
      </c>
      <c r="F6" s="168">
        <v>1103325</v>
      </c>
      <c r="G6" s="168">
        <v>226557</v>
      </c>
      <c r="H6" s="825"/>
      <c r="I6" s="168" t="s">
        <v>211</v>
      </c>
      <c r="J6" s="820" t="s">
        <v>211</v>
      </c>
      <c r="K6" s="168" t="s">
        <v>211</v>
      </c>
      <c r="L6" s="820" t="s">
        <v>211</v>
      </c>
      <c r="M6" s="817"/>
      <c r="N6" s="817"/>
      <c r="O6" s="435">
        <v>0</v>
      </c>
      <c r="P6" s="817"/>
      <c r="Q6" s="817"/>
      <c r="R6" s="817"/>
      <c r="S6" s="92" t="e">
        <v>#REF!</v>
      </c>
      <c r="T6" s="442" t="s">
        <v>211</v>
      </c>
      <c r="U6" s="442" t="s">
        <v>211</v>
      </c>
      <c r="V6" s="818"/>
      <c r="W6" s="434"/>
      <c r="X6" s="434"/>
      <c r="Y6" s="434"/>
      <c r="Z6" s="438"/>
      <c r="AA6" s="438"/>
      <c r="AB6" s="438"/>
      <c r="AC6" s="438"/>
      <c r="AD6" s="438"/>
      <c r="AM6" s="275">
        <v>0.40902777777777777</v>
      </c>
      <c r="AN6" s="438"/>
      <c r="AO6" s="438"/>
    </row>
    <row r="7" spans="1:45" ht="14.5" customHeight="1" thickBot="1" x14ac:dyDescent="0.4">
      <c r="A7" s="821" t="s">
        <v>394</v>
      </c>
      <c r="B7" s="823" t="s">
        <v>180</v>
      </c>
      <c r="C7" s="167" t="s">
        <v>211</v>
      </c>
      <c r="D7" s="167" t="s">
        <v>211</v>
      </c>
      <c r="E7" s="167">
        <v>37.65</v>
      </c>
      <c r="F7" s="167">
        <v>-1112925</v>
      </c>
      <c r="G7" s="167">
        <v>180627</v>
      </c>
      <c r="H7" s="819" t="s">
        <v>55</v>
      </c>
      <c r="I7" s="167">
        <v>15.2</v>
      </c>
      <c r="J7" s="819">
        <v>11700</v>
      </c>
      <c r="K7" s="167">
        <v>10.15</v>
      </c>
      <c r="L7" s="819">
        <v>5574975</v>
      </c>
      <c r="M7" s="816">
        <v>11575.95</v>
      </c>
      <c r="N7" s="816">
        <v>11600</v>
      </c>
      <c r="O7" s="435">
        <v>-13.983333333333336</v>
      </c>
      <c r="P7" s="816">
        <v>11589.95</v>
      </c>
      <c r="Q7" s="816">
        <v>11664.6</v>
      </c>
      <c r="R7" s="816">
        <v>11573.5</v>
      </c>
      <c r="S7" s="88" t="e">
        <v>#REF!</v>
      </c>
      <c r="T7" s="442" t="e">
        <v>#REF!</v>
      </c>
      <c r="U7" s="442" t="e">
        <v>#REF!</v>
      </c>
      <c r="V7" s="818" t="e">
        <v>#REF!</v>
      </c>
      <c r="W7" s="434"/>
      <c r="X7" s="434"/>
      <c r="Y7" s="434"/>
      <c r="Z7" s="438"/>
      <c r="AA7" s="438"/>
      <c r="AB7" s="438"/>
      <c r="AC7" s="438"/>
      <c r="AD7" s="438"/>
      <c r="AM7" s="275">
        <v>0.41666666666666669</v>
      </c>
      <c r="AN7" s="438"/>
      <c r="AO7" s="438" t="s">
        <v>364</v>
      </c>
    </row>
    <row r="8" spans="1:45" ht="14.5" customHeight="1" thickBot="1" x14ac:dyDescent="0.4">
      <c r="A8" s="822"/>
      <c r="B8" s="824"/>
      <c r="C8" s="90" t="s">
        <v>42</v>
      </c>
      <c r="D8" s="168">
        <v>11600</v>
      </c>
      <c r="E8" s="168" t="s">
        <v>211</v>
      </c>
      <c r="F8" s="168">
        <v>1103325</v>
      </c>
      <c r="G8" s="168">
        <v>226557</v>
      </c>
      <c r="H8" s="825"/>
      <c r="I8" s="168" t="s">
        <v>211</v>
      </c>
      <c r="J8" s="820" t="s">
        <v>211</v>
      </c>
      <c r="K8" s="168" t="s">
        <v>211</v>
      </c>
      <c r="L8" s="820" t="s">
        <v>211</v>
      </c>
      <c r="M8" s="817"/>
      <c r="N8" s="817"/>
      <c r="O8" s="435" t="s">
        <v>211</v>
      </c>
      <c r="P8" s="817"/>
      <c r="Q8" s="817"/>
      <c r="R8" s="817"/>
      <c r="S8" s="92" t="e">
        <v>#REF!</v>
      </c>
      <c r="T8" s="442" t="s">
        <v>211</v>
      </c>
      <c r="U8" s="442" t="s">
        <v>211</v>
      </c>
      <c r="V8" s="818"/>
      <c r="W8" s="434"/>
      <c r="X8" s="434"/>
      <c r="Y8" s="434"/>
      <c r="Z8" s="438"/>
      <c r="AA8" s="438"/>
      <c r="AB8" s="438"/>
      <c r="AC8" s="438"/>
      <c r="AD8" s="438"/>
      <c r="AM8" s="275">
        <v>0.41944444444444445</v>
      </c>
      <c r="AN8" s="438"/>
      <c r="AO8" s="438"/>
    </row>
    <row r="9" spans="1:45" ht="14.5" customHeight="1" thickBot="1" x14ac:dyDescent="0.4">
      <c r="A9" s="821" t="s">
        <v>349</v>
      </c>
      <c r="B9" s="823" t="s">
        <v>180</v>
      </c>
      <c r="C9" s="167" t="s">
        <v>211</v>
      </c>
      <c r="D9" s="167" t="s">
        <v>211</v>
      </c>
      <c r="E9" s="167">
        <v>19.55</v>
      </c>
      <c r="F9" s="167">
        <v>-1112925</v>
      </c>
      <c r="G9" s="167">
        <v>180627</v>
      </c>
      <c r="H9" s="819" t="s">
        <v>55</v>
      </c>
      <c r="I9" s="167">
        <v>16.420000000000002</v>
      </c>
      <c r="J9" s="819">
        <v>11700</v>
      </c>
      <c r="K9" s="167">
        <v>19.55</v>
      </c>
      <c r="L9" s="819">
        <v>5488500</v>
      </c>
      <c r="M9" s="816">
        <v>11604.9</v>
      </c>
      <c r="N9" s="816">
        <v>11650</v>
      </c>
      <c r="O9" s="435">
        <v>-17.266666666666669</v>
      </c>
      <c r="P9" s="816">
        <v>11612.9</v>
      </c>
      <c r="Q9" s="816">
        <v>11656.25</v>
      </c>
      <c r="R9" s="816">
        <v>11592.6</v>
      </c>
      <c r="S9" s="88" t="e">
        <v>#REF!</v>
      </c>
      <c r="T9" s="442" t="e">
        <v>#REF!</v>
      </c>
      <c r="U9" s="442" t="e">
        <v>#REF!</v>
      </c>
      <c r="V9" s="818" t="e">
        <v>#REF!</v>
      </c>
      <c r="W9" s="434"/>
      <c r="X9" s="434"/>
      <c r="Y9" s="434"/>
      <c r="Z9" s="438"/>
      <c r="AA9" s="438"/>
      <c r="AB9" s="718" t="s">
        <v>165</v>
      </c>
      <c r="AC9" s="719"/>
      <c r="AD9" s="719"/>
      <c r="AM9" s="275">
        <v>0.42708333333333331</v>
      </c>
      <c r="AN9" s="438"/>
      <c r="AO9" s="438" t="s">
        <v>364</v>
      </c>
    </row>
    <row r="10" spans="1:45" ht="14.5" customHeight="1" thickBot="1" x14ac:dyDescent="0.4">
      <c r="A10" s="822"/>
      <c r="B10" s="824"/>
      <c r="C10" s="90" t="s">
        <v>42</v>
      </c>
      <c r="D10" s="168">
        <v>11600</v>
      </c>
      <c r="E10" s="168" t="s">
        <v>211</v>
      </c>
      <c r="F10" s="168">
        <v>1103325</v>
      </c>
      <c r="G10" s="168">
        <v>226557</v>
      </c>
      <c r="H10" s="825"/>
      <c r="I10" s="168" t="s">
        <v>211</v>
      </c>
      <c r="J10" s="820" t="s">
        <v>211</v>
      </c>
      <c r="K10" s="168" t="s">
        <v>211</v>
      </c>
      <c r="L10" s="820" t="s">
        <v>211</v>
      </c>
      <c r="M10" s="817"/>
      <c r="N10" s="817"/>
      <c r="O10" s="435" t="s">
        <v>211</v>
      </c>
      <c r="P10" s="817"/>
      <c r="Q10" s="817"/>
      <c r="R10" s="817"/>
      <c r="S10" s="92" t="e">
        <v>#REF!</v>
      </c>
      <c r="T10" s="442" t="s">
        <v>211</v>
      </c>
      <c r="U10" s="442" t="s">
        <v>211</v>
      </c>
      <c r="V10" s="818"/>
      <c r="W10" s="434"/>
      <c r="X10" s="434"/>
      <c r="Y10" s="434"/>
      <c r="Z10" s="438"/>
      <c r="AA10" s="438"/>
      <c r="AB10" s="718" t="s">
        <v>365</v>
      </c>
      <c r="AC10" s="719"/>
      <c r="AD10" s="719"/>
      <c r="AM10" s="275">
        <v>0.42986111111111108</v>
      </c>
      <c r="AN10" s="438"/>
      <c r="AO10" s="438"/>
    </row>
    <row r="11" spans="1:45" ht="14.5" customHeight="1" thickBot="1" x14ac:dyDescent="0.4">
      <c r="A11" s="821" t="s">
        <v>396</v>
      </c>
      <c r="B11" s="823" t="s">
        <v>180</v>
      </c>
      <c r="C11" s="167" t="s">
        <v>211</v>
      </c>
      <c r="D11" s="167" t="s">
        <v>211</v>
      </c>
      <c r="E11" s="167">
        <v>21.95</v>
      </c>
      <c r="F11" s="167">
        <v>-1112925</v>
      </c>
      <c r="G11" s="167">
        <v>180627</v>
      </c>
      <c r="H11" s="819" t="s">
        <v>55</v>
      </c>
      <c r="I11" s="167">
        <v>15.65</v>
      </c>
      <c r="J11" s="819">
        <v>11700</v>
      </c>
      <c r="K11" s="167">
        <v>21.95</v>
      </c>
      <c r="L11" s="819">
        <v>5555625</v>
      </c>
      <c r="M11" s="816">
        <v>11612.4</v>
      </c>
      <c r="N11" s="816">
        <v>11650</v>
      </c>
      <c r="O11" s="435">
        <v>-6.4416666666666664</v>
      </c>
      <c r="P11" s="816">
        <v>11618.3</v>
      </c>
      <c r="Q11" s="816">
        <v>11656.25</v>
      </c>
      <c r="R11" s="816">
        <v>11592.6</v>
      </c>
      <c r="S11" s="88" t="e">
        <v>#REF!</v>
      </c>
      <c r="T11" s="442" t="e">
        <v>#REF!</v>
      </c>
      <c r="U11" s="442" t="e">
        <v>#REF!</v>
      </c>
      <c r="V11" s="818" t="e">
        <v>#REF!</v>
      </c>
      <c r="W11" s="434"/>
      <c r="X11" s="434"/>
      <c r="Y11" s="434"/>
      <c r="Z11" s="438"/>
      <c r="AA11" s="438"/>
      <c r="AB11" s="718" t="s">
        <v>366</v>
      </c>
      <c r="AC11" s="718"/>
      <c r="AD11" s="718"/>
      <c r="AM11" s="275">
        <v>0.4375</v>
      </c>
      <c r="AN11" s="438"/>
      <c r="AO11" s="438" t="s">
        <v>364</v>
      </c>
    </row>
    <row r="12" spans="1:45" ht="14.5" customHeight="1" thickBot="1" x14ac:dyDescent="0.4">
      <c r="A12" s="822"/>
      <c r="B12" s="824"/>
      <c r="C12" s="90" t="s">
        <v>42</v>
      </c>
      <c r="D12" s="168">
        <v>11600</v>
      </c>
      <c r="E12" s="168" t="s">
        <v>211</v>
      </c>
      <c r="F12" s="168">
        <v>543600</v>
      </c>
      <c r="G12" s="168">
        <v>140331</v>
      </c>
      <c r="H12" s="825"/>
      <c r="I12" s="168" t="s">
        <v>211</v>
      </c>
      <c r="J12" s="820" t="s">
        <v>211</v>
      </c>
      <c r="K12" s="168" t="s">
        <v>211</v>
      </c>
      <c r="L12" s="820" t="s">
        <v>211</v>
      </c>
      <c r="M12" s="817"/>
      <c r="N12" s="817"/>
      <c r="O12" s="435" t="s">
        <v>211</v>
      </c>
      <c r="P12" s="817"/>
      <c r="Q12" s="817"/>
      <c r="R12" s="817"/>
      <c r="S12" s="92" t="e">
        <v>#REF!</v>
      </c>
      <c r="T12" s="442" t="s">
        <v>211</v>
      </c>
      <c r="U12" s="442" t="s">
        <v>211</v>
      </c>
      <c r="V12" s="818"/>
      <c r="W12" s="434"/>
      <c r="X12" s="434"/>
      <c r="Y12" s="434"/>
      <c r="Z12" s="438"/>
      <c r="AA12" s="438"/>
      <c r="AB12" s="718" t="s">
        <v>167</v>
      </c>
      <c r="AC12" s="718"/>
      <c r="AD12" s="718"/>
      <c r="AM12" s="275">
        <v>0.44027777777777777</v>
      </c>
      <c r="AN12" s="438"/>
      <c r="AO12" s="438"/>
    </row>
    <row r="13" spans="1:45" ht="14.5" customHeight="1" thickBot="1" x14ac:dyDescent="0.4">
      <c r="A13" s="821" t="s">
        <v>410</v>
      </c>
      <c r="B13" s="823" t="s">
        <v>180</v>
      </c>
      <c r="C13" s="167" t="s">
        <v>211</v>
      </c>
      <c r="D13" s="167" t="s">
        <v>211</v>
      </c>
      <c r="E13" s="167">
        <v>23.75</v>
      </c>
      <c r="F13" s="167" t="s">
        <v>211</v>
      </c>
      <c r="G13" s="167">
        <v>145334</v>
      </c>
      <c r="H13" s="819" t="s">
        <v>55</v>
      </c>
      <c r="I13" s="167">
        <v>15.66</v>
      </c>
      <c r="J13" s="819">
        <v>11700</v>
      </c>
      <c r="K13" s="167">
        <v>23.75</v>
      </c>
      <c r="L13" s="819">
        <v>5517000</v>
      </c>
      <c r="M13" s="816">
        <v>11616.7</v>
      </c>
      <c r="N13" s="816">
        <v>11650</v>
      </c>
      <c r="O13" s="435">
        <v>-3.716666666666665</v>
      </c>
      <c r="P13" s="816">
        <v>11626</v>
      </c>
      <c r="Q13" s="816">
        <v>11656.25</v>
      </c>
      <c r="R13" s="816">
        <v>11592.6</v>
      </c>
      <c r="S13" s="88" t="e">
        <v>#REF!</v>
      </c>
      <c r="T13" s="442" t="e">
        <v>#REF!</v>
      </c>
      <c r="U13" s="442" t="e">
        <v>#REF!</v>
      </c>
      <c r="V13" s="818" t="e">
        <v>#REF!</v>
      </c>
      <c r="W13" s="434"/>
      <c r="X13" s="434"/>
      <c r="Y13" s="434"/>
      <c r="Z13" s="438"/>
      <c r="AA13" s="438"/>
      <c r="AB13" s="718" t="s">
        <v>168</v>
      </c>
      <c r="AC13" s="718"/>
      <c r="AD13" s="718"/>
      <c r="AM13" s="275">
        <v>0.44791666666666669</v>
      </c>
      <c r="AN13" s="438"/>
      <c r="AO13" s="438" t="s">
        <v>364</v>
      </c>
    </row>
    <row r="14" spans="1:45" ht="14.5" customHeight="1" thickBot="1" x14ac:dyDescent="0.4">
      <c r="A14" s="822"/>
      <c r="B14" s="824"/>
      <c r="C14" s="90" t="s">
        <v>42</v>
      </c>
      <c r="D14" s="168">
        <v>11600</v>
      </c>
      <c r="E14" s="168" t="s">
        <v>211</v>
      </c>
      <c r="F14" s="168">
        <v>632100</v>
      </c>
      <c r="G14" s="168" t="s">
        <v>211</v>
      </c>
      <c r="H14" s="825"/>
      <c r="I14" s="168" t="s">
        <v>211</v>
      </c>
      <c r="J14" s="820" t="s">
        <v>211</v>
      </c>
      <c r="K14" s="168" t="s">
        <v>211</v>
      </c>
      <c r="L14" s="820" t="s">
        <v>211</v>
      </c>
      <c r="M14" s="817"/>
      <c r="N14" s="817"/>
      <c r="O14" s="435" t="s">
        <v>211</v>
      </c>
      <c r="P14" s="817"/>
      <c r="Q14" s="817"/>
      <c r="R14" s="817"/>
      <c r="S14" s="92" t="e">
        <v>#REF!</v>
      </c>
      <c r="T14" s="442" t="s">
        <v>211</v>
      </c>
      <c r="U14" s="442" t="s">
        <v>211</v>
      </c>
      <c r="V14" s="818"/>
      <c r="W14" s="434"/>
      <c r="X14" s="434"/>
      <c r="Y14" s="434"/>
      <c r="AM14" s="275">
        <v>0.45069444444444445</v>
      </c>
      <c r="AN14" s="438"/>
      <c r="AO14" s="438"/>
    </row>
    <row r="15" spans="1:45" ht="14.5" customHeight="1" thickBot="1" x14ac:dyDescent="0.4">
      <c r="A15" s="821" t="s">
        <v>398</v>
      </c>
      <c r="B15" s="823" t="s">
        <v>180</v>
      </c>
      <c r="C15" s="167" t="s">
        <v>211</v>
      </c>
      <c r="D15" s="167" t="s">
        <v>211</v>
      </c>
      <c r="E15" s="167">
        <v>21.65</v>
      </c>
      <c r="F15" s="167" t="s">
        <v>211</v>
      </c>
      <c r="G15" s="167">
        <v>154530</v>
      </c>
      <c r="H15" s="819" t="s">
        <v>55</v>
      </c>
      <c r="I15" s="167">
        <v>15.7</v>
      </c>
      <c r="J15" s="819">
        <v>11700</v>
      </c>
      <c r="K15" s="167">
        <v>21.65</v>
      </c>
      <c r="L15" s="819">
        <v>5522250</v>
      </c>
      <c r="M15" s="816">
        <v>11608.3</v>
      </c>
      <c r="N15" s="816">
        <v>11650</v>
      </c>
      <c r="O15" s="435">
        <v>-7.2000000000000028</v>
      </c>
      <c r="P15" s="816">
        <v>11618</v>
      </c>
      <c r="Q15" s="816">
        <v>11656.25</v>
      </c>
      <c r="R15" s="816">
        <v>11592.6</v>
      </c>
      <c r="S15" s="88" t="e">
        <v>#REF!</v>
      </c>
      <c r="T15" s="442" t="e">
        <v>#REF!</v>
      </c>
      <c r="U15" s="442" t="e">
        <v>#REF!</v>
      </c>
      <c r="V15" s="818" t="e">
        <v>#REF!</v>
      </c>
      <c r="W15" s="434"/>
      <c r="X15" s="434"/>
      <c r="Y15" s="434"/>
      <c r="AM15" s="275">
        <v>0.45833333333333331</v>
      </c>
      <c r="AN15" s="438"/>
      <c r="AO15" s="438" t="s">
        <v>207</v>
      </c>
    </row>
    <row r="16" spans="1:45" ht="14.5" customHeight="1" thickBot="1" x14ac:dyDescent="0.4">
      <c r="A16" s="822"/>
      <c r="B16" s="824"/>
      <c r="C16" s="90" t="s">
        <v>42</v>
      </c>
      <c r="D16" s="168">
        <v>11600</v>
      </c>
      <c r="E16" s="168" t="s">
        <v>211</v>
      </c>
      <c r="F16" s="168">
        <v>693525</v>
      </c>
      <c r="G16" s="168" t="s">
        <v>211</v>
      </c>
      <c r="H16" s="825"/>
      <c r="I16" s="168" t="s">
        <v>211</v>
      </c>
      <c r="J16" s="820" t="s">
        <v>211</v>
      </c>
      <c r="K16" s="168" t="s">
        <v>211</v>
      </c>
      <c r="L16" s="820" t="s">
        <v>211</v>
      </c>
      <c r="M16" s="817"/>
      <c r="N16" s="817"/>
      <c r="O16" s="435" t="s">
        <v>211</v>
      </c>
      <c r="P16" s="817"/>
      <c r="Q16" s="817"/>
      <c r="R16" s="817"/>
      <c r="S16" s="92" t="e">
        <v>#REF!</v>
      </c>
      <c r="T16" s="442" t="s">
        <v>211</v>
      </c>
      <c r="U16" s="442" t="s">
        <v>211</v>
      </c>
      <c r="V16" s="818"/>
      <c r="W16" s="434"/>
      <c r="X16" s="434"/>
      <c r="Y16" s="434"/>
      <c r="AM16" s="275">
        <v>0.46111111111111108</v>
      </c>
      <c r="AN16" s="438"/>
      <c r="AO16" s="438"/>
    </row>
    <row r="17" spans="1:41" ht="14.5" customHeight="1" thickBot="1" x14ac:dyDescent="0.4">
      <c r="A17" s="821" t="s">
        <v>326</v>
      </c>
      <c r="B17" s="823" t="s">
        <v>180</v>
      </c>
      <c r="C17" s="167" t="s">
        <v>211</v>
      </c>
      <c r="D17" s="167" t="s">
        <v>211</v>
      </c>
      <c r="E17" s="167">
        <v>23.25</v>
      </c>
      <c r="F17" s="167" t="s">
        <v>211</v>
      </c>
      <c r="G17" s="167">
        <v>161105</v>
      </c>
      <c r="H17" s="819" t="s">
        <v>55</v>
      </c>
      <c r="I17" s="167">
        <v>15.34</v>
      </c>
      <c r="J17" s="819">
        <v>11700</v>
      </c>
      <c r="K17" s="167">
        <v>23.25</v>
      </c>
      <c r="L17" s="819">
        <v>5529750</v>
      </c>
      <c r="M17" s="816">
        <v>11614.15</v>
      </c>
      <c r="N17" s="816">
        <v>11650</v>
      </c>
      <c r="O17" s="435">
        <v>-5.100000000000005</v>
      </c>
      <c r="P17" s="816">
        <v>11624.35</v>
      </c>
      <c r="Q17" s="816">
        <v>11656.25</v>
      </c>
      <c r="R17" s="816">
        <v>11592.6</v>
      </c>
      <c r="S17" s="88" t="e">
        <v>#REF!</v>
      </c>
      <c r="T17" s="442" t="e">
        <v>#REF!</v>
      </c>
      <c r="U17" s="442" t="e">
        <v>#REF!</v>
      </c>
      <c r="V17" s="818" t="e">
        <v>#REF!</v>
      </c>
      <c r="W17" s="434"/>
      <c r="X17" s="434"/>
      <c r="Y17" s="434"/>
      <c r="AM17" s="275">
        <v>0.46875</v>
      </c>
      <c r="AN17" s="438"/>
      <c r="AO17" s="438" t="s">
        <v>207</v>
      </c>
    </row>
    <row r="18" spans="1:41" ht="14.5" customHeight="1" thickBot="1" x14ac:dyDescent="0.4">
      <c r="A18" s="822"/>
      <c r="B18" s="824"/>
      <c r="C18" s="90" t="s">
        <v>42</v>
      </c>
      <c r="D18" s="168">
        <v>11600</v>
      </c>
      <c r="E18" s="168" t="s">
        <v>211</v>
      </c>
      <c r="F18" s="168">
        <v>792975</v>
      </c>
      <c r="G18" s="168" t="s">
        <v>211</v>
      </c>
      <c r="H18" s="825"/>
      <c r="I18" s="168" t="s">
        <v>211</v>
      </c>
      <c r="J18" s="820" t="s">
        <v>211</v>
      </c>
      <c r="K18" s="168" t="s">
        <v>211</v>
      </c>
      <c r="L18" s="820" t="s">
        <v>211</v>
      </c>
      <c r="M18" s="817"/>
      <c r="N18" s="817"/>
      <c r="O18" s="435" t="s">
        <v>211</v>
      </c>
      <c r="P18" s="817"/>
      <c r="Q18" s="817"/>
      <c r="R18" s="817"/>
      <c r="S18" s="92" t="e">
        <v>#REF!</v>
      </c>
      <c r="T18" s="442" t="s">
        <v>211</v>
      </c>
      <c r="U18" s="442" t="s">
        <v>211</v>
      </c>
      <c r="V18" s="818"/>
      <c r="W18" s="434"/>
      <c r="X18" s="434"/>
      <c r="Y18" s="434"/>
      <c r="AM18" s="275">
        <v>0.47152777777777777</v>
      </c>
      <c r="AN18" s="438"/>
      <c r="AO18" s="438"/>
    </row>
    <row r="19" spans="1:41" ht="14.5" customHeight="1" thickBot="1" x14ac:dyDescent="0.4">
      <c r="A19" s="821" t="s">
        <v>411</v>
      </c>
      <c r="B19" s="823" t="s">
        <v>180</v>
      </c>
      <c r="C19" s="167" t="s">
        <v>211</v>
      </c>
      <c r="D19" s="167" t="s">
        <v>211</v>
      </c>
      <c r="E19" s="167">
        <v>22.2</v>
      </c>
      <c r="F19" s="167" t="s">
        <v>211</v>
      </c>
      <c r="G19" s="167">
        <v>164753</v>
      </c>
      <c r="H19" s="819" t="s">
        <v>55</v>
      </c>
      <c r="I19" s="167">
        <v>15.66</v>
      </c>
      <c r="J19" s="819">
        <v>11700</v>
      </c>
      <c r="K19" s="167">
        <v>22.2</v>
      </c>
      <c r="L19" s="819">
        <v>5540925</v>
      </c>
      <c r="M19" s="816">
        <v>11610.65</v>
      </c>
      <c r="N19" s="816">
        <v>11650</v>
      </c>
      <c r="O19" s="435">
        <v>-6.2916666666666643</v>
      </c>
      <c r="P19" s="816">
        <v>11622.9</v>
      </c>
      <c r="Q19" s="816">
        <v>11656.25</v>
      </c>
      <c r="R19" s="816">
        <v>11592.6</v>
      </c>
      <c r="S19" s="88" t="e">
        <v>#REF!</v>
      </c>
      <c r="T19" s="442" t="e">
        <v>#REF!</v>
      </c>
      <c r="U19" s="442" t="e">
        <v>#REF!</v>
      </c>
      <c r="V19" s="818" t="e">
        <v>#REF!</v>
      </c>
      <c r="W19" s="434"/>
      <c r="X19" s="434"/>
      <c r="Y19" s="434"/>
      <c r="AM19" s="275">
        <v>0.47916666666666669</v>
      </c>
      <c r="AN19" s="438"/>
      <c r="AO19" s="438" t="s">
        <v>207</v>
      </c>
    </row>
    <row r="20" spans="1:41" ht="14.5" customHeight="1" thickBot="1" x14ac:dyDescent="0.4">
      <c r="A20" s="822"/>
      <c r="B20" s="824"/>
      <c r="C20" s="90" t="s">
        <v>42</v>
      </c>
      <c r="D20" s="168">
        <v>11600</v>
      </c>
      <c r="E20" s="168" t="s">
        <v>211</v>
      </c>
      <c r="F20" s="168">
        <v>817500</v>
      </c>
      <c r="G20" s="168" t="s">
        <v>211</v>
      </c>
      <c r="H20" s="825"/>
      <c r="I20" s="168" t="s">
        <v>211</v>
      </c>
      <c r="J20" s="820" t="s">
        <v>211</v>
      </c>
      <c r="K20" s="168" t="s">
        <v>211</v>
      </c>
      <c r="L20" s="820" t="s">
        <v>211</v>
      </c>
      <c r="M20" s="817"/>
      <c r="N20" s="817"/>
      <c r="O20" s="435" t="s">
        <v>211</v>
      </c>
      <c r="P20" s="817"/>
      <c r="Q20" s="817"/>
      <c r="R20" s="817"/>
      <c r="S20" s="92" t="e">
        <v>#REF!</v>
      </c>
      <c r="T20" s="442" t="s">
        <v>211</v>
      </c>
      <c r="U20" s="442" t="s">
        <v>211</v>
      </c>
      <c r="V20" s="818"/>
      <c r="W20" s="434"/>
      <c r="X20" s="434"/>
      <c r="Y20" s="434"/>
      <c r="AM20" s="275">
        <v>0.48194444444444445</v>
      </c>
      <c r="AN20" s="438"/>
      <c r="AO20" s="438"/>
    </row>
    <row r="21" spans="1:41" ht="14.5" customHeight="1" thickBot="1" x14ac:dyDescent="0.4">
      <c r="A21" s="821" t="s">
        <v>412</v>
      </c>
      <c r="B21" s="823" t="s">
        <v>180</v>
      </c>
      <c r="C21" s="167" t="s">
        <v>211</v>
      </c>
      <c r="D21" s="167" t="s">
        <v>211</v>
      </c>
      <c r="E21" s="167">
        <v>24.4</v>
      </c>
      <c r="F21" s="167" t="s">
        <v>211</v>
      </c>
      <c r="G21" s="167">
        <v>176742</v>
      </c>
      <c r="H21" s="819" t="s">
        <v>55</v>
      </c>
      <c r="I21" s="167">
        <v>15.17</v>
      </c>
      <c r="J21" s="819">
        <v>11700</v>
      </c>
      <c r="K21" s="167">
        <v>24.4</v>
      </c>
      <c r="L21" s="819">
        <v>5574900</v>
      </c>
      <c r="M21" s="816">
        <v>11625.3</v>
      </c>
      <c r="N21" s="816">
        <v>11650</v>
      </c>
      <c r="O21" s="435">
        <v>-2.3833333333333329</v>
      </c>
      <c r="P21" s="816">
        <v>11633</v>
      </c>
      <c r="Q21" s="816">
        <v>11656.25</v>
      </c>
      <c r="R21" s="816">
        <v>11592.6</v>
      </c>
      <c r="S21" s="88" t="e">
        <v>#REF!</v>
      </c>
      <c r="T21" s="442" t="e">
        <v>#REF!</v>
      </c>
      <c r="U21" s="442" t="e">
        <v>#REF!</v>
      </c>
      <c r="V21" s="818" t="e">
        <v>#REF!</v>
      </c>
      <c r="W21" s="434"/>
      <c r="X21" s="434"/>
      <c r="Y21" s="434"/>
      <c r="AM21" s="275">
        <v>0.48958333333333331</v>
      </c>
      <c r="AN21" s="438"/>
      <c r="AO21" s="438" t="s">
        <v>207</v>
      </c>
    </row>
    <row r="22" spans="1:41" ht="14.5" customHeight="1" thickBot="1" x14ac:dyDescent="0.4">
      <c r="A22" s="822"/>
      <c r="B22" s="824"/>
      <c r="C22" s="90" t="s">
        <v>42</v>
      </c>
      <c r="D22" s="168">
        <v>11600</v>
      </c>
      <c r="E22" s="168" t="s">
        <v>211</v>
      </c>
      <c r="F22" s="168">
        <v>913350</v>
      </c>
      <c r="G22" s="168" t="s">
        <v>211</v>
      </c>
      <c r="H22" s="825"/>
      <c r="I22" s="168" t="s">
        <v>211</v>
      </c>
      <c r="J22" s="820" t="s">
        <v>211</v>
      </c>
      <c r="K22" s="168" t="s">
        <v>211</v>
      </c>
      <c r="L22" s="820" t="s">
        <v>211</v>
      </c>
      <c r="M22" s="817"/>
      <c r="N22" s="817"/>
      <c r="O22" s="435" t="s">
        <v>211</v>
      </c>
      <c r="P22" s="817"/>
      <c r="Q22" s="817"/>
      <c r="R22" s="817"/>
      <c r="S22" s="92" t="e">
        <v>#REF!</v>
      </c>
      <c r="T22" s="442" t="s">
        <v>211</v>
      </c>
      <c r="U22" s="442" t="s">
        <v>211</v>
      </c>
      <c r="V22" s="818"/>
      <c r="W22" s="434"/>
      <c r="X22" s="434"/>
      <c r="Y22" s="434"/>
      <c r="AM22" s="275">
        <v>0.49236111111111108</v>
      </c>
      <c r="AN22" s="438"/>
      <c r="AO22" s="438"/>
    </row>
    <row r="23" spans="1:41" ht="14.5" customHeight="1" thickBot="1" x14ac:dyDescent="0.4">
      <c r="A23" s="821" t="s">
        <v>413</v>
      </c>
      <c r="B23" s="823" t="s">
        <v>180</v>
      </c>
      <c r="C23" s="167" t="s">
        <v>211</v>
      </c>
      <c r="D23" s="167" t="s">
        <v>211</v>
      </c>
      <c r="E23" s="167">
        <v>27.65</v>
      </c>
      <c r="F23" s="167" t="s">
        <v>211</v>
      </c>
      <c r="G23" s="167">
        <v>189811</v>
      </c>
      <c r="H23" s="819" t="s">
        <v>55</v>
      </c>
      <c r="I23" s="167">
        <v>14.8</v>
      </c>
      <c r="J23" s="819">
        <v>11700</v>
      </c>
      <c r="K23" s="167">
        <v>27.65</v>
      </c>
      <c r="L23" s="819">
        <v>5553450</v>
      </c>
      <c r="M23" s="816">
        <v>11642.5</v>
      </c>
      <c r="N23" s="816">
        <v>11650</v>
      </c>
      <c r="O23" s="435">
        <v>2.9750000000000014</v>
      </c>
      <c r="P23" s="816">
        <v>11653.8</v>
      </c>
      <c r="Q23" s="816">
        <v>11656.25</v>
      </c>
      <c r="R23" s="816">
        <v>11592.6</v>
      </c>
      <c r="S23" s="88" t="e">
        <v>#REF!</v>
      </c>
      <c r="T23" s="442" t="e">
        <v>#REF!</v>
      </c>
      <c r="U23" s="442" t="e">
        <v>#REF!</v>
      </c>
      <c r="V23" s="818" t="e">
        <v>#REF!</v>
      </c>
      <c r="W23" s="434"/>
      <c r="X23" s="434"/>
      <c r="Y23" s="434"/>
      <c r="AM23" s="275">
        <v>0.5</v>
      </c>
      <c r="AN23" s="438"/>
      <c r="AO23" s="438" t="s">
        <v>207</v>
      </c>
    </row>
    <row r="24" spans="1:41" ht="14.5" customHeight="1" thickBot="1" x14ac:dyDescent="0.4">
      <c r="A24" s="822"/>
      <c r="B24" s="824"/>
      <c r="C24" s="90" t="s">
        <v>42</v>
      </c>
      <c r="D24" s="168">
        <v>11600</v>
      </c>
      <c r="E24" s="168" t="s">
        <v>211</v>
      </c>
      <c r="F24" s="168">
        <v>1017525</v>
      </c>
      <c r="G24" s="168" t="s">
        <v>211</v>
      </c>
      <c r="H24" s="825"/>
      <c r="I24" s="168" t="s">
        <v>211</v>
      </c>
      <c r="J24" s="820" t="s">
        <v>211</v>
      </c>
      <c r="K24" s="168" t="s">
        <v>211</v>
      </c>
      <c r="L24" s="820" t="s">
        <v>211</v>
      </c>
      <c r="M24" s="817"/>
      <c r="N24" s="817"/>
      <c r="O24" s="435" t="s">
        <v>211</v>
      </c>
      <c r="P24" s="817"/>
      <c r="Q24" s="817"/>
      <c r="R24" s="817"/>
      <c r="S24" s="92" t="e">
        <v>#REF!</v>
      </c>
      <c r="T24" s="442" t="s">
        <v>211</v>
      </c>
      <c r="U24" s="442" t="s">
        <v>211</v>
      </c>
      <c r="V24" s="818"/>
      <c r="W24" s="434"/>
      <c r="X24" s="434"/>
      <c r="Y24" s="434"/>
      <c r="AM24" s="275">
        <v>0.50277777777777777</v>
      </c>
      <c r="AN24" s="438"/>
      <c r="AO24" s="438"/>
    </row>
    <row r="25" spans="1:41" ht="14.5" customHeight="1" thickBot="1" x14ac:dyDescent="0.4">
      <c r="A25" s="821" t="s">
        <v>414</v>
      </c>
      <c r="B25" s="823" t="s">
        <v>180</v>
      </c>
      <c r="C25" s="167" t="s">
        <v>211</v>
      </c>
      <c r="D25" s="167" t="s">
        <v>211</v>
      </c>
      <c r="E25" s="167">
        <v>24.3</v>
      </c>
      <c r="F25" s="167" t="s">
        <v>211</v>
      </c>
      <c r="G25" s="167">
        <v>211218</v>
      </c>
      <c r="H25" s="819" t="s">
        <v>55</v>
      </c>
      <c r="I25" s="167">
        <v>14.6</v>
      </c>
      <c r="J25" s="819">
        <v>11700</v>
      </c>
      <c r="K25" s="167">
        <v>24.3</v>
      </c>
      <c r="L25" s="819">
        <v>5542875</v>
      </c>
      <c r="M25" s="816">
        <v>11625.45</v>
      </c>
      <c r="N25" s="816">
        <v>11650</v>
      </c>
      <c r="O25" s="435">
        <v>-7.6999999999999975</v>
      </c>
      <c r="P25" s="816">
        <v>11637.55</v>
      </c>
      <c r="Q25" s="816">
        <v>11656.25</v>
      </c>
      <c r="R25" s="816">
        <v>11592.6</v>
      </c>
      <c r="S25" s="88" t="e">
        <v>#REF!</v>
      </c>
      <c r="T25" s="442" t="e">
        <v>#REF!</v>
      </c>
      <c r="U25" s="442" t="e">
        <v>#REF!</v>
      </c>
      <c r="V25" s="818" t="e">
        <v>#REF!</v>
      </c>
      <c r="W25" s="434"/>
      <c r="X25" s="434"/>
      <c r="Y25" s="434"/>
      <c r="AM25" s="275">
        <v>0.51041666666666663</v>
      </c>
      <c r="AN25" s="438"/>
      <c r="AO25" s="438" t="s">
        <v>207</v>
      </c>
    </row>
    <row r="26" spans="1:41" ht="14.5" customHeight="1" thickBot="1" x14ac:dyDescent="0.4">
      <c r="A26" s="822"/>
      <c r="B26" s="824"/>
      <c r="C26" s="90" t="s">
        <v>42</v>
      </c>
      <c r="D26" s="168">
        <v>11600</v>
      </c>
      <c r="E26" s="168" t="s">
        <v>211</v>
      </c>
      <c r="F26" s="168">
        <v>1161600</v>
      </c>
      <c r="G26" s="168" t="s">
        <v>211</v>
      </c>
      <c r="H26" s="825"/>
      <c r="I26" s="168" t="s">
        <v>211</v>
      </c>
      <c r="J26" s="820" t="s">
        <v>211</v>
      </c>
      <c r="K26" s="168" t="s">
        <v>211</v>
      </c>
      <c r="L26" s="820" t="s">
        <v>211</v>
      </c>
      <c r="M26" s="817"/>
      <c r="N26" s="817"/>
      <c r="O26" s="435" t="s">
        <v>211</v>
      </c>
      <c r="P26" s="817"/>
      <c r="Q26" s="817"/>
      <c r="R26" s="817"/>
      <c r="S26" s="92" t="e">
        <v>#REF!</v>
      </c>
      <c r="T26" s="442" t="s">
        <v>211</v>
      </c>
      <c r="U26" s="442" t="s">
        <v>211</v>
      </c>
      <c r="V26" s="818"/>
      <c r="W26" s="434"/>
      <c r="X26" s="434"/>
      <c r="Y26" s="434"/>
      <c r="AM26" s="275">
        <v>0.5131944444444444</v>
      </c>
      <c r="AN26" s="438"/>
      <c r="AO26" s="438"/>
    </row>
    <row r="27" spans="1:41" ht="14.5" customHeight="1" thickBot="1" x14ac:dyDescent="0.4">
      <c r="A27" s="821" t="s">
        <v>415</v>
      </c>
      <c r="B27" s="823" t="s">
        <v>180</v>
      </c>
      <c r="C27" s="167" t="s">
        <v>211</v>
      </c>
      <c r="D27" s="167" t="s">
        <v>211</v>
      </c>
      <c r="E27" s="167">
        <v>24.45</v>
      </c>
      <c r="F27" s="167" t="s">
        <v>211</v>
      </c>
      <c r="G27" s="167">
        <v>221364</v>
      </c>
      <c r="H27" s="819" t="s">
        <v>55</v>
      </c>
      <c r="I27" s="167">
        <v>14.88</v>
      </c>
      <c r="J27" s="819">
        <v>11700</v>
      </c>
      <c r="K27" s="167">
        <v>24.45</v>
      </c>
      <c r="L27" s="819">
        <v>5546475</v>
      </c>
      <c r="M27" s="816">
        <v>11625.75</v>
      </c>
      <c r="N27" s="816">
        <v>11650</v>
      </c>
      <c r="O27" s="435">
        <v>-7.5916666666666703</v>
      </c>
      <c r="P27" s="816">
        <v>11638.9</v>
      </c>
      <c r="Q27" s="816">
        <v>11656.25</v>
      </c>
      <c r="R27" s="816">
        <v>11592.6</v>
      </c>
      <c r="S27" s="88" t="e">
        <v>#REF!</v>
      </c>
      <c r="T27" s="442" t="e">
        <v>#REF!</v>
      </c>
      <c r="U27" s="442" t="e">
        <v>#REF!</v>
      </c>
      <c r="V27" s="818" t="e">
        <v>#REF!</v>
      </c>
      <c r="W27" s="434"/>
      <c r="X27" s="434"/>
      <c r="Y27" s="434"/>
      <c r="AM27" s="275">
        <v>0.52083333333333337</v>
      </c>
      <c r="AN27" s="438"/>
      <c r="AO27" s="438" t="s">
        <v>207</v>
      </c>
    </row>
    <row r="28" spans="1:41" ht="14.5" customHeight="1" thickBot="1" x14ac:dyDescent="0.4">
      <c r="A28" s="822"/>
      <c r="B28" s="824"/>
      <c r="C28" s="90" t="s">
        <v>42</v>
      </c>
      <c r="D28" s="168">
        <v>11600</v>
      </c>
      <c r="E28" s="168" t="s">
        <v>211</v>
      </c>
      <c r="F28" s="168">
        <v>1099650</v>
      </c>
      <c r="G28" s="168" t="s">
        <v>211</v>
      </c>
      <c r="H28" s="825"/>
      <c r="I28" s="168" t="s">
        <v>211</v>
      </c>
      <c r="J28" s="820" t="s">
        <v>211</v>
      </c>
      <c r="K28" s="168" t="s">
        <v>211</v>
      </c>
      <c r="L28" s="820" t="s">
        <v>211</v>
      </c>
      <c r="M28" s="817"/>
      <c r="N28" s="817"/>
      <c r="O28" s="435" t="s">
        <v>211</v>
      </c>
      <c r="P28" s="817"/>
      <c r="Q28" s="817"/>
      <c r="R28" s="817"/>
      <c r="S28" s="92" t="e">
        <v>#REF!</v>
      </c>
      <c r="T28" s="442" t="s">
        <v>211</v>
      </c>
      <c r="U28" s="442" t="s">
        <v>211</v>
      </c>
      <c r="V28" s="818"/>
      <c r="W28" s="434"/>
      <c r="X28" s="434"/>
      <c r="Y28" s="434"/>
      <c r="AM28" s="275">
        <v>0.52361111111111114</v>
      </c>
      <c r="AN28" s="438"/>
      <c r="AO28" s="438"/>
    </row>
    <row r="29" spans="1:41" ht="15" customHeight="1" thickBot="1" x14ac:dyDescent="0.4">
      <c r="A29" s="821" t="s">
        <v>416</v>
      </c>
      <c r="B29" s="823" t="s">
        <v>180</v>
      </c>
      <c r="C29" s="167" t="s">
        <v>211</v>
      </c>
      <c r="D29" s="167" t="s">
        <v>211</v>
      </c>
      <c r="E29" s="167">
        <v>21.2</v>
      </c>
      <c r="F29" s="167" t="s">
        <v>211</v>
      </c>
      <c r="G29" s="167">
        <v>233713</v>
      </c>
      <c r="H29" s="819" t="s">
        <v>55</v>
      </c>
      <c r="I29" s="167">
        <v>15.44</v>
      </c>
      <c r="J29" s="819">
        <v>11700</v>
      </c>
      <c r="K29" s="167">
        <v>21.2</v>
      </c>
      <c r="L29" s="819">
        <v>5641800</v>
      </c>
      <c r="M29" s="816">
        <v>11617.4</v>
      </c>
      <c r="N29" s="816">
        <v>11650</v>
      </c>
      <c r="O29" s="435">
        <v>-6.30833333333333</v>
      </c>
      <c r="P29" s="816">
        <v>11629.95</v>
      </c>
      <c r="Q29" s="816">
        <v>11656.25</v>
      </c>
      <c r="R29" s="816">
        <v>11592.6</v>
      </c>
      <c r="S29" s="88" t="e">
        <v>#REF!</v>
      </c>
      <c r="T29" s="442" t="e">
        <v>#REF!</v>
      </c>
      <c r="U29" s="442" t="e">
        <v>#REF!</v>
      </c>
      <c r="V29" s="818" t="e">
        <v>#REF!</v>
      </c>
      <c r="W29" s="434"/>
      <c r="X29" s="434"/>
      <c r="Y29" s="434"/>
      <c r="AM29" s="275">
        <v>0.53125</v>
      </c>
      <c r="AO29" s="438" t="s">
        <v>207</v>
      </c>
    </row>
    <row r="30" spans="1:41" ht="15" customHeight="1" thickBot="1" x14ac:dyDescent="0.4">
      <c r="A30" s="822"/>
      <c r="B30" s="824"/>
      <c r="C30" s="90" t="s">
        <v>42</v>
      </c>
      <c r="D30" s="168">
        <v>11600</v>
      </c>
      <c r="E30" s="168" t="s">
        <v>211</v>
      </c>
      <c r="F30" s="168">
        <v>1066650</v>
      </c>
      <c r="G30" s="168" t="s">
        <v>211</v>
      </c>
      <c r="H30" s="825"/>
      <c r="I30" s="168" t="s">
        <v>211</v>
      </c>
      <c r="J30" s="820" t="s">
        <v>211</v>
      </c>
      <c r="K30" s="168" t="s">
        <v>211</v>
      </c>
      <c r="L30" s="820" t="s">
        <v>211</v>
      </c>
      <c r="M30" s="817"/>
      <c r="N30" s="817"/>
      <c r="O30" s="435" t="s">
        <v>211</v>
      </c>
      <c r="P30" s="817"/>
      <c r="Q30" s="817"/>
      <c r="R30" s="817"/>
      <c r="S30" s="92" t="e">
        <v>#REF!</v>
      </c>
      <c r="T30" s="442" t="s">
        <v>211</v>
      </c>
      <c r="U30" s="442" t="s">
        <v>211</v>
      </c>
      <c r="V30" s="818"/>
      <c r="W30" s="434"/>
      <c r="X30" s="434"/>
      <c r="Y30" s="434"/>
      <c r="AM30" s="275">
        <v>0.53402777777777777</v>
      </c>
      <c r="AO30" s="438"/>
    </row>
    <row r="31" spans="1:41" ht="15" customHeight="1" thickBot="1" x14ac:dyDescent="0.4">
      <c r="A31" s="821" t="s">
        <v>417</v>
      </c>
      <c r="B31" s="823" t="s">
        <v>180</v>
      </c>
      <c r="C31" s="167" t="s">
        <v>211</v>
      </c>
      <c r="D31" s="167" t="s">
        <v>211</v>
      </c>
      <c r="E31" s="167">
        <v>25.8</v>
      </c>
      <c r="F31" s="167" t="s">
        <v>211</v>
      </c>
      <c r="G31" s="167">
        <v>246420</v>
      </c>
      <c r="H31" s="819" t="s">
        <v>55</v>
      </c>
      <c r="I31" s="167">
        <v>14.93</v>
      </c>
      <c r="J31" s="819">
        <v>11700</v>
      </c>
      <c r="K31" s="167">
        <v>25.8</v>
      </c>
      <c r="L31" s="819">
        <v>5704575</v>
      </c>
      <c r="M31" s="816">
        <v>11629.95</v>
      </c>
      <c r="N31" s="816">
        <v>11650</v>
      </c>
      <c r="O31" s="435">
        <v>-5.4916666666666654</v>
      </c>
      <c r="P31" s="816">
        <v>11644.65</v>
      </c>
      <c r="Q31" s="816">
        <v>11656.25</v>
      </c>
      <c r="R31" s="816">
        <v>11592.6</v>
      </c>
      <c r="S31" s="88" t="e">
        <v>#REF!</v>
      </c>
      <c r="T31" s="442" t="e">
        <v>#REF!</v>
      </c>
      <c r="U31" s="442" t="e">
        <v>#REF!</v>
      </c>
      <c r="V31" s="818" t="e">
        <v>#REF!</v>
      </c>
      <c r="W31" s="434"/>
      <c r="X31" s="434"/>
      <c r="Y31" s="434"/>
      <c r="AM31" s="275">
        <v>0.54166666666666663</v>
      </c>
      <c r="AO31" s="438" t="s">
        <v>207</v>
      </c>
    </row>
    <row r="32" spans="1:41" ht="15" customHeight="1" thickBot="1" x14ac:dyDescent="0.4">
      <c r="A32" s="822"/>
      <c r="B32" s="824"/>
      <c r="C32" s="90" t="s">
        <v>42</v>
      </c>
      <c r="D32" s="168">
        <v>11600</v>
      </c>
      <c r="E32" s="168" t="s">
        <v>211</v>
      </c>
      <c r="F32" s="168">
        <v>1044450</v>
      </c>
      <c r="G32" s="168" t="s">
        <v>211</v>
      </c>
      <c r="H32" s="825"/>
      <c r="I32" s="168" t="s">
        <v>211</v>
      </c>
      <c r="J32" s="820" t="s">
        <v>211</v>
      </c>
      <c r="K32" s="168" t="s">
        <v>211</v>
      </c>
      <c r="L32" s="820" t="s">
        <v>211</v>
      </c>
      <c r="M32" s="817"/>
      <c r="N32" s="817"/>
      <c r="O32" s="435" t="s">
        <v>211</v>
      </c>
      <c r="P32" s="817"/>
      <c r="Q32" s="817"/>
      <c r="R32" s="817"/>
      <c r="S32" s="92" t="e">
        <v>#REF!</v>
      </c>
      <c r="T32" s="442" t="s">
        <v>211</v>
      </c>
      <c r="U32" s="442" t="s">
        <v>211</v>
      </c>
      <c r="V32" s="818"/>
      <c r="W32" s="434"/>
      <c r="X32" s="434"/>
      <c r="Y32" s="434"/>
      <c r="AM32" s="275">
        <v>0.5444444444444444</v>
      </c>
      <c r="AO32" s="438"/>
    </row>
    <row r="33" spans="1:41" ht="15" customHeight="1" thickBot="1" x14ac:dyDescent="0.4">
      <c r="A33" s="821" t="s">
        <v>418</v>
      </c>
      <c r="B33" s="823" t="s">
        <v>180</v>
      </c>
      <c r="C33" s="167" t="s">
        <v>211</v>
      </c>
      <c r="D33" s="167" t="s">
        <v>211</v>
      </c>
      <c r="E33" s="167">
        <v>25</v>
      </c>
      <c r="F33" s="167" t="s">
        <v>211</v>
      </c>
      <c r="G33" s="167">
        <v>257920</v>
      </c>
      <c r="H33" s="819" t="s">
        <v>55</v>
      </c>
      <c r="I33" s="167">
        <v>15.02</v>
      </c>
      <c r="J33" s="819">
        <v>11700</v>
      </c>
      <c r="K33" s="167">
        <v>25</v>
      </c>
      <c r="L33" s="819">
        <v>5618100</v>
      </c>
      <c r="M33" s="816">
        <v>11628.15</v>
      </c>
      <c r="N33" s="816">
        <v>11650</v>
      </c>
      <c r="O33" s="435">
        <v>-6.6</v>
      </c>
      <c r="P33" s="816">
        <v>11644.15</v>
      </c>
      <c r="Q33" s="816">
        <v>11656.25</v>
      </c>
      <c r="R33" s="816">
        <v>11592.6</v>
      </c>
      <c r="S33" s="88" t="e">
        <v>#REF!</v>
      </c>
      <c r="T33" s="442" t="e">
        <v>#REF!</v>
      </c>
      <c r="U33" s="442" t="e">
        <v>#REF!</v>
      </c>
      <c r="V33" s="818" t="e">
        <v>#REF!</v>
      </c>
      <c r="W33" s="434"/>
      <c r="X33" s="434"/>
      <c r="Y33" s="434"/>
      <c r="AM33" s="275">
        <v>0.55208333333333337</v>
      </c>
      <c r="AO33" s="438" t="s">
        <v>207</v>
      </c>
    </row>
    <row r="34" spans="1:41" ht="15" customHeight="1" thickBot="1" x14ac:dyDescent="0.4">
      <c r="A34" s="822"/>
      <c r="B34" s="824"/>
      <c r="C34" s="90" t="s">
        <v>42</v>
      </c>
      <c r="D34" s="168">
        <v>11600</v>
      </c>
      <c r="E34" s="168" t="s">
        <v>211</v>
      </c>
      <c r="F34" s="168">
        <v>1122150</v>
      </c>
      <c r="G34" s="168" t="s">
        <v>211</v>
      </c>
      <c r="H34" s="825"/>
      <c r="I34" s="168" t="s">
        <v>211</v>
      </c>
      <c r="J34" s="820" t="s">
        <v>211</v>
      </c>
      <c r="K34" s="168" t="s">
        <v>211</v>
      </c>
      <c r="L34" s="820" t="s">
        <v>211</v>
      </c>
      <c r="M34" s="817"/>
      <c r="N34" s="817"/>
      <c r="O34" s="435" t="s">
        <v>211</v>
      </c>
      <c r="P34" s="817"/>
      <c r="Q34" s="817"/>
      <c r="R34" s="817"/>
      <c r="S34" s="92" t="e">
        <v>#REF!</v>
      </c>
      <c r="T34" s="442" t="s">
        <v>211</v>
      </c>
      <c r="U34" s="442" t="s">
        <v>211</v>
      </c>
      <c r="V34" s="818"/>
      <c r="W34" s="434"/>
      <c r="X34" s="434"/>
      <c r="Y34" s="434"/>
      <c r="AM34" s="275">
        <v>0.55486111111111114</v>
      </c>
      <c r="AO34" s="438"/>
    </row>
    <row r="35" spans="1:41" ht="15" customHeight="1" thickBot="1" x14ac:dyDescent="0.4">
      <c r="A35" s="821" t="s">
        <v>419</v>
      </c>
      <c r="B35" s="823" t="s">
        <v>180</v>
      </c>
      <c r="C35" s="167" t="s">
        <v>211</v>
      </c>
      <c r="D35" s="167" t="s">
        <v>211</v>
      </c>
      <c r="E35" s="167">
        <v>21.55</v>
      </c>
      <c r="F35" s="167" t="s">
        <v>211</v>
      </c>
      <c r="G35" s="167">
        <v>268552</v>
      </c>
      <c r="H35" s="819" t="s">
        <v>55</v>
      </c>
      <c r="I35" s="167">
        <v>15.1</v>
      </c>
      <c r="J35" s="819">
        <v>11700</v>
      </c>
      <c r="K35" s="167">
        <v>21.55</v>
      </c>
      <c r="L35" s="819">
        <v>5685825</v>
      </c>
      <c r="M35" s="816">
        <v>11612.9</v>
      </c>
      <c r="N35" s="816">
        <v>11650</v>
      </c>
      <c r="O35" s="435">
        <v>-4.8333333333333286</v>
      </c>
      <c r="P35" s="816">
        <v>11628</v>
      </c>
      <c r="Q35" s="816">
        <v>11656.25</v>
      </c>
      <c r="R35" s="816">
        <v>11592.6</v>
      </c>
      <c r="S35" s="88" t="e">
        <v>#REF!</v>
      </c>
      <c r="T35" s="442" t="e">
        <v>#REF!</v>
      </c>
      <c r="U35" s="442" t="e">
        <v>#REF!</v>
      </c>
      <c r="V35" s="818" t="e">
        <v>#REF!</v>
      </c>
      <c r="W35" s="434"/>
      <c r="X35" s="434"/>
      <c r="Y35" s="434"/>
      <c r="AM35" s="275">
        <v>0.5625</v>
      </c>
      <c r="AO35" s="438" t="s">
        <v>207</v>
      </c>
    </row>
    <row r="36" spans="1:41" ht="15" customHeight="1" thickBot="1" x14ac:dyDescent="0.4">
      <c r="A36" s="822"/>
      <c r="B36" s="824"/>
      <c r="C36" s="90" t="s">
        <v>42</v>
      </c>
      <c r="D36" s="168">
        <v>11600</v>
      </c>
      <c r="E36" s="168" t="s">
        <v>211</v>
      </c>
      <c r="F36" s="168">
        <v>1095150</v>
      </c>
      <c r="G36" s="168" t="s">
        <v>211</v>
      </c>
      <c r="H36" s="825"/>
      <c r="I36" s="168" t="s">
        <v>211</v>
      </c>
      <c r="J36" s="820" t="s">
        <v>211</v>
      </c>
      <c r="K36" s="168" t="s">
        <v>211</v>
      </c>
      <c r="L36" s="820" t="s">
        <v>211</v>
      </c>
      <c r="M36" s="817"/>
      <c r="N36" s="817"/>
      <c r="O36" s="435" t="s">
        <v>211</v>
      </c>
      <c r="P36" s="817"/>
      <c r="Q36" s="817"/>
      <c r="R36" s="817"/>
      <c r="S36" s="92" t="e">
        <v>#REF!</v>
      </c>
      <c r="T36" s="442" t="s">
        <v>211</v>
      </c>
      <c r="U36" s="442" t="s">
        <v>211</v>
      </c>
      <c r="V36" s="818"/>
      <c r="W36" s="434"/>
      <c r="X36" s="434"/>
      <c r="Y36" s="434"/>
      <c r="AM36" s="275">
        <v>0.56527777777777777</v>
      </c>
      <c r="AO36" s="438"/>
    </row>
    <row r="37" spans="1:41" ht="15" customHeight="1" thickBot="1" x14ac:dyDescent="0.4">
      <c r="A37" s="821" t="s">
        <v>351</v>
      </c>
      <c r="B37" s="823" t="s">
        <v>180</v>
      </c>
      <c r="C37" s="167" t="s">
        <v>211</v>
      </c>
      <c r="D37" s="167" t="s">
        <v>211</v>
      </c>
      <c r="E37" s="167">
        <v>25.95</v>
      </c>
      <c r="F37" s="167" t="s">
        <v>211</v>
      </c>
      <c r="G37" s="167">
        <v>281750</v>
      </c>
      <c r="H37" s="819" t="s">
        <v>55</v>
      </c>
      <c r="I37" s="167">
        <v>14.67</v>
      </c>
      <c r="J37" s="819">
        <v>11700</v>
      </c>
      <c r="K37" s="167">
        <v>25.95</v>
      </c>
      <c r="L37" s="819">
        <v>5650200</v>
      </c>
      <c r="M37" s="816">
        <v>11631.05</v>
      </c>
      <c r="N37" s="816">
        <v>11650</v>
      </c>
      <c r="O37" s="435">
        <v>2.0749999999999993</v>
      </c>
      <c r="P37" s="816">
        <v>11646.05</v>
      </c>
      <c r="Q37" s="816">
        <v>11656.25</v>
      </c>
      <c r="R37" s="816">
        <v>11592.6</v>
      </c>
      <c r="S37" s="88" t="e">
        <v>#REF!</v>
      </c>
      <c r="T37" s="442" t="e">
        <v>#REF!</v>
      </c>
      <c r="U37" s="442" t="e">
        <v>#REF!</v>
      </c>
      <c r="V37" s="818" t="e">
        <v>#REF!</v>
      </c>
      <c r="W37" s="434"/>
      <c r="X37" s="434"/>
      <c r="Y37" s="434"/>
      <c r="AM37" s="275">
        <v>0.57291666666666663</v>
      </c>
      <c r="AO37" s="438" t="s">
        <v>207</v>
      </c>
    </row>
    <row r="38" spans="1:41" ht="15" customHeight="1" thickBot="1" x14ac:dyDescent="0.4">
      <c r="A38" s="822"/>
      <c r="B38" s="824"/>
      <c r="C38" s="90" t="s">
        <v>42</v>
      </c>
      <c r="D38" s="168">
        <v>11600</v>
      </c>
      <c r="E38" s="168" t="s">
        <v>211</v>
      </c>
      <c r="F38" s="168">
        <v>1176750</v>
      </c>
      <c r="G38" s="168" t="s">
        <v>211</v>
      </c>
      <c r="H38" s="825"/>
      <c r="I38" s="168" t="s">
        <v>211</v>
      </c>
      <c r="J38" s="820" t="s">
        <v>211</v>
      </c>
      <c r="K38" s="168" t="s">
        <v>211</v>
      </c>
      <c r="L38" s="820" t="s">
        <v>211</v>
      </c>
      <c r="M38" s="817"/>
      <c r="N38" s="817"/>
      <c r="O38" s="435" t="s">
        <v>211</v>
      </c>
      <c r="P38" s="817"/>
      <c r="Q38" s="817"/>
      <c r="R38" s="817"/>
      <c r="S38" s="92" t="e">
        <v>#REF!</v>
      </c>
      <c r="T38" s="442" t="s">
        <v>211</v>
      </c>
      <c r="U38" s="442" t="s">
        <v>211</v>
      </c>
      <c r="V38" s="818"/>
      <c r="W38" s="434"/>
      <c r="X38" s="434"/>
      <c r="Y38" s="434"/>
      <c r="AM38" s="275">
        <v>0.5756944444444444</v>
      </c>
      <c r="AO38" s="438"/>
    </row>
    <row r="39" spans="1:41" ht="15" customHeight="1" thickBot="1" x14ac:dyDescent="0.4">
      <c r="A39" s="821" t="s">
        <v>420</v>
      </c>
      <c r="B39" s="823" t="s">
        <v>180</v>
      </c>
      <c r="C39" s="167" t="s">
        <v>211</v>
      </c>
      <c r="D39" s="167" t="s">
        <v>211</v>
      </c>
      <c r="E39" s="167">
        <v>25.55</v>
      </c>
      <c r="F39" s="167" t="s">
        <v>211</v>
      </c>
      <c r="G39" s="167">
        <v>292925</v>
      </c>
      <c r="H39" s="819" t="s">
        <v>55</v>
      </c>
      <c r="I39" s="167">
        <v>14.93</v>
      </c>
      <c r="J39" s="819">
        <v>11700</v>
      </c>
      <c r="K39" s="167">
        <v>25.55</v>
      </c>
      <c r="L39" s="819">
        <v>5634525</v>
      </c>
      <c r="M39" s="816">
        <v>11632.55</v>
      </c>
      <c r="N39" s="816">
        <v>11650</v>
      </c>
      <c r="O39" s="435">
        <v>1.6833333333333371</v>
      </c>
      <c r="P39" s="816">
        <v>11645.2</v>
      </c>
      <c r="Q39" s="816">
        <v>11656.25</v>
      </c>
      <c r="R39" s="816">
        <v>11592.6</v>
      </c>
      <c r="S39" s="88" t="e">
        <v>#REF!</v>
      </c>
      <c r="T39" s="416" t="e">
        <v>#REF!</v>
      </c>
      <c r="U39" s="442" t="e">
        <v>#REF!</v>
      </c>
      <c r="V39" s="818" t="e">
        <v>#REF!</v>
      </c>
      <c r="W39" s="434"/>
      <c r="X39" s="434"/>
      <c r="Y39" s="434"/>
      <c r="AM39" s="275">
        <v>0.58333333333333337</v>
      </c>
      <c r="AO39" s="438" t="s">
        <v>207</v>
      </c>
    </row>
    <row r="40" spans="1:41" ht="15" customHeight="1" thickBot="1" x14ac:dyDescent="0.4">
      <c r="A40" s="822"/>
      <c r="B40" s="824"/>
      <c r="C40" s="90" t="s">
        <v>42</v>
      </c>
      <c r="D40" s="168">
        <v>11600</v>
      </c>
      <c r="E40" s="168" t="s">
        <v>211</v>
      </c>
      <c r="F40" s="168">
        <v>1177500</v>
      </c>
      <c r="G40" s="168" t="s">
        <v>211</v>
      </c>
      <c r="H40" s="825"/>
      <c r="I40" s="168" t="s">
        <v>211</v>
      </c>
      <c r="J40" s="820" t="s">
        <v>211</v>
      </c>
      <c r="K40" s="168" t="s">
        <v>211</v>
      </c>
      <c r="L40" s="820" t="s">
        <v>211</v>
      </c>
      <c r="M40" s="817"/>
      <c r="N40" s="817"/>
      <c r="O40" s="435" t="s">
        <v>211</v>
      </c>
      <c r="P40" s="817"/>
      <c r="Q40" s="817"/>
      <c r="R40" s="817"/>
      <c r="S40" s="92" t="e">
        <v>#REF!</v>
      </c>
      <c r="T40" s="444" t="s">
        <v>211</v>
      </c>
      <c r="U40" s="417" t="s">
        <v>211</v>
      </c>
      <c r="V40" s="818"/>
      <c r="W40" s="434"/>
      <c r="X40" s="434"/>
      <c r="Y40" s="434"/>
      <c r="AM40" s="275">
        <v>0.58611111111111114</v>
      </c>
      <c r="AO40" s="438"/>
    </row>
    <row r="41" spans="1:41" ht="15" customHeight="1" thickBot="1" x14ac:dyDescent="0.4">
      <c r="A41" s="821" t="s">
        <v>421</v>
      </c>
      <c r="B41" s="823" t="s">
        <v>180</v>
      </c>
      <c r="C41" s="167" t="s">
        <v>211</v>
      </c>
      <c r="D41" s="167" t="s">
        <v>211</v>
      </c>
      <c r="E41" s="167">
        <v>24.6</v>
      </c>
      <c r="F41" s="167" t="s">
        <v>211</v>
      </c>
      <c r="G41" s="167">
        <v>313016</v>
      </c>
      <c r="H41" s="819" t="s">
        <v>55</v>
      </c>
      <c r="I41" s="167">
        <v>14.89</v>
      </c>
      <c r="J41" s="819">
        <v>11700</v>
      </c>
      <c r="K41" s="167">
        <v>24.6</v>
      </c>
      <c r="L41" s="819">
        <v>5546325</v>
      </c>
      <c r="M41" s="816">
        <v>11628.4</v>
      </c>
      <c r="N41" s="816">
        <v>11650</v>
      </c>
      <c r="O41" s="435">
        <v>-6.2666666666666693</v>
      </c>
      <c r="P41" s="816">
        <v>11642</v>
      </c>
      <c r="Q41" s="816">
        <v>11664.6</v>
      </c>
      <c r="R41" s="816">
        <v>11592.6</v>
      </c>
      <c r="S41" s="88" t="e">
        <v>#REF!</v>
      </c>
      <c r="T41" s="442" t="e">
        <v>#REF!</v>
      </c>
      <c r="U41" s="442" t="e">
        <v>#REF!</v>
      </c>
      <c r="V41" s="818" t="e">
        <v>#REF!</v>
      </c>
      <c r="W41" s="434"/>
      <c r="X41" s="434"/>
      <c r="Y41" s="434"/>
      <c r="AM41" s="275">
        <v>0.59375</v>
      </c>
      <c r="AO41" s="438" t="s">
        <v>207</v>
      </c>
    </row>
    <row r="42" spans="1:41" ht="15" customHeight="1" thickBot="1" x14ac:dyDescent="0.4">
      <c r="A42" s="822"/>
      <c r="B42" s="824"/>
      <c r="C42" s="90" t="s">
        <v>42</v>
      </c>
      <c r="D42" s="168">
        <v>11600</v>
      </c>
      <c r="E42" s="168" t="s">
        <v>211</v>
      </c>
      <c r="F42" s="168">
        <v>1169925</v>
      </c>
      <c r="G42" s="168" t="s">
        <v>211</v>
      </c>
      <c r="H42" s="825"/>
      <c r="I42" s="168" t="s">
        <v>211</v>
      </c>
      <c r="J42" s="820" t="s">
        <v>211</v>
      </c>
      <c r="K42" s="168" t="s">
        <v>211</v>
      </c>
      <c r="L42" s="820" t="s">
        <v>211</v>
      </c>
      <c r="M42" s="817"/>
      <c r="N42" s="817"/>
      <c r="O42" s="435" t="s">
        <v>211</v>
      </c>
      <c r="P42" s="817"/>
      <c r="Q42" s="817"/>
      <c r="R42" s="817"/>
      <c r="S42" s="92" t="e">
        <v>#REF!</v>
      </c>
      <c r="T42" s="413" t="s">
        <v>211</v>
      </c>
      <c r="U42" s="413" t="s">
        <v>211</v>
      </c>
      <c r="V42" s="818"/>
      <c r="W42" s="434"/>
      <c r="X42" s="434"/>
      <c r="Y42" s="434"/>
      <c r="AM42" s="275">
        <v>0.59652777777777777</v>
      </c>
      <c r="AO42" s="438"/>
    </row>
    <row r="43" spans="1:41" ht="15" customHeight="1" thickBot="1" x14ac:dyDescent="0.4">
      <c r="A43" s="821" t="s">
        <v>354</v>
      </c>
      <c r="B43" s="823" t="s">
        <v>180</v>
      </c>
      <c r="C43" s="167" t="s">
        <v>211</v>
      </c>
      <c r="D43" s="167" t="s">
        <v>211</v>
      </c>
      <c r="E43" s="167" t="e">
        <v>#VALUE!</v>
      </c>
      <c r="F43" s="167" t="s">
        <v>211</v>
      </c>
      <c r="G43" s="167" t="e">
        <v>#VALUE!</v>
      </c>
      <c r="H43" s="819" t="e">
        <v>#VALUE!</v>
      </c>
      <c r="I43" s="167" t="e">
        <v>#VALUE!</v>
      </c>
      <c r="J43" s="819" t="e">
        <v>#VALUE!</v>
      </c>
      <c r="K43" s="167" t="e">
        <v>#VALUE!</v>
      </c>
      <c r="L43" s="819" t="e">
        <v>#VALUE!</v>
      </c>
      <c r="M43" s="816">
        <v>11634.05</v>
      </c>
      <c r="N43" s="816" t="e">
        <v>#VALUE!</v>
      </c>
      <c r="O43" s="435" t="e">
        <v>#NUM!</v>
      </c>
      <c r="P43" s="816">
        <v>11647.7</v>
      </c>
      <c r="Q43" s="816">
        <v>11664.6</v>
      </c>
      <c r="R43" s="816">
        <v>11592.6</v>
      </c>
      <c r="S43" s="88" t="e">
        <v>#REF!</v>
      </c>
      <c r="T43" s="442" t="e">
        <v>#REF!</v>
      </c>
      <c r="U43" s="442" t="e">
        <v>#REF!</v>
      </c>
      <c r="V43" s="818" t="e">
        <v>#REF!</v>
      </c>
      <c r="W43" s="434"/>
      <c r="X43" s="434"/>
      <c r="Y43" s="434"/>
      <c r="AM43" s="275">
        <v>0.60416666666666663</v>
      </c>
      <c r="AO43" s="438" t="s">
        <v>207</v>
      </c>
    </row>
    <row r="44" spans="1:41" ht="15" customHeight="1" thickBot="1" x14ac:dyDescent="0.4">
      <c r="A44" s="822"/>
      <c r="B44" s="824"/>
      <c r="C44" s="90" t="s">
        <v>42</v>
      </c>
      <c r="D44" s="168" t="e">
        <v>#VALUE!</v>
      </c>
      <c r="E44" s="168" t="s">
        <v>211</v>
      </c>
      <c r="F44" s="168" t="e">
        <v>#VALUE!</v>
      </c>
      <c r="G44" s="168" t="s">
        <v>211</v>
      </c>
      <c r="H44" s="825"/>
      <c r="I44" s="168" t="s">
        <v>211</v>
      </c>
      <c r="J44" s="820" t="s">
        <v>211</v>
      </c>
      <c r="K44" s="168" t="s">
        <v>211</v>
      </c>
      <c r="L44" s="820" t="s">
        <v>211</v>
      </c>
      <c r="M44" s="817"/>
      <c r="N44" s="817"/>
      <c r="O44" s="435" t="s">
        <v>211</v>
      </c>
      <c r="P44" s="817"/>
      <c r="Q44" s="817"/>
      <c r="R44" s="817"/>
      <c r="S44" s="92" t="e">
        <v>#REF!</v>
      </c>
      <c r="T44" s="413" t="s">
        <v>211</v>
      </c>
      <c r="U44" s="413" t="s">
        <v>211</v>
      </c>
      <c r="V44" s="818"/>
      <c r="W44" s="434"/>
      <c r="X44" s="434"/>
      <c r="Y44" s="434"/>
      <c r="AM44" s="275">
        <v>0.6069444444444444</v>
      </c>
      <c r="AO44" s="438"/>
    </row>
    <row r="45" spans="1:41" ht="15" customHeight="1" thickBot="1" x14ac:dyDescent="0.4">
      <c r="A45" s="821" t="s">
        <v>211</v>
      </c>
      <c r="B45" s="823" t="s">
        <v>211</v>
      </c>
      <c r="C45" s="167" t="s">
        <v>211</v>
      </c>
      <c r="D45" s="167" t="s">
        <v>211</v>
      </c>
      <c r="E45" s="167" t="s">
        <v>211</v>
      </c>
      <c r="F45" s="167" t="s">
        <v>211</v>
      </c>
      <c r="G45" s="167" t="s">
        <v>211</v>
      </c>
      <c r="H45" s="819" t="s">
        <v>211</v>
      </c>
      <c r="I45" s="167" t="s">
        <v>211</v>
      </c>
      <c r="J45" s="819" t="s">
        <v>211</v>
      </c>
      <c r="K45" s="167" t="s">
        <v>211</v>
      </c>
      <c r="L45" s="819" t="s">
        <v>211</v>
      </c>
      <c r="M45" s="816" t="s">
        <v>211</v>
      </c>
      <c r="N45" s="816" t="s">
        <v>211</v>
      </c>
      <c r="O45" s="435" t="s">
        <v>211</v>
      </c>
      <c r="P45" s="816" t="s">
        <v>211</v>
      </c>
      <c r="Q45" s="816" t="s">
        <v>211</v>
      </c>
      <c r="R45" s="816" t="s">
        <v>211</v>
      </c>
      <c r="S45" s="88" t="s">
        <v>211</v>
      </c>
      <c r="T45" s="442" t="s">
        <v>211</v>
      </c>
      <c r="U45" s="442" t="s">
        <v>211</v>
      </c>
      <c r="V45" s="818" t="s">
        <v>211</v>
      </c>
      <c r="W45" s="434"/>
      <c r="X45" s="434"/>
      <c r="Y45" s="434"/>
      <c r="AM45" s="275">
        <v>0.61458333333333337</v>
      </c>
      <c r="AO45" s="438" t="s">
        <v>207</v>
      </c>
    </row>
    <row r="46" spans="1:41" ht="15" customHeight="1" thickBot="1" x14ac:dyDescent="0.4">
      <c r="A46" s="822"/>
      <c r="B46" s="824"/>
      <c r="C46" s="90" t="s">
        <v>211</v>
      </c>
      <c r="D46" s="168" t="s">
        <v>211</v>
      </c>
      <c r="E46" s="168" t="s">
        <v>211</v>
      </c>
      <c r="F46" s="168" t="s">
        <v>211</v>
      </c>
      <c r="G46" s="168" t="s">
        <v>211</v>
      </c>
      <c r="H46" s="825"/>
      <c r="I46" s="168" t="s">
        <v>211</v>
      </c>
      <c r="J46" s="820" t="s">
        <v>211</v>
      </c>
      <c r="K46" s="168" t="s">
        <v>211</v>
      </c>
      <c r="L46" s="820" t="s">
        <v>211</v>
      </c>
      <c r="M46" s="817"/>
      <c r="N46" s="817"/>
      <c r="O46" s="435" t="s">
        <v>211</v>
      </c>
      <c r="P46" s="817"/>
      <c r="Q46" s="817"/>
      <c r="R46" s="817"/>
      <c r="S46" s="92" t="s">
        <v>211</v>
      </c>
      <c r="T46" s="413" t="s">
        <v>211</v>
      </c>
      <c r="U46" s="413" t="s">
        <v>211</v>
      </c>
      <c r="V46" s="818"/>
      <c r="W46" s="434"/>
      <c r="X46" s="434"/>
      <c r="Y46" s="434"/>
      <c r="AM46" s="275">
        <v>0.61736111111111114</v>
      </c>
      <c r="AO46" s="438"/>
    </row>
    <row r="47" spans="1:41" ht="15" customHeight="1" thickBot="1" x14ac:dyDescent="0.4">
      <c r="A47" s="821" t="s">
        <v>211</v>
      </c>
      <c r="B47" s="823" t="s">
        <v>211</v>
      </c>
      <c r="C47" s="167" t="s">
        <v>211</v>
      </c>
      <c r="D47" s="167" t="s">
        <v>211</v>
      </c>
      <c r="E47" s="167" t="s">
        <v>211</v>
      </c>
      <c r="F47" s="167" t="s">
        <v>211</v>
      </c>
      <c r="G47" s="167" t="s">
        <v>211</v>
      </c>
      <c r="H47" s="819" t="s">
        <v>211</v>
      </c>
      <c r="I47" s="167" t="s">
        <v>211</v>
      </c>
      <c r="J47" s="819" t="s">
        <v>211</v>
      </c>
      <c r="K47" s="167" t="s">
        <v>211</v>
      </c>
      <c r="L47" s="819" t="s">
        <v>211</v>
      </c>
      <c r="M47" s="816" t="s">
        <v>211</v>
      </c>
      <c r="N47" s="816" t="s">
        <v>211</v>
      </c>
      <c r="O47" s="435" t="s">
        <v>211</v>
      </c>
      <c r="P47" s="816" t="s">
        <v>211</v>
      </c>
      <c r="Q47" s="816" t="s">
        <v>211</v>
      </c>
      <c r="R47" s="816" t="s">
        <v>211</v>
      </c>
      <c r="S47" s="818" t="s">
        <v>211</v>
      </c>
      <c r="T47" s="442" t="s">
        <v>211</v>
      </c>
      <c r="U47" s="414" t="s">
        <v>211</v>
      </c>
      <c r="V47" s="818" t="s">
        <v>211</v>
      </c>
      <c r="W47" s="434"/>
      <c r="X47" s="434"/>
      <c r="Y47" s="434"/>
      <c r="AM47" s="275">
        <v>0.625</v>
      </c>
      <c r="AO47" s="438" t="s">
        <v>207</v>
      </c>
    </row>
    <row r="48" spans="1:41" ht="15" customHeight="1" thickBot="1" x14ac:dyDescent="0.4">
      <c r="A48" s="822"/>
      <c r="B48" s="824"/>
      <c r="C48" s="90" t="s">
        <v>211</v>
      </c>
      <c r="D48" s="168" t="s">
        <v>211</v>
      </c>
      <c r="E48" s="168" t="s">
        <v>211</v>
      </c>
      <c r="F48" s="168" t="s">
        <v>211</v>
      </c>
      <c r="G48" s="168" t="s">
        <v>211</v>
      </c>
      <c r="H48" s="825"/>
      <c r="I48" s="168" t="s">
        <v>211</v>
      </c>
      <c r="J48" s="820" t="s">
        <v>211</v>
      </c>
      <c r="K48" s="168" t="s">
        <v>211</v>
      </c>
      <c r="L48" s="820" t="s">
        <v>211</v>
      </c>
      <c r="M48" s="817"/>
      <c r="N48" s="817"/>
      <c r="O48" s="435" t="s">
        <v>211</v>
      </c>
      <c r="P48" s="817"/>
      <c r="Q48" s="817"/>
      <c r="R48" s="817"/>
      <c r="S48" s="818" t="s">
        <v>211</v>
      </c>
      <c r="T48" s="413" t="s">
        <v>211</v>
      </c>
      <c r="U48" s="443" t="s">
        <v>211</v>
      </c>
      <c r="V48" s="818"/>
      <c r="W48" s="434"/>
      <c r="X48" s="434"/>
      <c r="Y48" s="434"/>
      <c r="AM48" s="275">
        <v>0.62777777777777777</v>
      </c>
      <c r="AO48" s="438"/>
    </row>
    <row r="49" spans="1:41" ht="15" customHeight="1" thickBot="1" x14ac:dyDescent="0.4">
      <c r="A49" s="821" t="s">
        <v>211</v>
      </c>
      <c r="B49" s="823" t="s">
        <v>211</v>
      </c>
      <c r="C49" s="167" t="s">
        <v>211</v>
      </c>
      <c r="D49" s="167" t="s">
        <v>211</v>
      </c>
      <c r="E49" s="167" t="s">
        <v>211</v>
      </c>
      <c r="F49" s="167" t="s">
        <v>211</v>
      </c>
      <c r="G49" s="167" t="s">
        <v>211</v>
      </c>
      <c r="H49" s="819" t="s">
        <v>211</v>
      </c>
      <c r="I49" s="167" t="s">
        <v>211</v>
      </c>
      <c r="J49" s="819" t="s">
        <v>211</v>
      </c>
      <c r="K49" s="167" t="s">
        <v>211</v>
      </c>
      <c r="L49" s="819" t="s">
        <v>211</v>
      </c>
      <c r="M49" s="816" t="s">
        <v>211</v>
      </c>
      <c r="N49" s="816" t="s">
        <v>211</v>
      </c>
      <c r="O49" s="435" t="s">
        <v>211</v>
      </c>
      <c r="P49" s="816" t="s">
        <v>211</v>
      </c>
      <c r="Q49" s="816" t="s">
        <v>211</v>
      </c>
      <c r="R49" s="816" t="s">
        <v>211</v>
      </c>
      <c r="S49" s="88" t="s">
        <v>211</v>
      </c>
      <c r="T49" s="442" t="s">
        <v>211</v>
      </c>
      <c r="U49" s="442" t="s">
        <v>211</v>
      </c>
      <c r="V49" s="818" t="s">
        <v>211</v>
      </c>
      <c r="W49" s="434"/>
      <c r="X49" s="434"/>
      <c r="Y49" s="434"/>
      <c r="AM49" s="275">
        <v>0.63541666666666663</v>
      </c>
      <c r="AO49" s="438" t="s">
        <v>207</v>
      </c>
    </row>
    <row r="50" spans="1:41" ht="15" customHeight="1" thickBot="1" x14ac:dyDescent="0.4">
      <c r="A50" s="822"/>
      <c r="B50" s="824"/>
      <c r="C50" s="90" t="s">
        <v>211</v>
      </c>
      <c r="D50" s="168" t="s">
        <v>211</v>
      </c>
      <c r="E50" s="168" t="s">
        <v>211</v>
      </c>
      <c r="F50" s="168" t="s">
        <v>211</v>
      </c>
      <c r="G50" s="168" t="s">
        <v>211</v>
      </c>
      <c r="H50" s="825"/>
      <c r="I50" s="168" t="s">
        <v>211</v>
      </c>
      <c r="J50" s="820" t="s">
        <v>211</v>
      </c>
      <c r="K50" s="168" t="s">
        <v>211</v>
      </c>
      <c r="L50" s="820" t="s">
        <v>211</v>
      </c>
      <c r="M50" s="817"/>
      <c r="N50" s="817"/>
      <c r="O50" s="435" t="s">
        <v>211</v>
      </c>
      <c r="P50" s="817"/>
      <c r="Q50" s="817"/>
      <c r="R50" s="817"/>
      <c r="S50" s="92" t="s">
        <v>211</v>
      </c>
      <c r="T50" s="413" t="s">
        <v>211</v>
      </c>
      <c r="U50" s="413" t="s">
        <v>211</v>
      </c>
      <c r="V50" s="818"/>
      <c r="W50" s="434"/>
      <c r="X50" s="434"/>
      <c r="Y50" s="434"/>
      <c r="AM50" s="275">
        <v>0.6381944444444444</v>
      </c>
      <c r="AO50" s="438"/>
    </row>
    <row r="51" spans="1:41" ht="15" customHeight="1" thickBot="1" x14ac:dyDescent="0.4">
      <c r="A51" s="821" t="s">
        <v>211</v>
      </c>
      <c r="B51" s="823" t="s">
        <v>211</v>
      </c>
      <c r="C51" s="167" t="s">
        <v>211</v>
      </c>
      <c r="D51" s="167" t="s">
        <v>211</v>
      </c>
      <c r="E51" s="167" t="s">
        <v>211</v>
      </c>
      <c r="F51" s="167" t="s">
        <v>211</v>
      </c>
      <c r="G51" s="167" t="s">
        <v>211</v>
      </c>
      <c r="H51" s="819" t="s">
        <v>211</v>
      </c>
      <c r="I51" s="167" t="s">
        <v>211</v>
      </c>
      <c r="J51" s="819" t="s">
        <v>211</v>
      </c>
      <c r="K51" s="167" t="s">
        <v>211</v>
      </c>
      <c r="L51" s="819" t="s">
        <v>211</v>
      </c>
      <c r="M51" s="816" t="s">
        <v>211</v>
      </c>
      <c r="N51" s="816" t="s">
        <v>211</v>
      </c>
      <c r="O51" s="435" t="s">
        <v>211</v>
      </c>
      <c r="P51" s="816" t="s">
        <v>211</v>
      </c>
      <c r="Q51" s="816" t="s">
        <v>211</v>
      </c>
      <c r="R51" s="816" t="s">
        <v>211</v>
      </c>
      <c r="S51" s="88" t="s">
        <v>211</v>
      </c>
      <c r="T51" s="442" t="s">
        <v>211</v>
      </c>
      <c r="U51" s="442" t="s">
        <v>211</v>
      </c>
      <c r="V51" s="818" t="s">
        <v>211</v>
      </c>
      <c r="W51" s="434"/>
      <c r="X51" s="434"/>
      <c r="Y51" s="434"/>
      <c r="AM51" s="275">
        <v>0.64583333333333337</v>
      </c>
      <c r="AO51" s="438" t="s">
        <v>207</v>
      </c>
    </row>
    <row r="52" spans="1:41" ht="15" customHeight="1" thickBot="1" x14ac:dyDescent="0.4">
      <c r="A52" s="822"/>
      <c r="B52" s="824"/>
      <c r="C52" s="90" t="s">
        <v>211</v>
      </c>
      <c r="D52" s="168" t="s">
        <v>211</v>
      </c>
      <c r="E52" s="168" t="s">
        <v>211</v>
      </c>
      <c r="F52" s="168" t="s">
        <v>211</v>
      </c>
      <c r="G52" s="168" t="s">
        <v>211</v>
      </c>
      <c r="H52" s="825"/>
      <c r="I52" s="168" t="s">
        <v>211</v>
      </c>
      <c r="J52" s="820" t="s">
        <v>211</v>
      </c>
      <c r="K52" s="168" t="s">
        <v>211</v>
      </c>
      <c r="L52" s="820" t="s">
        <v>211</v>
      </c>
      <c r="M52" s="817"/>
      <c r="N52" s="817"/>
      <c r="O52" s="435" t="s">
        <v>211</v>
      </c>
      <c r="P52" s="817"/>
      <c r="Q52" s="817"/>
      <c r="R52" s="817"/>
      <c r="S52" s="92" t="s">
        <v>211</v>
      </c>
      <c r="T52" s="415" t="s">
        <v>211</v>
      </c>
      <c r="U52" s="415" t="s">
        <v>211</v>
      </c>
      <c r="V52" s="818"/>
      <c r="W52" s="434"/>
      <c r="X52" s="434"/>
      <c r="Y52" s="434"/>
      <c r="AM52" s="275">
        <v>0.64861111111111114</v>
      </c>
      <c r="AO52" s="438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31292-C721-4530-BF28-D3212D1A2F11}">
  <sheetPr codeName="Sheet18"/>
  <dimension ref="A1:AO52"/>
  <sheetViews>
    <sheetView workbookViewId="0">
      <selection activeCell="I13" sqref="I13"/>
    </sheetView>
  </sheetViews>
  <sheetFormatPr defaultColWidth="9.1796875" defaultRowHeight="14.5" x14ac:dyDescent="0.35"/>
  <cols>
    <col min="1" max="1" width="9.1796875" style="419"/>
    <col min="2" max="2" width="9.1796875" style="274"/>
    <col min="3" max="3" width="5.453125" style="419" customWidth="1"/>
    <col min="4" max="4" width="8.453125" style="419" customWidth="1"/>
    <col min="5" max="5" width="8.7265625" style="419" customWidth="1"/>
    <col min="6" max="6" width="12.7265625" style="418" customWidth="1"/>
    <col min="7" max="7" width="13" style="418" customWidth="1"/>
    <col min="8" max="9" width="6.453125" style="419" customWidth="1"/>
    <col min="10" max="10" width="8.453125" style="419" customWidth="1"/>
    <col min="11" max="11" width="8" style="419" customWidth="1"/>
    <col min="12" max="12" width="13.54296875" style="418" customWidth="1"/>
    <col min="13" max="13" width="8.26953125" style="419" customWidth="1"/>
    <col min="14" max="14" width="9.453125" style="419" customWidth="1"/>
    <col min="15" max="17" width="9.1796875" style="419"/>
    <col min="18" max="18" width="5.453125" style="419" bestFit="1" customWidth="1"/>
    <col min="19" max="19" width="6.81640625" style="419" customWidth="1"/>
    <col min="20" max="21" width="9.1796875" style="419"/>
    <col min="22" max="22" width="9.453125" style="419" customWidth="1"/>
    <col min="23" max="34" width="9.1796875" style="419"/>
    <col min="35" max="36" width="7.90625" style="419" bestFit="1" customWidth="1"/>
    <col min="37" max="37" width="9.6328125" style="419" bestFit="1" customWidth="1"/>
    <col min="38" max="40" width="9.1796875" style="419"/>
    <col min="41" max="41" width="0" style="419" hidden="1" customWidth="1"/>
    <col min="42" max="16384" width="9.1796875" style="419"/>
  </cols>
  <sheetData>
    <row r="1" spans="1:41" ht="14.5" customHeight="1" thickBot="1" x14ac:dyDescent="0.4">
      <c r="A1" s="80"/>
      <c r="B1" s="273"/>
      <c r="C1" s="647" t="s">
        <v>35</v>
      </c>
      <c r="D1" s="811"/>
      <c r="E1" s="811"/>
      <c r="F1" s="811"/>
      <c r="G1" s="811"/>
      <c r="H1" s="425"/>
      <c r="I1" s="80"/>
      <c r="J1" s="810" t="s">
        <v>0</v>
      </c>
      <c r="K1" s="811"/>
      <c r="L1" s="812"/>
      <c r="M1" s="80"/>
      <c r="N1" s="80"/>
      <c r="O1" s="80"/>
      <c r="P1" s="813" t="s">
        <v>391</v>
      </c>
      <c r="Q1" s="814"/>
      <c r="R1" s="810" t="s">
        <v>87</v>
      </c>
      <c r="S1" s="811"/>
      <c r="T1" s="811"/>
      <c r="U1" s="815"/>
      <c r="V1" s="420"/>
      <c r="W1" s="420"/>
      <c r="X1" s="420"/>
      <c r="Y1" s="420"/>
      <c r="Z1" s="420"/>
      <c r="AH1" s="787" t="s">
        <v>170</v>
      </c>
      <c r="AI1" s="787"/>
      <c r="AJ1" s="787"/>
      <c r="AK1" s="787"/>
      <c r="AL1" s="787"/>
    </row>
    <row r="2" spans="1:41" ht="14.5" customHeight="1" thickBot="1" x14ac:dyDescent="0.4">
      <c r="A2" s="80" t="s">
        <v>86</v>
      </c>
      <c r="B2" s="273" t="s">
        <v>34</v>
      </c>
      <c r="C2" s="424" t="s">
        <v>54</v>
      </c>
      <c r="D2" s="423" t="s">
        <v>14</v>
      </c>
      <c r="E2" s="423" t="s">
        <v>6</v>
      </c>
      <c r="F2" s="166" t="s">
        <v>35</v>
      </c>
      <c r="G2" s="166" t="s">
        <v>37</v>
      </c>
      <c r="H2" s="425" t="s">
        <v>43</v>
      </c>
      <c r="I2" s="81" t="s">
        <v>88</v>
      </c>
      <c r="J2" s="424" t="s">
        <v>14</v>
      </c>
      <c r="K2" s="423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420"/>
      <c r="W2" s="420"/>
      <c r="X2" s="271" t="s">
        <v>97</v>
      </c>
      <c r="Y2" s="272" t="s">
        <v>98</v>
      </c>
      <c r="Z2" s="420"/>
      <c r="AO2" s="420" t="s">
        <v>99</v>
      </c>
    </row>
    <row r="3" spans="1:41" ht="14.5" customHeight="1" thickBot="1" x14ac:dyDescent="0.4">
      <c r="A3" s="821" t="s">
        <v>392</v>
      </c>
      <c r="B3" s="823" t="s">
        <v>180</v>
      </c>
      <c r="C3" s="86" t="s">
        <v>41</v>
      </c>
      <c r="D3" s="86">
        <v>11700</v>
      </c>
      <c r="E3" s="86">
        <v>52.7</v>
      </c>
      <c r="F3" s="167">
        <v>-1112925</v>
      </c>
      <c r="G3" s="167">
        <v>180627</v>
      </c>
      <c r="H3" s="819" t="s">
        <v>55</v>
      </c>
      <c r="I3" s="167">
        <v>13.01</v>
      </c>
      <c r="J3" s="819">
        <v>12000</v>
      </c>
      <c r="K3" s="167">
        <v>2.8</v>
      </c>
      <c r="L3" s="819">
        <v>3381900</v>
      </c>
      <c r="M3" s="816">
        <v>11689.15</v>
      </c>
      <c r="N3" s="816">
        <v>11700</v>
      </c>
      <c r="O3" s="816">
        <v>11693.6</v>
      </c>
      <c r="P3" s="816">
        <v>11749.9</v>
      </c>
      <c r="Q3" s="816">
        <v>11677.7</v>
      </c>
      <c r="R3" s="88" t="s">
        <v>41</v>
      </c>
      <c r="S3" s="421" t="e">
        <v>#REF!</v>
      </c>
      <c r="T3" s="421" t="e">
        <v>#REF!</v>
      </c>
      <c r="U3" s="818" t="e">
        <v>#REF!</v>
      </c>
      <c r="V3" s="420"/>
      <c r="W3" s="420"/>
      <c r="X3" s="420"/>
      <c r="Y3" s="420"/>
      <c r="Z3" s="420"/>
      <c r="AH3" s="420" t="s">
        <v>171</v>
      </c>
      <c r="AI3" s="275">
        <v>0.39583333333333331</v>
      </c>
      <c r="AJ3" s="89">
        <v>43577.659695138886</v>
      </c>
      <c r="AK3" s="420" t="s">
        <v>207</v>
      </c>
      <c r="AO3" s="420" t="s">
        <v>98</v>
      </c>
    </row>
    <row r="4" spans="1:41" ht="14.5" customHeight="1" thickBot="1" x14ac:dyDescent="0.4">
      <c r="A4" s="822"/>
      <c r="B4" s="824"/>
      <c r="C4" s="90" t="s">
        <v>42</v>
      </c>
      <c r="D4" s="168">
        <v>11300</v>
      </c>
      <c r="E4" s="168" t="s">
        <v>211</v>
      </c>
      <c r="F4" s="168">
        <v>1103325</v>
      </c>
      <c r="G4" s="168">
        <v>226557</v>
      </c>
      <c r="H4" s="820"/>
      <c r="I4" s="168" t="s">
        <v>211</v>
      </c>
      <c r="J4" s="820" t="s">
        <v>211</v>
      </c>
      <c r="K4" s="168" t="s">
        <v>211</v>
      </c>
      <c r="L4" s="820" t="s">
        <v>211</v>
      </c>
      <c r="M4" s="817"/>
      <c r="N4" s="817"/>
      <c r="O4" s="817"/>
      <c r="P4" s="817"/>
      <c r="Q4" s="817"/>
      <c r="R4" s="92" t="s">
        <v>42</v>
      </c>
      <c r="S4" s="421" t="s">
        <v>211</v>
      </c>
      <c r="T4" s="421" t="s">
        <v>211</v>
      </c>
      <c r="U4" s="818"/>
      <c r="V4" s="420"/>
      <c r="W4" s="420"/>
      <c r="X4" s="420"/>
      <c r="Y4" s="420"/>
      <c r="Z4" s="420"/>
      <c r="AH4" s="420" t="s">
        <v>172</v>
      </c>
      <c r="AI4" s="275">
        <v>0.39861111111111108</v>
      </c>
      <c r="AJ4" s="420"/>
      <c r="AK4" s="420"/>
    </row>
    <row r="5" spans="1:41" ht="14.5" customHeight="1" thickBot="1" x14ac:dyDescent="0.4">
      <c r="A5" s="821" t="s">
        <v>393</v>
      </c>
      <c r="B5" s="823" t="s">
        <v>180</v>
      </c>
      <c r="C5" s="167" t="s">
        <v>211</v>
      </c>
      <c r="D5" s="167" t="s">
        <v>211</v>
      </c>
      <c r="E5" s="167">
        <v>45.15</v>
      </c>
      <c r="F5" s="167">
        <v>0</v>
      </c>
      <c r="G5" s="167">
        <v>0</v>
      </c>
      <c r="H5" s="819" t="s">
        <v>55</v>
      </c>
      <c r="I5" s="167">
        <v>14.23</v>
      </c>
      <c r="J5" s="819">
        <v>12000</v>
      </c>
      <c r="K5" s="167">
        <v>2.65</v>
      </c>
      <c r="L5" s="819">
        <v>3438600</v>
      </c>
      <c r="M5" s="816">
        <v>11657.7</v>
      </c>
      <c r="N5" s="816">
        <v>11700</v>
      </c>
      <c r="O5" s="816">
        <v>11664.15</v>
      </c>
      <c r="P5" s="816">
        <v>11749.9</v>
      </c>
      <c r="Q5" s="816">
        <v>11657.05</v>
      </c>
      <c r="R5" s="88" t="e">
        <v>#REF!</v>
      </c>
      <c r="S5" s="421" t="e">
        <v>#REF!</v>
      </c>
      <c r="T5" s="421" t="e">
        <v>#REF!</v>
      </c>
      <c r="U5" s="818" t="e">
        <v>#REF!</v>
      </c>
      <c r="V5" s="420"/>
      <c r="W5" s="420"/>
      <c r="X5" s="420"/>
      <c r="Y5" s="420"/>
      <c r="Z5" s="420"/>
      <c r="AI5" s="275">
        <v>0.40625</v>
      </c>
      <c r="AJ5" s="420"/>
      <c r="AK5" s="420" t="s">
        <v>207</v>
      </c>
    </row>
    <row r="6" spans="1:41" ht="14.5" customHeight="1" thickBot="1" x14ac:dyDescent="0.4">
      <c r="A6" s="822"/>
      <c r="B6" s="824"/>
      <c r="C6" s="90" t="s">
        <v>42</v>
      </c>
      <c r="D6" s="168">
        <v>11400</v>
      </c>
      <c r="E6" s="168" t="s">
        <v>211</v>
      </c>
      <c r="F6" s="168">
        <v>0</v>
      </c>
      <c r="G6" s="168">
        <v>0</v>
      </c>
      <c r="H6" s="825"/>
      <c r="I6" s="168" t="s">
        <v>211</v>
      </c>
      <c r="J6" s="820" t="s">
        <v>211</v>
      </c>
      <c r="K6" s="168" t="s">
        <v>211</v>
      </c>
      <c r="L6" s="820" t="s">
        <v>211</v>
      </c>
      <c r="M6" s="817"/>
      <c r="N6" s="817"/>
      <c r="O6" s="817"/>
      <c r="P6" s="817"/>
      <c r="Q6" s="817"/>
      <c r="R6" s="92" t="e">
        <v>#REF!</v>
      </c>
      <c r="S6" s="421" t="s">
        <v>211</v>
      </c>
      <c r="T6" s="421" t="s">
        <v>211</v>
      </c>
      <c r="U6" s="818"/>
      <c r="V6" s="420"/>
      <c r="W6" s="420"/>
      <c r="X6" s="420"/>
      <c r="Y6" s="420"/>
      <c r="Z6" s="420"/>
      <c r="AI6" s="275">
        <v>0.40902777777777777</v>
      </c>
      <c r="AJ6" s="420"/>
      <c r="AK6" s="420"/>
    </row>
    <row r="7" spans="1:41" ht="14.5" customHeight="1" thickBot="1" x14ac:dyDescent="0.4">
      <c r="A7" s="821" t="s">
        <v>394</v>
      </c>
      <c r="B7" s="823" t="s">
        <v>180</v>
      </c>
      <c r="C7" s="167" t="s">
        <v>211</v>
      </c>
      <c r="D7" s="167" t="s">
        <v>211</v>
      </c>
      <c r="E7" s="167">
        <v>47.2</v>
      </c>
      <c r="F7" s="167">
        <v>0</v>
      </c>
      <c r="G7" s="167">
        <v>0</v>
      </c>
      <c r="H7" s="819" t="s">
        <v>55</v>
      </c>
      <c r="I7" s="167">
        <v>0</v>
      </c>
      <c r="J7" s="819">
        <v>12000</v>
      </c>
      <c r="K7" s="167">
        <v>2.4500000000000002</v>
      </c>
      <c r="L7" s="819">
        <v>3555750</v>
      </c>
      <c r="M7" s="816">
        <v>11659.05</v>
      </c>
      <c r="N7" s="816">
        <v>11700</v>
      </c>
      <c r="O7" s="816">
        <v>11666.75</v>
      </c>
      <c r="P7" s="816">
        <v>11749.9</v>
      </c>
      <c r="Q7" s="816">
        <v>11657.05</v>
      </c>
      <c r="R7" s="88" t="e">
        <v>#REF!</v>
      </c>
      <c r="S7" s="421" t="e">
        <v>#REF!</v>
      </c>
      <c r="T7" s="421" t="e">
        <v>#REF!</v>
      </c>
      <c r="U7" s="818" t="e">
        <v>#REF!</v>
      </c>
      <c r="V7" s="420"/>
      <c r="W7" s="420"/>
      <c r="X7" s="420"/>
      <c r="Y7" s="420"/>
      <c r="Z7" s="420"/>
      <c r="AI7" s="275">
        <v>0.41666666666666669</v>
      </c>
      <c r="AJ7" s="420"/>
      <c r="AK7" s="420" t="s">
        <v>207</v>
      </c>
    </row>
    <row r="8" spans="1:41" ht="14.5" customHeight="1" thickBot="1" x14ac:dyDescent="0.4">
      <c r="A8" s="822"/>
      <c r="B8" s="824"/>
      <c r="C8" s="90" t="s">
        <v>42</v>
      </c>
      <c r="D8" s="168">
        <v>11400</v>
      </c>
      <c r="E8" s="168" t="s">
        <v>211</v>
      </c>
      <c r="F8" s="168">
        <v>0</v>
      </c>
      <c r="G8" s="168">
        <v>0</v>
      </c>
      <c r="H8" s="825"/>
      <c r="I8" s="168" t="s">
        <v>211</v>
      </c>
      <c r="J8" s="820" t="s">
        <v>211</v>
      </c>
      <c r="K8" s="168" t="s">
        <v>211</v>
      </c>
      <c r="L8" s="820" t="s">
        <v>211</v>
      </c>
      <c r="M8" s="817"/>
      <c r="N8" s="817"/>
      <c r="O8" s="817"/>
      <c r="P8" s="817"/>
      <c r="Q8" s="817"/>
      <c r="R8" s="92" t="e">
        <v>#REF!</v>
      </c>
      <c r="S8" s="421" t="s">
        <v>211</v>
      </c>
      <c r="T8" s="421" t="s">
        <v>211</v>
      </c>
      <c r="U8" s="818"/>
      <c r="V8" s="420"/>
      <c r="W8" s="420"/>
      <c r="X8" s="420"/>
      <c r="Y8" s="420"/>
      <c r="Z8" s="420"/>
      <c r="AI8" s="275">
        <v>0.41944444444444445</v>
      </c>
      <c r="AJ8" s="420"/>
      <c r="AK8" s="420"/>
    </row>
    <row r="9" spans="1:41" ht="14.5" customHeight="1" thickBot="1" x14ac:dyDescent="0.4">
      <c r="A9" s="821" t="s">
        <v>395</v>
      </c>
      <c r="B9" s="823" t="s">
        <v>180</v>
      </c>
      <c r="C9" s="167" t="s">
        <v>211</v>
      </c>
      <c r="D9" s="167" t="s">
        <v>211</v>
      </c>
      <c r="E9" s="167">
        <v>45.9</v>
      </c>
      <c r="F9" s="167">
        <v>0</v>
      </c>
      <c r="G9" s="167">
        <v>0</v>
      </c>
      <c r="H9" s="819" t="s">
        <v>55</v>
      </c>
      <c r="I9" s="167">
        <v>14.88</v>
      </c>
      <c r="J9" s="819">
        <v>12000</v>
      </c>
      <c r="K9" s="167">
        <v>2.4</v>
      </c>
      <c r="L9" s="819">
        <v>3586200</v>
      </c>
      <c r="M9" s="816">
        <v>11663.25</v>
      </c>
      <c r="N9" s="816">
        <v>11700</v>
      </c>
      <c r="O9" s="816">
        <v>11672.25</v>
      </c>
      <c r="P9" s="816">
        <v>11749.9</v>
      </c>
      <c r="Q9" s="816">
        <v>11655</v>
      </c>
      <c r="R9" s="88" t="e">
        <v>#REF!</v>
      </c>
      <c r="S9" s="421" t="e">
        <v>#REF!</v>
      </c>
      <c r="T9" s="421" t="e">
        <v>#REF!</v>
      </c>
      <c r="U9" s="818" t="e">
        <v>#REF!</v>
      </c>
      <c r="V9" s="420"/>
      <c r="W9" s="420"/>
      <c r="X9" s="718" t="s">
        <v>165</v>
      </c>
      <c r="Y9" s="719"/>
      <c r="Z9" s="719"/>
      <c r="AI9" s="275">
        <v>0.42708333333333331</v>
      </c>
      <c r="AJ9" s="420"/>
      <c r="AK9" s="420" t="s">
        <v>207</v>
      </c>
    </row>
    <row r="10" spans="1:41" ht="14.5" customHeight="1" thickBot="1" x14ac:dyDescent="0.4">
      <c r="A10" s="822"/>
      <c r="B10" s="824"/>
      <c r="C10" s="90" t="s">
        <v>42</v>
      </c>
      <c r="D10" s="168">
        <v>11400</v>
      </c>
      <c r="E10" s="168" t="s">
        <v>211</v>
      </c>
      <c r="F10" s="168">
        <v>0</v>
      </c>
      <c r="G10" s="168">
        <v>0</v>
      </c>
      <c r="H10" s="825"/>
      <c r="I10" s="168" t="s">
        <v>211</v>
      </c>
      <c r="J10" s="820" t="s">
        <v>211</v>
      </c>
      <c r="K10" s="168" t="s">
        <v>211</v>
      </c>
      <c r="L10" s="820" t="s">
        <v>211</v>
      </c>
      <c r="M10" s="817"/>
      <c r="N10" s="817"/>
      <c r="O10" s="817"/>
      <c r="P10" s="817"/>
      <c r="Q10" s="817"/>
      <c r="R10" s="92" t="e">
        <v>#REF!</v>
      </c>
      <c r="S10" s="421" t="s">
        <v>211</v>
      </c>
      <c r="T10" s="421" t="s">
        <v>211</v>
      </c>
      <c r="U10" s="818"/>
      <c r="V10" s="420"/>
      <c r="W10" s="420"/>
      <c r="X10" s="718" t="s">
        <v>365</v>
      </c>
      <c r="Y10" s="719"/>
      <c r="Z10" s="719"/>
      <c r="AI10" s="275">
        <v>0.42986111111111108</v>
      </c>
      <c r="AJ10" s="420"/>
      <c r="AK10" s="420"/>
    </row>
    <row r="11" spans="1:41" ht="14.5" customHeight="1" thickBot="1" x14ac:dyDescent="0.4">
      <c r="A11" s="821" t="s">
        <v>396</v>
      </c>
      <c r="B11" s="823" t="s">
        <v>180</v>
      </c>
      <c r="C11" s="167" t="s">
        <v>211</v>
      </c>
      <c r="D11" s="167" t="s">
        <v>211</v>
      </c>
      <c r="E11" s="167">
        <v>48.1</v>
      </c>
      <c r="F11" s="167">
        <v>0</v>
      </c>
      <c r="G11" s="167">
        <v>0</v>
      </c>
      <c r="H11" s="819" t="s">
        <v>55</v>
      </c>
      <c r="I11" s="167">
        <v>13.95</v>
      </c>
      <c r="J11" s="819">
        <v>12000</v>
      </c>
      <c r="K11" s="167">
        <v>2.4500000000000002</v>
      </c>
      <c r="L11" s="819">
        <v>3638550</v>
      </c>
      <c r="M11" s="816">
        <v>11667.1</v>
      </c>
      <c r="N11" s="816">
        <v>11700</v>
      </c>
      <c r="O11" s="816">
        <v>11675.35</v>
      </c>
      <c r="P11" s="816">
        <v>11749.9</v>
      </c>
      <c r="Q11" s="816">
        <v>11655</v>
      </c>
      <c r="R11" s="88" t="e">
        <v>#REF!</v>
      </c>
      <c r="S11" s="421" t="e">
        <v>#REF!</v>
      </c>
      <c r="T11" s="421" t="e">
        <v>#REF!</v>
      </c>
      <c r="U11" s="818" t="e">
        <v>#REF!</v>
      </c>
      <c r="V11" s="420"/>
      <c r="W11" s="420"/>
      <c r="X11" s="718" t="s">
        <v>366</v>
      </c>
      <c r="Y11" s="718"/>
      <c r="Z11" s="718"/>
      <c r="AI11" s="275">
        <v>0.4375</v>
      </c>
      <c r="AJ11" s="420"/>
      <c r="AK11" s="420" t="s">
        <v>207</v>
      </c>
    </row>
    <row r="12" spans="1:41" ht="14.5" customHeight="1" thickBot="1" x14ac:dyDescent="0.4">
      <c r="A12" s="822"/>
      <c r="B12" s="824"/>
      <c r="C12" s="90" t="s">
        <v>42</v>
      </c>
      <c r="D12" s="168">
        <v>11400</v>
      </c>
      <c r="E12" s="168" t="s">
        <v>211</v>
      </c>
      <c r="F12" s="168">
        <v>-297675</v>
      </c>
      <c r="G12" s="168">
        <v>44628</v>
      </c>
      <c r="H12" s="825"/>
      <c r="I12" s="168" t="s">
        <v>211</v>
      </c>
      <c r="J12" s="820" t="s">
        <v>211</v>
      </c>
      <c r="K12" s="168" t="s">
        <v>211</v>
      </c>
      <c r="L12" s="820" t="s">
        <v>211</v>
      </c>
      <c r="M12" s="817"/>
      <c r="N12" s="817"/>
      <c r="O12" s="817"/>
      <c r="P12" s="817"/>
      <c r="Q12" s="817"/>
      <c r="R12" s="92" t="e">
        <v>#REF!</v>
      </c>
      <c r="S12" s="421" t="s">
        <v>211</v>
      </c>
      <c r="T12" s="421" t="s">
        <v>211</v>
      </c>
      <c r="U12" s="818"/>
      <c r="V12" s="420"/>
      <c r="W12" s="420"/>
      <c r="X12" s="718" t="s">
        <v>167</v>
      </c>
      <c r="Y12" s="718"/>
      <c r="Z12" s="718"/>
      <c r="AI12" s="275">
        <v>0.44027777777777777</v>
      </c>
      <c r="AJ12" s="420"/>
      <c r="AK12" s="420"/>
    </row>
    <row r="13" spans="1:41" ht="14.5" customHeight="1" thickBot="1" x14ac:dyDescent="0.4">
      <c r="A13" s="821" t="s">
        <v>397</v>
      </c>
      <c r="B13" s="823" t="s">
        <v>180</v>
      </c>
      <c r="C13" s="167" t="s">
        <v>211</v>
      </c>
      <c r="D13" s="167" t="s">
        <v>211</v>
      </c>
      <c r="E13" s="167">
        <v>48.1</v>
      </c>
      <c r="F13" s="167" t="s">
        <v>211</v>
      </c>
      <c r="G13" s="167">
        <v>122055</v>
      </c>
      <c r="H13" s="819" t="s">
        <v>55</v>
      </c>
      <c r="I13" s="167">
        <v>13.97</v>
      </c>
      <c r="J13" s="819">
        <v>12000</v>
      </c>
      <c r="K13" s="167">
        <v>2.4500000000000002</v>
      </c>
      <c r="L13" s="819">
        <v>3666900</v>
      </c>
      <c r="M13" s="816">
        <v>11662.75</v>
      </c>
      <c r="N13" s="816">
        <v>11700</v>
      </c>
      <c r="O13" s="816">
        <v>11672.3</v>
      </c>
      <c r="P13" s="816">
        <v>11749.9</v>
      </c>
      <c r="Q13" s="816">
        <v>11655</v>
      </c>
      <c r="R13" s="88" t="e">
        <v>#REF!</v>
      </c>
      <c r="S13" s="421" t="e">
        <v>#REF!</v>
      </c>
      <c r="T13" s="421" t="e">
        <v>#REF!</v>
      </c>
      <c r="U13" s="818" t="e">
        <v>#REF!</v>
      </c>
      <c r="V13" s="420"/>
      <c r="W13" s="420"/>
      <c r="X13" s="718" t="s">
        <v>168</v>
      </c>
      <c r="Y13" s="718"/>
      <c r="Z13" s="718"/>
      <c r="AI13" s="275">
        <v>0.44791666666666669</v>
      </c>
      <c r="AJ13" s="420"/>
      <c r="AK13" s="420" t="s">
        <v>207</v>
      </c>
    </row>
    <row r="14" spans="1:41" ht="14.5" customHeight="1" thickBot="1" x14ac:dyDescent="0.4">
      <c r="A14" s="822"/>
      <c r="B14" s="824"/>
      <c r="C14" s="90" t="s">
        <v>42</v>
      </c>
      <c r="D14" s="168">
        <v>11400</v>
      </c>
      <c r="E14" s="168" t="s">
        <v>211</v>
      </c>
      <c r="F14" s="168">
        <v>-258675</v>
      </c>
      <c r="G14" s="168" t="s">
        <v>211</v>
      </c>
      <c r="H14" s="825"/>
      <c r="I14" s="168" t="s">
        <v>211</v>
      </c>
      <c r="J14" s="820" t="s">
        <v>211</v>
      </c>
      <c r="K14" s="168" t="s">
        <v>211</v>
      </c>
      <c r="L14" s="820" t="s">
        <v>211</v>
      </c>
      <c r="M14" s="817"/>
      <c r="N14" s="817"/>
      <c r="O14" s="817"/>
      <c r="P14" s="817"/>
      <c r="Q14" s="817"/>
      <c r="R14" s="92" t="e">
        <v>#REF!</v>
      </c>
      <c r="S14" s="421" t="s">
        <v>211</v>
      </c>
      <c r="T14" s="421" t="s">
        <v>211</v>
      </c>
      <c r="U14" s="818"/>
      <c r="AI14" s="275">
        <v>0.45069444444444445</v>
      </c>
      <c r="AJ14" s="420"/>
      <c r="AK14" s="420"/>
    </row>
    <row r="15" spans="1:41" ht="14.5" customHeight="1" thickBot="1" x14ac:dyDescent="0.4">
      <c r="A15" s="821" t="s">
        <v>398</v>
      </c>
      <c r="B15" s="823" t="s">
        <v>180</v>
      </c>
      <c r="C15" s="167" t="s">
        <v>211</v>
      </c>
      <c r="D15" s="167" t="s">
        <v>211</v>
      </c>
      <c r="E15" s="167">
        <v>46.9</v>
      </c>
      <c r="F15" s="167" t="s">
        <v>211</v>
      </c>
      <c r="G15" s="167">
        <v>129796</v>
      </c>
      <c r="H15" s="819" t="s">
        <v>55</v>
      </c>
      <c r="I15" s="167">
        <v>14.11</v>
      </c>
      <c r="J15" s="819">
        <v>12000</v>
      </c>
      <c r="K15" s="167">
        <v>2.4500000000000002</v>
      </c>
      <c r="L15" s="819">
        <v>3703800</v>
      </c>
      <c r="M15" s="816">
        <v>11665.35</v>
      </c>
      <c r="N15" s="816">
        <v>11700</v>
      </c>
      <c r="O15" s="816">
        <v>11675</v>
      </c>
      <c r="P15" s="816">
        <v>11749.9</v>
      </c>
      <c r="Q15" s="816">
        <v>11655</v>
      </c>
      <c r="R15" s="88" t="e">
        <v>#REF!</v>
      </c>
      <c r="S15" s="421" t="e">
        <v>#REF!</v>
      </c>
      <c r="T15" s="421" t="e">
        <v>#REF!</v>
      </c>
      <c r="U15" s="818" t="e">
        <v>#REF!</v>
      </c>
      <c r="AI15" s="275">
        <v>0.45833333333333331</v>
      </c>
      <c r="AJ15" s="420"/>
      <c r="AK15" s="420" t="s">
        <v>207</v>
      </c>
    </row>
    <row r="16" spans="1:41" ht="14.5" customHeight="1" thickBot="1" x14ac:dyDescent="0.4">
      <c r="A16" s="822"/>
      <c r="B16" s="824"/>
      <c r="C16" s="90" t="s">
        <v>42</v>
      </c>
      <c r="D16" s="168">
        <v>11600</v>
      </c>
      <c r="E16" s="168" t="s">
        <v>211</v>
      </c>
      <c r="F16" s="168">
        <v>357675</v>
      </c>
      <c r="G16" s="168" t="s">
        <v>211</v>
      </c>
      <c r="H16" s="825"/>
      <c r="I16" s="168" t="s">
        <v>211</v>
      </c>
      <c r="J16" s="820" t="s">
        <v>211</v>
      </c>
      <c r="K16" s="168" t="s">
        <v>211</v>
      </c>
      <c r="L16" s="820" t="s">
        <v>211</v>
      </c>
      <c r="M16" s="817"/>
      <c r="N16" s="817"/>
      <c r="O16" s="817"/>
      <c r="P16" s="817"/>
      <c r="Q16" s="817"/>
      <c r="R16" s="92" t="e">
        <v>#REF!</v>
      </c>
      <c r="S16" s="421" t="s">
        <v>211</v>
      </c>
      <c r="T16" s="421" t="s">
        <v>211</v>
      </c>
      <c r="U16" s="818"/>
      <c r="AI16" s="275">
        <v>0.46111111111111108</v>
      </c>
      <c r="AJ16" s="420"/>
      <c r="AK16" s="420"/>
    </row>
    <row r="17" spans="1:37" ht="14.5" customHeight="1" thickBot="1" x14ac:dyDescent="0.4">
      <c r="A17" s="821" t="s">
        <v>211</v>
      </c>
      <c r="B17" s="823" t="s">
        <v>211</v>
      </c>
      <c r="C17" s="167" t="s">
        <v>211</v>
      </c>
      <c r="D17" s="167" t="s">
        <v>211</v>
      </c>
      <c r="E17" s="167" t="s">
        <v>211</v>
      </c>
      <c r="F17" s="167" t="s">
        <v>211</v>
      </c>
      <c r="G17" s="167" t="s">
        <v>211</v>
      </c>
      <c r="H17" s="819" t="s">
        <v>211</v>
      </c>
      <c r="I17" s="167" t="s">
        <v>211</v>
      </c>
      <c r="J17" s="819" t="s">
        <v>211</v>
      </c>
      <c r="K17" s="167" t="s">
        <v>211</v>
      </c>
      <c r="L17" s="819" t="s">
        <v>211</v>
      </c>
      <c r="M17" s="816" t="s">
        <v>211</v>
      </c>
      <c r="N17" s="816" t="s">
        <v>211</v>
      </c>
      <c r="O17" s="816" t="s">
        <v>211</v>
      </c>
      <c r="P17" s="816" t="s">
        <v>211</v>
      </c>
      <c r="Q17" s="816" t="s">
        <v>211</v>
      </c>
      <c r="R17" s="88" t="s">
        <v>211</v>
      </c>
      <c r="S17" s="421" t="s">
        <v>211</v>
      </c>
      <c r="T17" s="421" t="s">
        <v>211</v>
      </c>
      <c r="U17" s="818" t="s">
        <v>211</v>
      </c>
      <c r="AI17" s="275">
        <v>0.46875</v>
      </c>
      <c r="AJ17" s="420"/>
      <c r="AK17" s="420" t="s">
        <v>207</v>
      </c>
    </row>
    <row r="18" spans="1:37" ht="14.5" customHeight="1" thickBot="1" x14ac:dyDescent="0.4">
      <c r="A18" s="822"/>
      <c r="B18" s="824"/>
      <c r="C18" s="90" t="s">
        <v>211</v>
      </c>
      <c r="D18" s="168" t="s">
        <v>211</v>
      </c>
      <c r="E18" s="168" t="s">
        <v>211</v>
      </c>
      <c r="F18" s="168" t="s">
        <v>211</v>
      </c>
      <c r="G18" s="168" t="s">
        <v>211</v>
      </c>
      <c r="H18" s="825"/>
      <c r="I18" s="168" t="s">
        <v>211</v>
      </c>
      <c r="J18" s="820" t="s">
        <v>211</v>
      </c>
      <c r="K18" s="168" t="s">
        <v>211</v>
      </c>
      <c r="L18" s="820" t="s">
        <v>211</v>
      </c>
      <c r="M18" s="817"/>
      <c r="N18" s="817"/>
      <c r="O18" s="817"/>
      <c r="P18" s="817"/>
      <c r="Q18" s="817"/>
      <c r="R18" s="92" t="s">
        <v>211</v>
      </c>
      <c r="S18" s="421" t="s">
        <v>211</v>
      </c>
      <c r="T18" s="421" t="s">
        <v>211</v>
      </c>
      <c r="U18" s="818"/>
      <c r="AI18" s="275">
        <v>0.47152777777777777</v>
      </c>
      <c r="AJ18" s="420"/>
      <c r="AK18" s="420"/>
    </row>
    <row r="19" spans="1:37" ht="14.5" customHeight="1" thickBot="1" x14ac:dyDescent="0.4">
      <c r="A19" s="821" t="s">
        <v>211</v>
      </c>
      <c r="B19" s="823" t="s">
        <v>211</v>
      </c>
      <c r="C19" s="167" t="s">
        <v>211</v>
      </c>
      <c r="D19" s="167" t="s">
        <v>211</v>
      </c>
      <c r="E19" s="167" t="s">
        <v>211</v>
      </c>
      <c r="F19" s="167" t="s">
        <v>211</v>
      </c>
      <c r="G19" s="167" t="s">
        <v>211</v>
      </c>
      <c r="H19" s="819" t="s">
        <v>211</v>
      </c>
      <c r="I19" s="167" t="s">
        <v>211</v>
      </c>
      <c r="J19" s="819" t="s">
        <v>211</v>
      </c>
      <c r="K19" s="167" t="s">
        <v>211</v>
      </c>
      <c r="L19" s="819" t="s">
        <v>211</v>
      </c>
      <c r="M19" s="816" t="s">
        <v>211</v>
      </c>
      <c r="N19" s="816" t="s">
        <v>211</v>
      </c>
      <c r="O19" s="816" t="s">
        <v>211</v>
      </c>
      <c r="P19" s="816" t="s">
        <v>211</v>
      </c>
      <c r="Q19" s="816" t="s">
        <v>211</v>
      </c>
      <c r="R19" s="88" t="s">
        <v>211</v>
      </c>
      <c r="S19" s="421" t="s">
        <v>211</v>
      </c>
      <c r="T19" s="421" t="s">
        <v>211</v>
      </c>
      <c r="U19" s="818" t="s">
        <v>211</v>
      </c>
      <c r="AI19" s="275">
        <v>0.47916666666666669</v>
      </c>
      <c r="AJ19" s="420"/>
      <c r="AK19" s="420" t="s">
        <v>207</v>
      </c>
    </row>
    <row r="20" spans="1:37" ht="14.5" customHeight="1" thickBot="1" x14ac:dyDescent="0.4">
      <c r="A20" s="822"/>
      <c r="B20" s="824"/>
      <c r="C20" s="90" t="s">
        <v>211</v>
      </c>
      <c r="D20" s="168" t="s">
        <v>211</v>
      </c>
      <c r="E20" s="168" t="s">
        <v>211</v>
      </c>
      <c r="F20" s="168" t="s">
        <v>211</v>
      </c>
      <c r="G20" s="168" t="s">
        <v>211</v>
      </c>
      <c r="H20" s="825"/>
      <c r="I20" s="168" t="s">
        <v>211</v>
      </c>
      <c r="J20" s="820" t="s">
        <v>211</v>
      </c>
      <c r="K20" s="168" t="s">
        <v>211</v>
      </c>
      <c r="L20" s="820" t="s">
        <v>211</v>
      </c>
      <c r="M20" s="817"/>
      <c r="N20" s="817"/>
      <c r="O20" s="817"/>
      <c r="P20" s="817"/>
      <c r="Q20" s="817"/>
      <c r="R20" s="92" t="s">
        <v>211</v>
      </c>
      <c r="S20" s="421" t="s">
        <v>211</v>
      </c>
      <c r="T20" s="421" t="s">
        <v>211</v>
      </c>
      <c r="U20" s="818"/>
      <c r="AI20" s="275">
        <v>0.48194444444444445</v>
      </c>
      <c r="AJ20" s="420"/>
      <c r="AK20" s="420"/>
    </row>
    <row r="21" spans="1:37" ht="14.5" customHeight="1" thickBot="1" x14ac:dyDescent="0.4">
      <c r="A21" s="821" t="s">
        <v>211</v>
      </c>
      <c r="B21" s="823" t="s">
        <v>211</v>
      </c>
      <c r="C21" s="167" t="s">
        <v>211</v>
      </c>
      <c r="D21" s="167" t="s">
        <v>211</v>
      </c>
      <c r="E21" s="167" t="s">
        <v>211</v>
      </c>
      <c r="F21" s="167" t="s">
        <v>211</v>
      </c>
      <c r="G21" s="167" t="s">
        <v>211</v>
      </c>
      <c r="H21" s="819" t="s">
        <v>211</v>
      </c>
      <c r="I21" s="167" t="s">
        <v>211</v>
      </c>
      <c r="J21" s="819" t="s">
        <v>211</v>
      </c>
      <c r="K21" s="167" t="s">
        <v>211</v>
      </c>
      <c r="L21" s="819" t="s">
        <v>211</v>
      </c>
      <c r="M21" s="816" t="s">
        <v>211</v>
      </c>
      <c r="N21" s="816" t="s">
        <v>211</v>
      </c>
      <c r="O21" s="816" t="s">
        <v>211</v>
      </c>
      <c r="P21" s="816" t="s">
        <v>211</v>
      </c>
      <c r="Q21" s="816" t="s">
        <v>211</v>
      </c>
      <c r="R21" s="88" t="s">
        <v>211</v>
      </c>
      <c r="S21" s="421" t="s">
        <v>211</v>
      </c>
      <c r="T21" s="421" t="s">
        <v>211</v>
      </c>
      <c r="U21" s="818" t="s">
        <v>211</v>
      </c>
      <c r="AI21" s="275">
        <v>0.48958333333333331</v>
      </c>
      <c r="AJ21" s="420"/>
      <c r="AK21" s="420" t="s">
        <v>207</v>
      </c>
    </row>
    <row r="22" spans="1:37" ht="14.5" customHeight="1" thickBot="1" x14ac:dyDescent="0.4">
      <c r="A22" s="822"/>
      <c r="B22" s="824"/>
      <c r="C22" s="90" t="s">
        <v>211</v>
      </c>
      <c r="D22" s="168" t="s">
        <v>211</v>
      </c>
      <c r="E22" s="168" t="s">
        <v>211</v>
      </c>
      <c r="F22" s="168" t="s">
        <v>211</v>
      </c>
      <c r="G22" s="168" t="s">
        <v>211</v>
      </c>
      <c r="H22" s="825"/>
      <c r="I22" s="168" t="s">
        <v>211</v>
      </c>
      <c r="J22" s="820" t="s">
        <v>211</v>
      </c>
      <c r="K22" s="168" t="s">
        <v>211</v>
      </c>
      <c r="L22" s="820" t="s">
        <v>211</v>
      </c>
      <c r="M22" s="817"/>
      <c r="N22" s="817"/>
      <c r="O22" s="817"/>
      <c r="P22" s="817"/>
      <c r="Q22" s="817"/>
      <c r="R22" s="92" t="s">
        <v>211</v>
      </c>
      <c r="S22" s="421" t="s">
        <v>211</v>
      </c>
      <c r="T22" s="421" t="s">
        <v>211</v>
      </c>
      <c r="U22" s="818"/>
      <c r="AI22" s="275">
        <v>0.49236111111111108</v>
      </c>
      <c r="AJ22" s="420"/>
      <c r="AK22" s="420"/>
    </row>
    <row r="23" spans="1:37" ht="14.5" customHeight="1" thickBot="1" x14ac:dyDescent="0.4">
      <c r="A23" s="821" t="s">
        <v>211</v>
      </c>
      <c r="B23" s="823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19" t="s">
        <v>211</v>
      </c>
      <c r="I23" s="167" t="s">
        <v>211</v>
      </c>
      <c r="J23" s="819" t="s">
        <v>211</v>
      </c>
      <c r="K23" s="167" t="s">
        <v>211</v>
      </c>
      <c r="L23" s="819" t="s">
        <v>211</v>
      </c>
      <c r="M23" s="816" t="s">
        <v>211</v>
      </c>
      <c r="N23" s="816" t="s">
        <v>211</v>
      </c>
      <c r="O23" s="816" t="s">
        <v>211</v>
      </c>
      <c r="P23" s="816" t="s">
        <v>211</v>
      </c>
      <c r="Q23" s="816" t="s">
        <v>211</v>
      </c>
      <c r="R23" s="88" t="s">
        <v>211</v>
      </c>
      <c r="S23" s="421" t="s">
        <v>211</v>
      </c>
      <c r="T23" s="421" t="s">
        <v>211</v>
      </c>
      <c r="U23" s="818" t="s">
        <v>211</v>
      </c>
      <c r="AI23" s="275">
        <v>0.5</v>
      </c>
      <c r="AJ23" s="420"/>
      <c r="AK23" s="420" t="s">
        <v>207</v>
      </c>
    </row>
    <row r="24" spans="1:37" ht="14.5" customHeight="1" thickBot="1" x14ac:dyDescent="0.4">
      <c r="A24" s="822"/>
      <c r="B24" s="824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25"/>
      <c r="I24" s="168" t="s">
        <v>211</v>
      </c>
      <c r="J24" s="820" t="s">
        <v>211</v>
      </c>
      <c r="K24" s="168" t="s">
        <v>211</v>
      </c>
      <c r="L24" s="820" t="s">
        <v>211</v>
      </c>
      <c r="M24" s="817"/>
      <c r="N24" s="817"/>
      <c r="O24" s="817"/>
      <c r="P24" s="817"/>
      <c r="Q24" s="817"/>
      <c r="R24" s="92" t="s">
        <v>211</v>
      </c>
      <c r="S24" s="421" t="s">
        <v>211</v>
      </c>
      <c r="T24" s="421" t="s">
        <v>211</v>
      </c>
      <c r="U24" s="818"/>
      <c r="AI24" s="275">
        <v>0.50277777777777777</v>
      </c>
      <c r="AJ24" s="420"/>
      <c r="AK24" s="420"/>
    </row>
    <row r="25" spans="1:37" ht="14.5" customHeight="1" thickBot="1" x14ac:dyDescent="0.4">
      <c r="A25" s="821" t="s">
        <v>219</v>
      </c>
      <c r="B25" s="823" t="s">
        <v>180</v>
      </c>
      <c r="C25" s="167" t="s">
        <v>211</v>
      </c>
      <c r="D25" s="167" t="s">
        <v>211</v>
      </c>
      <c r="E25" s="167">
        <v>44.85</v>
      </c>
      <c r="F25" s="167" t="s">
        <v>211</v>
      </c>
      <c r="G25" s="167">
        <v>161592</v>
      </c>
      <c r="H25" s="819" t="s">
        <v>55</v>
      </c>
      <c r="I25" s="167">
        <v>14.25</v>
      </c>
      <c r="J25" s="819">
        <v>11800</v>
      </c>
      <c r="K25" s="167">
        <v>15.65</v>
      </c>
      <c r="L25" s="819">
        <v>3983475</v>
      </c>
      <c r="M25" s="816">
        <v>11653.05</v>
      </c>
      <c r="N25" s="816">
        <v>11700</v>
      </c>
      <c r="O25" s="816">
        <v>11668</v>
      </c>
      <c r="P25" s="816">
        <v>11749.9</v>
      </c>
      <c r="Q25" s="816">
        <v>11655</v>
      </c>
      <c r="R25" s="88" t="e">
        <v>#REF!</v>
      </c>
      <c r="S25" s="421" t="e">
        <v>#REF!</v>
      </c>
      <c r="T25" s="421" t="e">
        <v>#REF!</v>
      </c>
      <c r="U25" s="818" t="e">
        <v>#REF!</v>
      </c>
      <c r="AI25" s="275">
        <v>0.51041666666666663</v>
      </c>
      <c r="AJ25" s="420"/>
      <c r="AK25" s="420" t="s">
        <v>207</v>
      </c>
    </row>
    <row r="26" spans="1:37" ht="14.5" customHeight="1" thickBot="1" x14ac:dyDescent="0.4">
      <c r="A26" s="822"/>
      <c r="B26" s="824"/>
      <c r="C26" s="90" t="s">
        <v>42</v>
      </c>
      <c r="D26" s="168">
        <v>11600</v>
      </c>
      <c r="E26" s="168" t="s">
        <v>211</v>
      </c>
      <c r="F26" s="168">
        <v>485100</v>
      </c>
      <c r="G26" s="168" t="s">
        <v>211</v>
      </c>
      <c r="H26" s="825"/>
      <c r="I26" s="168" t="s">
        <v>211</v>
      </c>
      <c r="J26" s="820" t="s">
        <v>211</v>
      </c>
      <c r="K26" s="168" t="s">
        <v>211</v>
      </c>
      <c r="L26" s="820" t="s">
        <v>211</v>
      </c>
      <c r="M26" s="817"/>
      <c r="N26" s="817"/>
      <c r="O26" s="817"/>
      <c r="P26" s="817"/>
      <c r="Q26" s="817"/>
      <c r="R26" s="92" t="e">
        <v>#REF!</v>
      </c>
      <c r="S26" s="421" t="s">
        <v>211</v>
      </c>
      <c r="T26" s="421" t="s">
        <v>211</v>
      </c>
      <c r="U26" s="818"/>
      <c r="AI26" s="275">
        <v>0.5131944444444444</v>
      </c>
      <c r="AJ26" s="420"/>
      <c r="AK26" s="420"/>
    </row>
    <row r="27" spans="1:37" ht="14.5" customHeight="1" thickBot="1" x14ac:dyDescent="0.4">
      <c r="A27" s="821" t="s">
        <v>399</v>
      </c>
      <c r="B27" s="823" t="s">
        <v>180</v>
      </c>
      <c r="C27" s="167" t="s">
        <v>211</v>
      </c>
      <c r="D27" s="167" t="s">
        <v>211</v>
      </c>
      <c r="E27" s="167">
        <v>46.25</v>
      </c>
      <c r="F27" s="167" t="s">
        <v>211</v>
      </c>
      <c r="G27" s="167">
        <v>168527</v>
      </c>
      <c r="H27" s="819" t="s">
        <v>55</v>
      </c>
      <c r="I27" s="167">
        <v>14.54</v>
      </c>
      <c r="J27" s="819">
        <v>11800</v>
      </c>
      <c r="K27" s="167">
        <v>16.05</v>
      </c>
      <c r="L27" s="819">
        <v>3930600</v>
      </c>
      <c r="M27" s="816">
        <v>11658.25</v>
      </c>
      <c r="N27" s="816">
        <v>11700</v>
      </c>
      <c r="O27" s="816">
        <v>11673.15</v>
      </c>
      <c r="P27" s="816">
        <v>11749.9</v>
      </c>
      <c r="Q27" s="816">
        <v>11655</v>
      </c>
      <c r="R27" s="88" t="e">
        <v>#REF!</v>
      </c>
      <c r="S27" s="421" t="e">
        <v>#REF!</v>
      </c>
      <c r="T27" s="421" t="e">
        <v>#REF!</v>
      </c>
      <c r="U27" s="818" t="e">
        <v>#REF!</v>
      </c>
      <c r="AI27" s="275">
        <v>0.52083333333333337</v>
      </c>
      <c r="AJ27" s="420"/>
      <c r="AK27" s="420" t="s">
        <v>207</v>
      </c>
    </row>
    <row r="28" spans="1:37" ht="14.5" customHeight="1" thickBot="1" x14ac:dyDescent="0.4">
      <c r="A28" s="822"/>
      <c r="B28" s="824"/>
      <c r="C28" s="90" t="s">
        <v>42</v>
      </c>
      <c r="D28" s="168">
        <v>11600</v>
      </c>
      <c r="E28" s="168" t="s">
        <v>211</v>
      </c>
      <c r="F28" s="168">
        <v>507600</v>
      </c>
      <c r="G28" s="168" t="s">
        <v>211</v>
      </c>
      <c r="H28" s="825"/>
      <c r="I28" s="168" t="s">
        <v>211</v>
      </c>
      <c r="J28" s="820" t="s">
        <v>211</v>
      </c>
      <c r="K28" s="168" t="s">
        <v>211</v>
      </c>
      <c r="L28" s="820" t="s">
        <v>211</v>
      </c>
      <c r="M28" s="817"/>
      <c r="N28" s="817"/>
      <c r="O28" s="817"/>
      <c r="P28" s="817"/>
      <c r="Q28" s="817"/>
      <c r="R28" s="92" t="e">
        <v>#REF!</v>
      </c>
      <c r="S28" s="421" t="s">
        <v>211</v>
      </c>
      <c r="T28" s="421" t="s">
        <v>211</v>
      </c>
      <c r="U28" s="818"/>
      <c r="AI28" s="275">
        <v>0.52361111111111114</v>
      </c>
      <c r="AJ28" s="420"/>
      <c r="AK28" s="420"/>
    </row>
    <row r="29" spans="1:37" ht="15" customHeight="1" thickBot="1" x14ac:dyDescent="0.4">
      <c r="A29" s="821" t="s">
        <v>400</v>
      </c>
      <c r="B29" s="823" t="s">
        <v>180</v>
      </c>
      <c r="C29" s="167" t="s">
        <v>211</v>
      </c>
      <c r="D29" s="167" t="s">
        <v>211</v>
      </c>
      <c r="E29" s="167">
        <v>44.35</v>
      </c>
      <c r="F29" s="167" t="s">
        <v>211</v>
      </c>
      <c r="G29" s="167">
        <v>173132</v>
      </c>
      <c r="H29" s="819" t="s">
        <v>55</v>
      </c>
      <c r="I29" s="167">
        <v>14.3</v>
      </c>
      <c r="J29" s="819">
        <v>12000</v>
      </c>
      <c r="K29" s="167">
        <v>2.2999999999999998</v>
      </c>
      <c r="L29" s="819">
        <v>4105425</v>
      </c>
      <c r="M29" s="816">
        <v>11654.65</v>
      </c>
      <c r="N29" s="816">
        <v>11700</v>
      </c>
      <c r="O29" s="816">
        <v>11670</v>
      </c>
      <c r="P29" s="816">
        <v>11749.9</v>
      </c>
      <c r="Q29" s="816">
        <v>11655</v>
      </c>
      <c r="R29" s="88" t="e">
        <v>#REF!</v>
      </c>
      <c r="S29" s="421" t="e">
        <v>#REF!</v>
      </c>
      <c r="T29" s="421" t="e">
        <v>#REF!</v>
      </c>
      <c r="U29" s="818" t="e">
        <v>#REF!</v>
      </c>
      <c r="AI29" s="275">
        <v>0.53125</v>
      </c>
      <c r="AK29" s="420" t="s">
        <v>207</v>
      </c>
    </row>
    <row r="30" spans="1:37" ht="15" customHeight="1" thickBot="1" x14ac:dyDescent="0.4">
      <c r="A30" s="822"/>
      <c r="B30" s="824"/>
      <c r="C30" s="90" t="s">
        <v>42</v>
      </c>
      <c r="D30" s="168">
        <v>11600</v>
      </c>
      <c r="E30" s="168" t="s">
        <v>211</v>
      </c>
      <c r="F30" s="168">
        <v>508275</v>
      </c>
      <c r="G30" s="168" t="s">
        <v>211</v>
      </c>
      <c r="H30" s="825"/>
      <c r="I30" s="168" t="s">
        <v>211</v>
      </c>
      <c r="J30" s="820" t="s">
        <v>211</v>
      </c>
      <c r="K30" s="168" t="s">
        <v>211</v>
      </c>
      <c r="L30" s="820" t="s">
        <v>211</v>
      </c>
      <c r="M30" s="817"/>
      <c r="N30" s="817"/>
      <c r="O30" s="817"/>
      <c r="P30" s="817"/>
      <c r="Q30" s="817"/>
      <c r="R30" s="92" t="e">
        <v>#REF!</v>
      </c>
      <c r="S30" s="421" t="s">
        <v>211</v>
      </c>
      <c r="T30" s="421" t="s">
        <v>211</v>
      </c>
      <c r="U30" s="818"/>
      <c r="AI30" s="275">
        <v>0.53402777777777777</v>
      </c>
      <c r="AK30" s="420"/>
    </row>
    <row r="31" spans="1:37" ht="15" customHeight="1" thickBot="1" x14ac:dyDescent="0.4">
      <c r="A31" s="821" t="s">
        <v>401</v>
      </c>
      <c r="B31" s="823" t="s">
        <v>180</v>
      </c>
      <c r="C31" s="167" t="s">
        <v>211</v>
      </c>
      <c r="D31" s="167" t="s">
        <v>211</v>
      </c>
      <c r="E31" s="167">
        <v>41.05</v>
      </c>
      <c r="F31" s="167" t="s">
        <v>211</v>
      </c>
      <c r="G31" s="167">
        <v>192166</v>
      </c>
      <c r="H31" s="819" t="s">
        <v>55</v>
      </c>
      <c r="I31" s="167">
        <v>14.17</v>
      </c>
      <c r="J31" s="819">
        <v>12000</v>
      </c>
      <c r="K31" s="167">
        <v>2.25</v>
      </c>
      <c r="L31" s="819">
        <v>4121625</v>
      </c>
      <c r="M31" s="816">
        <v>11648.1</v>
      </c>
      <c r="N31" s="816">
        <v>11700</v>
      </c>
      <c r="O31" s="816">
        <v>11662</v>
      </c>
      <c r="P31" s="816">
        <v>11749.9</v>
      </c>
      <c r="Q31" s="816">
        <v>11653.05</v>
      </c>
      <c r="R31" s="88" t="e">
        <v>#REF!</v>
      </c>
      <c r="S31" s="421" t="e">
        <v>#REF!</v>
      </c>
      <c r="T31" s="421" t="e">
        <v>#REF!</v>
      </c>
      <c r="U31" s="818" t="e">
        <v>#REF!</v>
      </c>
      <c r="AI31" s="275">
        <v>0.54166666666666663</v>
      </c>
      <c r="AK31" s="420" t="s">
        <v>207</v>
      </c>
    </row>
    <row r="32" spans="1:37" ht="15" customHeight="1" thickBot="1" x14ac:dyDescent="0.4">
      <c r="A32" s="822"/>
      <c r="B32" s="824"/>
      <c r="C32" s="90" t="s">
        <v>42</v>
      </c>
      <c r="D32" s="168">
        <v>11600</v>
      </c>
      <c r="E32" s="168" t="s">
        <v>211</v>
      </c>
      <c r="F32" s="168">
        <v>560400</v>
      </c>
      <c r="G32" s="168" t="s">
        <v>211</v>
      </c>
      <c r="H32" s="825"/>
      <c r="I32" s="168" t="s">
        <v>211</v>
      </c>
      <c r="J32" s="820" t="s">
        <v>211</v>
      </c>
      <c r="K32" s="168" t="s">
        <v>211</v>
      </c>
      <c r="L32" s="820" t="s">
        <v>211</v>
      </c>
      <c r="M32" s="817"/>
      <c r="N32" s="817"/>
      <c r="O32" s="817"/>
      <c r="P32" s="817"/>
      <c r="Q32" s="817"/>
      <c r="R32" s="92" t="e">
        <v>#REF!</v>
      </c>
      <c r="S32" s="421" t="s">
        <v>211</v>
      </c>
      <c r="T32" s="421" t="s">
        <v>211</v>
      </c>
      <c r="U32" s="818"/>
      <c r="AI32" s="275">
        <v>0.5444444444444444</v>
      </c>
      <c r="AK32" s="420"/>
    </row>
    <row r="33" spans="1:37" ht="15" customHeight="1" thickBot="1" x14ac:dyDescent="0.4">
      <c r="A33" s="821" t="s">
        <v>402</v>
      </c>
      <c r="B33" s="823" t="s">
        <v>180</v>
      </c>
      <c r="C33" s="167" t="s">
        <v>211</v>
      </c>
      <c r="D33" s="167" t="s">
        <v>211</v>
      </c>
      <c r="E33" s="167">
        <v>39.5</v>
      </c>
      <c r="F33" s="167" t="s">
        <v>211</v>
      </c>
      <c r="G33" s="167">
        <v>194036</v>
      </c>
      <c r="H33" s="819" t="s">
        <v>55</v>
      </c>
      <c r="I33" s="167">
        <v>14.17</v>
      </c>
      <c r="J33" s="819">
        <v>12000</v>
      </c>
      <c r="K33" s="167">
        <v>2.15</v>
      </c>
      <c r="L33" s="819">
        <v>4106100</v>
      </c>
      <c r="M33" s="816">
        <v>11643.15</v>
      </c>
      <c r="N33" s="816">
        <v>11700</v>
      </c>
      <c r="O33" s="816">
        <v>11656.6</v>
      </c>
      <c r="P33" s="816">
        <v>11749.9</v>
      </c>
      <c r="Q33" s="816">
        <v>11653.05</v>
      </c>
      <c r="R33" s="88" t="e">
        <v>#REF!</v>
      </c>
      <c r="S33" s="421" t="e">
        <v>#REF!</v>
      </c>
      <c r="T33" s="421" t="e">
        <v>#REF!</v>
      </c>
      <c r="U33" s="818" t="e">
        <v>#REF!</v>
      </c>
      <c r="AI33" s="275">
        <v>0.55208333333333337</v>
      </c>
      <c r="AK33" s="420" t="s">
        <v>207</v>
      </c>
    </row>
    <row r="34" spans="1:37" ht="15" customHeight="1" thickBot="1" x14ac:dyDescent="0.4">
      <c r="A34" s="822"/>
      <c r="B34" s="824"/>
      <c r="C34" s="90" t="s">
        <v>42</v>
      </c>
      <c r="D34" s="168">
        <v>11600</v>
      </c>
      <c r="E34" s="168" t="s">
        <v>211</v>
      </c>
      <c r="F34" s="168">
        <v>560400</v>
      </c>
      <c r="G34" s="168" t="s">
        <v>211</v>
      </c>
      <c r="H34" s="825"/>
      <c r="I34" s="168" t="s">
        <v>211</v>
      </c>
      <c r="J34" s="820" t="s">
        <v>211</v>
      </c>
      <c r="K34" s="168" t="s">
        <v>211</v>
      </c>
      <c r="L34" s="820" t="s">
        <v>211</v>
      </c>
      <c r="M34" s="817"/>
      <c r="N34" s="817"/>
      <c r="O34" s="817"/>
      <c r="P34" s="817"/>
      <c r="Q34" s="817"/>
      <c r="R34" s="92" t="e">
        <v>#REF!</v>
      </c>
      <c r="S34" s="421" t="s">
        <v>211</v>
      </c>
      <c r="T34" s="421" t="s">
        <v>211</v>
      </c>
      <c r="U34" s="818"/>
      <c r="AI34" s="275">
        <v>0.55486111111111114</v>
      </c>
      <c r="AK34" s="420"/>
    </row>
    <row r="35" spans="1:37" ht="15" customHeight="1" thickBot="1" x14ac:dyDescent="0.4">
      <c r="A35" s="821" t="s">
        <v>402</v>
      </c>
      <c r="B35" s="823" t="s">
        <v>180</v>
      </c>
      <c r="C35" s="167" t="s">
        <v>211</v>
      </c>
      <c r="D35" s="167" t="s">
        <v>211</v>
      </c>
      <c r="E35" s="167">
        <v>39.5</v>
      </c>
      <c r="F35" s="167" t="s">
        <v>211</v>
      </c>
      <c r="G35" s="167">
        <v>194036</v>
      </c>
      <c r="H35" s="819" t="s">
        <v>55</v>
      </c>
      <c r="I35" s="167">
        <v>14.17</v>
      </c>
      <c r="J35" s="819">
        <v>12000</v>
      </c>
      <c r="K35" s="167">
        <v>2.15</v>
      </c>
      <c r="L35" s="819">
        <v>4106100</v>
      </c>
      <c r="M35" s="816">
        <v>11643.15</v>
      </c>
      <c r="N35" s="816">
        <v>11700</v>
      </c>
      <c r="O35" s="816">
        <v>11656.6</v>
      </c>
      <c r="P35" s="816">
        <v>11749.9</v>
      </c>
      <c r="Q35" s="816">
        <v>11653.05</v>
      </c>
      <c r="R35" s="88" t="e">
        <v>#REF!</v>
      </c>
      <c r="S35" s="421" t="e">
        <v>#REF!</v>
      </c>
      <c r="T35" s="421" t="e">
        <v>#REF!</v>
      </c>
      <c r="U35" s="818" t="e">
        <v>#REF!</v>
      </c>
      <c r="AI35" s="275">
        <v>0.5625</v>
      </c>
      <c r="AK35" s="420" t="s">
        <v>207</v>
      </c>
    </row>
    <row r="36" spans="1:37" ht="15" customHeight="1" thickBot="1" x14ac:dyDescent="0.4">
      <c r="A36" s="822"/>
      <c r="B36" s="824"/>
      <c r="C36" s="90" t="s">
        <v>42</v>
      </c>
      <c r="D36" s="168">
        <v>11600</v>
      </c>
      <c r="E36" s="168" t="s">
        <v>211</v>
      </c>
      <c r="F36" s="168">
        <v>560400</v>
      </c>
      <c r="G36" s="168" t="s">
        <v>211</v>
      </c>
      <c r="H36" s="825"/>
      <c r="I36" s="168" t="s">
        <v>211</v>
      </c>
      <c r="J36" s="820" t="s">
        <v>211</v>
      </c>
      <c r="K36" s="168" t="s">
        <v>211</v>
      </c>
      <c r="L36" s="820" t="s">
        <v>211</v>
      </c>
      <c r="M36" s="817"/>
      <c r="N36" s="817"/>
      <c r="O36" s="817"/>
      <c r="P36" s="817"/>
      <c r="Q36" s="817"/>
      <c r="R36" s="92" t="e">
        <v>#REF!</v>
      </c>
      <c r="S36" s="421" t="s">
        <v>211</v>
      </c>
      <c r="T36" s="421" t="s">
        <v>211</v>
      </c>
      <c r="U36" s="818"/>
      <c r="AI36" s="275">
        <v>0.56527777777777777</v>
      </c>
      <c r="AK36" s="420"/>
    </row>
    <row r="37" spans="1:37" ht="15" customHeight="1" thickBot="1" x14ac:dyDescent="0.4">
      <c r="A37" s="821" t="s">
        <v>334</v>
      </c>
      <c r="B37" s="823" t="s">
        <v>180</v>
      </c>
      <c r="C37" s="167" t="s">
        <v>211</v>
      </c>
      <c r="D37" s="167" t="s">
        <v>211</v>
      </c>
      <c r="E37" s="167">
        <v>39.950000000000003</v>
      </c>
      <c r="F37" s="167" t="s">
        <v>211</v>
      </c>
      <c r="G37" s="167">
        <v>252490</v>
      </c>
      <c r="H37" s="819" t="s">
        <v>55</v>
      </c>
      <c r="I37" s="167">
        <v>13.94</v>
      </c>
      <c r="J37" s="819">
        <v>11700</v>
      </c>
      <c r="K37" s="167">
        <v>39.950000000000003</v>
      </c>
      <c r="L37" s="819">
        <v>4200825</v>
      </c>
      <c r="M37" s="816">
        <v>11649.05</v>
      </c>
      <c r="N37" s="816">
        <v>11700</v>
      </c>
      <c r="O37" s="816">
        <v>11666.6</v>
      </c>
      <c r="P37" s="816">
        <v>11749.9</v>
      </c>
      <c r="Q37" s="816">
        <v>11642</v>
      </c>
      <c r="R37" s="88" t="e">
        <v>#REF!</v>
      </c>
      <c r="S37" s="421" t="e">
        <v>#REF!</v>
      </c>
      <c r="T37" s="421" t="e">
        <v>#REF!</v>
      </c>
      <c r="U37" s="818" t="e">
        <v>#REF!</v>
      </c>
      <c r="AI37" s="275">
        <v>0.57291666666666663</v>
      </c>
      <c r="AK37" s="420" t="s">
        <v>207</v>
      </c>
    </row>
    <row r="38" spans="1:37" ht="15" customHeight="1" thickBot="1" x14ac:dyDescent="0.4">
      <c r="A38" s="822"/>
      <c r="B38" s="824"/>
      <c r="C38" s="90" t="s">
        <v>42</v>
      </c>
      <c r="D38" s="168">
        <v>11600</v>
      </c>
      <c r="E38" s="168" t="s">
        <v>211</v>
      </c>
      <c r="F38" s="168">
        <v>447975</v>
      </c>
      <c r="G38" s="168" t="s">
        <v>211</v>
      </c>
      <c r="H38" s="825"/>
      <c r="I38" s="168" t="s">
        <v>211</v>
      </c>
      <c r="J38" s="820" t="s">
        <v>211</v>
      </c>
      <c r="K38" s="168" t="s">
        <v>211</v>
      </c>
      <c r="L38" s="820" t="s">
        <v>211</v>
      </c>
      <c r="M38" s="817"/>
      <c r="N38" s="817"/>
      <c r="O38" s="817"/>
      <c r="P38" s="817"/>
      <c r="Q38" s="817"/>
      <c r="R38" s="92" t="e">
        <v>#REF!</v>
      </c>
      <c r="S38" s="421" t="s">
        <v>211</v>
      </c>
      <c r="T38" s="421" t="s">
        <v>211</v>
      </c>
      <c r="U38" s="818"/>
      <c r="AI38" s="275">
        <v>0.5756944444444444</v>
      </c>
      <c r="AK38" s="420"/>
    </row>
    <row r="39" spans="1:37" ht="15" customHeight="1" thickBot="1" x14ac:dyDescent="0.4">
      <c r="A39" s="821" t="s">
        <v>403</v>
      </c>
      <c r="B39" s="823" t="s">
        <v>180</v>
      </c>
      <c r="C39" s="167" t="s">
        <v>211</v>
      </c>
      <c r="D39" s="167" t="s">
        <v>211</v>
      </c>
      <c r="E39" s="167">
        <v>38.9</v>
      </c>
      <c r="F39" s="167" t="s">
        <v>211</v>
      </c>
      <c r="G39" s="167">
        <v>261683</v>
      </c>
      <c r="H39" s="819" t="s">
        <v>55</v>
      </c>
      <c r="I39" s="167">
        <v>13.96</v>
      </c>
      <c r="J39" s="819">
        <v>11700</v>
      </c>
      <c r="K39" s="167">
        <v>38.9</v>
      </c>
      <c r="L39" s="819">
        <v>4193100</v>
      </c>
      <c r="M39" s="816">
        <v>11645.1</v>
      </c>
      <c r="N39" s="816">
        <v>11700</v>
      </c>
      <c r="O39" s="816">
        <v>11664.85</v>
      </c>
      <c r="P39" s="816">
        <v>11749.9</v>
      </c>
      <c r="Q39" s="816">
        <v>11642</v>
      </c>
      <c r="R39" s="88" t="e">
        <v>#REF!</v>
      </c>
      <c r="S39" s="416" t="e">
        <v>#REF!</v>
      </c>
      <c r="T39" s="421" t="e">
        <v>#REF!</v>
      </c>
      <c r="U39" s="818" t="e">
        <v>#REF!</v>
      </c>
      <c r="AI39" s="275">
        <v>0.58333333333333337</v>
      </c>
      <c r="AK39" s="420" t="s">
        <v>207</v>
      </c>
    </row>
    <row r="40" spans="1:37" ht="15" customHeight="1" thickBot="1" x14ac:dyDescent="0.4">
      <c r="A40" s="822"/>
      <c r="B40" s="824"/>
      <c r="C40" s="90" t="s">
        <v>42</v>
      </c>
      <c r="D40" s="168">
        <v>11600</v>
      </c>
      <c r="E40" s="168" t="s">
        <v>211</v>
      </c>
      <c r="F40" s="168">
        <v>487500</v>
      </c>
      <c r="G40" s="168" t="s">
        <v>211</v>
      </c>
      <c r="H40" s="825"/>
      <c r="I40" s="168" t="s">
        <v>211</v>
      </c>
      <c r="J40" s="820" t="s">
        <v>211</v>
      </c>
      <c r="K40" s="168" t="s">
        <v>211</v>
      </c>
      <c r="L40" s="820" t="s">
        <v>211</v>
      </c>
      <c r="M40" s="817"/>
      <c r="N40" s="817"/>
      <c r="O40" s="817"/>
      <c r="P40" s="817"/>
      <c r="Q40" s="817"/>
      <c r="R40" s="92" t="e">
        <v>#REF!</v>
      </c>
      <c r="S40" s="426" t="s">
        <v>211</v>
      </c>
      <c r="T40" s="417" t="s">
        <v>211</v>
      </c>
      <c r="U40" s="818"/>
      <c r="AI40" s="275">
        <v>0.58611111111111114</v>
      </c>
      <c r="AK40" s="420"/>
    </row>
    <row r="41" spans="1:37" ht="15" customHeight="1" thickBot="1" x14ac:dyDescent="0.4">
      <c r="A41" s="821" t="s">
        <v>404</v>
      </c>
      <c r="B41" s="823" t="s">
        <v>180</v>
      </c>
      <c r="C41" s="167" t="s">
        <v>211</v>
      </c>
      <c r="D41" s="167" t="s">
        <v>211</v>
      </c>
      <c r="E41" s="167">
        <v>39.450000000000003</v>
      </c>
      <c r="F41" s="167" t="s">
        <v>211</v>
      </c>
      <c r="G41" s="167">
        <v>271832</v>
      </c>
      <c r="H41" s="819" t="s">
        <v>55</v>
      </c>
      <c r="I41" s="167">
        <v>14.09</v>
      </c>
      <c r="J41" s="819">
        <v>11700</v>
      </c>
      <c r="K41" s="167">
        <v>39.450000000000003</v>
      </c>
      <c r="L41" s="819">
        <v>4202700</v>
      </c>
      <c r="M41" s="816">
        <v>11637.4</v>
      </c>
      <c r="N41" s="816">
        <v>11700</v>
      </c>
      <c r="O41" s="816">
        <v>11664.85</v>
      </c>
      <c r="P41" s="816">
        <v>11749.9</v>
      </c>
      <c r="Q41" s="816">
        <v>11642</v>
      </c>
      <c r="R41" s="88" t="e">
        <v>#REF!</v>
      </c>
      <c r="S41" s="421" t="e">
        <v>#REF!</v>
      </c>
      <c r="T41" s="421" t="e">
        <v>#REF!</v>
      </c>
      <c r="U41" s="818" t="e">
        <v>#REF!</v>
      </c>
      <c r="AI41" s="275">
        <v>0.59375</v>
      </c>
      <c r="AK41" s="420" t="s">
        <v>207</v>
      </c>
    </row>
    <row r="42" spans="1:37" ht="15" customHeight="1" thickBot="1" x14ac:dyDescent="0.4">
      <c r="A42" s="822"/>
      <c r="B42" s="824"/>
      <c r="C42" s="90" t="s">
        <v>42</v>
      </c>
      <c r="D42" s="168">
        <v>11600</v>
      </c>
      <c r="E42" s="168" t="s">
        <v>211</v>
      </c>
      <c r="F42" s="168">
        <v>509400</v>
      </c>
      <c r="G42" s="168" t="s">
        <v>211</v>
      </c>
      <c r="H42" s="825"/>
      <c r="I42" s="168" t="s">
        <v>211</v>
      </c>
      <c r="J42" s="820" t="s">
        <v>211</v>
      </c>
      <c r="K42" s="168" t="s">
        <v>211</v>
      </c>
      <c r="L42" s="820" t="s">
        <v>211</v>
      </c>
      <c r="M42" s="817"/>
      <c r="N42" s="817"/>
      <c r="O42" s="817"/>
      <c r="P42" s="817"/>
      <c r="Q42" s="817"/>
      <c r="R42" s="92" t="e">
        <v>#REF!</v>
      </c>
      <c r="S42" s="413" t="s">
        <v>211</v>
      </c>
      <c r="T42" s="413" t="s">
        <v>211</v>
      </c>
      <c r="U42" s="818"/>
      <c r="AI42" s="275">
        <v>0.59652777777777777</v>
      </c>
      <c r="AK42" s="420"/>
    </row>
    <row r="43" spans="1:37" ht="15" customHeight="1" thickBot="1" x14ac:dyDescent="0.4">
      <c r="A43" s="821" t="s">
        <v>226</v>
      </c>
      <c r="B43" s="823" t="s">
        <v>180</v>
      </c>
      <c r="C43" s="167" t="s">
        <v>211</v>
      </c>
      <c r="D43" s="167" t="s">
        <v>211</v>
      </c>
      <c r="E43" s="167">
        <v>34.65</v>
      </c>
      <c r="F43" s="167" t="s">
        <v>211</v>
      </c>
      <c r="G43" s="167">
        <v>288950</v>
      </c>
      <c r="H43" s="819" t="s">
        <v>55</v>
      </c>
      <c r="I43" s="167">
        <v>14</v>
      </c>
      <c r="J43" s="819">
        <v>11700</v>
      </c>
      <c r="K43" s="167">
        <v>34.65</v>
      </c>
      <c r="L43" s="819">
        <v>4326675</v>
      </c>
      <c r="M43" s="816">
        <v>11635.8</v>
      </c>
      <c r="N43" s="816">
        <v>11700</v>
      </c>
      <c r="O43" s="816">
        <v>11647.5</v>
      </c>
      <c r="P43" s="816">
        <v>11749.9</v>
      </c>
      <c r="Q43" s="816">
        <v>11642</v>
      </c>
      <c r="R43" s="88" t="e">
        <v>#REF!</v>
      </c>
      <c r="S43" s="421" t="e">
        <v>#REF!</v>
      </c>
      <c r="T43" s="421" t="e">
        <v>#REF!</v>
      </c>
      <c r="U43" s="818" t="e">
        <v>#REF!</v>
      </c>
      <c r="AI43" s="275">
        <v>0.60416666666666663</v>
      </c>
      <c r="AK43" s="420" t="s">
        <v>207</v>
      </c>
    </row>
    <row r="44" spans="1:37" ht="15" customHeight="1" thickBot="1" x14ac:dyDescent="0.4">
      <c r="A44" s="822"/>
      <c r="B44" s="824"/>
      <c r="C44" s="90" t="s">
        <v>42</v>
      </c>
      <c r="D44" s="168">
        <v>11600</v>
      </c>
      <c r="E44" s="168" t="s">
        <v>211</v>
      </c>
      <c r="F44" s="168">
        <v>511125</v>
      </c>
      <c r="G44" s="168" t="s">
        <v>211</v>
      </c>
      <c r="H44" s="825"/>
      <c r="I44" s="168" t="s">
        <v>211</v>
      </c>
      <c r="J44" s="820" t="s">
        <v>211</v>
      </c>
      <c r="K44" s="168" t="s">
        <v>211</v>
      </c>
      <c r="L44" s="820" t="s">
        <v>211</v>
      </c>
      <c r="M44" s="817"/>
      <c r="N44" s="817"/>
      <c r="O44" s="817"/>
      <c r="P44" s="817"/>
      <c r="Q44" s="817"/>
      <c r="R44" s="92" t="e">
        <v>#REF!</v>
      </c>
      <c r="S44" s="413" t="s">
        <v>211</v>
      </c>
      <c r="T44" s="413" t="s">
        <v>211</v>
      </c>
      <c r="U44" s="818"/>
      <c r="AI44" s="275">
        <v>0.6069444444444444</v>
      </c>
      <c r="AK44" s="420"/>
    </row>
    <row r="45" spans="1:37" ht="15" customHeight="1" thickBot="1" x14ac:dyDescent="0.4">
      <c r="A45" s="821" t="s">
        <v>405</v>
      </c>
      <c r="B45" s="823" t="s">
        <v>180</v>
      </c>
      <c r="C45" s="167" t="s">
        <v>211</v>
      </c>
      <c r="D45" s="167" t="s">
        <v>211</v>
      </c>
      <c r="E45" s="167">
        <v>29.95</v>
      </c>
      <c r="F45" s="167" t="s">
        <v>211</v>
      </c>
      <c r="G45" s="167">
        <v>317914</v>
      </c>
      <c r="H45" s="819" t="s">
        <v>55</v>
      </c>
      <c r="I45" s="167">
        <v>14.23</v>
      </c>
      <c r="J45" s="819">
        <v>11700</v>
      </c>
      <c r="K45" s="167">
        <v>29.95</v>
      </c>
      <c r="L45" s="819">
        <v>4632300</v>
      </c>
      <c r="M45" s="816">
        <v>11613.7</v>
      </c>
      <c r="N45" s="816">
        <v>11700</v>
      </c>
      <c r="O45" s="816">
        <v>11634.65</v>
      </c>
      <c r="P45" s="816">
        <v>11749.9</v>
      </c>
      <c r="Q45" s="816">
        <v>11627.55</v>
      </c>
      <c r="R45" s="88" t="e">
        <v>#REF!</v>
      </c>
      <c r="S45" s="421" t="e">
        <v>#REF!</v>
      </c>
      <c r="T45" s="421" t="e">
        <v>#REF!</v>
      </c>
      <c r="U45" s="818" t="e">
        <v>#REF!</v>
      </c>
      <c r="AI45" s="275">
        <v>0.61458333333333337</v>
      </c>
      <c r="AK45" s="420" t="s">
        <v>207</v>
      </c>
    </row>
    <row r="46" spans="1:37" ht="15" customHeight="1" thickBot="1" x14ac:dyDescent="0.4">
      <c r="A46" s="822"/>
      <c r="B46" s="824"/>
      <c r="C46" s="90" t="s">
        <v>42</v>
      </c>
      <c r="D46" s="168">
        <v>11600</v>
      </c>
      <c r="E46" s="168" t="s">
        <v>211</v>
      </c>
      <c r="F46" s="168">
        <v>492825</v>
      </c>
      <c r="G46" s="168" t="s">
        <v>211</v>
      </c>
      <c r="H46" s="825"/>
      <c r="I46" s="168" t="s">
        <v>211</v>
      </c>
      <c r="J46" s="820" t="s">
        <v>211</v>
      </c>
      <c r="K46" s="168" t="s">
        <v>211</v>
      </c>
      <c r="L46" s="820" t="s">
        <v>211</v>
      </c>
      <c r="M46" s="817"/>
      <c r="N46" s="817"/>
      <c r="O46" s="817"/>
      <c r="P46" s="817"/>
      <c r="Q46" s="817"/>
      <c r="R46" s="92" t="e">
        <v>#REF!</v>
      </c>
      <c r="S46" s="413" t="s">
        <v>211</v>
      </c>
      <c r="T46" s="413" t="s">
        <v>211</v>
      </c>
      <c r="U46" s="818"/>
      <c r="AI46" s="275">
        <v>0.61736111111111114</v>
      </c>
      <c r="AK46" s="420"/>
    </row>
    <row r="47" spans="1:37" ht="15" customHeight="1" thickBot="1" x14ac:dyDescent="0.4">
      <c r="A47" s="821" t="s">
        <v>338</v>
      </c>
      <c r="B47" s="823" t="s">
        <v>180</v>
      </c>
      <c r="C47" s="167" t="s">
        <v>211</v>
      </c>
      <c r="D47" s="167" t="s">
        <v>211</v>
      </c>
      <c r="E47" s="167">
        <v>30.45</v>
      </c>
      <c r="F47" s="167" t="s">
        <v>211</v>
      </c>
      <c r="G47" s="167">
        <v>334058</v>
      </c>
      <c r="H47" s="819" t="s">
        <v>55</v>
      </c>
      <c r="I47" s="167">
        <v>14.25</v>
      </c>
      <c r="J47" s="819">
        <v>11700</v>
      </c>
      <c r="K47" s="167">
        <v>30.45</v>
      </c>
      <c r="L47" s="819">
        <v>4683825</v>
      </c>
      <c r="M47" s="816">
        <v>11617.9</v>
      </c>
      <c r="N47" s="816">
        <v>11700</v>
      </c>
      <c r="O47" s="816">
        <v>11636.35</v>
      </c>
      <c r="P47" s="816">
        <v>11749.9</v>
      </c>
      <c r="Q47" s="816">
        <v>11627.55</v>
      </c>
      <c r="R47" s="818" t="e">
        <v>#REF!</v>
      </c>
      <c r="S47" s="421" t="e">
        <v>#REF!</v>
      </c>
      <c r="T47" s="414" t="e">
        <v>#REF!</v>
      </c>
      <c r="U47" s="818" t="e">
        <v>#REF!</v>
      </c>
      <c r="AI47" s="275">
        <v>0.625</v>
      </c>
      <c r="AK47" s="420" t="s">
        <v>364</v>
      </c>
    </row>
    <row r="48" spans="1:37" ht="15" customHeight="1" thickBot="1" x14ac:dyDescent="0.4">
      <c r="A48" s="822"/>
      <c r="B48" s="824"/>
      <c r="C48" s="90" t="s">
        <v>42</v>
      </c>
      <c r="D48" s="168">
        <v>11600</v>
      </c>
      <c r="E48" s="168" t="s">
        <v>211</v>
      </c>
      <c r="F48" s="168">
        <v>470775</v>
      </c>
      <c r="G48" s="168" t="s">
        <v>211</v>
      </c>
      <c r="H48" s="825"/>
      <c r="I48" s="168" t="s">
        <v>211</v>
      </c>
      <c r="J48" s="820" t="s">
        <v>211</v>
      </c>
      <c r="K48" s="168" t="s">
        <v>211</v>
      </c>
      <c r="L48" s="820" t="s">
        <v>211</v>
      </c>
      <c r="M48" s="817"/>
      <c r="N48" s="817"/>
      <c r="O48" s="817"/>
      <c r="P48" s="817"/>
      <c r="Q48" s="817"/>
      <c r="R48" s="818" t="e">
        <v>#REF!</v>
      </c>
      <c r="S48" s="413" t="s">
        <v>211</v>
      </c>
      <c r="T48" s="422" t="s">
        <v>211</v>
      </c>
      <c r="U48" s="818"/>
      <c r="AI48" s="275">
        <v>0.62777777777777777</v>
      </c>
      <c r="AK48" s="420"/>
    </row>
    <row r="49" spans="1:37" ht="15" customHeight="1" thickBot="1" x14ac:dyDescent="0.4">
      <c r="A49" s="821" t="s">
        <v>406</v>
      </c>
      <c r="B49" s="823" t="s">
        <v>180</v>
      </c>
      <c r="C49" s="167" t="s">
        <v>211</v>
      </c>
      <c r="D49" s="167" t="s">
        <v>211</v>
      </c>
      <c r="E49" s="167">
        <v>27.05</v>
      </c>
      <c r="F49" s="167" t="s">
        <v>211</v>
      </c>
      <c r="G49" s="167">
        <v>367229</v>
      </c>
      <c r="H49" s="819" t="s">
        <v>55</v>
      </c>
      <c r="I49" s="167">
        <v>15.02</v>
      </c>
      <c r="J49" s="819">
        <v>11700</v>
      </c>
      <c r="K49" s="167">
        <v>27.05</v>
      </c>
      <c r="L49" s="819">
        <v>4662675</v>
      </c>
      <c r="M49" s="816">
        <v>11597.05</v>
      </c>
      <c r="N49" s="816">
        <v>11700</v>
      </c>
      <c r="O49" s="816">
        <v>11620</v>
      </c>
      <c r="P49" s="816">
        <v>11749.9</v>
      </c>
      <c r="Q49" s="816">
        <v>11615</v>
      </c>
      <c r="R49" s="88" t="e">
        <v>#REF!</v>
      </c>
      <c r="S49" s="421" t="e">
        <v>#REF!</v>
      </c>
      <c r="T49" s="421" t="e">
        <v>#REF!</v>
      </c>
      <c r="U49" s="818" t="e">
        <v>#REF!</v>
      </c>
      <c r="AI49" s="275">
        <v>0.63541666666666663</v>
      </c>
      <c r="AK49" s="420" t="s">
        <v>364</v>
      </c>
    </row>
    <row r="50" spans="1:37" ht="15" customHeight="1" thickBot="1" x14ac:dyDescent="0.4">
      <c r="A50" s="822"/>
      <c r="B50" s="824"/>
      <c r="C50" s="90" t="s">
        <v>42</v>
      </c>
      <c r="D50" s="168">
        <v>11700</v>
      </c>
      <c r="E50" s="168" t="s">
        <v>211</v>
      </c>
      <c r="F50" s="168">
        <v>-447900</v>
      </c>
      <c r="G50" s="168" t="s">
        <v>211</v>
      </c>
      <c r="H50" s="825"/>
      <c r="I50" s="168" t="s">
        <v>211</v>
      </c>
      <c r="J50" s="820" t="s">
        <v>211</v>
      </c>
      <c r="K50" s="168" t="s">
        <v>211</v>
      </c>
      <c r="L50" s="820" t="s">
        <v>211</v>
      </c>
      <c r="M50" s="817"/>
      <c r="N50" s="817"/>
      <c r="O50" s="817"/>
      <c r="P50" s="817"/>
      <c r="Q50" s="817"/>
      <c r="R50" s="92" t="e">
        <v>#REF!</v>
      </c>
      <c r="S50" s="413" t="s">
        <v>211</v>
      </c>
      <c r="T50" s="413" t="s">
        <v>211</v>
      </c>
      <c r="U50" s="818"/>
      <c r="AI50" s="275">
        <v>0.6381944444444444</v>
      </c>
      <c r="AK50" s="420"/>
    </row>
    <row r="51" spans="1:37" ht="15" customHeight="1" thickBot="1" x14ac:dyDescent="0.4">
      <c r="A51" s="821" t="s">
        <v>230</v>
      </c>
      <c r="B51" s="823" t="s">
        <v>180</v>
      </c>
      <c r="C51" s="167" t="s">
        <v>211</v>
      </c>
      <c r="D51" s="167" t="s">
        <v>211</v>
      </c>
      <c r="E51" s="167">
        <v>26.35</v>
      </c>
      <c r="F51" s="167" t="s">
        <v>211</v>
      </c>
      <c r="G51" s="167">
        <v>400156</v>
      </c>
      <c r="H51" s="819" t="s">
        <v>55</v>
      </c>
      <c r="I51" s="167">
        <v>15.23</v>
      </c>
      <c r="J51" s="819">
        <v>11700</v>
      </c>
      <c r="K51" s="167">
        <v>26.35</v>
      </c>
      <c r="L51" s="819">
        <v>4335900</v>
      </c>
      <c r="M51" s="816">
        <v>11591.4</v>
      </c>
      <c r="N51" s="816">
        <v>11700</v>
      </c>
      <c r="O51" s="816">
        <v>11615.45</v>
      </c>
      <c r="P51" s="816">
        <v>11749.9</v>
      </c>
      <c r="Q51" s="816">
        <v>11609.2</v>
      </c>
      <c r="R51" s="88" t="e">
        <v>#REF!</v>
      </c>
      <c r="S51" s="421" t="e">
        <v>#REF!</v>
      </c>
      <c r="T51" s="421" t="e">
        <v>#REF!</v>
      </c>
      <c r="U51" s="818" t="e">
        <v>#REF!</v>
      </c>
      <c r="AI51" s="275">
        <v>0.64583333333333337</v>
      </c>
      <c r="AK51" s="420" t="s">
        <v>364</v>
      </c>
    </row>
    <row r="52" spans="1:37" ht="15" customHeight="1" thickBot="1" x14ac:dyDescent="0.4">
      <c r="A52" s="822"/>
      <c r="B52" s="824"/>
      <c r="C52" s="90" t="s">
        <v>42</v>
      </c>
      <c r="D52" s="168">
        <v>11700</v>
      </c>
      <c r="E52" s="168" t="s">
        <v>211</v>
      </c>
      <c r="F52" s="168">
        <v>-656775</v>
      </c>
      <c r="G52" s="168" t="s">
        <v>211</v>
      </c>
      <c r="H52" s="825"/>
      <c r="I52" s="168" t="s">
        <v>211</v>
      </c>
      <c r="J52" s="820" t="s">
        <v>211</v>
      </c>
      <c r="K52" s="168" t="s">
        <v>211</v>
      </c>
      <c r="L52" s="820" t="s">
        <v>211</v>
      </c>
      <c r="M52" s="817"/>
      <c r="N52" s="817"/>
      <c r="O52" s="817"/>
      <c r="P52" s="817"/>
      <c r="Q52" s="817"/>
      <c r="R52" s="92" t="e">
        <v>#REF!</v>
      </c>
      <c r="S52" s="415" t="s">
        <v>211</v>
      </c>
      <c r="T52" s="415" t="s">
        <v>211</v>
      </c>
      <c r="U52" s="818"/>
      <c r="AI52" s="275">
        <v>0.64861111111111114</v>
      </c>
      <c r="AK52" s="420"/>
    </row>
  </sheetData>
  <mergeCells count="286">
    <mergeCell ref="AH1:AL1"/>
    <mergeCell ref="A3:A4"/>
    <mergeCell ref="B3:B4"/>
    <mergeCell ref="H3:H4"/>
    <mergeCell ref="J3:J4"/>
    <mergeCell ref="L3:L4"/>
    <mergeCell ref="M3:M4"/>
    <mergeCell ref="N3:N4"/>
    <mergeCell ref="O3:O4"/>
    <mergeCell ref="P3:P4"/>
    <mergeCell ref="Q3:Q4"/>
    <mergeCell ref="U3:U4"/>
    <mergeCell ref="C1:G1"/>
    <mergeCell ref="J1:L1"/>
    <mergeCell ref="P1:Q1"/>
    <mergeCell ref="R1:U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O7:O8"/>
    <mergeCell ref="P7:P8"/>
    <mergeCell ref="Q7:Q8"/>
    <mergeCell ref="U7:U8"/>
    <mergeCell ref="N5:N6"/>
    <mergeCell ref="O5:O6"/>
    <mergeCell ref="P5:P6"/>
    <mergeCell ref="Q5:Q6"/>
    <mergeCell ref="U5:U6"/>
    <mergeCell ref="M5:M6"/>
    <mergeCell ref="N9:N10"/>
    <mergeCell ref="O9:O10"/>
    <mergeCell ref="P9:P10"/>
    <mergeCell ref="Q9:Q10"/>
    <mergeCell ref="U9:U10"/>
    <mergeCell ref="X9:Z9"/>
    <mergeCell ref="X10:Z10"/>
    <mergeCell ref="A9:A10"/>
    <mergeCell ref="B9:B10"/>
    <mergeCell ref="H9:H10"/>
    <mergeCell ref="J9:J10"/>
    <mergeCell ref="L9:L10"/>
    <mergeCell ref="M9:M10"/>
    <mergeCell ref="N11:N12"/>
    <mergeCell ref="O11:O12"/>
    <mergeCell ref="P11:P12"/>
    <mergeCell ref="Q11:Q12"/>
    <mergeCell ref="U11:U12"/>
    <mergeCell ref="X11:Z11"/>
    <mergeCell ref="X12:Z12"/>
    <mergeCell ref="A11:A12"/>
    <mergeCell ref="B11:B12"/>
    <mergeCell ref="H11:H12"/>
    <mergeCell ref="J11:J12"/>
    <mergeCell ref="L11:L12"/>
    <mergeCell ref="M11:M12"/>
    <mergeCell ref="N13:N14"/>
    <mergeCell ref="O13:O14"/>
    <mergeCell ref="P13:P14"/>
    <mergeCell ref="Q13:Q14"/>
    <mergeCell ref="U13:U14"/>
    <mergeCell ref="X13:Z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O17:O18"/>
    <mergeCell ref="P17:P18"/>
    <mergeCell ref="Q17:Q18"/>
    <mergeCell ref="U17:U18"/>
    <mergeCell ref="N15:N16"/>
    <mergeCell ref="O15:O16"/>
    <mergeCell ref="P15:P16"/>
    <mergeCell ref="Q15:Q16"/>
    <mergeCell ref="U15:U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O21:O22"/>
    <mergeCell ref="P21:P22"/>
    <mergeCell ref="Q21:Q22"/>
    <mergeCell ref="U21:U22"/>
    <mergeCell ref="N19:N20"/>
    <mergeCell ref="O19:O20"/>
    <mergeCell ref="P19:P20"/>
    <mergeCell ref="Q19:Q20"/>
    <mergeCell ref="U19:U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O25:O26"/>
    <mergeCell ref="P25:P26"/>
    <mergeCell ref="Q25:Q26"/>
    <mergeCell ref="U25:U26"/>
    <mergeCell ref="N23:N24"/>
    <mergeCell ref="O23:O24"/>
    <mergeCell ref="P23:P24"/>
    <mergeCell ref="Q23:Q24"/>
    <mergeCell ref="U23:U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O29:O30"/>
    <mergeCell ref="P29:P30"/>
    <mergeCell ref="Q29:Q30"/>
    <mergeCell ref="U29:U30"/>
    <mergeCell ref="N27:N28"/>
    <mergeCell ref="O27:O28"/>
    <mergeCell ref="P27:P28"/>
    <mergeCell ref="Q27:Q28"/>
    <mergeCell ref="U27:U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O33:O34"/>
    <mergeCell ref="P33:P34"/>
    <mergeCell ref="Q33:Q34"/>
    <mergeCell ref="U33:U34"/>
    <mergeCell ref="N31:N32"/>
    <mergeCell ref="O31:O32"/>
    <mergeCell ref="P31:P32"/>
    <mergeCell ref="Q31:Q32"/>
    <mergeCell ref="U31:U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O37:O38"/>
    <mergeCell ref="P37:P38"/>
    <mergeCell ref="Q37:Q38"/>
    <mergeCell ref="U37:U38"/>
    <mergeCell ref="N35:N36"/>
    <mergeCell ref="O35:O36"/>
    <mergeCell ref="P35:P36"/>
    <mergeCell ref="Q35:Q36"/>
    <mergeCell ref="U35:U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O41:O42"/>
    <mergeCell ref="P41:P42"/>
    <mergeCell ref="Q41:Q42"/>
    <mergeCell ref="U41:U42"/>
    <mergeCell ref="N39:N40"/>
    <mergeCell ref="O39:O40"/>
    <mergeCell ref="P39:P40"/>
    <mergeCell ref="Q39:Q40"/>
    <mergeCell ref="U39:U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O45:O46"/>
    <mergeCell ref="P45:P46"/>
    <mergeCell ref="Q45:Q46"/>
    <mergeCell ref="U45:U46"/>
    <mergeCell ref="N43:N44"/>
    <mergeCell ref="O43:O44"/>
    <mergeCell ref="P43:P44"/>
    <mergeCell ref="Q43:Q44"/>
    <mergeCell ref="U43:U44"/>
    <mergeCell ref="M43:M44"/>
    <mergeCell ref="N47:N48"/>
    <mergeCell ref="O47:O48"/>
    <mergeCell ref="P47:P48"/>
    <mergeCell ref="Q47:Q48"/>
    <mergeCell ref="R47:R48"/>
    <mergeCell ref="U47:U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O51:O52"/>
    <mergeCell ref="P51:P52"/>
    <mergeCell ref="Q51:Q52"/>
    <mergeCell ref="U51:U52"/>
    <mergeCell ref="N49:N50"/>
    <mergeCell ref="O49:O50"/>
    <mergeCell ref="P49:P50"/>
    <mergeCell ref="Q49:Q50"/>
    <mergeCell ref="U49:U50"/>
    <mergeCell ref="M49:M50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C8A97-E67E-48DB-A225-3C5D72871F7B}">
  <sheetPr codeName="Sheet10"/>
  <dimension ref="A4:L86"/>
  <sheetViews>
    <sheetView workbookViewId="0">
      <selection activeCell="D9" sqref="D9"/>
    </sheetView>
  </sheetViews>
  <sheetFormatPr defaultRowHeight="14.5" x14ac:dyDescent="0.35"/>
  <cols>
    <col min="1" max="1" width="14.90625" customWidth="1"/>
    <col min="4" max="4" width="17.7265625" bestFit="1" customWidth="1"/>
    <col min="8" max="8" width="14.54296875" bestFit="1" customWidth="1"/>
    <col min="12" max="12" width="18.453125" bestFit="1" customWidth="1"/>
  </cols>
  <sheetData>
    <row r="4" spans="1:12" x14ac:dyDescent="0.35">
      <c r="A4" s="15"/>
      <c r="B4" s="15" t="s">
        <v>48</v>
      </c>
      <c r="C4" s="15" t="s">
        <v>47</v>
      </c>
    </row>
    <row r="5" spans="1:12" ht="29" x14ac:dyDescent="0.35">
      <c r="A5" s="15" t="s">
        <v>373</v>
      </c>
      <c r="B5" s="431" t="s">
        <v>377</v>
      </c>
      <c r="C5" s="431" t="s">
        <v>378</v>
      </c>
      <c r="D5" s="429"/>
      <c r="E5" s="322"/>
      <c r="F5" s="323" t="s">
        <v>231</v>
      </c>
      <c r="G5" s="323" t="s">
        <v>160</v>
      </c>
      <c r="H5" s="323" t="s">
        <v>43</v>
      </c>
      <c r="I5" s="322" t="s">
        <v>232</v>
      </c>
      <c r="J5" s="322" t="s">
        <v>233</v>
      </c>
      <c r="K5" s="322" t="s">
        <v>234</v>
      </c>
      <c r="L5" s="321"/>
    </row>
    <row r="6" spans="1:12" x14ac:dyDescent="0.35">
      <c r="A6" s="15" t="s">
        <v>374</v>
      </c>
      <c r="B6" s="431" t="s">
        <v>379</v>
      </c>
      <c r="C6" s="431">
        <v>40</v>
      </c>
      <c r="D6" s="430" t="str">
        <f>"CE_"&amp;H6</f>
        <v>CE_Long Liquidation</v>
      </c>
      <c r="E6" s="317" t="s">
        <v>233</v>
      </c>
      <c r="F6" s="317" t="s">
        <v>235</v>
      </c>
      <c r="G6" s="317" t="s">
        <v>235</v>
      </c>
      <c r="H6" s="317" t="s">
        <v>236</v>
      </c>
      <c r="I6" s="317" t="s">
        <v>237</v>
      </c>
      <c r="J6" s="317" t="s">
        <v>237</v>
      </c>
      <c r="K6" s="318" t="s">
        <v>238</v>
      </c>
      <c r="L6" s="320" t="s">
        <v>239</v>
      </c>
    </row>
    <row r="7" spans="1:12" x14ac:dyDescent="0.35">
      <c r="A7" s="15" t="s">
        <v>375</v>
      </c>
      <c r="B7" s="431" t="s">
        <v>380</v>
      </c>
      <c r="C7" s="431" t="s">
        <v>381</v>
      </c>
      <c r="D7" s="430" t="str">
        <f>"CE_"&amp;H7</f>
        <v>CE_Short Buildup</v>
      </c>
      <c r="E7" s="317"/>
      <c r="F7" s="317" t="s">
        <v>235</v>
      </c>
      <c r="G7" s="317" t="s">
        <v>240</v>
      </c>
      <c r="H7" s="317" t="s">
        <v>241</v>
      </c>
      <c r="I7" s="317" t="s">
        <v>237</v>
      </c>
      <c r="J7" s="317" t="s">
        <v>237</v>
      </c>
      <c r="K7" s="318" t="s">
        <v>238</v>
      </c>
      <c r="L7" s="320" t="s">
        <v>239</v>
      </c>
    </row>
    <row r="8" spans="1:12" x14ac:dyDescent="0.35">
      <c r="A8" s="15" t="s">
        <v>376</v>
      </c>
      <c r="B8" s="431" t="s">
        <v>382</v>
      </c>
      <c r="C8" s="431" t="s">
        <v>383</v>
      </c>
      <c r="D8" s="430" t="str">
        <f>"CE_"&amp;H8</f>
        <v>CE_Long Buildup</v>
      </c>
      <c r="E8" s="317"/>
      <c r="F8" s="317" t="s">
        <v>240</v>
      </c>
      <c r="G8" s="317" t="s">
        <v>240</v>
      </c>
      <c r="H8" s="317" t="s">
        <v>242</v>
      </c>
      <c r="I8" s="317" t="s">
        <v>238</v>
      </c>
      <c r="J8" s="317" t="s">
        <v>238</v>
      </c>
      <c r="K8" s="318" t="s">
        <v>237</v>
      </c>
      <c r="L8" s="320" t="s">
        <v>243</v>
      </c>
    </row>
    <row r="9" spans="1:12" x14ac:dyDescent="0.35">
      <c r="A9" s="15" t="s">
        <v>386</v>
      </c>
      <c r="B9" s="431" t="s">
        <v>385</v>
      </c>
      <c r="C9" s="431" t="s">
        <v>384</v>
      </c>
      <c r="D9" s="430" t="str">
        <f>"CE_"&amp;H9</f>
        <v>CE_Short Covering</v>
      </c>
      <c r="E9" s="317"/>
      <c r="F9" s="317" t="s">
        <v>240</v>
      </c>
      <c r="G9" s="317" t="s">
        <v>235</v>
      </c>
      <c r="H9" s="317" t="s">
        <v>244</v>
      </c>
      <c r="I9" s="317" t="s">
        <v>238</v>
      </c>
      <c r="J9" s="317" t="s">
        <v>238</v>
      </c>
      <c r="K9" s="318" t="s">
        <v>237</v>
      </c>
      <c r="L9" s="320" t="s">
        <v>243</v>
      </c>
    </row>
    <row r="10" spans="1:12" x14ac:dyDescent="0.35">
      <c r="D10" s="316"/>
      <c r="E10" s="317"/>
      <c r="F10" s="317"/>
      <c r="G10" s="317"/>
      <c r="H10" s="317"/>
      <c r="I10" s="317"/>
      <c r="J10" s="317"/>
      <c r="K10" s="318"/>
      <c r="L10" s="319"/>
    </row>
    <row r="11" spans="1:12" x14ac:dyDescent="0.35">
      <c r="D11" s="316" t="str">
        <f>"PE_"&amp;H11</f>
        <v>PE_Long Liquidation</v>
      </c>
      <c r="E11" s="317" t="s">
        <v>234</v>
      </c>
      <c r="F11" s="317" t="s">
        <v>235</v>
      </c>
      <c r="G11" s="317" t="s">
        <v>235</v>
      </c>
      <c r="H11" s="317" t="s">
        <v>236</v>
      </c>
      <c r="I11" s="317" t="s">
        <v>238</v>
      </c>
      <c r="J11" s="317" t="s">
        <v>238</v>
      </c>
      <c r="K11" s="318" t="s">
        <v>237</v>
      </c>
      <c r="L11" s="320" t="s">
        <v>243</v>
      </c>
    </row>
    <row r="12" spans="1:12" x14ac:dyDescent="0.35">
      <c r="D12" s="316" t="str">
        <f>"PE_"&amp;H12</f>
        <v>PE_Short Buildup</v>
      </c>
      <c r="E12" s="317"/>
      <c r="F12" s="317" t="s">
        <v>235</v>
      </c>
      <c r="G12" s="317" t="s">
        <v>240</v>
      </c>
      <c r="H12" s="317" t="s">
        <v>241</v>
      </c>
      <c r="I12" s="317" t="s">
        <v>238</v>
      </c>
      <c r="J12" s="317" t="s">
        <v>238</v>
      </c>
      <c r="K12" s="318" t="s">
        <v>237</v>
      </c>
      <c r="L12" s="320" t="s">
        <v>243</v>
      </c>
    </row>
    <row r="13" spans="1:12" x14ac:dyDescent="0.35">
      <c r="D13" s="316" t="str">
        <f>"PE_"&amp;H13</f>
        <v>PE_Long Buildup</v>
      </c>
      <c r="E13" s="317"/>
      <c r="F13" s="317" t="s">
        <v>240</v>
      </c>
      <c r="G13" s="317" t="s">
        <v>240</v>
      </c>
      <c r="H13" s="317" t="s">
        <v>242</v>
      </c>
      <c r="I13" s="317" t="s">
        <v>237</v>
      </c>
      <c r="J13" s="317" t="s">
        <v>237</v>
      </c>
      <c r="K13" s="318" t="s">
        <v>238</v>
      </c>
      <c r="L13" s="320" t="s">
        <v>239</v>
      </c>
    </row>
    <row r="14" spans="1:12" x14ac:dyDescent="0.35">
      <c r="D14" s="316" t="str">
        <f>"PE_"&amp;H14</f>
        <v>PE_Short Covering</v>
      </c>
      <c r="E14" s="317"/>
      <c r="F14" s="317" t="s">
        <v>240</v>
      </c>
      <c r="G14" s="317" t="s">
        <v>235</v>
      </c>
      <c r="H14" s="317" t="s">
        <v>244</v>
      </c>
      <c r="I14" s="317" t="s">
        <v>237</v>
      </c>
      <c r="J14" s="317" t="s">
        <v>237</v>
      </c>
      <c r="K14" s="318" t="s">
        <v>238</v>
      </c>
      <c r="L14" s="320" t="s">
        <v>239</v>
      </c>
    </row>
    <row r="15" spans="1:12" x14ac:dyDescent="0.35">
      <c r="D15" s="428"/>
    </row>
    <row r="16" spans="1:12" x14ac:dyDescent="0.35">
      <c r="A16" s="428" t="s">
        <v>389</v>
      </c>
      <c r="D16" s="428"/>
    </row>
    <row r="17" spans="2:12" x14ac:dyDescent="0.35">
      <c r="B17" s="428" t="s">
        <v>387</v>
      </c>
      <c r="D17" s="428"/>
    </row>
    <row r="18" spans="2:12" x14ac:dyDescent="0.35">
      <c r="B18" s="428" t="s">
        <v>388</v>
      </c>
      <c r="D18" s="428"/>
    </row>
    <row r="19" spans="2:12" x14ac:dyDescent="0.35">
      <c r="B19" s="428" t="s">
        <v>390</v>
      </c>
    </row>
    <row r="20" spans="2:12" x14ac:dyDescent="0.35">
      <c r="C20" t="s">
        <v>247</v>
      </c>
      <c r="G20" t="s">
        <v>248</v>
      </c>
      <c r="J20" t="s">
        <v>247</v>
      </c>
      <c r="L20" t="s">
        <v>248</v>
      </c>
    </row>
    <row r="21" spans="2:12" x14ac:dyDescent="0.35">
      <c r="C21" s="276" t="s">
        <v>188</v>
      </c>
      <c r="G21" t="s">
        <v>188</v>
      </c>
      <c r="J21" s="276" t="s">
        <v>249</v>
      </c>
    </row>
    <row r="22" spans="2:12" x14ac:dyDescent="0.35">
      <c r="B22" t="s">
        <v>250</v>
      </c>
      <c r="C22" t="s">
        <v>251</v>
      </c>
      <c r="G22" t="s">
        <v>252</v>
      </c>
      <c r="J22" t="s">
        <v>253</v>
      </c>
    </row>
    <row r="23" spans="2:12" x14ac:dyDescent="0.35">
      <c r="B23" t="s">
        <v>82</v>
      </c>
      <c r="C23" t="s">
        <v>254</v>
      </c>
      <c r="G23" t="s">
        <v>255</v>
      </c>
      <c r="J23" t="s">
        <v>256</v>
      </c>
    </row>
    <row r="24" spans="2:12" x14ac:dyDescent="0.35">
      <c r="B24" t="s">
        <v>81</v>
      </c>
      <c r="C24" t="s">
        <v>257</v>
      </c>
      <c r="G24" t="s">
        <v>257</v>
      </c>
    </row>
    <row r="25" spans="2:12" x14ac:dyDescent="0.35">
      <c r="B25" t="s">
        <v>80</v>
      </c>
      <c r="C25" t="s">
        <v>258</v>
      </c>
      <c r="G25" t="s">
        <v>259</v>
      </c>
      <c r="J25" t="s">
        <v>260</v>
      </c>
    </row>
    <row r="26" spans="2:12" x14ac:dyDescent="0.35">
      <c r="C26" t="s">
        <v>261</v>
      </c>
      <c r="J26" t="s">
        <v>262</v>
      </c>
    </row>
    <row r="27" spans="2:12" x14ac:dyDescent="0.35">
      <c r="C27" t="s">
        <v>263</v>
      </c>
      <c r="J27" t="s">
        <v>264</v>
      </c>
    </row>
    <row r="28" spans="2:12" x14ac:dyDescent="0.35">
      <c r="C28" t="s">
        <v>265</v>
      </c>
      <c r="J28" t="s">
        <v>266</v>
      </c>
    </row>
    <row r="29" spans="2:12" x14ac:dyDescent="0.35">
      <c r="C29" t="s">
        <v>267</v>
      </c>
    </row>
    <row r="30" spans="2:12" x14ac:dyDescent="0.35">
      <c r="C30" t="s">
        <v>268</v>
      </c>
      <c r="J30" t="s">
        <v>269</v>
      </c>
    </row>
    <row r="31" spans="2:12" x14ac:dyDescent="0.35">
      <c r="C31" t="s">
        <v>270</v>
      </c>
    </row>
    <row r="32" spans="2:12" x14ac:dyDescent="0.35">
      <c r="C32" t="s">
        <v>271</v>
      </c>
    </row>
    <row r="34" spans="3:11" x14ac:dyDescent="0.35">
      <c r="C34" s="276" t="s">
        <v>272</v>
      </c>
      <c r="J34" s="276" t="s">
        <v>273</v>
      </c>
    </row>
    <row r="35" spans="3:11" x14ac:dyDescent="0.35">
      <c r="C35" t="s">
        <v>274</v>
      </c>
      <c r="J35" t="s">
        <v>275</v>
      </c>
    </row>
    <row r="36" spans="3:11" x14ac:dyDescent="0.35">
      <c r="C36" t="s">
        <v>276</v>
      </c>
      <c r="J36" t="s">
        <v>277</v>
      </c>
      <c r="K36" t="s">
        <v>278</v>
      </c>
    </row>
    <row r="37" spans="3:11" x14ac:dyDescent="0.35">
      <c r="C37" t="s">
        <v>279</v>
      </c>
      <c r="J37" t="s">
        <v>280</v>
      </c>
      <c r="K37" t="s">
        <v>281</v>
      </c>
    </row>
    <row r="38" spans="3:11" x14ac:dyDescent="0.35">
      <c r="C38" t="s">
        <v>282</v>
      </c>
      <c r="J38" t="s">
        <v>283</v>
      </c>
    </row>
    <row r="39" spans="3:11" ht="275.5" x14ac:dyDescent="0.35">
      <c r="C39" s="327" t="s">
        <v>284</v>
      </c>
    </row>
    <row r="42" spans="3:11" x14ac:dyDescent="0.35">
      <c r="E42" t="s">
        <v>285</v>
      </c>
    </row>
    <row r="43" spans="3:11" x14ac:dyDescent="0.35">
      <c r="C43" s="328">
        <v>43469</v>
      </c>
      <c r="E43" t="s">
        <v>286</v>
      </c>
    </row>
    <row r="44" spans="3:11" x14ac:dyDescent="0.35">
      <c r="E44" t="s">
        <v>287</v>
      </c>
    </row>
    <row r="45" spans="3:11" x14ac:dyDescent="0.35">
      <c r="E45" t="s">
        <v>288</v>
      </c>
    </row>
    <row r="46" spans="3:11" x14ac:dyDescent="0.35">
      <c r="E46" t="s">
        <v>289</v>
      </c>
    </row>
    <row r="47" spans="3:11" x14ac:dyDescent="0.35">
      <c r="E47" t="s">
        <v>290</v>
      </c>
    </row>
    <row r="48" spans="3:11" x14ac:dyDescent="0.35">
      <c r="E48" t="s">
        <v>291</v>
      </c>
    </row>
    <row r="52" spans="1:9" x14ac:dyDescent="0.35">
      <c r="C52" s="329">
        <v>43557</v>
      </c>
    </row>
    <row r="53" spans="1:9" x14ac:dyDescent="0.35">
      <c r="E53" t="s">
        <v>292</v>
      </c>
    </row>
    <row r="56" spans="1:9" x14ac:dyDescent="0.35">
      <c r="D56" s="329">
        <v>43558</v>
      </c>
      <c r="E56" t="s">
        <v>293</v>
      </c>
    </row>
    <row r="57" spans="1:9" x14ac:dyDescent="0.35">
      <c r="E57" t="s">
        <v>294</v>
      </c>
    </row>
    <row r="58" spans="1:9" s="276" customFormat="1" x14ac:dyDescent="0.35"/>
    <row r="59" spans="1:9" x14ac:dyDescent="0.35">
      <c r="A59" t="s">
        <v>295</v>
      </c>
      <c r="B59" s="330" t="s">
        <v>296</v>
      </c>
    </row>
    <row r="61" spans="1:9" ht="173.5" x14ac:dyDescent="0.35">
      <c r="A61" s="331" t="s">
        <v>297</v>
      </c>
    </row>
    <row r="63" spans="1:9" x14ac:dyDescent="0.35">
      <c r="B63" s="722" t="s">
        <v>298</v>
      </c>
      <c r="C63" s="722"/>
      <c r="D63" s="722"/>
      <c r="E63" s="722"/>
      <c r="F63" s="722" t="s">
        <v>299</v>
      </c>
      <c r="G63" s="722"/>
      <c r="H63" s="722"/>
      <c r="I63" s="722"/>
    </row>
    <row r="64" spans="1:9" x14ac:dyDescent="0.35">
      <c r="B64" s="332" t="s">
        <v>300</v>
      </c>
      <c r="C64" s="332" t="s">
        <v>301</v>
      </c>
      <c r="D64" s="332" t="s">
        <v>302</v>
      </c>
      <c r="E64" s="332" t="s">
        <v>303</v>
      </c>
      <c r="F64" s="276" t="s">
        <v>300</v>
      </c>
      <c r="G64" s="276" t="s">
        <v>301</v>
      </c>
      <c r="H64" s="276" t="s">
        <v>304</v>
      </c>
      <c r="I64" s="276" t="s">
        <v>303</v>
      </c>
    </row>
    <row r="65" spans="1:11" x14ac:dyDescent="0.35">
      <c r="A65">
        <v>10000</v>
      </c>
    </row>
    <row r="66" spans="1:11" x14ac:dyDescent="0.35">
      <c r="A66">
        <v>10100</v>
      </c>
    </row>
    <row r="67" spans="1:11" x14ac:dyDescent="0.35">
      <c r="A67">
        <v>10200</v>
      </c>
      <c r="B67">
        <v>100</v>
      </c>
      <c r="C67">
        <v>120</v>
      </c>
    </row>
    <row r="68" spans="1:11" x14ac:dyDescent="0.35">
      <c r="A68">
        <v>10300</v>
      </c>
      <c r="B68">
        <v>80</v>
      </c>
      <c r="C68">
        <v>100</v>
      </c>
      <c r="F68">
        <v>-20</v>
      </c>
      <c r="G68">
        <v>-20</v>
      </c>
    </row>
    <row r="69" spans="1:11" x14ac:dyDescent="0.35">
      <c r="A69">
        <v>10400</v>
      </c>
      <c r="B69">
        <v>60</v>
      </c>
      <c r="C69">
        <v>80</v>
      </c>
      <c r="F69">
        <v>-20</v>
      </c>
      <c r="G69">
        <v>-20</v>
      </c>
    </row>
    <row r="70" spans="1:11" x14ac:dyDescent="0.35">
      <c r="A70">
        <v>10472</v>
      </c>
      <c r="B70">
        <v>30</v>
      </c>
      <c r="C70">
        <v>60</v>
      </c>
      <c r="D70">
        <v>30</v>
      </c>
      <c r="E70">
        <v>10</v>
      </c>
      <c r="F70">
        <v>-30</v>
      </c>
      <c r="G70">
        <v>-20</v>
      </c>
      <c r="H70">
        <v>-25</v>
      </c>
      <c r="I70">
        <v>-30</v>
      </c>
      <c r="J70" t="s">
        <v>16</v>
      </c>
      <c r="K70">
        <v>-21.66</v>
      </c>
    </row>
    <row r="71" spans="1:11" x14ac:dyDescent="0.35">
      <c r="A71">
        <v>10500</v>
      </c>
      <c r="D71">
        <v>55</v>
      </c>
      <c r="E71">
        <v>40</v>
      </c>
      <c r="H71">
        <v>-35</v>
      </c>
      <c r="I71">
        <v>-30</v>
      </c>
      <c r="J71" t="s">
        <v>17</v>
      </c>
    </row>
    <row r="72" spans="1:11" x14ac:dyDescent="0.35">
      <c r="A72">
        <v>10600</v>
      </c>
      <c r="D72">
        <v>90</v>
      </c>
      <c r="E72">
        <v>70</v>
      </c>
      <c r="H72">
        <v>-60</v>
      </c>
      <c r="I72">
        <v>-50</v>
      </c>
    </row>
    <row r="73" spans="1:11" x14ac:dyDescent="0.35">
      <c r="A73">
        <v>10700</v>
      </c>
      <c r="D73">
        <v>150</v>
      </c>
      <c r="E73">
        <v>120</v>
      </c>
      <c r="I73">
        <v>-20</v>
      </c>
    </row>
    <row r="74" spans="1:11" x14ac:dyDescent="0.35">
      <c r="A74">
        <v>10800</v>
      </c>
      <c r="D74" s="333"/>
      <c r="E74">
        <v>140</v>
      </c>
      <c r="I74">
        <v>-40</v>
      </c>
    </row>
    <row r="75" spans="1:11" x14ac:dyDescent="0.35">
      <c r="A75">
        <v>10900</v>
      </c>
      <c r="D75" s="333"/>
      <c r="E75">
        <v>180</v>
      </c>
    </row>
    <row r="76" spans="1:11" x14ac:dyDescent="0.35">
      <c r="A76">
        <v>11000</v>
      </c>
      <c r="D76" s="333"/>
    </row>
    <row r="77" spans="1:11" x14ac:dyDescent="0.35">
      <c r="A77">
        <v>11200</v>
      </c>
      <c r="D77" s="333"/>
    </row>
    <row r="81" spans="2:3" x14ac:dyDescent="0.35">
      <c r="B81" t="s">
        <v>305</v>
      </c>
    </row>
    <row r="82" spans="2:3" x14ac:dyDescent="0.35">
      <c r="B82" t="s">
        <v>306</v>
      </c>
      <c r="C82" t="s">
        <v>307</v>
      </c>
    </row>
    <row r="83" spans="2:3" x14ac:dyDescent="0.35">
      <c r="B83" t="s">
        <v>308</v>
      </c>
      <c r="C83" t="s">
        <v>309</v>
      </c>
    </row>
    <row r="84" spans="2:3" x14ac:dyDescent="0.35">
      <c r="B84" t="s">
        <v>310</v>
      </c>
      <c r="C84" t="s">
        <v>311</v>
      </c>
    </row>
    <row r="85" spans="2:3" x14ac:dyDescent="0.35">
      <c r="B85" t="s">
        <v>312</v>
      </c>
      <c r="C85" t="s">
        <v>313</v>
      </c>
    </row>
    <row r="86" spans="2:3" x14ac:dyDescent="0.35">
      <c r="B86" t="s">
        <v>314</v>
      </c>
      <c r="C86" t="s">
        <v>315</v>
      </c>
    </row>
  </sheetData>
  <mergeCells count="2">
    <mergeCell ref="B63:E63"/>
    <mergeCell ref="F63:I63"/>
  </mergeCell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D301D-6AF7-4B69-9592-C7695E44118E}">
  <sheetPr codeName="Sheet13"/>
  <dimension ref="A1:AO52"/>
  <sheetViews>
    <sheetView workbookViewId="0">
      <selection activeCell="G8" sqref="G8"/>
    </sheetView>
  </sheetViews>
  <sheetFormatPr defaultColWidth="9.1796875" defaultRowHeight="14.5" x14ac:dyDescent="0.35"/>
  <cols>
    <col min="1" max="1" width="9.1796875" style="381"/>
    <col min="2" max="2" width="9.1796875" style="274"/>
    <col min="3" max="3" width="5.453125" style="381" customWidth="1"/>
    <col min="4" max="4" width="8.453125" style="381" customWidth="1"/>
    <col min="5" max="5" width="8.7265625" style="381" customWidth="1"/>
    <col min="6" max="6" width="12.7265625" style="380" customWidth="1"/>
    <col min="7" max="7" width="13" style="380" customWidth="1"/>
    <col min="8" max="9" width="6.453125" style="381" customWidth="1"/>
    <col min="10" max="10" width="8.453125" style="381" customWidth="1"/>
    <col min="11" max="11" width="8" style="381" customWidth="1"/>
    <col min="12" max="12" width="13.54296875" style="380" customWidth="1"/>
    <col min="13" max="13" width="8.26953125" style="381" customWidth="1"/>
    <col min="14" max="14" width="9.453125" style="381" customWidth="1"/>
    <col min="15" max="17" width="9.1796875" style="381"/>
    <col min="18" max="18" width="5.453125" style="381" bestFit="1" customWidth="1"/>
    <col min="19" max="19" width="6.81640625" style="381" customWidth="1"/>
    <col min="20" max="21" width="9.1796875" style="381"/>
    <col min="22" max="22" width="9.453125" style="381" customWidth="1"/>
    <col min="23" max="34" width="9.1796875" style="381"/>
    <col min="35" max="36" width="7.90625" style="381" bestFit="1" customWidth="1"/>
    <col min="37" max="37" width="9.6328125" style="381" bestFit="1" customWidth="1"/>
    <col min="38" max="40" width="9.1796875" style="381"/>
    <col min="41" max="41" width="0" style="381" hidden="1" customWidth="1"/>
    <col min="42" max="16384" width="9.1796875" style="381"/>
  </cols>
  <sheetData>
    <row r="1" spans="1:41" ht="14.5" customHeight="1" thickBot="1" x14ac:dyDescent="0.4">
      <c r="A1" s="80"/>
      <c r="B1" s="273"/>
      <c r="C1" s="647" t="s">
        <v>35</v>
      </c>
      <c r="D1" s="811"/>
      <c r="E1" s="811"/>
      <c r="F1" s="811"/>
      <c r="G1" s="811"/>
      <c r="H1" s="387"/>
      <c r="I1" s="80"/>
      <c r="J1" s="810" t="s">
        <v>0</v>
      </c>
      <c r="K1" s="811"/>
      <c r="L1" s="812"/>
      <c r="M1" s="80"/>
      <c r="N1" s="80"/>
      <c r="O1" s="80"/>
      <c r="P1" s="813" t="s">
        <v>363</v>
      </c>
      <c r="Q1" s="814"/>
      <c r="R1" s="810" t="s">
        <v>87</v>
      </c>
      <c r="S1" s="811"/>
      <c r="T1" s="811"/>
      <c r="U1" s="815"/>
      <c r="V1" s="382"/>
      <c r="W1" s="382"/>
      <c r="X1" s="382"/>
      <c r="Y1" s="382"/>
      <c r="Z1" s="382"/>
      <c r="AH1" s="787" t="s">
        <v>170</v>
      </c>
      <c r="AI1" s="787"/>
      <c r="AJ1" s="787"/>
      <c r="AK1" s="787"/>
      <c r="AL1" s="787"/>
    </row>
    <row r="2" spans="1:41" ht="14.5" customHeight="1" thickBot="1" x14ac:dyDescent="0.4">
      <c r="A2" s="80" t="s">
        <v>86</v>
      </c>
      <c r="B2" s="273" t="s">
        <v>34</v>
      </c>
      <c r="C2" s="386" t="s">
        <v>54</v>
      </c>
      <c r="D2" s="385" t="s">
        <v>14</v>
      </c>
      <c r="E2" s="385" t="s">
        <v>6</v>
      </c>
      <c r="F2" s="166" t="s">
        <v>35</v>
      </c>
      <c r="G2" s="166" t="s">
        <v>37</v>
      </c>
      <c r="H2" s="387" t="s">
        <v>43</v>
      </c>
      <c r="I2" s="81" t="s">
        <v>88</v>
      </c>
      <c r="J2" s="386" t="s">
        <v>14</v>
      </c>
      <c r="K2" s="385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382"/>
      <c r="W2" s="382"/>
      <c r="X2" s="271" t="s">
        <v>97</v>
      </c>
      <c r="Y2" s="272" t="s">
        <v>98</v>
      </c>
      <c r="Z2" s="382"/>
      <c r="AO2" s="382" t="s">
        <v>99</v>
      </c>
    </row>
    <row r="3" spans="1:41" ht="14.5" customHeight="1" thickBot="1" x14ac:dyDescent="0.4">
      <c r="A3" s="821" t="s">
        <v>211</v>
      </c>
      <c r="B3" s="823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9" t="s">
        <v>211</v>
      </c>
      <c r="I3" s="87" t="s">
        <v>211</v>
      </c>
      <c r="J3" s="86" t="s">
        <v>211</v>
      </c>
      <c r="K3" s="86" t="s">
        <v>211</v>
      </c>
      <c r="L3" s="167" t="s">
        <v>211</v>
      </c>
      <c r="M3" s="816" t="s">
        <v>211</v>
      </c>
      <c r="N3" s="816" t="s">
        <v>211</v>
      </c>
      <c r="O3" s="816" t="s">
        <v>211</v>
      </c>
      <c r="P3" s="816" t="s">
        <v>211</v>
      </c>
      <c r="Q3" s="816" t="s">
        <v>211</v>
      </c>
      <c r="R3" s="88" t="s">
        <v>211</v>
      </c>
      <c r="S3" s="383" t="s">
        <v>211</v>
      </c>
      <c r="T3" s="383" t="s">
        <v>211</v>
      </c>
      <c r="U3" s="818" t="s">
        <v>211</v>
      </c>
      <c r="V3" s="382"/>
      <c r="W3" s="382"/>
      <c r="X3" s="382"/>
      <c r="Y3" s="382"/>
      <c r="Z3" s="382"/>
      <c r="AH3" s="382" t="s">
        <v>171</v>
      </c>
      <c r="AI3" s="275">
        <v>0.39583333333333331</v>
      </c>
      <c r="AJ3" s="89">
        <v>43572.42225787037</v>
      </c>
      <c r="AK3" s="382" t="s">
        <v>207</v>
      </c>
      <c r="AO3" s="382" t="s">
        <v>98</v>
      </c>
    </row>
    <row r="4" spans="1:41" ht="14.5" customHeight="1" thickBot="1" x14ac:dyDescent="0.4">
      <c r="A4" s="822"/>
      <c r="B4" s="824"/>
      <c r="C4" s="90" t="s">
        <v>211</v>
      </c>
      <c r="D4" s="90" t="s">
        <v>211</v>
      </c>
      <c r="E4" s="90" t="s">
        <v>211</v>
      </c>
      <c r="F4" s="168" t="s">
        <v>211</v>
      </c>
      <c r="G4" s="168" t="s">
        <v>211</v>
      </c>
      <c r="H4" s="820"/>
      <c r="I4" s="91" t="s">
        <v>211</v>
      </c>
      <c r="J4" s="90" t="s">
        <v>211</v>
      </c>
      <c r="K4" s="90" t="s">
        <v>211</v>
      </c>
      <c r="L4" s="168" t="s">
        <v>211</v>
      </c>
      <c r="M4" s="817"/>
      <c r="N4" s="817"/>
      <c r="O4" s="817"/>
      <c r="P4" s="817"/>
      <c r="Q4" s="817"/>
      <c r="R4" s="92" t="s">
        <v>211</v>
      </c>
      <c r="S4" s="384" t="s">
        <v>211</v>
      </c>
      <c r="T4" s="384" t="s">
        <v>211</v>
      </c>
      <c r="U4" s="818"/>
      <c r="V4" s="382"/>
      <c r="W4" s="382"/>
      <c r="X4" s="382"/>
      <c r="Y4" s="382"/>
      <c r="Z4" s="382"/>
      <c r="AH4" s="382" t="s">
        <v>172</v>
      </c>
      <c r="AI4" s="275">
        <v>0.39861111111111108</v>
      </c>
      <c r="AJ4" s="382"/>
      <c r="AK4" s="382"/>
    </row>
    <row r="5" spans="1:41" ht="14.5" customHeight="1" thickBot="1" x14ac:dyDescent="0.4">
      <c r="A5" s="821" t="s">
        <v>230</v>
      </c>
      <c r="B5" s="823" t="s">
        <v>180</v>
      </c>
      <c r="C5" s="86" t="s">
        <v>41</v>
      </c>
      <c r="D5" s="86">
        <v>11700</v>
      </c>
      <c r="E5" s="86">
        <v>104.2</v>
      </c>
      <c r="F5" s="167">
        <v>-1145550</v>
      </c>
      <c r="G5" s="167">
        <v>180627</v>
      </c>
      <c r="H5" s="819" t="s">
        <v>55</v>
      </c>
      <c r="I5" s="87">
        <v>12.05</v>
      </c>
      <c r="J5" s="86">
        <v>11900</v>
      </c>
      <c r="K5" s="86">
        <v>3.15</v>
      </c>
      <c r="L5" s="167">
        <v>1084650</v>
      </c>
      <c r="M5" s="816">
        <v>11787.15</v>
      </c>
      <c r="N5" s="816">
        <v>11750</v>
      </c>
      <c r="O5" s="816">
        <v>11833</v>
      </c>
      <c r="P5" s="816">
        <v>11847.1</v>
      </c>
      <c r="Q5" s="827">
        <v>11758.25</v>
      </c>
      <c r="R5" s="88" t="e">
        <v>#REF!</v>
      </c>
      <c r="S5" s="383" t="e">
        <v>#REF!</v>
      </c>
      <c r="T5" s="383" t="e">
        <v>#REF!</v>
      </c>
      <c r="U5" s="818" t="e">
        <v>#REF!</v>
      </c>
      <c r="V5" s="382"/>
      <c r="W5" s="382"/>
      <c r="X5" s="382"/>
      <c r="Y5" s="382"/>
      <c r="Z5" s="382"/>
      <c r="AI5" s="275">
        <v>0.40625</v>
      </c>
      <c r="AJ5" s="382"/>
      <c r="AK5" s="382" t="s">
        <v>207</v>
      </c>
    </row>
    <row r="6" spans="1:41" ht="14.5" customHeight="1" thickBot="1" x14ac:dyDescent="0.4">
      <c r="A6" s="822"/>
      <c r="B6" s="824"/>
      <c r="C6" s="90" t="s">
        <v>42</v>
      </c>
      <c r="D6" s="90">
        <v>11750</v>
      </c>
      <c r="E6" s="90">
        <v>11.1</v>
      </c>
      <c r="F6" s="168">
        <v>1091625</v>
      </c>
      <c r="G6" s="168">
        <v>226557</v>
      </c>
      <c r="H6" s="825"/>
      <c r="I6" s="91">
        <v>7.94</v>
      </c>
      <c r="J6" s="90">
        <v>11600</v>
      </c>
      <c r="K6" s="90">
        <v>2.5</v>
      </c>
      <c r="L6" s="168">
        <v>1672425</v>
      </c>
      <c r="M6" s="829"/>
      <c r="N6" s="829"/>
      <c r="O6" s="829"/>
      <c r="P6" s="829"/>
      <c r="Q6" s="828"/>
      <c r="R6" s="92" t="e">
        <v>#REF!</v>
      </c>
      <c r="S6" s="384" t="e">
        <v>#REF!</v>
      </c>
      <c r="T6" s="384" t="e">
        <v>#REF!</v>
      </c>
      <c r="U6" s="818"/>
      <c r="V6" s="382"/>
      <c r="W6" s="382"/>
      <c r="X6" s="382"/>
      <c r="Y6" s="382"/>
      <c r="Z6" s="382"/>
      <c r="AI6" s="275">
        <v>0.40902777777777777</v>
      </c>
      <c r="AJ6" s="382"/>
      <c r="AK6" s="382"/>
    </row>
    <row r="7" spans="1:41" ht="14.5" customHeight="1" thickBot="1" x14ac:dyDescent="0.4">
      <c r="A7" s="821" t="s">
        <v>230</v>
      </c>
      <c r="B7" s="823" t="s">
        <v>180</v>
      </c>
      <c r="C7" s="86" t="s">
        <v>41</v>
      </c>
      <c r="D7" s="86">
        <v>11700</v>
      </c>
      <c r="E7" s="86">
        <v>104.2</v>
      </c>
      <c r="F7" s="167">
        <v>-1145550</v>
      </c>
      <c r="G7" s="167">
        <v>180627</v>
      </c>
      <c r="H7" s="819" t="s">
        <v>55</v>
      </c>
      <c r="I7" s="87">
        <v>12.05</v>
      </c>
      <c r="J7" s="86">
        <v>11900</v>
      </c>
      <c r="K7" s="86">
        <v>3.15</v>
      </c>
      <c r="L7" s="167">
        <v>1084650</v>
      </c>
      <c r="M7" s="816">
        <v>11787.15</v>
      </c>
      <c r="N7" s="816">
        <v>11750</v>
      </c>
      <c r="O7" s="816">
        <v>11833</v>
      </c>
      <c r="P7" s="816">
        <v>11847.1</v>
      </c>
      <c r="Q7" s="827">
        <v>11758.25</v>
      </c>
      <c r="R7" s="88" t="e">
        <v>#REF!</v>
      </c>
      <c r="S7" s="383" t="e">
        <v>#REF!</v>
      </c>
      <c r="T7" s="383" t="e">
        <v>#REF!</v>
      </c>
      <c r="U7" s="818" t="e">
        <v>#REF!</v>
      </c>
      <c r="V7" s="382"/>
      <c r="W7" s="382"/>
      <c r="X7" s="382"/>
      <c r="Y7" s="382"/>
      <c r="Z7" s="382"/>
      <c r="AI7" s="275">
        <v>0.41666666666666669</v>
      </c>
      <c r="AJ7" s="382"/>
      <c r="AK7" s="382" t="s">
        <v>364</v>
      </c>
    </row>
    <row r="8" spans="1:41" ht="14.5" customHeight="1" thickBot="1" x14ac:dyDescent="0.4">
      <c r="A8" s="822"/>
      <c r="B8" s="824"/>
      <c r="C8" s="90" t="s">
        <v>42</v>
      </c>
      <c r="D8" s="90">
        <v>11750</v>
      </c>
      <c r="E8" s="90">
        <v>11.1</v>
      </c>
      <c r="F8" s="168">
        <v>1091625</v>
      </c>
      <c r="G8" s="168">
        <v>226557</v>
      </c>
      <c r="H8" s="825"/>
      <c r="I8" s="91">
        <v>7.94</v>
      </c>
      <c r="J8" s="90">
        <v>11600</v>
      </c>
      <c r="K8" s="90">
        <v>2.5</v>
      </c>
      <c r="L8" s="168">
        <v>1672425</v>
      </c>
      <c r="M8" s="829"/>
      <c r="N8" s="829"/>
      <c r="O8" s="829"/>
      <c r="P8" s="829"/>
      <c r="Q8" s="828"/>
      <c r="R8" s="92" t="e">
        <v>#REF!</v>
      </c>
      <c r="S8" s="384" t="e">
        <v>#REF!</v>
      </c>
      <c r="T8" s="384" t="e">
        <v>#REF!</v>
      </c>
      <c r="U8" s="818"/>
      <c r="V8" s="382"/>
      <c r="W8" s="382"/>
      <c r="X8" s="382"/>
      <c r="Y8" s="382"/>
      <c r="Z8" s="382"/>
      <c r="AI8" s="275">
        <v>0.41944444444444445</v>
      </c>
      <c r="AJ8" s="382"/>
      <c r="AK8" s="382"/>
    </row>
    <row r="9" spans="1:41" ht="14.5" customHeight="1" thickBot="1" x14ac:dyDescent="0.4">
      <c r="A9" s="821" t="s">
        <v>211</v>
      </c>
      <c r="B9" s="823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819" t="s">
        <v>211</v>
      </c>
      <c r="I9" s="87" t="s">
        <v>211</v>
      </c>
      <c r="J9" s="86" t="s">
        <v>211</v>
      </c>
      <c r="K9" s="86" t="s">
        <v>211</v>
      </c>
      <c r="L9" s="167" t="s">
        <v>211</v>
      </c>
      <c r="M9" s="816" t="s">
        <v>211</v>
      </c>
      <c r="N9" s="816" t="s">
        <v>211</v>
      </c>
      <c r="O9" s="816" t="s">
        <v>211</v>
      </c>
      <c r="P9" s="816" t="s">
        <v>211</v>
      </c>
      <c r="Q9" s="827" t="s">
        <v>211</v>
      </c>
      <c r="R9" s="88" t="s">
        <v>211</v>
      </c>
      <c r="S9" s="383" t="s">
        <v>211</v>
      </c>
      <c r="T9" s="383" t="s">
        <v>211</v>
      </c>
      <c r="U9" s="818" t="s">
        <v>211</v>
      </c>
      <c r="V9" s="382"/>
      <c r="W9" s="382"/>
      <c r="X9" s="718" t="s">
        <v>165</v>
      </c>
      <c r="Y9" s="719"/>
      <c r="Z9" s="719"/>
      <c r="AI9" s="275">
        <v>0.42708333333333331</v>
      </c>
      <c r="AJ9" s="382"/>
      <c r="AK9" s="382" t="s">
        <v>364</v>
      </c>
    </row>
    <row r="10" spans="1:41" ht="14.5" customHeight="1" thickBot="1" x14ac:dyDescent="0.4">
      <c r="A10" s="822"/>
      <c r="B10" s="824"/>
      <c r="C10" s="90" t="s">
        <v>211</v>
      </c>
      <c r="D10" s="90" t="s">
        <v>211</v>
      </c>
      <c r="E10" s="90" t="s">
        <v>211</v>
      </c>
      <c r="F10" s="168" t="s">
        <v>211</v>
      </c>
      <c r="G10" s="168" t="s">
        <v>211</v>
      </c>
      <c r="H10" s="825"/>
      <c r="I10" s="91" t="s">
        <v>211</v>
      </c>
      <c r="J10" s="90" t="s">
        <v>211</v>
      </c>
      <c r="K10" s="90" t="s">
        <v>211</v>
      </c>
      <c r="L10" s="168" t="s">
        <v>211</v>
      </c>
      <c r="M10" s="829"/>
      <c r="N10" s="829"/>
      <c r="O10" s="829"/>
      <c r="P10" s="829"/>
      <c r="Q10" s="828"/>
      <c r="R10" s="92" t="s">
        <v>211</v>
      </c>
      <c r="S10" s="384" t="s">
        <v>211</v>
      </c>
      <c r="T10" s="384" t="s">
        <v>211</v>
      </c>
      <c r="U10" s="818"/>
      <c r="V10" s="382"/>
      <c r="W10" s="382"/>
      <c r="X10" s="718" t="s">
        <v>365</v>
      </c>
      <c r="Y10" s="719"/>
      <c r="Z10" s="719"/>
      <c r="AI10" s="275">
        <v>0.42986111111111108</v>
      </c>
      <c r="AJ10" s="382"/>
      <c r="AK10" s="382"/>
    </row>
    <row r="11" spans="1:41" ht="14.5" customHeight="1" thickBot="1" x14ac:dyDescent="0.4">
      <c r="A11" s="821" t="s">
        <v>211</v>
      </c>
      <c r="B11" s="823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819" t="s">
        <v>211</v>
      </c>
      <c r="I11" s="87" t="s">
        <v>211</v>
      </c>
      <c r="J11" s="86" t="s">
        <v>211</v>
      </c>
      <c r="K11" s="86" t="s">
        <v>211</v>
      </c>
      <c r="L11" s="167" t="s">
        <v>211</v>
      </c>
      <c r="M11" s="816" t="s">
        <v>211</v>
      </c>
      <c r="N11" s="816" t="s">
        <v>211</v>
      </c>
      <c r="O11" s="816" t="s">
        <v>211</v>
      </c>
      <c r="P11" s="816" t="s">
        <v>211</v>
      </c>
      <c r="Q11" s="827" t="s">
        <v>211</v>
      </c>
      <c r="R11" s="88" t="s">
        <v>211</v>
      </c>
      <c r="S11" s="383" t="s">
        <v>211</v>
      </c>
      <c r="T11" s="383" t="s">
        <v>211</v>
      </c>
      <c r="U11" s="818" t="s">
        <v>211</v>
      </c>
      <c r="V11" s="382"/>
      <c r="W11" s="382"/>
      <c r="X11" s="718" t="s">
        <v>366</v>
      </c>
      <c r="Y11" s="718"/>
      <c r="Z11" s="718"/>
      <c r="AI11" s="275">
        <v>0.4375</v>
      </c>
      <c r="AJ11" s="382"/>
      <c r="AK11" s="382" t="s">
        <v>364</v>
      </c>
    </row>
    <row r="12" spans="1:41" ht="14.5" customHeight="1" thickBot="1" x14ac:dyDescent="0.4">
      <c r="A12" s="822"/>
      <c r="B12" s="824"/>
      <c r="C12" s="90" t="s">
        <v>211</v>
      </c>
      <c r="D12" s="90" t="s">
        <v>211</v>
      </c>
      <c r="E12" s="90" t="s">
        <v>211</v>
      </c>
      <c r="F12" s="168" t="s">
        <v>211</v>
      </c>
      <c r="G12" s="168" t="s">
        <v>211</v>
      </c>
      <c r="H12" s="825"/>
      <c r="I12" s="91" t="s">
        <v>211</v>
      </c>
      <c r="J12" s="90" t="s">
        <v>211</v>
      </c>
      <c r="K12" s="90" t="s">
        <v>211</v>
      </c>
      <c r="L12" s="168" t="s">
        <v>211</v>
      </c>
      <c r="M12" s="829"/>
      <c r="N12" s="829"/>
      <c r="O12" s="829"/>
      <c r="P12" s="829"/>
      <c r="Q12" s="828"/>
      <c r="R12" s="92" t="s">
        <v>211</v>
      </c>
      <c r="S12" s="384" t="s">
        <v>211</v>
      </c>
      <c r="T12" s="384" t="s">
        <v>211</v>
      </c>
      <c r="U12" s="818"/>
      <c r="V12" s="382"/>
      <c r="W12" s="382"/>
      <c r="X12" s="718" t="s">
        <v>167</v>
      </c>
      <c r="Y12" s="718"/>
      <c r="Z12" s="718"/>
      <c r="AI12" s="275">
        <v>0.44027777777777777</v>
      </c>
      <c r="AJ12" s="382"/>
      <c r="AK12" s="382"/>
    </row>
    <row r="13" spans="1:41" ht="14.5" customHeight="1" thickBot="1" x14ac:dyDescent="0.4">
      <c r="A13" s="821" t="s">
        <v>211</v>
      </c>
      <c r="B13" s="823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819" t="s">
        <v>211</v>
      </c>
      <c r="I13" s="87" t="s">
        <v>211</v>
      </c>
      <c r="J13" s="86" t="s">
        <v>211</v>
      </c>
      <c r="K13" s="86" t="s">
        <v>211</v>
      </c>
      <c r="L13" s="167" t="s">
        <v>211</v>
      </c>
      <c r="M13" s="816" t="s">
        <v>211</v>
      </c>
      <c r="N13" s="816" t="s">
        <v>211</v>
      </c>
      <c r="O13" s="816" t="s">
        <v>211</v>
      </c>
      <c r="P13" s="816" t="s">
        <v>211</v>
      </c>
      <c r="Q13" s="827" t="s">
        <v>211</v>
      </c>
      <c r="R13" s="88" t="s">
        <v>211</v>
      </c>
      <c r="S13" s="383" t="s">
        <v>211</v>
      </c>
      <c r="T13" s="383" t="s">
        <v>211</v>
      </c>
      <c r="U13" s="818" t="s">
        <v>211</v>
      </c>
      <c r="V13" s="382"/>
      <c r="W13" s="382"/>
      <c r="X13" s="718" t="s">
        <v>168</v>
      </c>
      <c r="Y13" s="718"/>
      <c r="Z13" s="718"/>
      <c r="AI13" s="275">
        <v>0.44791666666666669</v>
      </c>
      <c r="AJ13" s="382"/>
      <c r="AK13" s="382" t="s">
        <v>364</v>
      </c>
    </row>
    <row r="14" spans="1:41" ht="14.5" customHeight="1" thickBot="1" x14ac:dyDescent="0.4">
      <c r="A14" s="822"/>
      <c r="B14" s="824"/>
      <c r="C14" s="90" t="s">
        <v>211</v>
      </c>
      <c r="D14" s="90" t="s">
        <v>211</v>
      </c>
      <c r="E14" s="90" t="s">
        <v>211</v>
      </c>
      <c r="F14" s="168" t="s">
        <v>211</v>
      </c>
      <c r="G14" s="168" t="s">
        <v>211</v>
      </c>
      <c r="H14" s="825"/>
      <c r="I14" s="91" t="s">
        <v>211</v>
      </c>
      <c r="J14" s="90" t="s">
        <v>211</v>
      </c>
      <c r="K14" s="90" t="s">
        <v>211</v>
      </c>
      <c r="L14" s="168" t="s">
        <v>211</v>
      </c>
      <c r="M14" s="829"/>
      <c r="N14" s="829"/>
      <c r="O14" s="829"/>
      <c r="P14" s="829"/>
      <c r="Q14" s="828"/>
      <c r="R14" s="92" t="s">
        <v>211</v>
      </c>
      <c r="S14" s="384" t="s">
        <v>211</v>
      </c>
      <c r="T14" s="384" t="s">
        <v>211</v>
      </c>
      <c r="U14" s="818"/>
      <c r="AI14" s="275">
        <v>0.45069444444444445</v>
      </c>
      <c r="AJ14" s="382"/>
      <c r="AK14" s="382"/>
    </row>
    <row r="15" spans="1:41" ht="14.5" customHeight="1" thickBot="1" x14ac:dyDescent="0.4">
      <c r="A15" s="821" t="s">
        <v>211</v>
      </c>
      <c r="B15" s="823" t="s">
        <v>211</v>
      </c>
      <c r="C15" s="86" t="s">
        <v>211</v>
      </c>
      <c r="D15" s="86" t="s">
        <v>211</v>
      </c>
      <c r="E15" s="86" t="s">
        <v>211</v>
      </c>
      <c r="F15" s="167" t="s">
        <v>211</v>
      </c>
      <c r="G15" s="167" t="s">
        <v>211</v>
      </c>
      <c r="H15" s="819" t="s">
        <v>211</v>
      </c>
      <c r="I15" s="87" t="s">
        <v>211</v>
      </c>
      <c r="J15" s="86" t="s">
        <v>211</v>
      </c>
      <c r="K15" s="86" t="s">
        <v>211</v>
      </c>
      <c r="L15" s="167" t="s">
        <v>211</v>
      </c>
      <c r="M15" s="816" t="s">
        <v>211</v>
      </c>
      <c r="N15" s="816" t="s">
        <v>211</v>
      </c>
      <c r="O15" s="816" t="s">
        <v>211</v>
      </c>
      <c r="P15" s="816" t="s">
        <v>211</v>
      </c>
      <c r="Q15" s="827" t="s">
        <v>211</v>
      </c>
      <c r="R15" s="88" t="s">
        <v>211</v>
      </c>
      <c r="S15" s="383" t="s">
        <v>211</v>
      </c>
      <c r="T15" s="383" t="s">
        <v>211</v>
      </c>
      <c r="U15" s="818" t="s">
        <v>211</v>
      </c>
      <c r="AI15" s="275">
        <v>0.45833333333333331</v>
      </c>
      <c r="AJ15" s="382"/>
      <c r="AK15" s="382" t="s">
        <v>207</v>
      </c>
    </row>
    <row r="16" spans="1:41" ht="14.5" customHeight="1" thickBot="1" x14ac:dyDescent="0.4">
      <c r="A16" s="822"/>
      <c r="B16" s="824"/>
      <c r="C16" s="90" t="s">
        <v>211</v>
      </c>
      <c r="D16" s="90" t="s">
        <v>211</v>
      </c>
      <c r="E16" s="90" t="s">
        <v>211</v>
      </c>
      <c r="F16" s="168" t="s">
        <v>211</v>
      </c>
      <c r="G16" s="168" t="s">
        <v>211</v>
      </c>
      <c r="H16" s="825"/>
      <c r="I16" s="91" t="s">
        <v>211</v>
      </c>
      <c r="J16" s="90" t="s">
        <v>211</v>
      </c>
      <c r="K16" s="90" t="s">
        <v>211</v>
      </c>
      <c r="L16" s="168" t="s">
        <v>211</v>
      </c>
      <c r="M16" s="829"/>
      <c r="N16" s="829"/>
      <c r="O16" s="829"/>
      <c r="P16" s="829"/>
      <c r="Q16" s="828"/>
      <c r="R16" s="92" t="s">
        <v>211</v>
      </c>
      <c r="S16" s="384" t="s">
        <v>211</v>
      </c>
      <c r="T16" s="384" t="s">
        <v>211</v>
      </c>
      <c r="U16" s="818"/>
      <c r="AI16" s="275">
        <v>0.46111111111111108</v>
      </c>
      <c r="AJ16" s="382"/>
      <c r="AK16" s="382"/>
    </row>
    <row r="17" spans="1:37" ht="14.5" customHeight="1" thickBot="1" x14ac:dyDescent="0.4">
      <c r="A17" s="821" t="s">
        <v>211</v>
      </c>
      <c r="B17" s="823" t="s">
        <v>211</v>
      </c>
      <c r="C17" s="86" t="s">
        <v>211</v>
      </c>
      <c r="D17" s="86" t="s">
        <v>211</v>
      </c>
      <c r="E17" s="86" t="s">
        <v>211</v>
      </c>
      <c r="F17" s="167" t="s">
        <v>211</v>
      </c>
      <c r="G17" s="167" t="s">
        <v>211</v>
      </c>
      <c r="H17" s="819" t="s">
        <v>211</v>
      </c>
      <c r="I17" s="87" t="s">
        <v>211</v>
      </c>
      <c r="J17" s="86" t="s">
        <v>211</v>
      </c>
      <c r="K17" s="86" t="s">
        <v>211</v>
      </c>
      <c r="L17" s="167" t="s">
        <v>211</v>
      </c>
      <c r="M17" s="816" t="s">
        <v>211</v>
      </c>
      <c r="N17" s="816" t="s">
        <v>211</v>
      </c>
      <c r="O17" s="816" t="s">
        <v>211</v>
      </c>
      <c r="P17" s="816" t="s">
        <v>211</v>
      </c>
      <c r="Q17" s="827" t="s">
        <v>211</v>
      </c>
      <c r="R17" s="88" t="s">
        <v>211</v>
      </c>
      <c r="S17" s="383" t="s">
        <v>211</v>
      </c>
      <c r="T17" s="383" t="s">
        <v>211</v>
      </c>
      <c r="U17" s="818" t="s">
        <v>211</v>
      </c>
      <c r="AI17" s="275">
        <v>0.46875</v>
      </c>
      <c r="AJ17" s="382"/>
      <c r="AK17" s="382" t="s">
        <v>207</v>
      </c>
    </row>
    <row r="18" spans="1:37" ht="14.5" customHeight="1" thickBot="1" x14ac:dyDescent="0.4">
      <c r="A18" s="822"/>
      <c r="B18" s="824"/>
      <c r="C18" s="90" t="s">
        <v>211</v>
      </c>
      <c r="D18" s="90" t="s">
        <v>211</v>
      </c>
      <c r="E18" s="90" t="s">
        <v>211</v>
      </c>
      <c r="F18" s="168" t="s">
        <v>211</v>
      </c>
      <c r="G18" s="168" t="s">
        <v>211</v>
      </c>
      <c r="H18" s="825"/>
      <c r="I18" s="91" t="s">
        <v>211</v>
      </c>
      <c r="J18" s="90" t="s">
        <v>211</v>
      </c>
      <c r="K18" s="90" t="s">
        <v>211</v>
      </c>
      <c r="L18" s="168" t="s">
        <v>211</v>
      </c>
      <c r="M18" s="829"/>
      <c r="N18" s="829"/>
      <c r="O18" s="829"/>
      <c r="P18" s="829"/>
      <c r="Q18" s="828"/>
      <c r="R18" s="92" t="s">
        <v>211</v>
      </c>
      <c r="S18" s="384" t="s">
        <v>211</v>
      </c>
      <c r="T18" s="384" t="s">
        <v>211</v>
      </c>
      <c r="U18" s="818"/>
      <c r="AI18" s="275">
        <v>0.47152777777777777</v>
      </c>
      <c r="AJ18" s="382"/>
      <c r="AK18" s="382"/>
    </row>
    <row r="19" spans="1:37" ht="14.5" customHeight="1" thickBot="1" x14ac:dyDescent="0.4">
      <c r="A19" s="821" t="s">
        <v>211</v>
      </c>
      <c r="B19" s="823" t="s">
        <v>211</v>
      </c>
      <c r="C19" s="86" t="s">
        <v>211</v>
      </c>
      <c r="D19" s="86" t="s">
        <v>211</v>
      </c>
      <c r="E19" s="86" t="s">
        <v>211</v>
      </c>
      <c r="F19" s="167" t="s">
        <v>211</v>
      </c>
      <c r="G19" s="167" t="s">
        <v>211</v>
      </c>
      <c r="H19" s="819" t="s">
        <v>211</v>
      </c>
      <c r="I19" s="87" t="s">
        <v>211</v>
      </c>
      <c r="J19" s="86" t="s">
        <v>211</v>
      </c>
      <c r="K19" s="86" t="s">
        <v>211</v>
      </c>
      <c r="L19" s="167" t="s">
        <v>211</v>
      </c>
      <c r="M19" s="816" t="s">
        <v>211</v>
      </c>
      <c r="N19" s="816" t="s">
        <v>211</v>
      </c>
      <c r="O19" s="816" t="s">
        <v>211</v>
      </c>
      <c r="P19" s="816" t="s">
        <v>211</v>
      </c>
      <c r="Q19" s="827" t="s">
        <v>211</v>
      </c>
      <c r="R19" s="88" t="s">
        <v>211</v>
      </c>
      <c r="S19" s="383" t="s">
        <v>211</v>
      </c>
      <c r="T19" s="383" t="s">
        <v>211</v>
      </c>
      <c r="U19" s="818" t="s">
        <v>211</v>
      </c>
      <c r="AI19" s="275">
        <v>0.47916666666666669</v>
      </c>
      <c r="AJ19" s="382"/>
      <c r="AK19" s="382" t="s">
        <v>207</v>
      </c>
    </row>
    <row r="20" spans="1:37" ht="14.5" customHeight="1" thickBot="1" x14ac:dyDescent="0.4">
      <c r="A20" s="822"/>
      <c r="B20" s="824"/>
      <c r="C20" s="90" t="s">
        <v>211</v>
      </c>
      <c r="D20" s="90" t="s">
        <v>211</v>
      </c>
      <c r="E20" s="90" t="s">
        <v>211</v>
      </c>
      <c r="F20" s="168" t="s">
        <v>211</v>
      </c>
      <c r="G20" s="168" t="s">
        <v>211</v>
      </c>
      <c r="H20" s="825"/>
      <c r="I20" s="91" t="s">
        <v>211</v>
      </c>
      <c r="J20" s="90" t="s">
        <v>211</v>
      </c>
      <c r="K20" s="90" t="s">
        <v>211</v>
      </c>
      <c r="L20" s="168" t="s">
        <v>211</v>
      </c>
      <c r="M20" s="829"/>
      <c r="N20" s="829"/>
      <c r="O20" s="829"/>
      <c r="P20" s="829"/>
      <c r="Q20" s="828"/>
      <c r="R20" s="92" t="s">
        <v>211</v>
      </c>
      <c r="S20" s="384" t="s">
        <v>211</v>
      </c>
      <c r="T20" s="384" t="s">
        <v>211</v>
      </c>
      <c r="U20" s="818"/>
      <c r="AI20" s="275">
        <v>0.48194444444444445</v>
      </c>
      <c r="AJ20" s="382"/>
      <c r="AK20" s="382"/>
    </row>
    <row r="21" spans="1:37" ht="14.5" customHeight="1" thickBot="1" x14ac:dyDescent="0.4">
      <c r="A21" s="821" t="s">
        <v>211</v>
      </c>
      <c r="B21" s="823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819" t="s">
        <v>211</v>
      </c>
      <c r="I21" s="87" t="s">
        <v>211</v>
      </c>
      <c r="J21" s="86" t="s">
        <v>211</v>
      </c>
      <c r="K21" s="86" t="s">
        <v>211</v>
      </c>
      <c r="L21" s="167" t="s">
        <v>211</v>
      </c>
      <c r="M21" s="816" t="s">
        <v>211</v>
      </c>
      <c r="N21" s="816" t="s">
        <v>211</v>
      </c>
      <c r="O21" s="816" t="s">
        <v>211</v>
      </c>
      <c r="P21" s="816" t="s">
        <v>211</v>
      </c>
      <c r="Q21" s="827" t="s">
        <v>211</v>
      </c>
      <c r="R21" s="88" t="s">
        <v>211</v>
      </c>
      <c r="S21" s="383" t="s">
        <v>211</v>
      </c>
      <c r="T21" s="383" t="s">
        <v>211</v>
      </c>
      <c r="U21" s="818" t="s">
        <v>211</v>
      </c>
      <c r="AI21" s="275">
        <v>0.48958333333333331</v>
      </c>
      <c r="AJ21" s="382"/>
      <c r="AK21" s="382" t="s">
        <v>207</v>
      </c>
    </row>
    <row r="22" spans="1:37" ht="14.5" customHeight="1" thickBot="1" x14ac:dyDescent="0.4">
      <c r="A22" s="822"/>
      <c r="B22" s="824"/>
      <c r="C22" s="90" t="s">
        <v>211</v>
      </c>
      <c r="D22" s="90" t="s">
        <v>211</v>
      </c>
      <c r="E22" s="90" t="s">
        <v>211</v>
      </c>
      <c r="F22" s="168" t="s">
        <v>211</v>
      </c>
      <c r="G22" s="168" t="s">
        <v>211</v>
      </c>
      <c r="H22" s="825"/>
      <c r="I22" s="91" t="s">
        <v>211</v>
      </c>
      <c r="J22" s="90" t="s">
        <v>211</v>
      </c>
      <c r="K22" s="90" t="s">
        <v>211</v>
      </c>
      <c r="L22" s="168" t="s">
        <v>211</v>
      </c>
      <c r="M22" s="829"/>
      <c r="N22" s="829"/>
      <c r="O22" s="829"/>
      <c r="P22" s="829"/>
      <c r="Q22" s="828"/>
      <c r="R22" s="92" t="s">
        <v>211</v>
      </c>
      <c r="S22" s="384" t="s">
        <v>211</v>
      </c>
      <c r="T22" s="384" t="s">
        <v>211</v>
      </c>
      <c r="U22" s="818"/>
      <c r="AI22" s="275">
        <v>0.49236111111111108</v>
      </c>
      <c r="AJ22" s="382"/>
      <c r="AK22" s="382"/>
    </row>
    <row r="23" spans="1:37" ht="14.5" customHeight="1" thickBot="1" x14ac:dyDescent="0.4">
      <c r="A23" s="821" t="s">
        <v>211</v>
      </c>
      <c r="B23" s="823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819" t="s">
        <v>211</v>
      </c>
      <c r="I23" s="87" t="s">
        <v>211</v>
      </c>
      <c r="J23" s="86" t="s">
        <v>211</v>
      </c>
      <c r="K23" s="86" t="s">
        <v>211</v>
      </c>
      <c r="L23" s="167" t="s">
        <v>211</v>
      </c>
      <c r="M23" s="816" t="s">
        <v>211</v>
      </c>
      <c r="N23" s="816" t="s">
        <v>211</v>
      </c>
      <c r="O23" s="816" t="s">
        <v>211</v>
      </c>
      <c r="P23" s="816" t="s">
        <v>211</v>
      </c>
      <c r="Q23" s="827" t="s">
        <v>211</v>
      </c>
      <c r="R23" s="88" t="s">
        <v>211</v>
      </c>
      <c r="S23" s="383" t="s">
        <v>211</v>
      </c>
      <c r="T23" s="383" t="s">
        <v>211</v>
      </c>
      <c r="U23" s="818" t="s">
        <v>211</v>
      </c>
      <c r="AI23" s="275">
        <v>0.5</v>
      </c>
      <c r="AJ23" s="382"/>
      <c r="AK23" s="382" t="s">
        <v>207</v>
      </c>
    </row>
    <row r="24" spans="1:37" ht="14.5" customHeight="1" thickBot="1" x14ac:dyDescent="0.4">
      <c r="A24" s="822"/>
      <c r="B24" s="824"/>
      <c r="C24" s="90" t="s">
        <v>211</v>
      </c>
      <c r="D24" s="90" t="s">
        <v>211</v>
      </c>
      <c r="E24" s="90" t="s">
        <v>211</v>
      </c>
      <c r="F24" s="168" t="s">
        <v>211</v>
      </c>
      <c r="G24" s="168" t="s">
        <v>211</v>
      </c>
      <c r="H24" s="830"/>
      <c r="I24" s="91" t="s">
        <v>211</v>
      </c>
      <c r="J24" s="90" t="s">
        <v>211</v>
      </c>
      <c r="K24" s="90" t="s">
        <v>211</v>
      </c>
      <c r="L24" s="168" t="s">
        <v>211</v>
      </c>
      <c r="M24" s="829"/>
      <c r="N24" s="829"/>
      <c r="O24" s="829"/>
      <c r="P24" s="829"/>
      <c r="Q24" s="828"/>
      <c r="R24" s="92" t="s">
        <v>211</v>
      </c>
      <c r="S24" s="384" t="s">
        <v>211</v>
      </c>
      <c r="T24" s="384" t="s">
        <v>211</v>
      </c>
      <c r="U24" s="818"/>
      <c r="AI24" s="275">
        <v>0.50277777777777777</v>
      </c>
      <c r="AJ24" s="382"/>
      <c r="AK24" s="382"/>
    </row>
    <row r="25" spans="1:37" ht="14.5" customHeight="1" thickBot="1" x14ac:dyDescent="0.4">
      <c r="A25" s="821" t="s">
        <v>211</v>
      </c>
      <c r="B25" s="823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819" t="s">
        <v>211</v>
      </c>
      <c r="I25" s="87" t="s">
        <v>211</v>
      </c>
      <c r="J25" s="86" t="s">
        <v>211</v>
      </c>
      <c r="K25" s="86" t="s">
        <v>211</v>
      </c>
      <c r="L25" s="167" t="s">
        <v>211</v>
      </c>
      <c r="M25" s="816" t="s">
        <v>211</v>
      </c>
      <c r="N25" s="816" t="s">
        <v>211</v>
      </c>
      <c r="O25" s="816" t="s">
        <v>211</v>
      </c>
      <c r="P25" s="816" t="s">
        <v>211</v>
      </c>
      <c r="Q25" s="827" t="s">
        <v>211</v>
      </c>
      <c r="R25" s="88" t="s">
        <v>211</v>
      </c>
      <c r="S25" s="383" t="s">
        <v>211</v>
      </c>
      <c r="T25" s="383" t="s">
        <v>211</v>
      </c>
      <c r="U25" s="818" t="s">
        <v>211</v>
      </c>
      <c r="AI25" s="275">
        <v>0.51041666666666663</v>
      </c>
      <c r="AJ25" s="382"/>
      <c r="AK25" s="382" t="s">
        <v>207</v>
      </c>
    </row>
    <row r="26" spans="1:37" ht="14.5" customHeight="1" thickBot="1" x14ac:dyDescent="0.4">
      <c r="A26" s="822"/>
      <c r="B26" s="824"/>
      <c r="C26" s="90" t="s">
        <v>211</v>
      </c>
      <c r="D26" s="90" t="s">
        <v>211</v>
      </c>
      <c r="E26" s="90" t="s">
        <v>211</v>
      </c>
      <c r="F26" s="168" t="s">
        <v>211</v>
      </c>
      <c r="G26" s="168" t="s">
        <v>211</v>
      </c>
      <c r="H26" s="830"/>
      <c r="I26" s="91" t="s">
        <v>211</v>
      </c>
      <c r="J26" s="90" t="s">
        <v>211</v>
      </c>
      <c r="K26" s="90" t="s">
        <v>211</v>
      </c>
      <c r="L26" s="168" t="s">
        <v>211</v>
      </c>
      <c r="M26" s="829"/>
      <c r="N26" s="829"/>
      <c r="O26" s="829"/>
      <c r="P26" s="829"/>
      <c r="Q26" s="828"/>
      <c r="R26" s="92" t="s">
        <v>211</v>
      </c>
      <c r="S26" s="384" t="s">
        <v>211</v>
      </c>
      <c r="T26" s="384" t="s">
        <v>211</v>
      </c>
      <c r="U26" s="818"/>
      <c r="AI26" s="275">
        <v>0.5131944444444444</v>
      </c>
      <c r="AJ26" s="382"/>
      <c r="AK26" s="382"/>
    </row>
    <row r="27" spans="1:37" ht="14.5" customHeight="1" thickBot="1" x14ac:dyDescent="0.4">
      <c r="A27" s="821" t="s">
        <v>211</v>
      </c>
      <c r="B27" s="823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819" t="s">
        <v>211</v>
      </c>
      <c r="I27" s="87" t="s">
        <v>211</v>
      </c>
      <c r="J27" s="86" t="s">
        <v>211</v>
      </c>
      <c r="K27" s="86" t="s">
        <v>211</v>
      </c>
      <c r="L27" s="167" t="s">
        <v>211</v>
      </c>
      <c r="M27" s="816" t="s">
        <v>211</v>
      </c>
      <c r="N27" s="816" t="s">
        <v>211</v>
      </c>
      <c r="O27" s="816" t="s">
        <v>211</v>
      </c>
      <c r="P27" s="816" t="s">
        <v>211</v>
      </c>
      <c r="Q27" s="827" t="s">
        <v>211</v>
      </c>
      <c r="R27" s="88" t="s">
        <v>211</v>
      </c>
      <c r="S27" s="383" t="s">
        <v>211</v>
      </c>
      <c r="T27" s="383" t="s">
        <v>211</v>
      </c>
      <c r="U27" s="818" t="s">
        <v>211</v>
      </c>
      <c r="AI27" s="275">
        <v>0.52083333333333337</v>
      </c>
      <c r="AJ27" s="382"/>
      <c r="AK27" s="382" t="s">
        <v>207</v>
      </c>
    </row>
    <row r="28" spans="1:37" ht="14.5" customHeight="1" thickBot="1" x14ac:dyDescent="0.4">
      <c r="A28" s="822"/>
      <c r="B28" s="824"/>
      <c r="C28" s="90" t="s">
        <v>211</v>
      </c>
      <c r="D28" s="90" t="s">
        <v>211</v>
      </c>
      <c r="E28" s="90" t="s">
        <v>211</v>
      </c>
      <c r="F28" s="168" t="s">
        <v>211</v>
      </c>
      <c r="G28" s="168" t="s">
        <v>211</v>
      </c>
      <c r="H28" s="830"/>
      <c r="I28" s="91" t="s">
        <v>211</v>
      </c>
      <c r="J28" s="90" t="s">
        <v>211</v>
      </c>
      <c r="K28" s="90" t="s">
        <v>211</v>
      </c>
      <c r="L28" s="168" t="s">
        <v>211</v>
      </c>
      <c r="M28" s="829"/>
      <c r="N28" s="829"/>
      <c r="O28" s="829"/>
      <c r="P28" s="829"/>
      <c r="Q28" s="828"/>
      <c r="R28" s="92" t="s">
        <v>211</v>
      </c>
      <c r="S28" s="384" t="s">
        <v>211</v>
      </c>
      <c r="T28" s="384" t="s">
        <v>211</v>
      </c>
      <c r="U28" s="818"/>
      <c r="AI28" s="275">
        <v>0.52361111111111114</v>
      </c>
      <c r="AJ28" s="382"/>
      <c r="AK28" s="382"/>
    </row>
    <row r="29" spans="1:37" ht="15" thickBot="1" x14ac:dyDescent="0.4">
      <c r="A29" s="821" t="s">
        <v>211</v>
      </c>
      <c r="B29" s="823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819" t="s">
        <v>211</v>
      </c>
      <c r="I29" s="87" t="s">
        <v>211</v>
      </c>
      <c r="J29" s="86" t="s">
        <v>211</v>
      </c>
      <c r="K29" s="86" t="s">
        <v>211</v>
      </c>
      <c r="L29" s="167" t="s">
        <v>211</v>
      </c>
      <c r="M29" s="816" t="s">
        <v>211</v>
      </c>
      <c r="N29" s="816" t="s">
        <v>211</v>
      </c>
      <c r="O29" s="816" t="s">
        <v>211</v>
      </c>
      <c r="P29" s="816" t="s">
        <v>211</v>
      </c>
      <c r="Q29" s="827" t="s">
        <v>211</v>
      </c>
      <c r="R29" s="88" t="s">
        <v>211</v>
      </c>
      <c r="S29" s="383" t="s">
        <v>211</v>
      </c>
      <c r="T29" s="383" t="s">
        <v>211</v>
      </c>
      <c r="U29" s="826" t="s">
        <v>211</v>
      </c>
      <c r="AI29" s="275">
        <v>0.53125</v>
      </c>
      <c r="AK29" s="382" t="s">
        <v>207</v>
      </c>
    </row>
    <row r="30" spans="1:37" ht="15" thickBot="1" x14ac:dyDescent="0.4">
      <c r="A30" s="822"/>
      <c r="B30" s="824"/>
      <c r="C30" s="90" t="s">
        <v>211</v>
      </c>
      <c r="D30" s="90" t="s">
        <v>211</v>
      </c>
      <c r="E30" s="90" t="s">
        <v>211</v>
      </c>
      <c r="F30" s="168" t="s">
        <v>211</v>
      </c>
      <c r="G30" s="168" t="s">
        <v>211</v>
      </c>
      <c r="H30" s="830"/>
      <c r="I30" s="91" t="s">
        <v>211</v>
      </c>
      <c r="J30" s="90" t="s">
        <v>211</v>
      </c>
      <c r="K30" s="90" t="s">
        <v>211</v>
      </c>
      <c r="L30" s="168" t="s">
        <v>211</v>
      </c>
      <c r="M30" s="829"/>
      <c r="N30" s="829"/>
      <c r="O30" s="829"/>
      <c r="P30" s="829"/>
      <c r="Q30" s="828"/>
      <c r="R30" s="92" t="s">
        <v>211</v>
      </c>
      <c r="S30" s="384" t="s">
        <v>211</v>
      </c>
      <c r="T30" s="384" t="s">
        <v>211</v>
      </c>
      <c r="U30" s="826"/>
      <c r="AI30" s="275">
        <v>0.53402777777777777</v>
      </c>
      <c r="AK30" s="382"/>
    </row>
    <row r="31" spans="1:37" ht="15" thickBot="1" x14ac:dyDescent="0.4">
      <c r="A31" s="821" t="s">
        <v>211</v>
      </c>
      <c r="B31" s="823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19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16" t="s">
        <v>211</v>
      </c>
      <c r="N31" s="816" t="s">
        <v>211</v>
      </c>
      <c r="O31" s="816" t="s">
        <v>211</v>
      </c>
      <c r="P31" s="816" t="s">
        <v>211</v>
      </c>
      <c r="Q31" s="827" t="s">
        <v>211</v>
      </c>
      <c r="R31" s="88" t="s">
        <v>211</v>
      </c>
      <c r="S31" s="383" t="s">
        <v>211</v>
      </c>
      <c r="T31" s="383" t="s">
        <v>211</v>
      </c>
      <c r="U31" s="826" t="s">
        <v>211</v>
      </c>
      <c r="AI31" s="275">
        <v>0.54166666666666663</v>
      </c>
      <c r="AK31" s="382" t="s">
        <v>207</v>
      </c>
    </row>
    <row r="32" spans="1:37" ht="15" thickBot="1" x14ac:dyDescent="0.4">
      <c r="A32" s="822"/>
      <c r="B32" s="824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30"/>
      <c r="I32" s="91" t="s">
        <v>211</v>
      </c>
      <c r="J32" s="90" t="s">
        <v>211</v>
      </c>
      <c r="K32" s="90" t="s">
        <v>211</v>
      </c>
      <c r="L32" s="168" t="s">
        <v>211</v>
      </c>
      <c r="M32" s="829"/>
      <c r="N32" s="829"/>
      <c r="O32" s="829"/>
      <c r="P32" s="829"/>
      <c r="Q32" s="828"/>
      <c r="R32" s="92" t="s">
        <v>211</v>
      </c>
      <c r="S32" s="384" t="s">
        <v>211</v>
      </c>
      <c r="T32" s="384" t="s">
        <v>211</v>
      </c>
      <c r="U32" s="826"/>
      <c r="AI32" s="275">
        <v>0.5444444444444444</v>
      </c>
      <c r="AK32" s="382"/>
    </row>
    <row r="33" spans="1:37" ht="15" thickBot="1" x14ac:dyDescent="0.4">
      <c r="A33" s="821" t="s">
        <v>211</v>
      </c>
      <c r="B33" s="823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819" t="s">
        <v>211</v>
      </c>
      <c r="I33" s="87" t="s">
        <v>211</v>
      </c>
      <c r="J33" s="86" t="s">
        <v>211</v>
      </c>
      <c r="K33" s="86" t="s">
        <v>211</v>
      </c>
      <c r="L33" s="167" t="s">
        <v>211</v>
      </c>
      <c r="M33" s="816" t="s">
        <v>211</v>
      </c>
      <c r="N33" s="816" t="s">
        <v>211</v>
      </c>
      <c r="O33" s="816" t="s">
        <v>211</v>
      </c>
      <c r="P33" s="816" t="s">
        <v>211</v>
      </c>
      <c r="Q33" s="827" t="s">
        <v>211</v>
      </c>
      <c r="R33" s="88" t="s">
        <v>211</v>
      </c>
      <c r="S33" s="383" t="s">
        <v>211</v>
      </c>
      <c r="T33" s="383" t="s">
        <v>211</v>
      </c>
      <c r="U33" s="826" t="s">
        <v>211</v>
      </c>
      <c r="AI33" s="275">
        <v>0.55208333333333337</v>
      </c>
      <c r="AK33" s="382" t="s">
        <v>207</v>
      </c>
    </row>
    <row r="34" spans="1:37" ht="15" thickBot="1" x14ac:dyDescent="0.4">
      <c r="A34" s="822"/>
      <c r="B34" s="824"/>
      <c r="C34" s="90" t="s">
        <v>211</v>
      </c>
      <c r="D34" s="90" t="s">
        <v>211</v>
      </c>
      <c r="E34" s="90" t="s">
        <v>211</v>
      </c>
      <c r="F34" s="168" t="s">
        <v>211</v>
      </c>
      <c r="G34" s="168" t="s">
        <v>211</v>
      </c>
      <c r="H34" s="830"/>
      <c r="I34" s="91" t="s">
        <v>211</v>
      </c>
      <c r="J34" s="90" t="s">
        <v>211</v>
      </c>
      <c r="K34" s="90" t="s">
        <v>211</v>
      </c>
      <c r="L34" s="168" t="s">
        <v>211</v>
      </c>
      <c r="M34" s="829"/>
      <c r="N34" s="829"/>
      <c r="O34" s="829"/>
      <c r="P34" s="829"/>
      <c r="Q34" s="828"/>
      <c r="R34" s="92" t="s">
        <v>211</v>
      </c>
      <c r="S34" s="384" t="s">
        <v>211</v>
      </c>
      <c r="T34" s="384" t="s">
        <v>211</v>
      </c>
      <c r="U34" s="826"/>
      <c r="AI34" s="275">
        <v>0.55486111111111114</v>
      </c>
      <c r="AK34" s="382"/>
    </row>
    <row r="35" spans="1:37" ht="15" thickBot="1" x14ac:dyDescent="0.4">
      <c r="A35" s="821" t="s">
        <v>211</v>
      </c>
      <c r="B35" s="823" t="s">
        <v>211</v>
      </c>
      <c r="C35" s="86" t="s">
        <v>211</v>
      </c>
      <c r="D35" s="86" t="s">
        <v>211</v>
      </c>
      <c r="E35" s="86" t="s">
        <v>211</v>
      </c>
      <c r="F35" s="167" t="s">
        <v>211</v>
      </c>
      <c r="G35" s="167" t="s">
        <v>211</v>
      </c>
      <c r="H35" s="819" t="s">
        <v>211</v>
      </c>
      <c r="I35" s="87" t="s">
        <v>211</v>
      </c>
      <c r="J35" s="86" t="s">
        <v>211</v>
      </c>
      <c r="K35" s="86" t="s">
        <v>211</v>
      </c>
      <c r="L35" s="167" t="s">
        <v>211</v>
      </c>
      <c r="M35" s="816" t="s">
        <v>211</v>
      </c>
      <c r="N35" s="816" t="s">
        <v>211</v>
      </c>
      <c r="O35" s="816" t="s">
        <v>211</v>
      </c>
      <c r="P35" s="816" t="s">
        <v>211</v>
      </c>
      <c r="Q35" s="827" t="s">
        <v>211</v>
      </c>
      <c r="R35" s="88" t="s">
        <v>211</v>
      </c>
      <c r="S35" s="383" t="s">
        <v>211</v>
      </c>
      <c r="T35" s="383" t="s">
        <v>211</v>
      </c>
      <c r="U35" s="826" t="s">
        <v>211</v>
      </c>
      <c r="AI35" s="275">
        <v>0.5625</v>
      </c>
      <c r="AK35" s="382" t="s">
        <v>207</v>
      </c>
    </row>
    <row r="36" spans="1:37" ht="15" thickBot="1" x14ac:dyDescent="0.4">
      <c r="A36" s="822"/>
      <c r="B36" s="824"/>
      <c r="C36" s="90" t="s">
        <v>211</v>
      </c>
      <c r="D36" s="90" t="s">
        <v>211</v>
      </c>
      <c r="E36" s="90" t="s">
        <v>211</v>
      </c>
      <c r="F36" s="168" t="s">
        <v>211</v>
      </c>
      <c r="G36" s="168" t="s">
        <v>211</v>
      </c>
      <c r="H36" s="830"/>
      <c r="I36" s="91" t="s">
        <v>211</v>
      </c>
      <c r="J36" s="90" t="s">
        <v>211</v>
      </c>
      <c r="K36" s="90" t="s">
        <v>211</v>
      </c>
      <c r="L36" s="168" t="s">
        <v>211</v>
      </c>
      <c r="M36" s="829"/>
      <c r="N36" s="829"/>
      <c r="O36" s="829"/>
      <c r="P36" s="829"/>
      <c r="Q36" s="828"/>
      <c r="R36" s="92" t="s">
        <v>211</v>
      </c>
      <c r="S36" s="384" t="s">
        <v>211</v>
      </c>
      <c r="T36" s="384" t="s">
        <v>211</v>
      </c>
      <c r="U36" s="826"/>
      <c r="AI36" s="275">
        <v>0.56527777777777777</v>
      </c>
      <c r="AK36" s="382"/>
    </row>
    <row r="37" spans="1:37" ht="15" thickBot="1" x14ac:dyDescent="0.4">
      <c r="A37" s="821" t="s">
        <v>211</v>
      </c>
      <c r="B37" s="823" t="s">
        <v>211</v>
      </c>
      <c r="C37" s="86" t="s">
        <v>211</v>
      </c>
      <c r="D37" s="86" t="s">
        <v>211</v>
      </c>
      <c r="E37" s="86" t="s">
        <v>211</v>
      </c>
      <c r="F37" s="167" t="s">
        <v>211</v>
      </c>
      <c r="G37" s="167" t="s">
        <v>211</v>
      </c>
      <c r="H37" s="819" t="s">
        <v>211</v>
      </c>
      <c r="I37" s="87" t="s">
        <v>211</v>
      </c>
      <c r="J37" s="86" t="s">
        <v>211</v>
      </c>
      <c r="K37" s="86" t="s">
        <v>211</v>
      </c>
      <c r="L37" s="167" t="s">
        <v>211</v>
      </c>
      <c r="M37" s="816" t="s">
        <v>211</v>
      </c>
      <c r="N37" s="816" t="s">
        <v>211</v>
      </c>
      <c r="O37" s="816" t="s">
        <v>211</v>
      </c>
      <c r="P37" s="816" t="s">
        <v>211</v>
      </c>
      <c r="Q37" s="827" t="s">
        <v>211</v>
      </c>
      <c r="R37" s="88" t="s">
        <v>211</v>
      </c>
      <c r="S37" s="383" t="s">
        <v>211</v>
      </c>
      <c r="T37" s="383" t="s">
        <v>211</v>
      </c>
      <c r="U37" s="826" t="s">
        <v>211</v>
      </c>
      <c r="AI37" s="275">
        <v>0.57291666666666663</v>
      </c>
      <c r="AK37" s="382" t="s">
        <v>207</v>
      </c>
    </row>
    <row r="38" spans="1:37" ht="15" thickBot="1" x14ac:dyDescent="0.4">
      <c r="A38" s="822"/>
      <c r="B38" s="824"/>
      <c r="C38" s="90" t="s">
        <v>211</v>
      </c>
      <c r="D38" s="90" t="s">
        <v>211</v>
      </c>
      <c r="E38" s="90" t="s">
        <v>211</v>
      </c>
      <c r="F38" s="168" t="s">
        <v>211</v>
      </c>
      <c r="G38" s="168" t="s">
        <v>211</v>
      </c>
      <c r="H38" s="830"/>
      <c r="I38" s="91" t="s">
        <v>211</v>
      </c>
      <c r="J38" s="90" t="s">
        <v>211</v>
      </c>
      <c r="K38" s="90" t="s">
        <v>211</v>
      </c>
      <c r="L38" s="168" t="s">
        <v>211</v>
      </c>
      <c r="M38" s="829"/>
      <c r="N38" s="829"/>
      <c r="O38" s="829"/>
      <c r="P38" s="829"/>
      <c r="Q38" s="828"/>
      <c r="R38" s="92" t="s">
        <v>211</v>
      </c>
      <c r="S38" s="384" t="s">
        <v>211</v>
      </c>
      <c r="T38" s="384" t="s">
        <v>211</v>
      </c>
      <c r="U38" s="826"/>
      <c r="AI38" s="275">
        <v>0.5756944444444444</v>
      </c>
      <c r="AK38" s="382"/>
    </row>
    <row r="39" spans="1:37" ht="15" thickBot="1" x14ac:dyDescent="0.4">
      <c r="A39" s="821" t="s">
        <v>211</v>
      </c>
      <c r="B39" s="823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819" t="s">
        <v>211</v>
      </c>
      <c r="I39" s="87" t="s">
        <v>211</v>
      </c>
      <c r="J39" s="86" t="s">
        <v>211</v>
      </c>
      <c r="K39" s="86" t="s">
        <v>211</v>
      </c>
      <c r="L39" s="167" t="s">
        <v>211</v>
      </c>
      <c r="M39" s="816" t="s">
        <v>211</v>
      </c>
      <c r="N39" s="816" t="s">
        <v>211</v>
      </c>
      <c r="O39" s="816" t="s">
        <v>211</v>
      </c>
      <c r="P39" s="816" t="s">
        <v>211</v>
      </c>
      <c r="Q39" s="827" t="s">
        <v>211</v>
      </c>
      <c r="R39" s="88" t="s">
        <v>211</v>
      </c>
      <c r="S39" s="383" t="s">
        <v>211</v>
      </c>
      <c r="T39" s="383" t="s">
        <v>211</v>
      </c>
      <c r="U39" s="826" t="s">
        <v>211</v>
      </c>
      <c r="AI39" s="275">
        <v>0.58333333333333337</v>
      </c>
      <c r="AK39" s="382" t="s">
        <v>207</v>
      </c>
    </row>
    <row r="40" spans="1:37" ht="15" thickBot="1" x14ac:dyDescent="0.4">
      <c r="A40" s="822"/>
      <c r="B40" s="824"/>
      <c r="C40" s="90" t="s">
        <v>211</v>
      </c>
      <c r="D40" s="90" t="s">
        <v>211</v>
      </c>
      <c r="E40" s="90" t="s">
        <v>211</v>
      </c>
      <c r="F40" s="168" t="s">
        <v>211</v>
      </c>
      <c r="G40" s="168" t="s">
        <v>211</v>
      </c>
      <c r="H40" s="825"/>
      <c r="I40" s="91" t="s">
        <v>211</v>
      </c>
      <c r="J40" s="90" t="s">
        <v>211</v>
      </c>
      <c r="K40" s="90" t="s">
        <v>211</v>
      </c>
      <c r="L40" s="168" t="s">
        <v>211</v>
      </c>
      <c r="M40" s="829"/>
      <c r="N40" s="829"/>
      <c r="O40" s="829"/>
      <c r="P40" s="829"/>
      <c r="Q40" s="828"/>
      <c r="R40" s="92" t="s">
        <v>211</v>
      </c>
      <c r="S40" s="384" t="s">
        <v>211</v>
      </c>
      <c r="T40" s="384" t="s">
        <v>211</v>
      </c>
      <c r="U40" s="826"/>
      <c r="AI40" s="275">
        <v>0.58611111111111114</v>
      </c>
      <c r="AK40" s="382"/>
    </row>
    <row r="41" spans="1:37" ht="15" thickBot="1" x14ac:dyDescent="0.4">
      <c r="A41" s="821" t="s">
        <v>211</v>
      </c>
      <c r="B41" s="823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819" t="s">
        <v>211</v>
      </c>
      <c r="I41" s="87" t="s">
        <v>211</v>
      </c>
      <c r="J41" s="86" t="s">
        <v>211</v>
      </c>
      <c r="K41" s="86" t="s">
        <v>211</v>
      </c>
      <c r="L41" s="167" t="s">
        <v>211</v>
      </c>
      <c r="M41" s="816" t="s">
        <v>211</v>
      </c>
      <c r="N41" s="816" t="s">
        <v>211</v>
      </c>
      <c r="O41" s="816" t="s">
        <v>211</v>
      </c>
      <c r="P41" s="816" t="s">
        <v>211</v>
      </c>
      <c r="Q41" s="827" t="s">
        <v>211</v>
      </c>
      <c r="R41" s="88" t="s">
        <v>211</v>
      </c>
      <c r="S41" s="383" t="s">
        <v>211</v>
      </c>
      <c r="T41" s="383" t="s">
        <v>211</v>
      </c>
      <c r="U41" s="826" t="s">
        <v>211</v>
      </c>
      <c r="AI41" s="275">
        <v>0.59375</v>
      </c>
      <c r="AK41" s="382" t="s">
        <v>207</v>
      </c>
    </row>
    <row r="42" spans="1:37" ht="15" thickBot="1" x14ac:dyDescent="0.4">
      <c r="A42" s="822"/>
      <c r="B42" s="824"/>
      <c r="C42" s="90" t="s">
        <v>211</v>
      </c>
      <c r="D42" s="90" t="s">
        <v>211</v>
      </c>
      <c r="E42" s="90" t="s">
        <v>211</v>
      </c>
      <c r="F42" s="168" t="s">
        <v>211</v>
      </c>
      <c r="G42" s="168" t="s">
        <v>211</v>
      </c>
      <c r="H42" s="825"/>
      <c r="I42" s="91" t="s">
        <v>211</v>
      </c>
      <c r="J42" s="90" t="s">
        <v>211</v>
      </c>
      <c r="K42" s="90" t="s">
        <v>211</v>
      </c>
      <c r="L42" s="168" t="s">
        <v>211</v>
      </c>
      <c r="M42" s="829"/>
      <c r="N42" s="829"/>
      <c r="O42" s="829"/>
      <c r="P42" s="829"/>
      <c r="Q42" s="828"/>
      <c r="R42" s="92" t="s">
        <v>211</v>
      </c>
      <c r="S42" s="384" t="s">
        <v>211</v>
      </c>
      <c r="T42" s="384" t="s">
        <v>211</v>
      </c>
      <c r="U42" s="826"/>
      <c r="AI42" s="275">
        <v>0.59652777777777777</v>
      </c>
      <c r="AK42" s="382"/>
    </row>
    <row r="43" spans="1:37" ht="15" thickBot="1" x14ac:dyDescent="0.4">
      <c r="A43" s="821" t="s">
        <v>211</v>
      </c>
      <c r="B43" s="823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819" t="s">
        <v>211</v>
      </c>
      <c r="I43" s="87" t="s">
        <v>211</v>
      </c>
      <c r="J43" s="86" t="s">
        <v>211</v>
      </c>
      <c r="K43" s="86" t="s">
        <v>211</v>
      </c>
      <c r="L43" s="167" t="s">
        <v>211</v>
      </c>
      <c r="M43" s="816" t="s">
        <v>211</v>
      </c>
      <c r="N43" s="816" t="s">
        <v>211</v>
      </c>
      <c r="O43" s="816" t="s">
        <v>211</v>
      </c>
      <c r="P43" s="816" t="s">
        <v>211</v>
      </c>
      <c r="Q43" s="827" t="s">
        <v>211</v>
      </c>
      <c r="R43" s="88" t="s">
        <v>211</v>
      </c>
      <c r="S43" s="383" t="s">
        <v>211</v>
      </c>
      <c r="T43" s="383" t="s">
        <v>211</v>
      </c>
      <c r="U43" s="826" t="s">
        <v>211</v>
      </c>
      <c r="AI43" s="275">
        <v>0.60416666666666663</v>
      </c>
      <c r="AK43" s="382" t="s">
        <v>207</v>
      </c>
    </row>
    <row r="44" spans="1:37" ht="15" thickBot="1" x14ac:dyDescent="0.4">
      <c r="A44" s="822"/>
      <c r="B44" s="824"/>
      <c r="C44" s="90" t="s">
        <v>211</v>
      </c>
      <c r="D44" s="90" t="s">
        <v>211</v>
      </c>
      <c r="E44" s="90" t="s">
        <v>211</v>
      </c>
      <c r="F44" s="168" t="s">
        <v>211</v>
      </c>
      <c r="G44" s="168" t="s">
        <v>211</v>
      </c>
      <c r="H44" s="825"/>
      <c r="I44" s="91" t="s">
        <v>211</v>
      </c>
      <c r="J44" s="90" t="s">
        <v>211</v>
      </c>
      <c r="K44" s="90" t="s">
        <v>211</v>
      </c>
      <c r="L44" s="168" t="s">
        <v>211</v>
      </c>
      <c r="M44" s="829"/>
      <c r="N44" s="829"/>
      <c r="O44" s="829"/>
      <c r="P44" s="829"/>
      <c r="Q44" s="828"/>
      <c r="R44" s="92" t="s">
        <v>211</v>
      </c>
      <c r="S44" s="384" t="s">
        <v>211</v>
      </c>
      <c r="T44" s="384" t="s">
        <v>211</v>
      </c>
      <c r="U44" s="826"/>
      <c r="AI44" s="275">
        <v>0.6069444444444444</v>
      </c>
      <c r="AK44" s="382"/>
    </row>
    <row r="45" spans="1:37" ht="15" thickBot="1" x14ac:dyDescent="0.4">
      <c r="A45" s="821" t="s">
        <v>211</v>
      </c>
      <c r="B45" s="823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819" t="s">
        <v>211</v>
      </c>
      <c r="I45" s="87" t="s">
        <v>211</v>
      </c>
      <c r="J45" s="86" t="s">
        <v>211</v>
      </c>
      <c r="K45" s="86" t="s">
        <v>211</v>
      </c>
      <c r="L45" s="167" t="s">
        <v>211</v>
      </c>
      <c r="M45" s="816" t="s">
        <v>211</v>
      </c>
      <c r="N45" s="816" t="s">
        <v>211</v>
      </c>
      <c r="O45" s="816" t="s">
        <v>211</v>
      </c>
      <c r="P45" s="816" t="s">
        <v>211</v>
      </c>
      <c r="Q45" s="827" t="s">
        <v>211</v>
      </c>
      <c r="R45" s="88" t="s">
        <v>211</v>
      </c>
      <c r="S45" s="383" t="s">
        <v>211</v>
      </c>
      <c r="T45" s="383" t="s">
        <v>211</v>
      </c>
      <c r="U45" s="826" t="s">
        <v>211</v>
      </c>
      <c r="AI45" s="275">
        <v>0.61458333333333337</v>
      </c>
      <c r="AK45" s="382" t="s">
        <v>207</v>
      </c>
    </row>
    <row r="46" spans="1:37" ht="15" thickBot="1" x14ac:dyDescent="0.4">
      <c r="A46" s="822"/>
      <c r="B46" s="824"/>
      <c r="C46" s="90" t="s">
        <v>211</v>
      </c>
      <c r="D46" s="90" t="s">
        <v>211</v>
      </c>
      <c r="E46" s="90" t="s">
        <v>211</v>
      </c>
      <c r="F46" s="168" t="s">
        <v>211</v>
      </c>
      <c r="G46" s="168" t="s">
        <v>211</v>
      </c>
      <c r="H46" s="825"/>
      <c r="I46" s="91" t="s">
        <v>211</v>
      </c>
      <c r="J46" s="90" t="s">
        <v>211</v>
      </c>
      <c r="K46" s="90" t="s">
        <v>211</v>
      </c>
      <c r="L46" s="168" t="s">
        <v>211</v>
      </c>
      <c r="M46" s="829"/>
      <c r="N46" s="829"/>
      <c r="O46" s="829"/>
      <c r="P46" s="829"/>
      <c r="Q46" s="828"/>
      <c r="R46" s="92" t="s">
        <v>211</v>
      </c>
      <c r="S46" s="384" t="s">
        <v>211</v>
      </c>
      <c r="T46" s="384" t="s">
        <v>211</v>
      </c>
      <c r="U46" s="826"/>
      <c r="AI46" s="275">
        <v>0.61736111111111114</v>
      </c>
      <c r="AK46" s="382"/>
    </row>
    <row r="47" spans="1:37" ht="15" thickBot="1" x14ac:dyDescent="0.4">
      <c r="A47" s="821" t="s">
        <v>367</v>
      </c>
      <c r="B47" s="823" t="s">
        <v>180</v>
      </c>
      <c r="C47" s="86" t="s">
        <v>41</v>
      </c>
      <c r="D47" s="86">
        <v>11700</v>
      </c>
      <c r="E47" s="86">
        <v>99.8</v>
      </c>
      <c r="F47" s="167">
        <v>-1043700</v>
      </c>
      <c r="G47" s="167">
        <v>164782</v>
      </c>
      <c r="H47" s="819" t="s">
        <v>61</v>
      </c>
      <c r="I47" s="87">
        <v>9.07</v>
      </c>
      <c r="J47" s="86">
        <v>11800</v>
      </c>
      <c r="K47" s="86">
        <v>29.15</v>
      </c>
      <c r="L47" s="167">
        <v>1332000</v>
      </c>
      <c r="M47" s="816">
        <v>11788.45</v>
      </c>
      <c r="N47" s="816">
        <v>11750</v>
      </c>
      <c r="O47" s="816">
        <v>11826.2</v>
      </c>
      <c r="P47" s="816">
        <v>11847.1</v>
      </c>
      <c r="Q47" s="827">
        <v>11758.25</v>
      </c>
      <c r="R47" s="88" t="e">
        <v>#REF!</v>
      </c>
      <c r="S47" s="383" t="e">
        <v>#REF!</v>
      </c>
      <c r="T47" s="383" t="e">
        <v>#REF!</v>
      </c>
      <c r="U47" s="826" t="e">
        <v>#REF!</v>
      </c>
      <c r="AI47" s="275">
        <v>0.625</v>
      </c>
      <c r="AK47" s="382" t="s">
        <v>207</v>
      </c>
    </row>
    <row r="48" spans="1:37" ht="15" thickBot="1" x14ac:dyDescent="0.4">
      <c r="A48" s="822"/>
      <c r="B48" s="824"/>
      <c r="C48" s="90" t="s">
        <v>42</v>
      </c>
      <c r="D48" s="90">
        <v>11750</v>
      </c>
      <c r="E48" s="90">
        <v>16.100000000000001</v>
      </c>
      <c r="F48" s="168">
        <v>1636575</v>
      </c>
      <c r="G48" s="168">
        <v>186209</v>
      </c>
      <c r="H48" s="825"/>
      <c r="I48" s="91">
        <v>9.93</v>
      </c>
      <c r="J48" s="90">
        <v>11700</v>
      </c>
      <c r="K48" s="90">
        <v>8.25</v>
      </c>
      <c r="L48" s="168">
        <v>2074800</v>
      </c>
      <c r="M48" s="829"/>
      <c r="N48" s="829"/>
      <c r="O48" s="829"/>
      <c r="P48" s="829"/>
      <c r="Q48" s="828"/>
      <c r="R48" s="92" t="e">
        <v>#REF!</v>
      </c>
      <c r="S48" s="384" t="e">
        <v>#REF!</v>
      </c>
      <c r="T48" s="384" t="e">
        <v>#REF!</v>
      </c>
      <c r="U48" s="826"/>
      <c r="AI48" s="275">
        <v>0.62777777777777777</v>
      </c>
      <c r="AK48" s="382"/>
    </row>
    <row r="49" spans="1:37" ht="15" thickBot="1" x14ac:dyDescent="0.4">
      <c r="A49" s="821" t="s">
        <v>368</v>
      </c>
      <c r="B49" s="823" t="s">
        <v>180</v>
      </c>
      <c r="C49" s="86" t="s">
        <v>41</v>
      </c>
      <c r="D49" s="86">
        <v>11700</v>
      </c>
      <c r="E49" s="86">
        <v>91.3</v>
      </c>
      <c r="F49" s="167">
        <v>-1024425</v>
      </c>
      <c r="G49" s="167">
        <v>172828</v>
      </c>
      <c r="H49" s="819" t="s">
        <v>61</v>
      </c>
      <c r="I49" s="87">
        <v>4.59</v>
      </c>
      <c r="J49" s="86">
        <v>11900</v>
      </c>
      <c r="K49" s="86">
        <v>2.25</v>
      </c>
      <c r="L49" s="167">
        <v>1196100</v>
      </c>
      <c r="M49" s="816">
        <v>11785.55</v>
      </c>
      <c r="N49" s="816">
        <v>11750</v>
      </c>
      <c r="O49" s="816">
        <v>11818.4</v>
      </c>
      <c r="P49" s="816">
        <v>11847.1</v>
      </c>
      <c r="Q49" s="827">
        <v>11758.25</v>
      </c>
      <c r="R49" s="88" t="e">
        <v>#REF!</v>
      </c>
      <c r="S49" s="383" t="e">
        <v>#REF!</v>
      </c>
      <c r="T49" s="383" t="e">
        <v>#REF!</v>
      </c>
      <c r="U49" s="826" t="e">
        <v>#REF!</v>
      </c>
      <c r="AI49" s="275">
        <v>0.63541666666666663</v>
      </c>
      <c r="AK49" s="382" t="s">
        <v>207</v>
      </c>
    </row>
    <row r="50" spans="1:37" ht="15" thickBot="1" x14ac:dyDescent="0.4">
      <c r="A50" s="822"/>
      <c r="B50" s="824"/>
      <c r="C50" s="90" t="s">
        <v>42</v>
      </c>
      <c r="D50" s="90">
        <v>11750</v>
      </c>
      <c r="E50" s="90">
        <v>15.95</v>
      </c>
      <c r="F50" s="168">
        <v>1453800</v>
      </c>
      <c r="G50" s="168">
        <v>206206</v>
      </c>
      <c r="H50" s="825"/>
      <c r="I50" s="91">
        <v>9.24</v>
      </c>
      <c r="J50" s="90">
        <v>11700</v>
      </c>
      <c r="K50" s="90">
        <v>7.9</v>
      </c>
      <c r="L50" s="168">
        <v>1939275</v>
      </c>
      <c r="M50" s="829"/>
      <c r="N50" s="829"/>
      <c r="O50" s="829"/>
      <c r="P50" s="829"/>
      <c r="Q50" s="828"/>
      <c r="R50" s="92" t="e">
        <v>#REF!</v>
      </c>
      <c r="S50" s="384" t="e">
        <v>#REF!</v>
      </c>
      <c r="T50" s="384" t="e">
        <v>#REF!</v>
      </c>
      <c r="U50" s="826"/>
      <c r="AI50" s="275">
        <v>0.6381944444444444</v>
      </c>
      <c r="AK50" s="382"/>
    </row>
    <row r="51" spans="1:37" ht="15" thickBot="1" x14ac:dyDescent="0.4">
      <c r="A51" s="821" t="s">
        <v>368</v>
      </c>
      <c r="B51" s="823" t="s">
        <v>180</v>
      </c>
      <c r="C51" s="86" t="s">
        <v>41</v>
      </c>
      <c r="D51" s="86">
        <v>11700</v>
      </c>
      <c r="E51" s="86">
        <v>91.3</v>
      </c>
      <c r="F51" s="167">
        <v>-1024425</v>
      </c>
      <c r="G51" s="167">
        <v>172828</v>
      </c>
      <c r="H51" s="819" t="s">
        <v>61</v>
      </c>
      <c r="I51" s="87">
        <v>4.59</v>
      </c>
      <c r="J51" s="86">
        <v>11900</v>
      </c>
      <c r="K51" s="86">
        <v>2.25</v>
      </c>
      <c r="L51" s="167">
        <v>1196100</v>
      </c>
      <c r="M51" s="816">
        <v>11785.55</v>
      </c>
      <c r="N51" s="816">
        <v>11750</v>
      </c>
      <c r="O51" s="816">
        <v>11818.4</v>
      </c>
      <c r="P51" s="816">
        <v>11847.1</v>
      </c>
      <c r="Q51" s="827">
        <v>11758.25</v>
      </c>
      <c r="R51" s="88" t="e">
        <v>#REF!</v>
      </c>
      <c r="S51" s="383" t="e">
        <v>#REF!</v>
      </c>
      <c r="T51" s="383" t="e">
        <v>#REF!</v>
      </c>
      <c r="U51" s="826" t="e">
        <v>#REF!</v>
      </c>
      <c r="AI51" s="275">
        <v>0.64583333333333337</v>
      </c>
      <c r="AK51" s="382" t="s">
        <v>207</v>
      </c>
    </row>
    <row r="52" spans="1:37" ht="15" thickBot="1" x14ac:dyDescent="0.4">
      <c r="A52" s="822"/>
      <c r="B52" s="824"/>
      <c r="C52" s="90" t="s">
        <v>42</v>
      </c>
      <c r="D52" s="90">
        <v>11750</v>
      </c>
      <c r="E52" s="90">
        <v>15.95</v>
      </c>
      <c r="F52" s="168">
        <v>1453800</v>
      </c>
      <c r="G52" s="168">
        <v>206206</v>
      </c>
      <c r="H52" s="825"/>
      <c r="I52" s="91">
        <v>9.24</v>
      </c>
      <c r="J52" s="90">
        <v>11700</v>
      </c>
      <c r="K52" s="90">
        <v>7.9</v>
      </c>
      <c r="L52" s="168">
        <v>1939275</v>
      </c>
      <c r="M52" s="829"/>
      <c r="N52" s="829"/>
      <c r="O52" s="829"/>
      <c r="P52" s="829"/>
      <c r="Q52" s="828"/>
      <c r="R52" s="92" t="e">
        <v>#REF!</v>
      </c>
      <c r="S52" s="384" t="e">
        <v>#REF!</v>
      </c>
      <c r="T52" s="384" t="e">
        <v>#REF!</v>
      </c>
      <c r="U52" s="826"/>
      <c r="AI52" s="275">
        <v>0.64861111111111114</v>
      </c>
      <c r="AK52" s="382"/>
    </row>
  </sheetData>
  <mergeCells count="235">
    <mergeCell ref="C1:G1"/>
    <mergeCell ref="J1:L1"/>
    <mergeCell ref="P1:Q1"/>
    <mergeCell ref="R1:U1"/>
    <mergeCell ref="AH1:AL1"/>
    <mergeCell ref="A3:A4"/>
    <mergeCell ref="B3:B4"/>
    <mergeCell ref="H3:H4"/>
    <mergeCell ref="M3:M4"/>
    <mergeCell ref="N3:N4"/>
    <mergeCell ref="O3:O4"/>
    <mergeCell ref="P3:P4"/>
    <mergeCell ref="Q3:Q4"/>
    <mergeCell ref="U3:U4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X9:Z9"/>
    <mergeCell ref="X10:Z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X11:Z11"/>
    <mergeCell ref="X12:Z12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X13:Z13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3:O14"/>
    <mergeCell ref="P13:P14"/>
    <mergeCell ref="Q13:Q14"/>
    <mergeCell ref="U13:U14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21:A22"/>
    <mergeCell ref="B21:B22"/>
    <mergeCell ref="H21:H22"/>
    <mergeCell ref="M21:M22"/>
    <mergeCell ref="N21:N22"/>
    <mergeCell ref="O21:O22"/>
    <mergeCell ref="P21:P22"/>
    <mergeCell ref="Q21:Q22"/>
    <mergeCell ref="U21:U22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A23:A24"/>
    <mergeCell ref="B23:B24"/>
    <mergeCell ref="H23:H24"/>
    <mergeCell ref="M23:M24"/>
    <mergeCell ref="N23:N24"/>
    <mergeCell ref="O23:O24"/>
    <mergeCell ref="Q25:Q26"/>
    <mergeCell ref="U25:U26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A29:A30"/>
    <mergeCell ref="B29:B30"/>
    <mergeCell ref="H29:H30"/>
    <mergeCell ref="M29:M30"/>
    <mergeCell ref="N29:N30"/>
    <mergeCell ref="O29:O30"/>
    <mergeCell ref="P29:P30"/>
    <mergeCell ref="Q29:Q30"/>
    <mergeCell ref="U29:U30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A31:A32"/>
    <mergeCell ref="B31:B32"/>
    <mergeCell ref="H31:H32"/>
    <mergeCell ref="M31:M32"/>
    <mergeCell ref="N31:N32"/>
    <mergeCell ref="O31:O32"/>
    <mergeCell ref="Q33:Q34"/>
    <mergeCell ref="U33:U34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A37:A38"/>
    <mergeCell ref="B37:B38"/>
    <mergeCell ref="H37:H38"/>
    <mergeCell ref="M37:M38"/>
    <mergeCell ref="N37:N38"/>
    <mergeCell ref="O37:O38"/>
    <mergeCell ref="P37:P38"/>
    <mergeCell ref="Q37:Q38"/>
    <mergeCell ref="U37:U38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A39:A40"/>
    <mergeCell ref="B39:B40"/>
    <mergeCell ref="H39:H40"/>
    <mergeCell ref="M39:M40"/>
    <mergeCell ref="N39:N40"/>
    <mergeCell ref="O39:O40"/>
    <mergeCell ref="Q41:Q42"/>
    <mergeCell ref="U41:U42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A45:A46"/>
    <mergeCell ref="B45:B46"/>
    <mergeCell ref="H45:H46"/>
    <mergeCell ref="M45:M46"/>
    <mergeCell ref="N45:N46"/>
    <mergeCell ref="O45:O46"/>
    <mergeCell ref="P45:P46"/>
    <mergeCell ref="Q45:Q46"/>
    <mergeCell ref="U45:U46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A47:A48"/>
    <mergeCell ref="B47:B48"/>
    <mergeCell ref="H47:H48"/>
    <mergeCell ref="M47:M48"/>
    <mergeCell ref="N47:N48"/>
    <mergeCell ref="O47:O48"/>
    <mergeCell ref="U51:U52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</mergeCell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0E1AC-55C9-4259-89B3-756DE9F4A09F}">
  <sheetPr codeName="Sheet14"/>
  <dimension ref="A1:U52"/>
  <sheetViews>
    <sheetView workbookViewId="0">
      <selection sqref="A1:U52"/>
    </sheetView>
  </sheetViews>
  <sheetFormatPr defaultRowHeight="14.5" x14ac:dyDescent="0.35"/>
  <sheetData>
    <row r="1" spans="1:21" ht="16" thickBot="1" x14ac:dyDescent="0.4">
      <c r="A1" s="80"/>
      <c r="B1" s="273"/>
      <c r="C1" s="647" t="s">
        <v>35</v>
      </c>
      <c r="D1" s="811"/>
      <c r="E1" s="811"/>
      <c r="F1" s="811"/>
      <c r="G1" s="811"/>
      <c r="H1" s="376"/>
      <c r="I1" s="80"/>
      <c r="J1" s="810" t="s">
        <v>0</v>
      </c>
      <c r="K1" s="811"/>
      <c r="L1" s="812"/>
      <c r="M1" s="80"/>
      <c r="N1" s="80"/>
      <c r="O1" s="80"/>
      <c r="P1" s="813" t="s">
        <v>211</v>
      </c>
      <c r="Q1" s="814"/>
      <c r="R1" s="810" t="s">
        <v>87</v>
      </c>
      <c r="S1" s="811"/>
      <c r="T1" s="811"/>
      <c r="U1" s="815"/>
    </row>
    <row r="2" spans="1:21" ht="15" thickBot="1" x14ac:dyDescent="0.4">
      <c r="A2" s="80" t="s">
        <v>86</v>
      </c>
      <c r="B2" s="273" t="s">
        <v>34</v>
      </c>
      <c r="C2" s="375" t="s">
        <v>54</v>
      </c>
      <c r="D2" s="374" t="s">
        <v>14</v>
      </c>
      <c r="E2" s="374" t="s">
        <v>6</v>
      </c>
      <c r="F2" s="166" t="s">
        <v>35</v>
      </c>
      <c r="G2" s="166" t="s">
        <v>37</v>
      </c>
      <c r="H2" s="376" t="s">
        <v>43</v>
      </c>
      <c r="I2" s="81" t="s">
        <v>88</v>
      </c>
      <c r="J2" s="375" t="s">
        <v>14</v>
      </c>
      <c r="K2" s="374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</row>
    <row r="3" spans="1:21" ht="15" customHeight="1" thickBot="1" x14ac:dyDescent="0.4">
      <c r="A3" s="821" t="s">
        <v>211</v>
      </c>
      <c r="B3" s="823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19" t="s">
        <v>211</v>
      </c>
      <c r="I3" s="87" t="s">
        <v>211</v>
      </c>
      <c r="J3" s="86" t="s">
        <v>211</v>
      </c>
      <c r="K3" s="86" t="s">
        <v>211</v>
      </c>
      <c r="L3" s="167" t="s">
        <v>211</v>
      </c>
      <c r="M3" s="816" t="s">
        <v>211</v>
      </c>
      <c r="N3" s="816" t="s">
        <v>211</v>
      </c>
      <c r="O3" s="816" t="s">
        <v>211</v>
      </c>
      <c r="P3" s="816" t="s">
        <v>211</v>
      </c>
      <c r="Q3" s="816" t="s">
        <v>211</v>
      </c>
      <c r="R3" s="88" t="s">
        <v>211</v>
      </c>
      <c r="S3" s="372" t="s">
        <v>211</v>
      </c>
      <c r="T3" s="372" t="s">
        <v>211</v>
      </c>
      <c r="U3" s="818" t="s">
        <v>211</v>
      </c>
    </row>
    <row r="4" spans="1:21" ht="15" customHeight="1" thickBot="1" x14ac:dyDescent="0.4">
      <c r="A4" s="822"/>
      <c r="B4" s="824"/>
      <c r="C4" s="90" t="s">
        <v>211</v>
      </c>
      <c r="D4" s="90" t="s">
        <v>211</v>
      </c>
      <c r="E4" s="90" t="s">
        <v>211</v>
      </c>
      <c r="F4" s="168" t="s">
        <v>211</v>
      </c>
      <c r="G4" s="168" t="s">
        <v>211</v>
      </c>
      <c r="H4" s="820"/>
      <c r="I4" s="91" t="s">
        <v>211</v>
      </c>
      <c r="J4" s="90" t="s">
        <v>211</v>
      </c>
      <c r="K4" s="90" t="s">
        <v>211</v>
      </c>
      <c r="L4" s="168" t="s">
        <v>211</v>
      </c>
      <c r="M4" s="817"/>
      <c r="N4" s="817"/>
      <c r="O4" s="817"/>
      <c r="P4" s="817"/>
      <c r="Q4" s="817"/>
      <c r="R4" s="92" t="s">
        <v>211</v>
      </c>
      <c r="S4" s="373" t="s">
        <v>211</v>
      </c>
      <c r="T4" s="373" t="s">
        <v>211</v>
      </c>
      <c r="U4" s="818"/>
    </row>
    <row r="5" spans="1:21" ht="15" customHeight="1" thickBot="1" x14ac:dyDescent="0.4">
      <c r="A5" s="821" t="s">
        <v>211</v>
      </c>
      <c r="B5" s="823" t="s">
        <v>211</v>
      </c>
      <c r="C5" s="86" t="s">
        <v>211</v>
      </c>
      <c r="D5" s="86" t="s">
        <v>211</v>
      </c>
      <c r="E5" s="86" t="s">
        <v>211</v>
      </c>
      <c r="F5" s="167" t="s">
        <v>211</v>
      </c>
      <c r="G5" s="167" t="s">
        <v>211</v>
      </c>
      <c r="H5" s="819" t="s">
        <v>211</v>
      </c>
      <c r="I5" s="87" t="s">
        <v>211</v>
      </c>
      <c r="J5" s="86" t="s">
        <v>211</v>
      </c>
      <c r="K5" s="86" t="s">
        <v>211</v>
      </c>
      <c r="L5" s="167" t="s">
        <v>211</v>
      </c>
      <c r="M5" s="816" t="s">
        <v>211</v>
      </c>
      <c r="N5" s="816" t="s">
        <v>211</v>
      </c>
      <c r="O5" s="816" t="s">
        <v>211</v>
      </c>
      <c r="P5" s="816" t="s">
        <v>211</v>
      </c>
      <c r="Q5" s="827" t="s">
        <v>211</v>
      </c>
      <c r="R5" s="88" t="s">
        <v>211</v>
      </c>
      <c r="S5" s="372" t="s">
        <v>211</v>
      </c>
      <c r="T5" s="372" t="s">
        <v>211</v>
      </c>
      <c r="U5" s="818" t="s">
        <v>211</v>
      </c>
    </row>
    <row r="6" spans="1:21" ht="15" customHeight="1" thickBot="1" x14ac:dyDescent="0.4">
      <c r="A6" s="822"/>
      <c r="B6" s="824"/>
      <c r="C6" s="90" t="s">
        <v>211</v>
      </c>
      <c r="D6" s="90" t="s">
        <v>211</v>
      </c>
      <c r="E6" s="90" t="s">
        <v>211</v>
      </c>
      <c r="F6" s="168" t="s">
        <v>211</v>
      </c>
      <c r="G6" s="168" t="s">
        <v>211</v>
      </c>
      <c r="H6" s="825"/>
      <c r="I6" s="91" t="s">
        <v>211</v>
      </c>
      <c r="J6" s="90" t="s">
        <v>211</v>
      </c>
      <c r="K6" s="90" t="s">
        <v>211</v>
      </c>
      <c r="L6" s="168" t="s">
        <v>211</v>
      </c>
      <c r="M6" s="829"/>
      <c r="N6" s="829"/>
      <c r="O6" s="829"/>
      <c r="P6" s="829"/>
      <c r="Q6" s="828"/>
      <c r="R6" s="92" t="s">
        <v>211</v>
      </c>
      <c r="S6" s="373" t="s">
        <v>211</v>
      </c>
      <c r="T6" s="373" t="s">
        <v>211</v>
      </c>
      <c r="U6" s="818"/>
    </row>
    <row r="7" spans="1:21" ht="15" customHeight="1" thickBot="1" x14ac:dyDescent="0.4">
      <c r="A7" s="821" t="s">
        <v>211</v>
      </c>
      <c r="B7" s="823" t="s">
        <v>211</v>
      </c>
      <c r="C7" s="86" t="s">
        <v>211</v>
      </c>
      <c r="D7" s="86" t="s">
        <v>211</v>
      </c>
      <c r="E7" s="86" t="s">
        <v>211</v>
      </c>
      <c r="F7" s="167" t="s">
        <v>211</v>
      </c>
      <c r="G7" s="167" t="s">
        <v>211</v>
      </c>
      <c r="H7" s="819" t="s">
        <v>211</v>
      </c>
      <c r="I7" s="87" t="s">
        <v>211</v>
      </c>
      <c r="J7" s="86" t="s">
        <v>211</v>
      </c>
      <c r="K7" s="86" t="s">
        <v>211</v>
      </c>
      <c r="L7" s="167" t="s">
        <v>211</v>
      </c>
      <c r="M7" s="816" t="s">
        <v>211</v>
      </c>
      <c r="N7" s="816" t="s">
        <v>211</v>
      </c>
      <c r="O7" s="816" t="s">
        <v>211</v>
      </c>
      <c r="P7" s="816" t="s">
        <v>211</v>
      </c>
      <c r="Q7" s="827" t="s">
        <v>211</v>
      </c>
      <c r="R7" s="88" t="s">
        <v>211</v>
      </c>
      <c r="S7" s="372" t="s">
        <v>211</v>
      </c>
      <c r="T7" s="372" t="s">
        <v>211</v>
      </c>
      <c r="U7" s="818" t="s">
        <v>211</v>
      </c>
    </row>
    <row r="8" spans="1:21" ht="15" customHeight="1" thickBot="1" x14ac:dyDescent="0.4">
      <c r="A8" s="822"/>
      <c r="B8" s="824"/>
      <c r="C8" s="90" t="s">
        <v>211</v>
      </c>
      <c r="D8" s="90" t="s">
        <v>211</v>
      </c>
      <c r="E8" s="90" t="s">
        <v>211</v>
      </c>
      <c r="F8" s="168" t="s">
        <v>211</v>
      </c>
      <c r="G8" s="168" t="s">
        <v>211</v>
      </c>
      <c r="H8" s="825"/>
      <c r="I8" s="91" t="s">
        <v>211</v>
      </c>
      <c r="J8" s="90" t="s">
        <v>211</v>
      </c>
      <c r="K8" s="90" t="s">
        <v>211</v>
      </c>
      <c r="L8" s="168" t="s">
        <v>211</v>
      </c>
      <c r="M8" s="829"/>
      <c r="N8" s="829"/>
      <c r="O8" s="829"/>
      <c r="P8" s="829"/>
      <c r="Q8" s="828"/>
      <c r="R8" s="92" t="s">
        <v>211</v>
      </c>
      <c r="S8" s="373" t="s">
        <v>211</v>
      </c>
      <c r="T8" s="373" t="s">
        <v>211</v>
      </c>
      <c r="U8" s="818"/>
    </row>
    <row r="9" spans="1:21" ht="15" customHeight="1" thickBot="1" x14ac:dyDescent="0.4">
      <c r="A9" s="821" t="s">
        <v>349</v>
      </c>
      <c r="B9" s="823" t="s">
        <v>180</v>
      </c>
      <c r="C9" s="86" t="s">
        <v>41</v>
      </c>
      <c r="D9" s="86">
        <v>11700</v>
      </c>
      <c r="E9" s="86">
        <v>40.200000000000003</v>
      </c>
      <c r="F9" s="167">
        <v>1124550</v>
      </c>
      <c r="G9" s="167">
        <v>67957</v>
      </c>
      <c r="H9" s="819" t="s">
        <v>55</v>
      </c>
      <c r="I9" s="87">
        <v>12.3</v>
      </c>
      <c r="J9" s="86">
        <v>11700</v>
      </c>
      <c r="K9" s="86">
        <v>40.200000000000003</v>
      </c>
      <c r="L9" s="167">
        <v>2529000</v>
      </c>
      <c r="M9" s="816">
        <v>11665.1</v>
      </c>
      <c r="N9" s="816">
        <v>11650</v>
      </c>
      <c r="O9" s="816">
        <v>11705</v>
      </c>
      <c r="P9" s="816">
        <v>11718.4</v>
      </c>
      <c r="Q9" s="827">
        <v>11682.7</v>
      </c>
      <c r="R9" s="88" t="e">
        <v>#REF!</v>
      </c>
      <c r="S9" s="372" t="e">
        <v>#REF!</v>
      </c>
      <c r="T9" s="372" t="e">
        <v>#REF!</v>
      </c>
      <c r="U9" s="818" t="e">
        <v>#REF!</v>
      </c>
    </row>
    <row r="10" spans="1:21" ht="15" customHeight="1" thickBot="1" x14ac:dyDescent="0.4">
      <c r="A10" s="822"/>
      <c r="B10" s="824"/>
      <c r="C10" s="90" t="s">
        <v>42</v>
      </c>
      <c r="D10" s="90">
        <v>11650</v>
      </c>
      <c r="E10" s="90">
        <v>41.2</v>
      </c>
      <c r="F10" s="168">
        <v>310875</v>
      </c>
      <c r="G10" s="168">
        <v>19006</v>
      </c>
      <c r="H10" s="825"/>
      <c r="I10" s="91">
        <v>12.42</v>
      </c>
      <c r="J10" s="90">
        <v>11600</v>
      </c>
      <c r="K10" s="90">
        <v>26.05</v>
      </c>
      <c r="L10" s="168">
        <v>1818525</v>
      </c>
      <c r="M10" s="829"/>
      <c r="N10" s="829"/>
      <c r="O10" s="829"/>
      <c r="P10" s="829"/>
      <c r="Q10" s="828"/>
      <c r="R10" s="92" t="e">
        <v>#REF!</v>
      </c>
      <c r="S10" s="373" t="e">
        <v>#REF!</v>
      </c>
      <c r="T10" s="373" t="e">
        <v>#REF!</v>
      </c>
      <c r="U10" s="818"/>
    </row>
    <row r="11" spans="1:21" ht="15" customHeight="1" thickBot="1" x14ac:dyDescent="0.4">
      <c r="A11" s="821" t="s">
        <v>211</v>
      </c>
      <c r="B11" s="823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819" t="s">
        <v>211</v>
      </c>
      <c r="I11" s="87" t="s">
        <v>211</v>
      </c>
      <c r="J11" s="86" t="s">
        <v>211</v>
      </c>
      <c r="K11" s="86" t="s">
        <v>211</v>
      </c>
      <c r="L11" s="167" t="s">
        <v>211</v>
      </c>
      <c r="M11" s="816" t="s">
        <v>211</v>
      </c>
      <c r="N11" s="816" t="s">
        <v>211</v>
      </c>
      <c r="O11" s="816" t="s">
        <v>211</v>
      </c>
      <c r="P11" s="816" t="s">
        <v>211</v>
      </c>
      <c r="Q11" s="827" t="s">
        <v>211</v>
      </c>
      <c r="R11" s="88" t="s">
        <v>211</v>
      </c>
      <c r="S11" s="372" t="s">
        <v>211</v>
      </c>
      <c r="T11" s="372" t="s">
        <v>211</v>
      </c>
      <c r="U11" s="818" t="s">
        <v>211</v>
      </c>
    </row>
    <row r="12" spans="1:21" ht="15" customHeight="1" thickBot="1" x14ac:dyDescent="0.4">
      <c r="A12" s="822"/>
      <c r="B12" s="824"/>
      <c r="C12" s="90" t="s">
        <v>211</v>
      </c>
      <c r="D12" s="90" t="s">
        <v>211</v>
      </c>
      <c r="E12" s="90" t="s">
        <v>211</v>
      </c>
      <c r="F12" s="168" t="s">
        <v>211</v>
      </c>
      <c r="G12" s="168" t="s">
        <v>211</v>
      </c>
      <c r="H12" s="825"/>
      <c r="I12" s="91" t="s">
        <v>211</v>
      </c>
      <c r="J12" s="90" t="s">
        <v>211</v>
      </c>
      <c r="K12" s="90" t="s">
        <v>211</v>
      </c>
      <c r="L12" s="168" t="s">
        <v>211</v>
      </c>
      <c r="M12" s="829"/>
      <c r="N12" s="829"/>
      <c r="O12" s="829"/>
      <c r="P12" s="829"/>
      <c r="Q12" s="828"/>
      <c r="R12" s="92" t="s">
        <v>211</v>
      </c>
      <c r="S12" s="373" t="s">
        <v>211</v>
      </c>
      <c r="T12" s="373" t="s">
        <v>211</v>
      </c>
      <c r="U12" s="818"/>
    </row>
    <row r="13" spans="1:21" ht="15" customHeight="1" thickBot="1" x14ac:dyDescent="0.4">
      <c r="A13" s="821" t="s">
        <v>211</v>
      </c>
      <c r="B13" s="823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819" t="s">
        <v>211</v>
      </c>
      <c r="I13" s="87" t="s">
        <v>211</v>
      </c>
      <c r="J13" s="86" t="s">
        <v>211</v>
      </c>
      <c r="K13" s="86" t="s">
        <v>211</v>
      </c>
      <c r="L13" s="167" t="s">
        <v>211</v>
      </c>
      <c r="M13" s="816" t="s">
        <v>211</v>
      </c>
      <c r="N13" s="816" t="s">
        <v>211</v>
      </c>
      <c r="O13" s="816" t="s">
        <v>211</v>
      </c>
      <c r="P13" s="816" t="s">
        <v>211</v>
      </c>
      <c r="Q13" s="827" t="s">
        <v>211</v>
      </c>
      <c r="R13" s="88" t="s">
        <v>211</v>
      </c>
      <c r="S13" s="372" t="s">
        <v>211</v>
      </c>
      <c r="T13" s="372" t="s">
        <v>211</v>
      </c>
      <c r="U13" s="818" t="s">
        <v>211</v>
      </c>
    </row>
    <row r="14" spans="1:21" ht="15" customHeight="1" thickBot="1" x14ac:dyDescent="0.4">
      <c r="A14" s="822"/>
      <c r="B14" s="824"/>
      <c r="C14" s="90" t="s">
        <v>211</v>
      </c>
      <c r="D14" s="90" t="s">
        <v>211</v>
      </c>
      <c r="E14" s="90" t="s">
        <v>211</v>
      </c>
      <c r="F14" s="168" t="s">
        <v>211</v>
      </c>
      <c r="G14" s="168" t="s">
        <v>211</v>
      </c>
      <c r="H14" s="825"/>
      <c r="I14" s="91" t="s">
        <v>211</v>
      </c>
      <c r="J14" s="90" t="s">
        <v>211</v>
      </c>
      <c r="K14" s="90" t="s">
        <v>211</v>
      </c>
      <c r="L14" s="168" t="s">
        <v>211</v>
      </c>
      <c r="M14" s="829"/>
      <c r="N14" s="829"/>
      <c r="O14" s="829"/>
      <c r="P14" s="829"/>
      <c r="Q14" s="828"/>
      <c r="R14" s="92" t="s">
        <v>211</v>
      </c>
      <c r="S14" s="373" t="s">
        <v>211</v>
      </c>
      <c r="T14" s="373" t="s">
        <v>211</v>
      </c>
      <c r="U14" s="818"/>
    </row>
    <row r="15" spans="1:21" ht="15" customHeight="1" thickBot="1" x14ac:dyDescent="0.4">
      <c r="A15" s="821" t="s">
        <v>211</v>
      </c>
      <c r="B15" s="823" t="s">
        <v>211</v>
      </c>
      <c r="C15" s="86" t="s">
        <v>211</v>
      </c>
      <c r="D15" s="86" t="s">
        <v>211</v>
      </c>
      <c r="E15" s="86" t="s">
        <v>211</v>
      </c>
      <c r="F15" s="167" t="s">
        <v>211</v>
      </c>
      <c r="G15" s="167" t="s">
        <v>211</v>
      </c>
      <c r="H15" s="819" t="s">
        <v>211</v>
      </c>
      <c r="I15" s="87" t="s">
        <v>211</v>
      </c>
      <c r="J15" s="86" t="s">
        <v>211</v>
      </c>
      <c r="K15" s="86" t="s">
        <v>211</v>
      </c>
      <c r="L15" s="167" t="s">
        <v>211</v>
      </c>
      <c r="M15" s="816" t="s">
        <v>211</v>
      </c>
      <c r="N15" s="816" t="s">
        <v>211</v>
      </c>
      <c r="O15" s="816" t="s">
        <v>211</v>
      </c>
      <c r="P15" s="816" t="s">
        <v>211</v>
      </c>
      <c r="Q15" s="827" t="s">
        <v>211</v>
      </c>
      <c r="R15" s="88" t="s">
        <v>211</v>
      </c>
      <c r="S15" s="372" t="s">
        <v>211</v>
      </c>
      <c r="T15" s="372" t="s">
        <v>211</v>
      </c>
      <c r="U15" s="818" t="s">
        <v>211</v>
      </c>
    </row>
    <row r="16" spans="1:21" ht="15" customHeight="1" thickBot="1" x14ac:dyDescent="0.4">
      <c r="A16" s="822"/>
      <c r="B16" s="824"/>
      <c r="C16" s="90" t="s">
        <v>211</v>
      </c>
      <c r="D16" s="90" t="s">
        <v>211</v>
      </c>
      <c r="E16" s="90" t="s">
        <v>211</v>
      </c>
      <c r="F16" s="168" t="s">
        <v>211</v>
      </c>
      <c r="G16" s="168" t="s">
        <v>211</v>
      </c>
      <c r="H16" s="825"/>
      <c r="I16" s="91" t="s">
        <v>211</v>
      </c>
      <c r="J16" s="90" t="s">
        <v>211</v>
      </c>
      <c r="K16" s="90" t="s">
        <v>211</v>
      </c>
      <c r="L16" s="168" t="s">
        <v>211</v>
      </c>
      <c r="M16" s="829"/>
      <c r="N16" s="829"/>
      <c r="O16" s="829"/>
      <c r="P16" s="829"/>
      <c r="Q16" s="828"/>
      <c r="R16" s="92" t="s">
        <v>211</v>
      </c>
      <c r="S16" s="373" t="s">
        <v>211</v>
      </c>
      <c r="T16" s="373" t="s">
        <v>211</v>
      </c>
      <c r="U16" s="818"/>
    </row>
    <row r="17" spans="1:21" ht="15" customHeight="1" thickBot="1" x14ac:dyDescent="0.4">
      <c r="A17" s="821" t="s">
        <v>211</v>
      </c>
      <c r="B17" s="823" t="s">
        <v>211</v>
      </c>
      <c r="C17" s="86" t="s">
        <v>211</v>
      </c>
      <c r="D17" s="86" t="s">
        <v>211</v>
      </c>
      <c r="E17" s="86" t="s">
        <v>211</v>
      </c>
      <c r="F17" s="167" t="s">
        <v>211</v>
      </c>
      <c r="G17" s="167" t="s">
        <v>211</v>
      </c>
      <c r="H17" s="819" t="s">
        <v>211</v>
      </c>
      <c r="I17" s="87" t="s">
        <v>211</v>
      </c>
      <c r="J17" s="86" t="s">
        <v>211</v>
      </c>
      <c r="K17" s="86" t="s">
        <v>211</v>
      </c>
      <c r="L17" s="167" t="s">
        <v>211</v>
      </c>
      <c r="M17" s="816" t="s">
        <v>211</v>
      </c>
      <c r="N17" s="816" t="s">
        <v>211</v>
      </c>
      <c r="O17" s="816" t="s">
        <v>211</v>
      </c>
      <c r="P17" s="816" t="s">
        <v>211</v>
      </c>
      <c r="Q17" s="827" t="s">
        <v>211</v>
      </c>
      <c r="R17" s="88" t="s">
        <v>211</v>
      </c>
      <c r="S17" s="372" t="s">
        <v>211</v>
      </c>
      <c r="T17" s="372" t="s">
        <v>211</v>
      </c>
      <c r="U17" s="818" t="s">
        <v>211</v>
      </c>
    </row>
    <row r="18" spans="1:21" ht="15" customHeight="1" thickBot="1" x14ac:dyDescent="0.4">
      <c r="A18" s="822"/>
      <c r="B18" s="824"/>
      <c r="C18" s="90" t="s">
        <v>211</v>
      </c>
      <c r="D18" s="90" t="s">
        <v>211</v>
      </c>
      <c r="E18" s="90" t="s">
        <v>211</v>
      </c>
      <c r="F18" s="168" t="s">
        <v>211</v>
      </c>
      <c r="G18" s="168" t="s">
        <v>211</v>
      </c>
      <c r="H18" s="825"/>
      <c r="I18" s="91" t="s">
        <v>211</v>
      </c>
      <c r="J18" s="90" t="s">
        <v>211</v>
      </c>
      <c r="K18" s="90" t="s">
        <v>211</v>
      </c>
      <c r="L18" s="168" t="s">
        <v>211</v>
      </c>
      <c r="M18" s="829"/>
      <c r="N18" s="829"/>
      <c r="O18" s="829"/>
      <c r="P18" s="829"/>
      <c r="Q18" s="828"/>
      <c r="R18" s="92" t="s">
        <v>211</v>
      </c>
      <c r="S18" s="373" t="s">
        <v>211</v>
      </c>
      <c r="T18" s="373" t="s">
        <v>211</v>
      </c>
      <c r="U18" s="818"/>
    </row>
    <row r="19" spans="1:21" ht="15" customHeight="1" thickBot="1" x14ac:dyDescent="0.4">
      <c r="A19" s="821" t="s">
        <v>211</v>
      </c>
      <c r="B19" s="823" t="s">
        <v>211</v>
      </c>
      <c r="C19" s="86" t="s">
        <v>211</v>
      </c>
      <c r="D19" s="86" t="s">
        <v>211</v>
      </c>
      <c r="E19" s="86" t="s">
        <v>211</v>
      </c>
      <c r="F19" s="167" t="s">
        <v>211</v>
      </c>
      <c r="G19" s="167" t="s">
        <v>211</v>
      </c>
      <c r="H19" s="819" t="s">
        <v>211</v>
      </c>
      <c r="I19" s="87" t="s">
        <v>211</v>
      </c>
      <c r="J19" s="86" t="s">
        <v>211</v>
      </c>
      <c r="K19" s="86" t="s">
        <v>211</v>
      </c>
      <c r="L19" s="167" t="s">
        <v>211</v>
      </c>
      <c r="M19" s="816" t="s">
        <v>211</v>
      </c>
      <c r="N19" s="816" t="s">
        <v>211</v>
      </c>
      <c r="O19" s="816" t="s">
        <v>211</v>
      </c>
      <c r="P19" s="816" t="s">
        <v>211</v>
      </c>
      <c r="Q19" s="827" t="s">
        <v>211</v>
      </c>
      <c r="R19" s="88" t="s">
        <v>211</v>
      </c>
      <c r="S19" s="372" t="s">
        <v>211</v>
      </c>
      <c r="T19" s="372" t="s">
        <v>211</v>
      </c>
      <c r="U19" s="818" t="s">
        <v>211</v>
      </c>
    </row>
    <row r="20" spans="1:21" ht="15" customHeight="1" thickBot="1" x14ac:dyDescent="0.4">
      <c r="A20" s="822"/>
      <c r="B20" s="824"/>
      <c r="C20" s="90" t="s">
        <v>211</v>
      </c>
      <c r="D20" s="90" t="s">
        <v>211</v>
      </c>
      <c r="E20" s="90" t="s">
        <v>211</v>
      </c>
      <c r="F20" s="168" t="s">
        <v>211</v>
      </c>
      <c r="G20" s="168" t="s">
        <v>211</v>
      </c>
      <c r="H20" s="825"/>
      <c r="I20" s="91" t="s">
        <v>211</v>
      </c>
      <c r="J20" s="90" t="s">
        <v>211</v>
      </c>
      <c r="K20" s="90" t="s">
        <v>211</v>
      </c>
      <c r="L20" s="168" t="s">
        <v>211</v>
      </c>
      <c r="M20" s="829"/>
      <c r="N20" s="829"/>
      <c r="O20" s="829"/>
      <c r="P20" s="829"/>
      <c r="Q20" s="828"/>
      <c r="R20" s="92" t="s">
        <v>211</v>
      </c>
      <c r="S20" s="373" t="s">
        <v>211</v>
      </c>
      <c r="T20" s="373" t="s">
        <v>211</v>
      </c>
      <c r="U20" s="818"/>
    </row>
    <row r="21" spans="1:21" ht="15" customHeight="1" thickBot="1" x14ac:dyDescent="0.4">
      <c r="A21" s="821" t="s">
        <v>211</v>
      </c>
      <c r="B21" s="823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819" t="s">
        <v>211</v>
      </c>
      <c r="I21" s="87" t="s">
        <v>211</v>
      </c>
      <c r="J21" s="86" t="s">
        <v>211</v>
      </c>
      <c r="K21" s="86" t="s">
        <v>211</v>
      </c>
      <c r="L21" s="167" t="s">
        <v>211</v>
      </c>
      <c r="M21" s="816" t="s">
        <v>211</v>
      </c>
      <c r="N21" s="816" t="s">
        <v>211</v>
      </c>
      <c r="O21" s="816" t="s">
        <v>211</v>
      </c>
      <c r="P21" s="816" t="s">
        <v>211</v>
      </c>
      <c r="Q21" s="827" t="s">
        <v>211</v>
      </c>
      <c r="R21" s="88" t="s">
        <v>211</v>
      </c>
      <c r="S21" s="372" t="s">
        <v>211</v>
      </c>
      <c r="T21" s="372" t="s">
        <v>211</v>
      </c>
      <c r="U21" s="818" t="s">
        <v>211</v>
      </c>
    </row>
    <row r="22" spans="1:21" ht="15" customHeight="1" thickBot="1" x14ac:dyDescent="0.4">
      <c r="A22" s="822"/>
      <c r="B22" s="824"/>
      <c r="C22" s="90" t="s">
        <v>211</v>
      </c>
      <c r="D22" s="90" t="s">
        <v>211</v>
      </c>
      <c r="E22" s="90" t="s">
        <v>211</v>
      </c>
      <c r="F22" s="168" t="s">
        <v>211</v>
      </c>
      <c r="G22" s="168" t="s">
        <v>211</v>
      </c>
      <c r="H22" s="825"/>
      <c r="I22" s="91" t="s">
        <v>211</v>
      </c>
      <c r="J22" s="90" t="s">
        <v>211</v>
      </c>
      <c r="K22" s="90" t="s">
        <v>211</v>
      </c>
      <c r="L22" s="168" t="s">
        <v>211</v>
      </c>
      <c r="M22" s="829"/>
      <c r="N22" s="829"/>
      <c r="O22" s="829"/>
      <c r="P22" s="829"/>
      <c r="Q22" s="828"/>
      <c r="R22" s="92" t="s">
        <v>211</v>
      </c>
      <c r="S22" s="373" t="s">
        <v>211</v>
      </c>
      <c r="T22" s="373" t="s">
        <v>211</v>
      </c>
      <c r="U22" s="818"/>
    </row>
    <row r="23" spans="1:21" ht="15" customHeight="1" thickBot="1" x14ac:dyDescent="0.4">
      <c r="A23" s="821" t="s">
        <v>211</v>
      </c>
      <c r="B23" s="823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819" t="s">
        <v>211</v>
      </c>
      <c r="I23" s="87" t="s">
        <v>211</v>
      </c>
      <c r="J23" s="86" t="s">
        <v>211</v>
      </c>
      <c r="K23" s="86" t="s">
        <v>211</v>
      </c>
      <c r="L23" s="167" t="s">
        <v>211</v>
      </c>
      <c r="M23" s="816" t="s">
        <v>211</v>
      </c>
      <c r="N23" s="816" t="s">
        <v>211</v>
      </c>
      <c r="O23" s="816" t="s">
        <v>211</v>
      </c>
      <c r="P23" s="816" t="s">
        <v>211</v>
      </c>
      <c r="Q23" s="827" t="s">
        <v>211</v>
      </c>
      <c r="R23" s="88" t="s">
        <v>211</v>
      </c>
      <c r="S23" s="372" t="s">
        <v>211</v>
      </c>
      <c r="T23" s="372" t="s">
        <v>211</v>
      </c>
      <c r="U23" s="818" t="s">
        <v>211</v>
      </c>
    </row>
    <row r="24" spans="1:21" ht="15" customHeight="1" thickBot="1" x14ac:dyDescent="0.4">
      <c r="A24" s="822"/>
      <c r="B24" s="824"/>
      <c r="C24" s="90" t="s">
        <v>211</v>
      </c>
      <c r="D24" s="90" t="s">
        <v>211</v>
      </c>
      <c r="E24" s="90" t="s">
        <v>211</v>
      </c>
      <c r="F24" s="168" t="s">
        <v>211</v>
      </c>
      <c r="G24" s="168" t="s">
        <v>211</v>
      </c>
      <c r="H24" s="830"/>
      <c r="I24" s="91" t="s">
        <v>211</v>
      </c>
      <c r="J24" s="90" t="s">
        <v>211</v>
      </c>
      <c r="K24" s="90" t="s">
        <v>211</v>
      </c>
      <c r="L24" s="168" t="s">
        <v>211</v>
      </c>
      <c r="M24" s="829"/>
      <c r="N24" s="829"/>
      <c r="O24" s="829"/>
      <c r="P24" s="829"/>
      <c r="Q24" s="828"/>
      <c r="R24" s="92" t="s">
        <v>211</v>
      </c>
      <c r="S24" s="373" t="s">
        <v>211</v>
      </c>
      <c r="T24" s="373" t="s">
        <v>211</v>
      </c>
      <c r="U24" s="818"/>
    </row>
    <row r="25" spans="1:21" ht="15" customHeight="1" thickBot="1" x14ac:dyDescent="0.4">
      <c r="A25" s="821" t="s">
        <v>211</v>
      </c>
      <c r="B25" s="823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819" t="s">
        <v>211</v>
      </c>
      <c r="I25" s="87" t="s">
        <v>211</v>
      </c>
      <c r="J25" s="86" t="s">
        <v>211</v>
      </c>
      <c r="K25" s="86" t="s">
        <v>211</v>
      </c>
      <c r="L25" s="167" t="s">
        <v>211</v>
      </c>
      <c r="M25" s="816" t="s">
        <v>211</v>
      </c>
      <c r="N25" s="816" t="s">
        <v>211</v>
      </c>
      <c r="O25" s="816" t="s">
        <v>211</v>
      </c>
      <c r="P25" s="816" t="s">
        <v>211</v>
      </c>
      <c r="Q25" s="827" t="s">
        <v>211</v>
      </c>
      <c r="R25" s="88" t="s">
        <v>211</v>
      </c>
      <c r="S25" s="372" t="s">
        <v>211</v>
      </c>
      <c r="T25" s="372" t="s">
        <v>211</v>
      </c>
      <c r="U25" s="818" t="s">
        <v>211</v>
      </c>
    </row>
    <row r="26" spans="1:21" ht="15" customHeight="1" thickBot="1" x14ac:dyDescent="0.4">
      <c r="A26" s="822"/>
      <c r="B26" s="824"/>
      <c r="C26" s="90" t="s">
        <v>211</v>
      </c>
      <c r="D26" s="90" t="s">
        <v>211</v>
      </c>
      <c r="E26" s="90" t="s">
        <v>211</v>
      </c>
      <c r="F26" s="168" t="s">
        <v>211</v>
      </c>
      <c r="G26" s="168" t="s">
        <v>211</v>
      </c>
      <c r="H26" s="830"/>
      <c r="I26" s="91" t="s">
        <v>211</v>
      </c>
      <c r="J26" s="90" t="s">
        <v>211</v>
      </c>
      <c r="K26" s="90" t="s">
        <v>211</v>
      </c>
      <c r="L26" s="168" t="s">
        <v>211</v>
      </c>
      <c r="M26" s="829"/>
      <c r="N26" s="829"/>
      <c r="O26" s="829"/>
      <c r="P26" s="829"/>
      <c r="Q26" s="828"/>
      <c r="R26" s="92" t="s">
        <v>211</v>
      </c>
      <c r="S26" s="373" t="s">
        <v>211</v>
      </c>
      <c r="T26" s="373" t="s">
        <v>211</v>
      </c>
      <c r="U26" s="818"/>
    </row>
    <row r="27" spans="1:21" ht="15" customHeight="1" thickBot="1" x14ac:dyDescent="0.4">
      <c r="A27" s="821" t="s">
        <v>211</v>
      </c>
      <c r="B27" s="823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819" t="s">
        <v>211</v>
      </c>
      <c r="I27" s="87" t="s">
        <v>211</v>
      </c>
      <c r="J27" s="86" t="s">
        <v>211</v>
      </c>
      <c r="K27" s="86" t="s">
        <v>211</v>
      </c>
      <c r="L27" s="167" t="s">
        <v>211</v>
      </c>
      <c r="M27" s="816" t="s">
        <v>211</v>
      </c>
      <c r="N27" s="816" t="s">
        <v>211</v>
      </c>
      <c r="O27" s="816" t="s">
        <v>211</v>
      </c>
      <c r="P27" s="816" t="s">
        <v>211</v>
      </c>
      <c r="Q27" s="827" t="s">
        <v>211</v>
      </c>
      <c r="R27" s="88" t="s">
        <v>211</v>
      </c>
      <c r="S27" s="372" t="s">
        <v>211</v>
      </c>
      <c r="T27" s="372" t="s">
        <v>211</v>
      </c>
      <c r="U27" s="818" t="s">
        <v>211</v>
      </c>
    </row>
    <row r="28" spans="1:21" ht="15" customHeight="1" thickBot="1" x14ac:dyDescent="0.4">
      <c r="A28" s="822"/>
      <c r="B28" s="824"/>
      <c r="C28" s="90" t="s">
        <v>211</v>
      </c>
      <c r="D28" s="90" t="s">
        <v>211</v>
      </c>
      <c r="E28" s="90" t="s">
        <v>211</v>
      </c>
      <c r="F28" s="168" t="s">
        <v>211</v>
      </c>
      <c r="G28" s="168" t="s">
        <v>211</v>
      </c>
      <c r="H28" s="830"/>
      <c r="I28" s="91" t="s">
        <v>211</v>
      </c>
      <c r="J28" s="90" t="s">
        <v>211</v>
      </c>
      <c r="K28" s="90" t="s">
        <v>211</v>
      </c>
      <c r="L28" s="168" t="s">
        <v>211</v>
      </c>
      <c r="M28" s="829"/>
      <c r="N28" s="829"/>
      <c r="O28" s="829"/>
      <c r="P28" s="829"/>
      <c r="Q28" s="828"/>
      <c r="R28" s="92" t="s">
        <v>211</v>
      </c>
      <c r="S28" s="373" t="s">
        <v>211</v>
      </c>
      <c r="T28" s="373" t="s">
        <v>211</v>
      </c>
      <c r="U28" s="818"/>
    </row>
    <row r="29" spans="1:21" ht="15" customHeight="1" thickBot="1" x14ac:dyDescent="0.4">
      <c r="A29" s="821" t="s">
        <v>211</v>
      </c>
      <c r="B29" s="823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819" t="s">
        <v>211</v>
      </c>
      <c r="I29" s="87" t="s">
        <v>211</v>
      </c>
      <c r="J29" s="86" t="s">
        <v>211</v>
      </c>
      <c r="K29" s="86" t="s">
        <v>211</v>
      </c>
      <c r="L29" s="167" t="s">
        <v>211</v>
      </c>
      <c r="M29" s="816" t="s">
        <v>211</v>
      </c>
      <c r="N29" s="816" t="s">
        <v>211</v>
      </c>
      <c r="O29" s="816" t="s">
        <v>211</v>
      </c>
      <c r="P29" s="816" t="s">
        <v>211</v>
      </c>
      <c r="Q29" s="827" t="s">
        <v>211</v>
      </c>
      <c r="R29" s="88" t="s">
        <v>211</v>
      </c>
      <c r="S29" s="372" t="s">
        <v>211</v>
      </c>
      <c r="T29" s="372" t="s">
        <v>211</v>
      </c>
      <c r="U29" s="826" t="s">
        <v>211</v>
      </c>
    </row>
    <row r="30" spans="1:21" ht="15" customHeight="1" thickBot="1" x14ac:dyDescent="0.4">
      <c r="A30" s="822"/>
      <c r="B30" s="824"/>
      <c r="C30" s="90" t="s">
        <v>211</v>
      </c>
      <c r="D30" s="90" t="s">
        <v>211</v>
      </c>
      <c r="E30" s="90" t="s">
        <v>211</v>
      </c>
      <c r="F30" s="168" t="s">
        <v>211</v>
      </c>
      <c r="G30" s="168" t="s">
        <v>211</v>
      </c>
      <c r="H30" s="830"/>
      <c r="I30" s="91" t="s">
        <v>211</v>
      </c>
      <c r="J30" s="90" t="s">
        <v>211</v>
      </c>
      <c r="K30" s="90" t="s">
        <v>211</v>
      </c>
      <c r="L30" s="168" t="s">
        <v>211</v>
      </c>
      <c r="M30" s="829"/>
      <c r="N30" s="829"/>
      <c r="O30" s="829"/>
      <c r="P30" s="829"/>
      <c r="Q30" s="828"/>
      <c r="R30" s="92" t="s">
        <v>211</v>
      </c>
      <c r="S30" s="373" t="s">
        <v>211</v>
      </c>
      <c r="T30" s="373" t="s">
        <v>211</v>
      </c>
      <c r="U30" s="826"/>
    </row>
    <row r="31" spans="1:21" ht="15" customHeight="1" thickBot="1" x14ac:dyDescent="0.4">
      <c r="A31" s="821" t="s">
        <v>211</v>
      </c>
      <c r="B31" s="823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19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16" t="s">
        <v>211</v>
      </c>
      <c r="N31" s="816" t="s">
        <v>211</v>
      </c>
      <c r="O31" s="816" t="s">
        <v>211</v>
      </c>
      <c r="P31" s="816" t="s">
        <v>211</v>
      </c>
      <c r="Q31" s="827" t="s">
        <v>211</v>
      </c>
      <c r="R31" s="88" t="s">
        <v>211</v>
      </c>
      <c r="S31" s="372" t="s">
        <v>211</v>
      </c>
      <c r="T31" s="372" t="s">
        <v>211</v>
      </c>
      <c r="U31" s="826" t="s">
        <v>211</v>
      </c>
    </row>
    <row r="32" spans="1:21" ht="15" customHeight="1" thickBot="1" x14ac:dyDescent="0.4">
      <c r="A32" s="822"/>
      <c r="B32" s="824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30"/>
      <c r="I32" s="91" t="s">
        <v>211</v>
      </c>
      <c r="J32" s="90" t="s">
        <v>211</v>
      </c>
      <c r="K32" s="90" t="s">
        <v>211</v>
      </c>
      <c r="L32" s="168" t="s">
        <v>211</v>
      </c>
      <c r="M32" s="829"/>
      <c r="N32" s="829"/>
      <c r="O32" s="829"/>
      <c r="P32" s="829"/>
      <c r="Q32" s="828"/>
      <c r="R32" s="92" t="s">
        <v>211</v>
      </c>
      <c r="S32" s="373" t="s">
        <v>211</v>
      </c>
      <c r="T32" s="373" t="s">
        <v>211</v>
      </c>
      <c r="U32" s="826"/>
    </row>
    <row r="33" spans="1:21" ht="15" customHeight="1" thickBot="1" x14ac:dyDescent="0.4">
      <c r="A33" s="821" t="s">
        <v>350</v>
      </c>
      <c r="B33" s="823" t="s">
        <v>180</v>
      </c>
      <c r="C33" s="86" t="s">
        <v>41</v>
      </c>
      <c r="D33" s="86">
        <v>11700</v>
      </c>
      <c r="E33" s="86">
        <v>46.6</v>
      </c>
      <c r="F33" s="167">
        <v>1146450</v>
      </c>
      <c r="G33" s="167">
        <v>146347</v>
      </c>
      <c r="H33" s="819" t="s">
        <v>55</v>
      </c>
      <c r="I33" s="87">
        <v>10.96</v>
      </c>
      <c r="J33" s="86">
        <v>11700</v>
      </c>
      <c r="K33" s="86">
        <v>46.6</v>
      </c>
      <c r="L33" s="167">
        <v>2550900</v>
      </c>
      <c r="M33" s="816">
        <v>11690.3</v>
      </c>
      <c r="N33" s="816">
        <v>11650</v>
      </c>
      <c r="O33" s="816">
        <v>11728.15</v>
      </c>
      <c r="P33" s="816">
        <v>11729.95</v>
      </c>
      <c r="Q33" s="827">
        <v>11682.7</v>
      </c>
      <c r="R33" s="88" t="e">
        <v>#REF!</v>
      </c>
      <c r="S33" s="372" t="e">
        <v>#REF!</v>
      </c>
      <c r="T33" s="372" t="e">
        <v>#REF!</v>
      </c>
      <c r="U33" s="826" t="e">
        <v>#REF!</v>
      </c>
    </row>
    <row r="34" spans="1:21" ht="15" customHeight="1" thickBot="1" x14ac:dyDescent="0.4">
      <c r="A34" s="822"/>
      <c r="B34" s="824"/>
      <c r="C34" s="90" t="s">
        <v>42</v>
      </c>
      <c r="D34" s="90">
        <v>11650</v>
      </c>
      <c r="E34" s="90">
        <v>31.7</v>
      </c>
      <c r="F34" s="168">
        <v>649050</v>
      </c>
      <c r="G34" s="168">
        <v>50911</v>
      </c>
      <c r="H34" s="830"/>
      <c r="I34" s="91">
        <v>12.32</v>
      </c>
      <c r="J34" s="90">
        <v>11600</v>
      </c>
      <c r="K34" s="90">
        <v>19.55</v>
      </c>
      <c r="L34" s="168">
        <v>2075100</v>
      </c>
      <c r="M34" s="829"/>
      <c r="N34" s="829"/>
      <c r="O34" s="829"/>
      <c r="P34" s="829"/>
      <c r="Q34" s="828"/>
      <c r="R34" s="92" t="e">
        <v>#REF!</v>
      </c>
      <c r="S34" s="373" t="e">
        <v>#REF!</v>
      </c>
      <c r="T34" s="373" t="e">
        <v>#REF!</v>
      </c>
      <c r="U34" s="826"/>
    </row>
    <row r="35" spans="1:21" ht="15" customHeight="1" thickBot="1" x14ac:dyDescent="0.4">
      <c r="A35" s="821" t="s">
        <v>222</v>
      </c>
      <c r="B35" s="823" t="s">
        <v>180</v>
      </c>
      <c r="C35" s="86" t="s">
        <v>41</v>
      </c>
      <c r="D35" s="86">
        <v>11700</v>
      </c>
      <c r="E35" s="86">
        <v>38.6</v>
      </c>
      <c r="F35" s="167">
        <v>1021800</v>
      </c>
      <c r="G35" s="167">
        <v>168390</v>
      </c>
      <c r="H35" s="819" t="s">
        <v>55</v>
      </c>
      <c r="I35" s="87">
        <v>11.15</v>
      </c>
      <c r="J35" s="86">
        <v>11700</v>
      </c>
      <c r="K35" s="86">
        <v>38.6</v>
      </c>
      <c r="L35" s="167">
        <v>2426250</v>
      </c>
      <c r="M35" s="816">
        <v>11672.05</v>
      </c>
      <c r="N35" s="816">
        <v>11650</v>
      </c>
      <c r="O35" s="816">
        <v>11706.75</v>
      </c>
      <c r="P35" s="816">
        <v>11733.9</v>
      </c>
      <c r="Q35" s="827">
        <v>11682.7</v>
      </c>
      <c r="R35" s="88" t="e">
        <v>#REF!</v>
      </c>
      <c r="S35" s="372" t="e">
        <v>#REF!</v>
      </c>
      <c r="T35" s="372" t="e">
        <v>#REF!</v>
      </c>
      <c r="U35" s="826" t="e">
        <v>#REF!</v>
      </c>
    </row>
    <row r="36" spans="1:21" ht="15" customHeight="1" thickBot="1" x14ac:dyDescent="0.4">
      <c r="A36" s="822"/>
      <c r="B36" s="824"/>
      <c r="C36" s="90" t="s">
        <v>42</v>
      </c>
      <c r="D36" s="90">
        <v>11650</v>
      </c>
      <c r="E36" s="90">
        <v>36.799999999999997</v>
      </c>
      <c r="F36" s="168">
        <v>643200</v>
      </c>
      <c r="G36" s="168">
        <v>61316</v>
      </c>
      <c r="H36" s="830"/>
      <c r="I36" s="91">
        <v>0</v>
      </c>
      <c r="J36" s="90">
        <v>11600</v>
      </c>
      <c r="K36" s="90">
        <v>22.5</v>
      </c>
      <c r="L36" s="168">
        <v>2023650</v>
      </c>
      <c r="M36" s="829"/>
      <c r="N36" s="829"/>
      <c r="O36" s="829"/>
      <c r="P36" s="829"/>
      <c r="Q36" s="828"/>
      <c r="R36" s="92" t="e">
        <v>#REF!</v>
      </c>
      <c r="S36" s="373" t="e">
        <v>#REF!</v>
      </c>
      <c r="T36" s="373" t="e">
        <v>#REF!</v>
      </c>
      <c r="U36" s="826"/>
    </row>
    <row r="37" spans="1:21" ht="15" customHeight="1" thickBot="1" x14ac:dyDescent="0.4">
      <c r="A37" s="821" t="s">
        <v>351</v>
      </c>
      <c r="B37" s="823" t="s">
        <v>180</v>
      </c>
      <c r="C37" s="86" t="s">
        <v>41</v>
      </c>
      <c r="D37" s="86">
        <v>11700</v>
      </c>
      <c r="E37" s="86">
        <v>40.5</v>
      </c>
      <c r="F37" s="167">
        <v>1167225</v>
      </c>
      <c r="G37" s="167">
        <v>181577</v>
      </c>
      <c r="H37" s="819" t="s">
        <v>55</v>
      </c>
      <c r="I37" s="87">
        <v>10.31</v>
      </c>
      <c r="J37" s="86">
        <v>11700</v>
      </c>
      <c r="K37" s="86">
        <v>40.5</v>
      </c>
      <c r="L37" s="167">
        <v>2571675</v>
      </c>
      <c r="M37" s="816">
        <v>11685.95</v>
      </c>
      <c r="N37" s="816">
        <v>11650</v>
      </c>
      <c r="O37" s="816">
        <v>11716.75</v>
      </c>
      <c r="P37" s="816">
        <v>11733.9</v>
      </c>
      <c r="Q37" s="827">
        <v>11682.7</v>
      </c>
      <c r="R37" s="88" t="e">
        <v>#REF!</v>
      </c>
      <c r="S37" s="372" t="e">
        <v>#REF!</v>
      </c>
      <c r="T37" s="372" t="e">
        <v>#REF!</v>
      </c>
      <c r="U37" s="826" t="e">
        <v>#REF!</v>
      </c>
    </row>
    <row r="38" spans="1:21" ht="15" customHeight="1" thickBot="1" x14ac:dyDescent="0.4">
      <c r="A38" s="822"/>
      <c r="B38" s="824"/>
      <c r="C38" s="90" t="s">
        <v>42</v>
      </c>
      <c r="D38" s="90">
        <v>11650</v>
      </c>
      <c r="E38" s="90">
        <v>34.15</v>
      </c>
      <c r="F38" s="168">
        <v>624000</v>
      </c>
      <c r="G38" s="168">
        <v>65550</v>
      </c>
      <c r="H38" s="830"/>
      <c r="I38" s="91">
        <v>12.66</v>
      </c>
      <c r="J38" s="90">
        <v>11600</v>
      </c>
      <c r="K38" s="90">
        <v>21.1</v>
      </c>
      <c r="L38" s="168">
        <v>2024025</v>
      </c>
      <c r="M38" s="829"/>
      <c r="N38" s="829"/>
      <c r="O38" s="829"/>
      <c r="P38" s="829"/>
      <c r="Q38" s="828"/>
      <c r="R38" s="92" t="e">
        <v>#REF!</v>
      </c>
      <c r="S38" s="373" t="e">
        <v>#REF!</v>
      </c>
      <c r="T38" s="373" t="e">
        <v>#REF!</v>
      </c>
      <c r="U38" s="826"/>
    </row>
    <row r="39" spans="1:21" ht="15" customHeight="1" thickBot="1" x14ac:dyDescent="0.4">
      <c r="A39" s="821" t="s">
        <v>352</v>
      </c>
      <c r="B39" s="823" t="s">
        <v>180</v>
      </c>
      <c r="C39" s="86" t="s">
        <v>41</v>
      </c>
      <c r="D39" s="86">
        <v>11700</v>
      </c>
      <c r="E39" s="86">
        <v>42.45</v>
      </c>
      <c r="F39" s="167">
        <v>1174200</v>
      </c>
      <c r="G39" s="167">
        <v>186453</v>
      </c>
      <c r="H39" s="819" t="s">
        <v>55</v>
      </c>
      <c r="I39" s="87">
        <v>10.01</v>
      </c>
      <c r="J39" s="86">
        <v>11700</v>
      </c>
      <c r="K39" s="86">
        <v>42.45</v>
      </c>
      <c r="L39" s="167">
        <v>2578650</v>
      </c>
      <c r="M39" s="816">
        <v>11688.75</v>
      </c>
      <c r="N39" s="816">
        <v>11650</v>
      </c>
      <c r="O39" s="816">
        <v>11721.95</v>
      </c>
      <c r="P39" s="816">
        <v>11733.9</v>
      </c>
      <c r="Q39" s="827">
        <v>11682.7</v>
      </c>
      <c r="R39" s="88" t="e">
        <v>#REF!</v>
      </c>
      <c r="S39" s="372" t="e">
        <v>#REF!</v>
      </c>
      <c r="T39" s="372" t="e">
        <v>#REF!</v>
      </c>
      <c r="U39" s="826" t="e">
        <v>#REF!</v>
      </c>
    </row>
    <row r="40" spans="1:21" ht="15" customHeight="1" thickBot="1" x14ac:dyDescent="0.4">
      <c r="A40" s="822"/>
      <c r="B40" s="824"/>
      <c r="C40" s="90" t="s">
        <v>42</v>
      </c>
      <c r="D40" s="90">
        <v>11650</v>
      </c>
      <c r="E40" s="90">
        <v>32.5</v>
      </c>
      <c r="F40" s="168">
        <v>613575</v>
      </c>
      <c r="G40" s="168">
        <v>67504</v>
      </c>
      <c r="H40" s="825"/>
      <c r="I40" s="91">
        <v>12.65</v>
      </c>
      <c r="J40" s="90">
        <v>11600</v>
      </c>
      <c r="K40" s="90">
        <v>20.100000000000001</v>
      </c>
      <c r="L40" s="168">
        <v>2025300</v>
      </c>
      <c r="M40" s="829"/>
      <c r="N40" s="829"/>
      <c r="O40" s="829"/>
      <c r="P40" s="829"/>
      <c r="Q40" s="828"/>
      <c r="R40" s="92" t="e">
        <v>#REF!</v>
      </c>
      <c r="S40" s="373" t="e">
        <v>#REF!</v>
      </c>
      <c r="T40" s="373" t="e">
        <v>#REF!</v>
      </c>
      <c r="U40" s="826"/>
    </row>
    <row r="41" spans="1:21" ht="15" customHeight="1" thickBot="1" x14ac:dyDescent="0.4">
      <c r="A41" s="821" t="s">
        <v>353</v>
      </c>
      <c r="B41" s="823" t="s">
        <v>180</v>
      </c>
      <c r="C41" s="86" t="s">
        <v>41</v>
      </c>
      <c r="D41" s="86">
        <v>11700</v>
      </c>
      <c r="E41" s="86">
        <v>43.15</v>
      </c>
      <c r="F41" s="167">
        <v>1056000</v>
      </c>
      <c r="G41" s="167">
        <v>202529</v>
      </c>
      <c r="H41" s="819" t="s">
        <v>55</v>
      </c>
      <c r="I41" s="87">
        <v>10.44</v>
      </c>
      <c r="J41" s="86">
        <v>11700</v>
      </c>
      <c r="K41" s="86">
        <v>43.15</v>
      </c>
      <c r="L41" s="167">
        <v>2460450</v>
      </c>
      <c r="M41" s="816">
        <v>11694.55</v>
      </c>
      <c r="N41" s="816">
        <v>11650</v>
      </c>
      <c r="O41" s="816">
        <v>11724.5</v>
      </c>
      <c r="P41" s="816">
        <v>11733.9</v>
      </c>
      <c r="Q41" s="827">
        <v>11682.7</v>
      </c>
      <c r="R41" s="88" t="e">
        <v>#REF!</v>
      </c>
      <c r="S41" s="372" t="e">
        <v>#REF!</v>
      </c>
      <c r="T41" s="372" t="e">
        <v>#REF!</v>
      </c>
      <c r="U41" s="826" t="e">
        <v>#REF!</v>
      </c>
    </row>
    <row r="42" spans="1:21" ht="15" customHeight="1" thickBot="1" x14ac:dyDescent="0.4">
      <c r="A42" s="822"/>
      <c r="B42" s="824"/>
      <c r="C42" s="90" t="s">
        <v>42</v>
      </c>
      <c r="D42" s="90">
        <v>11650</v>
      </c>
      <c r="E42" s="90">
        <v>30.15</v>
      </c>
      <c r="F42" s="168">
        <v>697275</v>
      </c>
      <c r="G42" s="168">
        <v>75866</v>
      </c>
      <c r="H42" s="825"/>
      <c r="I42" s="91">
        <v>12.18</v>
      </c>
      <c r="J42" s="90">
        <v>11600</v>
      </c>
      <c r="K42" s="90">
        <v>19.100000000000001</v>
      </c>
      <c r="L42" s="168">
        <v>1965225</v>
      </c>
      <c r="M42" s="829"/>
      <c r="N42" s="829"/>
      <c r="O42" s="829"/>
      <c r="P42" s="829"/>
      <c r="Q42" s="828"/>
      <c r="R42" s="92" t="e">
        <v>#REF!</v>
      </c>
      <c r="S42" s="373" t="e">
        <v>#REF!</v>
      </c>
      <c r="T42" s="373" t="e">
        <v>#REF!</v>
      </c>
      <c r="U42" s="826"/>
    </row>
    <row r="43" spans="1:21" ht="15" customHeight="1" thickBot="1" x14ac:dyDescent="0.4">
      <c r="A43" s="821" t="s">
        <v>354</v>
      </c>
      <c r="B43" s="823" t="s">
        <v>180</v>
      </c>
      <c r="C43" s="86" t="s">
        <v>41</v>
      </c>
      <c r="D43" s="86" t="e">
        <v>#VALUE!</v>
      </c>
      <c r="E43" s="86" t="e">
        <v>#VALUE!</v>
      </c>
      <c r="F43" s="167" t="e">
        <v>#VALUE!</v>
      </c>
      <c r="G43" s="167" t="e">
        <v>#VALUE!</v>
      </c>
      <c r="H43" s="819" t="e">
        <v>#VALUE!</v>
      </c>
      <c r="I43" s="87" t="e">
        <v>#VALUE!</v>
      </c>
      <c r="J43" s="86" t="e">
        <v>#VALUE!</v>
      </c>
      <c r="K43" s="86" t="e">
        <v>#VALUE!</v>
      </c>
      <c r="L43" s="167" t="e">
        <v>#VALUE!</v>
      </c>
      <c r="M43" s="816">
        <v>11694.6</v>
      </c>
      <c r="N43" s="816" t="e">
        <v>#VALUE!</v>
      </c>
      <c r="O43" s="816">
        <v>11724.35</v>
      </c>
      <c r="P43" s="816">
        <v>11733.9</v>
      </c>
      <c r="Q43" s="827">
        <v>11682.7</v>
      </c>
      <c r="R43" s="88" t="e">
        <v>#REF!</v>
      </c>
      <c r="S43" s="372" t="e">
        <v>#REF!</v>
      </c>
      <c r="T43" s="372" t="e">
        <v>#REF!</v>
      </c>
      <c r="U43" s="826" t="e">
        <v>#REF!</v>
      </c>
    </row>
    <row r="44" spans="1:21" ht="15" customHeight="1" thickBot="1" x14ac:dyDescent="0.4">
      <c r="A44" s="822"/>
      <c r="B44" s="824"/>
      <c r="C44" s="90" t="s">
        <v>42</v>
      </c>
      <c r="D44" s="90" t="e">
        <v>#VALUE!</v>
      </c>
      <c r="E44" s="90" t="e">
        <v>#VALUE!</v>
      </c>
      <c r="F44" s="168" t="e">
        <v>#VALUE!</v>
      </c>
      <c r="G44" s="168" t="e">
        <v>#VALUE!</v>
      </c>
      <c r="H44" s="825"/>
      <c r="I44" s="91" t="e">
        <v>#VALUE!</v>
      </c>
      <c r="J44" s="90" t="e">
        <v>#VALUE!</v>
      </c>
      <c r="K44" s="90" t="e">
        <v>#VALUE!</v>
      </c>
      <c r="L44" s="168" t="e">
        <v>#VALUE!</v>
      </c>
      <c r="M44" s="829"/>
      <c r="N44" s="829"/>
      <c r="O44" s="829"/>
      <c r="P44" s="829"/>
      <c r="Q44" s="828"/>
      <c r="R44" s="92" t="e">
        <v>#REF!</v>
      </c>
      <c r="S44" s="373" t="e">
        <v>#REF!</v>
      </c>
      <c r="T44" s="373" t="e">
        <v>#REF!</v>
      </c>
      <c r="U44" s="826"/>
    </row>
    <row r="45" spans="1:21" ht="15" customHeight="1" thickBot="1" x14ac:dyDescent="0.4">
      <c r="A45" s="821" t="s">
        <v>211</v>
      </c>
      <c r="B45" s="823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819" t="s">
        <v>211</v>
      </c>
      <c r="I45" s="87" t="s">
        <v>211</v>
      </c>
      <c r="J45" s="86" t="s">
        <v>211</v>
      </c>
      <c r="K45" s="86" t="s">
        <v>211</v>
      </c>
      <c r="L45" s="167" t="s">
        <v>211</v>
      </c>
      <c r="M45" s="816" t="s">
        <v>211</v>
      </c>
      <c r="N45" s="816" t="s">
        <v>211</v>
      </c>
      <c r="O45" s="816" t="s">
        <v>211</v>
      </c>
      <c r="P45" s="816" t="s">
        <v>211</v>
      </c>
      <c r="Q45" s="827" t="s">
        <v>211</v>
      </c>
      <c r="R45" s="88" t="s">
        <v>211</v>
      </c>
      <c r="S45" s="372" t="s">
        <v>211</v>
      </c>
      <c r="T45" s="372" t="s">
        <v>211</v>
      </c>
      <c r="U45" s="826" t="s">
        <v>211</v>
      </c>
    </row>
    <row r="46" spans="1:21" ht="15" customHeight="1" thickBot="1" x14ac:dyDescent="0.4">
      <c r="A46" s="822"/>
      <c r="B46" s="824"/>
      <c r="C46" s="90" t="s">
        <v>211</v>
      </c>
      <c r="D46" s="90" t="s">
        <v>211</v>
      </c>
      <c r="E46" s="90" t="s">
        <v>211</v>
      </c>
      <c r="F46" s="168" t="s">
        <v>211</v>
      </c>
      <c r="G46" s="168" t="s">
        <v>211</v>
      </c>
      <c r="H46" s="825"/>
      <c r="I46" s="91" t="s">
        <v>211</v>
      </c>
      <c r="J46" s="90" t="s">
        <v>211</v>
      </c>
      <c r="K46" s="90" t="s">
        <v>211</v>
      </c>
      <c r="L46" s="168" t="s">
        <v>211</v>
      </c>
      <c r="M46" s="829"/>
      <c r="N46" s="829"/>
      <c r="O46" s="829"/>
      <c r="P46" s="829"/>
      <c r="Q46" s="828"/>
      <c r="R46" s="92" t="s">
        <v>211</v>
      </c>
      <c r="S46" s="373" t="s">
        <v>211</v>
      </c>
      <c r="T46" s="373" t="s">
        <v>211</v>
      </c>
      <c r="U46" s="826"/>
    </row>
    <row r="47" spans="1:21" ht="15" customHeight="1" thickBot="1" x14ac:dyDescent="0.4">
      <c r="A47" s="821" t="s">
        <v>211</v>
      </c>
      <c r="B47" s="823" t="s">
        <v>211</v>
      </c>
      <c r="C47" s="86" t="s">
        <v>211</v>
      </c>
      <c r="D47" s="86" t="s">
        <v>211</v>
      </c>
      <c r="E47" s="86" t="s">
        <v>211</v>
      </c>
      <c r="F47" s="167" t="s">
        <v>211</v>
      </c>
      <c r="G47" s="167" t="s">
        <v>211</v>
      </c>
      <c r="H47" s="819" t="s">
        <v>211</v>
      </c>
      <c r="I47" s="87" t="s">
        <v>211</v>
      </c>
      <c r="J47" s="86" t="s">
        <v>211</v>
      </c>
      <c r="K47" s="86" t="s">
        <v>211</v>
      </c>
      <c r="L47" s="167" t="s">
        <v>211</v>
      </c>
      <c r="M47" s="816" t="s">
        <v>211</v>
      </c>
      <c r="N47" s="816" t="s">
        <v>211</v>
      </c>
      <c r="O47" s="816" t="s">
        <v>211</v>
      </c>
      <c r="P47" s="816" t="s">
        <v>211</v>
      </c>
      <c r="Q47" s="827" t="s">
        <v>211</v>
      </c>
      <c r="R47" s="88" t="s">
        <v>211</v>
      </c>
      <c r="S47" s="372" t="s">
        <v>211</v>
      </c>
      <c r="T47" s="372" t="s">
        <v>211</v>
      </c>
      <c r="U47" s="826" t="s">
        <v>211</v>
      </c>
    </row>
    <row r="48" spans="1:21" ht="15" customHeight="1" thickBot="1" x14ac:dyDescent="0.4">
      <c r="A48" s="822"/>
      <c r="B48" s="824"/>
      <c r="C48" s="90" t="s">
        <v>211</v>
      </c>
      <c r="D48" s="90" t="s">
        <v>211</v>
      </c>
      <c r="E48" s="90" t="s">
        <v>211</v>
      </c>
      <c r="F48" s="168" t="s">
        <v>211</v>
      </c>
      <c r="G48" s="168" t="s">
        <v>211</v>
      </c>
      <c r="H48" s="825"/>
      <c r="I48" s="91" t="s">
        <v>211</v>
      </c>
      <c r="J48" s="90" t="s">
        <v>211</v>
      </c>
      <c r="K48" s="90" t="s">
        <v>211</v>
      </c>
      <c r="L48" s="168" t="s">
        <v>211</v>
      </c>
      <c r="M48" s="829"/>
      <c r="N48" s="829"/>
      <c r="O48" s="829"/>
      <c r="P48" s="829"/>
      <c r="Q48" s="828"/>
      <c r="R48" s="92" t="s">
        <v>211</v>
      </c>
      <c r="S48" s="373" t="s">
        <v>211</v>
      </c>
      <c r="T48" s="373" t="s">
        <v>211</v>
      </c>
      <c r="U48" s="826"/>
    </row>
    <row r="49" spans="1:21" ht="15" customHeight="1" thickBot="1" x14ac:dyDescent="0.4">
      <c r="A49" s="821" t="s">
        <v>211</v>
      </c>
      <c r="B49" s="823" t="s">
        <v>211</v>
      </c>
      <c r="C49" s="86" t="s">
        <v>211</v>
      </c>
      <c r="D49" s="86" t="s">
        <v>211</v>
      </c>
      <c r="E49" s="86" t="s">
        <v>211</v>
      </c>
      <c r="F49" s="167" t="s">
        <v>211</v>
      </c>
      <c r="G49" s="167" t="s">
        <v>211</v>
      </c>
      <c r="H49" s="819" t="s">
        <v>211</v>
      </c>
      <c r="I49" s="87" t="s">
        <v>211</v>
      </c>
      <c r="J49" s="86" t="s">
        <v>211</v>
      </c>
      <c r="K49" s="86" t="s">
        <v>211</v>
      </c>
      <c r="L49" s="167" t="s">
        <v>211</v>
      </c>
      <c r="M49" s="816" t="s">
        <v>211</v>
      </c>
      <c r="N49" s="816" t="s">
        <v>211</v>
      </c>
      <c r="O49" s="816" t="s">
        <v>211</v>
      </c>
      <c r="P49" s="816" t="s">
        <v>211</v>
      </c>
      <c r="Q49" s="827" t="s">
        <v>211</v>
      </c>
      <c r="R49" s="88" t="s">
        <v>211</v>
      </c>
      <c r="S49" s="372" t="s">
        <v>211</v>
      </c>
      <c r="T49" s="372" t="s">
        <v>211</v>
      </c>
      <c r="U49" s="826" t="s">
        <v>211</v>
      </c>
    </row>
    <row r="50" spans="1:21" ht="15" customHeight="1" thickBot="1" x14ac:dyDescent="0.4">
      <c r="A50" s="822"/>
      <c r="B50" s="824"/>
      <c r="C50" s="90" t="s">
        <v>211</v>
      </c>
      <c r="D50" s="90" t="s">
        <v>211</v>
      </c>
      <c r="E50" s="90" t="s">
        <v>211</v>
      </c>
      <c r="F50" s="168" t="s">
        <v>211</v>
      </c>
      <c r="G50" s="168" t="s">
        <v>211</v>
      </c>
      <c r="H50" s="825"/>
      <c r="I50" s="91" t="s">
        <v>211</v>
      </c>
      <c r="J50" s="90" t="s">
        <v>211</v>
      </c>
      <c r="K50" s="90" t="s">
        <v>211</v>
      </c>
      <c r="L50" s="168" t="s">
        <v>211</v>
      </c>
      <c r="M50" s="829"/>
      <c r="N50" s="829"/>
      <c r="O50" s="829"/>
      <c r="P50" s="829"/>
      <c r="Q50" s="828"/>
      <c r="R50" s="92" t="s">
        <v>211</v>
      </c>
      <c r="S50" s="373" t="s">
        <v>211</v>
      </c>
      <c r="T50" s="373" t="s">
        <v>211</v>
      </c>
      <c r="U50" s="826"/>
    </row>
    <row r="51" spans="1:21" ht="15" customHeight="1" thickBot="1" x14ac:dyDescent="0.4">
      <c r="A51" s="821" t="s">
        <v>211</v>
      </c>
      <c r="B51" s="823" t="s">
        <v>211</v>
      </c>
      <c r="C51" s="86" t="s">
        <v>211</v>
      </c>
      <c r="D51" s="86" t="s">
        <v>211</v>
      </c>
      <c r="E51" s="86" t="s">
        <v>211</v>
      </c>
      <c r="F51" s="167" t="s">
        <v>211</v>
      </c>
      <c r="G51" s="167" t="s">
        <v>211</v>
      </c>
      <c r="H51" s="819" t="s">
        <v>211</v>
      </c>
      <c r="I51" s="87" t="s">
        <v>211</v>
      </c>
      <c r="J51" s="86" t="s">
        <v>211</v>
      </c>
      <c r="K51" s="86" t="s">
        <v>211</v>
      </c>
      <c r="L51" s="167" t="s">
        <v>211</v>
      </c>
      <c r="M51" s="816" t="s">
        <v>211</v>
      </c>
      <c r="N51" s="816" t="s">
        <v>211</v>
      </c>
      <c r="O51" s="816" t="s">
        <v>211</v>
      </c>
      <c r="P51" s="816" t="s">
        <v>211</v>
      </c>
      <c r="Q51" s="827" t="s">
        <v>211</v>
      </c>
      <c r="R51" s="88" t="s">
        <v>211</v>
      </c>
      <c r="S51" s="372" t="s">
        <v>211</v>
      </c>
      <c r="T51" s="372" t="s">
        <v>211</v>
      </c>
      <c r="U51" s="826" t="s">
        <v>211</v>
      </c>
    </row>
    <row r="52" spans="1:21" ht="15" customHeight="1" thickBot="1" x14ac:dyDescent="0.4">
      <c r="A52" s="822"/>
      <c r="B52" s="824"/>
      <c r="C52" s="90" t="s">
        <v>211</v>
      </c>
      <c r="D52" s="90" t="s">
        <v>211</v>
      </c>
      <c r="E52" s="90" t="s">
        <v>211</v>
      </c>
      <c r="F52" s="168" t="s">
        <v>211</v>
      </c>
      <c r="G52" s="168" t="s">
        <v>211</v>
      </c>
      <c r="H52" s="825"/>
      <c r="I52" s="91" t="s">
        <v>211</v>
      </c>
      <c r="J52" s="90" t="s">
        <v>211</v>
      </c>
      <c r="K52" s="90" t="s">
        <v>211</v>
      </c>
      <c r="L52" s="168" t="s">
        <v>211</v>
      </c>
      <c r="M52" s="829"/>
      <c r="N52" s="829"/>
      <c r="O52" s="829"/>
      <c r="P52" s="829"/>
      <c r="Q52" s="828"/>
      <c r="R52" s="92" t="s">
        <v>211</v>
      </c>
      <c r="S52" s="373" t="s">
        <v>211</v>
      </c>
      <c r="T52" s="373" t="s">
        <v>211</v>
      </c>
      <c r="U52" s="826"/>
    </row>
  </sheetData>
  <mergeCells count="229">
    <mergeCell ref="C1:G1"/>
    <mergeCell ref="J1:L1"/>
    <mergeCell ref="P1:Q1"/>
    <mergeCell ref="R1:U1"/>
    <mergeCell ref="A3:A4"/>
    <mergeCell ref="B3:B4"/>
    <mergeCell ref="H3:H4"/>
    <mergeCell ref="M3:M4"/>
    <mergeCell ref="N3:N4"/>
    <mergeCell ref="O3:O4"/>
    <mergeCell ref="P3:P4"/>
    <mergeCell ref="Q3:Q4"/>
    <mergeCell ref="U3:U4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P11:P12"/>
    <mergeCell ref="Q11:Q12"/>
    <mergeCell ref="U11:U12"/>
    <mergeCell ref="A13:A14"/>
    <mergeCell ref="B13:B14"/>
    <mergeCell ref="H13:H14"/>
    <mergeCell ref="M13:M14"/>
    <mergeCell ref="N13:N14"/>
    <mergeCell ref="O13:O14"/>
    <mergeCell ref="P13:P14"/>
    <mergeCell ref="A11:A12"/>
    <mergeCell ref="B11:B12"/>
    <mergeCell ref="H11:H12"/>
    <mergeCell ref="M11:M12"/>
    <mergeCell ref="N11:N12"/>
    <mergeCell ref="O11:O12"/>
    <mergeCell ref="Q13:Q14"/>
    <mergeCell ref="U13:U14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P19:P20"/>
    <mergeCell ref="Q19:Q20"/>
    <mergeCell ref="U19:U20"/>
    <mergeCell ref="A21:A22"/>
    <mergeCell ref="B21:B22"/>
    <mergeCell ref="H21:H22"/>
    <mergeCell ref="M21:M22"/>
    <mergeCell ref="N21:N22"/>
    <mergeCell ref="O21:O22"/>
    <mergeCell ref="P21:P22"/>
    <mergeCell ref="A19:A20"/>
    <mergeCell ref="B19:B20"/>
    <mergeCell ref="H19:H20"/>
    <mergeCell ref="M19:M20"/>
    <mergeCell ref="N19:N20"/>
    <mergeCell ref="O19:O20"/>
    <mergeCell ref="Q21:Q22"/>
    <mergeCell ref="U21:U22"/>
    <mergeCell ref="A23:A24"/>
    <mergeCell ref="B23:B24"/>
    <mergeCell ref="H23:H24"/>
    <mergeCell ref="M23:M24"/>
    <mergeCell ref="N23:N24"/>
    <mergeCell ref="O23:O24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Q25:Q26"/>
    <mergeCell ref="U25:U26"/>
    <mergeCell ref="P27:P28"/>
    <mergeCell ref="Q27:Q28"/>
    <mergeCell ref="U27:U28"/>
    <mergeCell ref="A29:A30"/>
    <mergeCell ref="B29:B30"/>
    <mergeCell ref="H29:H30"/>
    <mergeCell ref="M29:M30"/>
    <mergeCell ref="N29:N30"/>
    <mergeCell ref="O29:O30"/>
    <mergeCell ref="P29:P30"/>
    <mergeCell ref="A27:A28"/>
    <mergeCell ref="B27:B28"/>
    <mergeCell ref="H27:H28"/>
    <mergeCell ref="M27:M28"/>
    <mergeCell ref="N27:N28"/>
    <mergeCell ref="O27:O28"/>
    <mergeCell ref="Q29:Q30"/>
    <mergeCell ref="U29:U30"/>
    <mergeCell ref="A31:A32"/>
    <mergeCell ref="B31:B32"/>
    <mergeCell ref="H31:H32"/>
    <mergeCell ref="M31:M32"/>
    <mergeCell ref="N31:N32"/>
    <mergeCell ref="O31:O32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Q33:Q34"/>
    <mergeCell ref="U33:U34"/>
    <mergeCell ref="P35:P36"/>
    <mergeCell ref="Q35:Q36"/>
    <mergeCell ref="U35:U36"/>
    <mergeCell ref="A37:A38"/>
    <mergeCell ref="B37:B38"/>
    <mergeCell ref="H37:H38"/>
    <mergeCell ref="M37:M38"/>
    <mergeCell ref="N37:N38"/>
    <mergeCell ref="O37:O38"/>
    <mergeCell ref="P37:P38"/>
    <mergeCell ref="A35:A36"/>
    <mergeCell ref="B35:B36"/>
    <mergeCell ref="H35:H36"/>
    <mergeCell ref="M35:M36"/>
    <mergeCell ref="N35:N36"/>
    <mergeCell ref="O35:O36"/>
    <mergeCell ref="Q37:Q38"/>
    <mergeCell ref="U37:U38"/>
    <mergeCell ref="A39:A40"/>
    <mergeCell ref="B39:B40"/>
    <mergeCell ref="H39:H40"/>
    <mergeCell ref="M39:M40"/>
    <mergeCell ref="N39:N40"/>
    <mergeCell ref="O39:O40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Q41:Q42"/>
    <mergeCell ref="U41:U42"/>
    <mergeCell ref="P43:P44"/>
    <mergeCell ref="Q43:Q44"/>
    <mergeCell ref="U43:U44"/>
    <mergeCell ref="A45:A46"/>
    <mergeCell ref="B45:B46"/>
    <mergeCell ref="H45:H46"/>
    <mergeCell ref="M45:M46"/>
    <mergeCell ref="N45:N46"/>
    <mergeCell ref="O45:O46"/>
    <mergeCell ref="P45:P46"/>
    <mergeCell ref="A43:A44"/>
    <mergeCell ref="B43:B44"/>
    <mergeCell ref="H43:H44"/>
    <mergeCell ref="M43:M44"/>
    <mergeCell ref="N43:N44"/>
    <mergeCell ref="O43:O44"/>
    <mergeCell ref="Q45:Q46"/>
    <mergeCell ref="U45:U46"/>
    <mergeCell ref="A47:A48"/>
    <mergeCell ref="B47:B48"/>
    <mergeCell ref="H47:H48"/>
    <mergeCell ref="M47:M48"/>
    <mergeCell ref="N47:N48"/>
    <mergeCell ref="O47:O48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Q49:Q50"/>
    <mergeCell ref="U49:U50"/>
    <mergeCell ref="P51:P52"/>
    <mergeCell ref="Q51:Q52"/>
    <mergeCell ref="U51:U52"/>
    <mergeCell ref="A51:A52"/>
    <mergeCell ref="B51:B52"/>
    <mergeCell ref="H51:H52"/>
    <mergeCell ref="M51:M52"/>
    <mergeCell ref="N51:N52"/>
    <mergeCell ref="O51:O52"/>
  </mergeCell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D13E7-DDA4-446D-ABD8-3D3CFEBCD02D}">
  <sheetPr codeName="Sheet15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B1389-68A8-415E-BAD9-90017612D176}">
  <sheetPr codeName="Sheet12"/>
  <dimension ref="A1:U51"/>
  <sheetViews>
    <sheetView workbookViewId="0">
      <selection activeCell="K12" sqref="K12"/>
    </sheetView>
  </sheetViews>
  <sheetFormatPr defaultRowHeight="14.5" x14ac:dyDescent="0.35"/>
  <sheetData>
    <row r="1" spans="1:21" ht="15" thickBot="1" x14ac:dyDescent="0.4">
      <c r="A1" s="80" t="s">
        <v>86</v>
      </c>
      <c r="B1" s="273" t="s">
        <v>34</v>
      </c>
      <c r="C1" s="369" t="s">
        <v>54</v>
      </c>
      <c r="D1" s="368" t="s">
        <v>14</v>
      </c>
      <c r="E1" s="368" t="s">
        <v>6</v>
      </c>
      <c r="F1" s="166" t="s">
        <v>35</v>
      </c>
      <c r="G1" s="166" t="s">
        <v>37</v>
      </c>
      <c r="H1" s="370" t="s">
        <v>43</v>
      </c>
      <c r="I1" s="81" t="s">
        <v>88</v>
      </c>
      <c r="J1" s="369" t="s">
        <v>14</v>
      </c>
      <c r="K1" s="368" t="s">
        <v>6</v>
      </c>
      <c r="L1" s="169" t="s">
        <v>0</v>
      </c>
      <c r="M1" s="82" t="s">
        <v>89</v>
      </c>
      <c r="N1" s="83" t="s">
        <v>90</v>
      </c>
      <c r="O1" s="84" t="s">
        <v>91</v>
      </c>
      <c r="P1" s="83" t="s">
        <v>92</v>
      </c>
      <c r="Q1" s="85" t="s">
        <v>93</v>
      </c>
      <c r="R1" s="82" t="s">
        <v>94</v>
      </c>
      <c r="S1" s="83" t="s">
        <v>36</v>
      </c>
      <c r="T1" s="83" t="s">
        <v>95</v>
      </c>
      <c r="U1" s="83" t="s">
        <v>96</v>
      </c>
    </row>
    <row r="2" spans="1:21" ht="15" customHeight="1" thickBot="1" x14ac:dyDescent="0.4">
      <c r="A2" s="821" t="s">
        <v>211</v>
      </c>
      <c r="B2" s="823" t="s">
        <v>211</v>
      </c>
      <c r="C2" s="86" t="s">
        <v>211</v>
      </c>
      <c r="D2" s="86" t="s">
        <v>211</v>
      </c>
      <c r="E2" s="86" t="s">
        <v>211</v>
      </c>
      <c r="F2" s="167" t="s">
        <v>211</v>
      </c>
      <c r="G2" s="167" t="s">
        <v>211</v>
      </c>
      <c r="H2" s="819" t="s">
        <v>211</v>
      </c>
      <c r="I2" s="87" t="s">
        <v>211</v>
      </c>
      <c r="J2" s="86" t="s">
        <v>211</v>
      </c>
      <c r="K2" s="86" t="s">
        <v>211</v>
      </c>
      <c r="L2" s="167" t="s">
        <v>211</v>
      </c>
      <c r="M2" s="816" t="s">
        <v>211</v>
      </c>
      <c r="N2" s="816" t="s">
        <v>211</v>
      </c>
      <c r="O2" s="816" t="s">
        <v>211</v>
      </c>
      <c r="P2" s="816" t="s">
        <v>211</v>
      </c>
      <c r="Q2" s="816" t="s">
        <v>211</v>
      </c>
      <c r="R2" s="88" t="s">
        <v>211</v>
      </c>
      <c r="S2" s="367" t="s">
        <v>211</v>
      </c>
      <c r="T2" s="367" t="s">
        <v>211</v>
      </c>
      <c r="U2" s="818" t="s">
        <v>211</v>
      </c>
    </row>
    <row r="3" spans="1:21" ht="15" customHeight="1" thickBot="1" x14ac:dyDescent="0.4">
      <c r="A3" s="822"/>
      <c r="B3" s="824"/>
      <c r="C3" s="90" t="s">
        <v>211</v>
      </c>
      <c r="D3" s="90" t="s">
        <v>211</v>
      </c>
      <c r="E3" s="90" t="s">
        <v>211</v>
      </c>
      <c r="F3" s="168" t="s">
        <v>211</v>
      </c>
      <c r="G3" s="168" t="s">
        <v>211</v>
      </c>
      <c r="H3" s="820"/>
      <c r="I3" s="91" t="s">
        <v>211</v>
      </c>
      <c r="J3" s="90" t="s">
        <v>211</v>
      </c>
      <c r="K3" s="90" t="s">
        <v>211</v>
      </c>
      <c r="L3" s="168" t="s">
        <v>211</v>
      </c>
      <c r="M3" s="817"/>
      <c r="N3" s="817"/>
      <c r="O3" s="817"/>
      <c r="P3" s="817"/>
      <c r="Q3" s="817"/>
      <c r="R3" s="92" t="s">
        <v>211</v>
      </c>
      <c r="S3" s="371" t="s">
        <v>211</v>
      </c>
      <c r="T3" s="371" t="s">
        <v>211</v>
      </c>
      <c r="U3" s="818"/>
    </row>
    <row r="4" spans="1:21" ht="15" customHeight="1" thickBot="1" x14ac:dyDescent="0.4">
      <c r="A4" s="821" t="s">
        <v>211</v>
      </c>
      <c r="B4" s="823" t="s">
        <v>211</v>
      </c>
      <c r="C4" s="86" t="s">
        <v>211</v>
      </c>
      <c r="D4" s="86" t="s">
        <v>211</v>
      </c>
      <c r="E4" s="86" t="s">
        <v>211</v>
      </c>
      <c r="F4" s="167" t="s">
        <v>211</v>
      </c>
      <c r="G4" s="167" t="s">
        <v>211</v>
      </c>
      <c r="H4" s="819" t="s">
        <v>211</v>
      </c>
      <c r="I4" s="87" t="s">
        <v>211</v>
      </c>
      <c r="J4" s="86" t="s">
        <v>211</v>
      </c>
      <c r="K4" s="86" t="s">
        <v>211</v>
      </c>
      <c r="L4" s="167" t="s">
        <v>211</v>
      </c>
      <c r="M4" s="816" t="s">
        <v>211</v>
      </c>
      <c r="N4" s="816" t="s">
        <v>211</v>
      </c>
      <c r="O4" s="816" t="s">
        <v>211</v>
      </c>
      <c r="P4" s="816" t="s">
        <v>211</v>
      </c>
      <c r="Q4" s="827" t="s">
        <v>211</v>
      </c>
      <c r="R4" s="88" t="s">
        <v>211</v>
      </c>
      <c r="S4" s="367" t="s">
        <v>211</v>
      </c>
      <c r="T4" s="367" t="s">
        <v>211</v>
      </c>
      <c r="U4" s="818" t="s">
        <v>211</v>
      </c>
    </row>
    <row r="5" spans="1:21" ht="15" customHeight="1" thickBot="1" x14ac:dyDescent="0.4">
      <c r="A5" s="822"/>
      <c r="B5" s="824"/>
      <c r="C5" s="90" t="s">
        <v>211</v>
      </c>
      <c r="D5" s="90" t="s">
        <v>211</v>
      </c>
      <c r="E5" s="90" t="s">
        <v>211</v>
      </c>
      <c r="F5" s="168" t="s">
        <v>211</v>
      </c>
      <c r="G5" s="168" t="s">
        <v>211</v>
      </c>
      <c r="H5" s="825"/>
      <c r="I5" s="91" t="s">
        <v>211</v>
      </c>
      <c r="J5" s="90" t="s">
        <v>211</v>
      </c>
      <c r="K5" s="90" t="s">
        <v>211</v>
      </c>
      <c r="L5" s="168" t="s">
        <v>211</v>
      </c>
      <c r="M5" s="829"/>
      <c r="N5" s="829"/>
      <c r="O5" s="829"/>
      <c r="P5" s="829"/>
      <c r="Q5" s="828"/>
      <c r="R5" s="92" t="s">
        <v>211</v>
      </c>
      <c r="S5" s="371" t="s">
        <v>211</v>
      </c>
      <c r="T5" s="371" t="s">
        <v>211</v>
      </c>
      <c r="U5" s="818"/>
    </row>
    <row r="6" spans="1:21" ht="15" customHeight="1" thickBot="1" x14ac:dyDescent="0.4">
      <c r="A6" s="821" t="s">
        <v>211</v>
      </c>
      <c r="B6" s="823" t="s">
        <v>211</v>
      </c>
      <c r="C6" s="86" t="s">
        <v>211</v>
      </c>
      <c r="D6" s="86" t="s">
        <v>211</v>
      </c>
      <c r="E6" s="86" t="s">
        <v>211</v>
      </c>
      <c r="F6" s="167" t="s">
        <v>211</v>
      </c>
      <c r="G6" s="167" t="s">
        <v>211</v>
      </c>
      <c r="H6" s="819" t="s">
        <v>211</v>
      </c>
      <c r="I6" s="87" t="s">
        <v>211</v>
      </c>
      <c r="J6" s="86" t="s">
        <v>211</v>
      </c>
      <c r="K6" s="86" t="s">
        <v>211</v>
      </c>
      <c r="L6" s="167" t="s">
        <v>211</v>
      </c>
      <c r="M6" s="816" t="s">
        <v>211</v>
      </c>
      <c r="N6" s="816" t="s">
        <v>211</v>
      </c>
      <c r="O6" s="816" t="s">
        <v>211</v>
      </c>
      <c r="P6" s="816" t="s">
        <v>211</v>
      </c>
      <c r="Q6" s="827" t="s">
        <v>211</v>
      </c>
      <c r="R6" s="88" t="s">
        <v>211</v>
      </c>
      <c r="S6" s="367" t="s">
        <v>211</v>
      </c>
      <c r="T6" s="367" t="s">
        <v>211</v>
      </c>
      <c r="U6" s="818" t="s">
        <v>211</v>
      </c>
    </row>
    <row r="7" spans="1:21" ht="15" customHeight="1" thickBot="1" x14ac:dyDescent="0.4">
      <c r="A7" s="822"/>
      <c r="B7" s="824"/>
      <c r="C7" s="90" t="s">
        <v>211</v>
      </c>
      <c r="D7" s="90" t="s">
        <v>211</v>
      </c>
      <c r="E7" s="90" t="s">
        <v>211</v>
      </c>
      <c r="F7" s="168" t="s">
        <v>211</v>
      </c>
      <c r="G7" s="168" t="s">
        <v>211</v>
      </c>
      <c r="H7" s="825"/>
      <c r="I7" s="91" t="s">
        <v>211</v>
      </c>
      <c r="J7" s="90" t="s">
        <v>211</v>
      </c>
      <c r="K7" s="90" t="s">
        <v>211</v>
      </c>
      <c r="L7" s="168" t="s">
        <v>211</v>
      </c>
      <c r="M7" s="829"/>
      <c r="N7" s="829"/>
      <c r="O7" s="829"/>
      <c r="P7" s="829"/>
      <c r="Q7" s="828"/>
      <c r="R7" s="92" t="s">
        <v>211</v>
      </c>
      <c r="S7" s="371" t="s">
        <v>211</v>
      </c>
      <c r="T7" s="371" t="s">
        <v>211</v>
      </c>
      <c r="U7" s="818"/>
    </row>
    <row r="8" spans="1:21" ht="15" customHeight="1" thickBot="1" x14ac:dyDescent="0.4">
      <c r="A8" s="821" t="s">
        <v>341</v>
      </c>
      <c r="B8" s="823" t="s">
        <v>180</v>
      </c>
      <c r="C8" s="86" t="s">
        <v>41</v>
      </c>
      <c r="D8" s="86">
        <v>11700</v>
      </c>
      <c r="E8" s="86">
        <v>35.4</v>
      </c>
      <c r="F8" s="167">
        <v>311325</v>
      </c>
      <c r="G8" s="167">
        <v>37049</v>
      </c>
      <c r="H8" s="819" t="s">
        <v>61</v>
      </c>
      <c r="I8" s="87">
        <v>10.82</v>
      </c>
      <c r="J8" s="86">
        <v>11700</v>
      </c>
      <c r="K8" s="86">
        <v>35.4</v>
      </c>
      <c r="L8" s="167">
        <v>1891350</v>
      </c>
      <c r="M8" s="816">
        <v>11610.9</v>
      </c>
      <c r="N8" s="816">
        <v>11600</v>
      </c>
      <c r="O8" s="816">
        <v>11661</v>
      </c>
      <c r="P8" s="816">
        <v>11674.9</v>
      </c>
      <c r="Q8" s="827">
        <v>11644.35</v>
      </c>
      <c r="R8" s="88" t="e">
        <v>#REF!</v>
      </c>
      <c r="S8" s="367" t="e">
        <v>#REF!</v>
      </c>
      <c r="T8" s="367" t="e">
        <v>#REF!</v>
      </c>
      <c r="U8" s="818" t="e">
        <v>#REF!</v>
      </c>
    </row>
    <row r="9" spans="1:21" ht="15" customHeight="1" thickBot="1" x14ac:dyDescent="0.4">
      <c r="A9" s="822"/>
      <c r="B9" s="824"/>
      <c r="C9" s="90" t="s">
        <v>42</v>
      </c>
      <c r="D9" s="90">
        <v>11600</v>
      </c>
      <c r="E9" s="90">
        <v>51.25</v>
      </c>
      <c r="F9" s="168">
        <v>659625</v>
      </c>
      <c r="G9" s="168">
        <v>41320</v>
      </c>
      <c r="H9" s="825"/>
      <c r="I9" s="91">
        <v>10.79</v>
      </c>
      <c r="J9" s="90">
        <v>11600</v>
      </c>
      <c r="K9" s="90">
        <v>51.25</v>
      </c>
      <c r="L9" s="168">
        <v>1401000</v>
      </c>
      <c r="M9" s="829"/>
      <c r="N9" s="829"/>
      <c r="O9" s="829"/>
      <c r="P9" s="829"/>
      <c r="Q9" s="828"/>
      <c r="R9" s="92" t="e">
        <v>#REF!</v>
      </c>
      <c r="S9" s="371" t="e">
        <v>#REF!</v>
      </c>
      <c r="T9" s="371" t="e">
        <v>#REF!</v>
      </c>
      <c r="U9" s="818"/>
    </row>
    <row r="10" spans="1:21" ht="15" customHeight="1" thickBot="1" x14ac:dyDescent="0.4">
      <c r="A10" s="821" t="s">
        <v>342</v>
      </c>
      <c r="B10" s="823" t="s">
        <v>180</v>
      </c>
      <c r="C10" s="86" t="s">
        <v>41</v>
      </c>
      <c r="D10" s="86">
        <v>11700</v>
      </c>
      <c r="E10" s="86">
        <v>35.15</v>
      </c>
      <c r="F10" s="167">
        <v>311550</v>
      </c>
      <c r="G10" s="167">
        <v>40178</v>
      </c>
      <c r="H10" s="819" t="s">
        <v>61</v>
      </c>
      <c r="I10" s="87">
        <v>10.79</v>
      </c>
      <c r="J10" s="86">
        <v>11700</v>
      </c>
      <c r="K10" s="86">
        <v>35.15</v>
      </c>
      <c r="L10" s="167">
        <v>1891575</v>
      </c>
      <c r="M10" s="816">
        <v>11606.6</v>
      </c>
      <c r="N10" s="816">
        <v>11600</v>
      </c>
      <c r="O10" s="816">
        <v>11657.6</v>
      </c>
      <c r="P10" s="816">
        <v>11674.9</v>
      </c>
      <c r="Q10" s="827">
        <v>11644.35</v>
      </c>
      <c r="R10" s="88" t="e">
        <v>#REF!</v>
      </c>
      <c r="S10" s="367" t="e">
        <v>#REF!</v>
      </c>
      <c r="T10" s="367" t="e">
        <v>#REF!</v>
      </c>
      <c r="U10" s="818" t="e">
        <v>#REF!</v>
      </c>
    </row>
    <row r="11" spans="1:21" ht="15" customHeight="1" thickBot="1" x14ac:dyDescent="0.4">
      <c r="A11" s="822"/>
      <c r="B11" s="824"/>
      <c r="C11" s="90" t="s">
        <v>42</v>
      </c>
      <c r="D11" s="90">
        <v>11600</v>
      </c>
      <c r="E11" s="90">
        <v>51.8</v>
      </c>
      <c r="F11" s="168">
        <v>668925</v>
      </c>
      <c r="G11" s="168">
        <v>45075</v>
      </c>
      <c r="H11" s="825"/>
      <c r="I11" s="91">
        <v>11.04</v>
      </c>
      <c r="J11" s="90">
        <v>11600</v>
      </c>
      <c r="K11" s="90">
        <v>51.8</v>
      </c>
      <c r="L11" s="168">
        <v>1410300</v>
      </c>
      <c r="M11" s="829"/>
      <c r="N11" s="829"/>
      <c r="O11" s="829"/>
      <c r="P11" s="829"/>
      <c r="Q11" s="828"/>
      <c r="R11" s="92" t="e">
        <v>#REF!</v>
      </c>
      <c r="S11" s="371" t="e">
        <v>#REF!</v>
      </c>
      <c r="T11" s="371" t="e">
        <v>#REF!</v>
      </c>
      <c r="U11" s="818"/>
    </row>
    <row r="12" spans="1:21" ht="15" customHeight="1" thickBot="1" x14ac:dyDescent="0.4">
      <c r="A12" s="821" t="s">
        <v>324</v>
      </c>
      <c r="B12" s="823" t="s">
        <v>180</v>
      </c>
      <c r="C12" s="86" t="s">
        <v>41</v>
      </c>
      <c r="D12" s="86">
        <v>11700</v>
      </c>
      <c r="E12" s="86">
        <v>34.65</v>
      </c>
      <c r="F12" s="167">
        <v>329250</v>
      </c>
      <c r="G12" s="167">
        <v>44087</v>
      </c>
      <c r="H12" s="819" t="s">
        <v>61</v>
      </c>
      <c r="I12" s="87">
        <v>10.78</v>
      </c>
      <c r="J12" s="86">
        <v>11700</v>
      </c>
      <c r="K12" s="86">
        <v>34.65</v>
      </c>
      <c r="L12" s="167">
        <v>1909275</v>
      </c>
      <c r="M12" s="816">
        <v>11603.15</v>
      </c>
      <c r="N12" s="816">
        <v>11600</v>
      </c>
      <c r="O12" s="816">
        <v>11658</v>
      </c>
      <c r="P12" s="816">
        <v>11674.9</v>
      </c>
      <c r="Q12" s="827">
        <v>11644.35</v>
      </c>
      <c r="R12" s="88" t="e">
        <v>#REF!</v>
      </c>
      <c r="S12" s="367" t="e">
        <v>#REF!</v>
      </c>
      <c r="T12" s="367" t="e">
        <v>#REF!</v>
      </c>
      <c r="U12" s="818" t="e">
        <v>#REF!</v>
      </c>
    </row>
    <row r="13" spans="1:21" ht="15" customHeight="1" thickBot="1" x14ac:dyDescent="0.4">
      <c r="A13" s="822"/>
      <c r="B13" s="824"/>
      <c r="C13" s="90" t="s">
        <v>42</v>
      </c>
      <c r="D13" s="90">
        <v>11600</v>
      </c>
      <c r="E13" s="90">
        <v>52.3</v>
      </c>
      <c r="F13" s="168">
        <v>673875</v>
      </c>
      <c r="G13" s="168">
        <v>49276</v>
      </c>
      <c r="H13" s="825"/>
      <c r="I13" s="91">
        <v>10.99</v>
      </c>
      <c r="J13" s="90">
        <v>11600</v>
      </c>
      <c r="K13" s="90">
        <v>52.3</v>
      </c>
      <c r="L13" s="168">
        <v>1415250</v>
      </c>
      <c r="M13" s="829"/>
      <c r="N13" s="829"/>
      <c r="O13" s="829"/>
      <c r="P13" s="829"/>
      <c r="Q13" s="828"/>
      <c r="R13" s="92" t="e">
        <v>#REF!</v>
      </c>
      <c r="S13" s="371" t="e">
        <v>#REF!</v>
      </c>
      <c r="T13" s="371" t="e">
        <v>#REF!</v>
      </c>
      <c r="U13" s="818"/>
    </row>
    <row r="14" spans="1:21" ht="15" customHeight="1" thickBot="1" x14ac:dyDescent="0.4">
      <c r="A14" s="821" t="s">
        <v>343</v>
      </c>
      <c r="B14" s="823" t="s">
        <v>180</v>
      </c>
      <c r="C14" s="86" t="s">
        <v>41</v>
      </c>
      <c r="D14" s="86">
        <v>11600</v>
      </c>
      <c r="E14" s="86">
        <v>80.5</v>
      </c>
      <c r="F14" s="167">
        <v>353175</v>
      </c>
      <c r="G14" s="167">
        <v>33264</v>
      </c>
      <c r="H14" s="819" t="s">
        <v>61</v>
      </c>
      <c r="I14" s="87">
        <v>11.32</v>
      </c>
      <c r="J14" s="86">
        <v>11700</v>
      </c>
      <c r="K14" s="86">
        <v>35.25</v>
      </c>
      <c r="L14" s="167">
        <v>1931025</v>
      </c>
      <c r="M14" s="816">
        <v>11604.85</v>
      </c>
      <c r="N14" s="816">
        <v>11600</v>
      </c>
      <c r="O14" s="816">
        <v>11659.4</v>
      </c>
      <c r="P14" s="816">
        <v>11674.9</v>
      </c>
      <c r="Q14" s="827">
        <v>11644.35</v>
      </c>
      <c r="R14" s="88" t="e">
        <v>#REF!</v>
      </c>
      <c r="S14" s="367" t="e">
        <v>#REF!</v>
      </c>
      <c r="T14" s="367" t="e">
        <v>#REF!</v>
      </c>
      <c r="U14" s="818" t="e">
        <v>#REF!</v>
      </c>
    </row>
    <row r="15" spans="1:21" ht="15" customHeight="1" thickBot="1" x14ac:dyDescent="0.4">
      <c r="A15" s="822"/>
      <c r="B15" s="824"/>
      <c r="C15" s="90" t="s">
        <v>42</v>
      </c>
      <c r="D15" s="90">
        <v>11600</v>
      </c>
      <c r="E15" s="90">
        <v>51.9</v>
      </c>
      <c r="F15" s="168">
        <v>690750</v>
      </c>
      <c r="G15" s="168">
        <v>52424</v>
      </c>
      <c r="H15" s="825"/>
      <c r="I15" s="91">
        <v>10.79</v>
      </c>
      <c r="J15" s="90">
        <v>11600</v>
      </c>
      <c r="K15" s="90">
        <v>51.9</v>
      </c>
      <c r="L15" s="168">
        <v>1432125</v>
      </c>
      <c r="M15" s="829"/>
      <c r="N15" s="829"/>
      <c r="O15" s="829"/>
      <c r="P15" s="829"/>
      <c r="Q15" s="828"/>
      <c r="R15" s="92" t="e">
        <v>#REF!</v>
      </c>
      <c r="S15" s="371" t="e">
        <v>#REF!</v>
      </c>
      <c r="T15" s="371" t="e">
        <v>#REF!</v>
      </c>
      <c r="U15" s="818"/>
    </row>
    <row r="16" spans="1:21" ht="15" customHeight="1" thickBot="1" x14ac:dyDescent="0.4">
      <c r="A16" s="821" t="s">
        <v>344</v>
      </c>
      <c r="B16" s="823" t="s">
        <v>180</v>
      </c>
      <c r="C16" s="86" t="s">
        <v>41</v>
      </c>
      <c r="D16" s="86">
        <v>11600</v>
      </c>
      <c r="E16" s="86">
        <v>79.099999999999994</v>
      </c>
      <c r="F16" s="167">
        <v>387450</v>
      </c>
      <c r="G16" s="167">
        <v>38409</v>
      </c>
      <c r="H16" s="819" t="s">
        <v>61</v>
      </c>
      <c r="I16" s="87">
        <v>11.21</v>
      </c>
      <c r="J16" s="86">
        <v>11700</v>
      </c>
      <c r="K16" s="86">
        <v>34.450000000000003</v>
      </c>
      <c r="L16" s="167">
        <v>1959825</v>
      </c>
      <c r="M16" s="816">
        <v>11602.95</v>
      </c>
      <c r="N16" s="816">
        <v>11600</v>
      </c>
      <c r="O16" s="816">
        <v>11653.3</v>
      </c>
      <c r="P16" s="816">
        <v>11674.9</v>
      </c>
      <c r="Q16" s="827">
        <v>11644.35</v>
      </c>
      <c r="R16" s="88" t="e">
        <v>#REF!</v>
      </c>
      <c r="S16" s="367" t="e">
        <v>#REF!</v>
      </c>
      <c r="T16" s="367" t="e">
        <v>#REF!</v>
      </c>
      <c r="U16" s="818" t="e">
        <v>#REF!</v>
      </c>
    </row>
    <row r="17" spans="1:21" ht="15" customHeight="1" thickBot="1" x14ac:dyDescent="0.4">
      <c r="A17" s="822"/>
      <c r="B17" s="824"/>
      <c r="C17" s="90" t="s">
        <v>42</v>
      </c>
      <c r="D17" s="90">
        <v>11600</v>
      </c>
      <c r="E17" s="90">
        <v>52.7</v>
      </c>
      <c r="F17" s="168">
        <v>699900</v>
      </c>
      <c r="G17" s="168">
        <v>58584</v>
      </c>
      <c r="H17" s="825"/>
      <c r="I17" s="91">
        <v>10.79</v>
      </c>
      <c r="J17" s="90">
        <v>11600</v>
      </c>
      <c r="K17" s="90">
        <v>52.7</v>
      </c>
      <c r="L17" s="168">
        <v>1441275</v>
      </c>
      <c r="M17" s="829"/>
      <c r="N17" s="829"/>
      <c r="O17" s="829"/>
      <c r="P17" s="829"/>
      <c r="Q17" s="828"/>
      <c r="R17" s="92" t="e">
        <v>#REF!</v>
      </c>
      <c r="S17" s="371" t="e">
        <v>#REF!</v>
      </c>
      <c r="T17" s="371" t="e">
        <v>#REF!</v>
      </c>
      <c r="U17" s="818"/>
    </row>
    <row r="18" spans="1:21" ht="15" customHeight="1" thickBot="1" x14ac:dyDescent="0.4">
      <c r="A18" s="821" t="s">
        <v>211</v>
      </c>
      <c r="B18" s="823" t="s">
        <v>211</v>
      </c>
      <c r="C18" s="86" t="s">
        <v>211</v>
      </c>
      <c r="D18" s="86" t="s">
        <v>211</v>
      </c>
      <c r="E18" s="86" t="s">
        <v>211</v>
      </c>
      <c r="F18" s="167" t="s">
        <v>211</v>
      </c>
      <c r="G18" s="167" t="s">
        <v>211</v>
      </c>
      <c r="H18" s="819" t="s">
        <v>211</v>
      </c>
      <c r="I18" s="87" t="s">
        <v>211</v>
      </c>
      <c r="J18" s="86" t="s">
        <v>211</v>
      </c>
      <c r="K18" s="86" t="s">
        <v>211</v>
      </c>
      <c r="L18" s="167" t="s">
        <v>211</v>
      </c>
      <c r="M18" s="816" t="s">
        <v>211</v>
      </c>
      <c r="N18" s="816" t="s">
        <v>211</v>
      </c>
      <c r="O18" s="816" t="s">
        <v>211</v>
      </c>
      <c r="P18" s="816" t="s">
        <v>211</v>
      </c>
      <c r="Q18" s="827" t="s">
        <v>211</v>
      </c>
      <c r="R18" s="88" t="s">
        <v>211</v>
      </c>
      <c r="S18" s="367" t="s">
        <v>211</v>
      </c>
      <c r="T18" s="367" t="s">
        <v>211</v>
      </c>
      <c r="U18" s="818" t="s">
        <v>211</v>
      </c>
    </row>
    <row r="19" spans="1:21" ht="15" customHeight="1" thickBot="1" x14ac:dyDescent="0.4">
      <c r="A19" s="822"/>
      <c r="B19" s="824"/>
      <c r="C19" s="90" t="s">
        <v>211</v>
      </c>
      <c r="D19" s="90" t="s">
        <v>211</v>
      </c>
      <c r="E19" s="90" t="s">
        <v>211</v>
      </c>
      <c r="F19" s="168" t="s">
        <v>211</v>
      </c>
      <c r="G19" s="168" t="s">
        <v>211</v>
      </c>
      <c r="H19" s="825"/>
      <c r="I19" s="91" t="s">
        <v>211</v>
      </c>
      <c r="J19" s="90" t="s">
        <v>211</v>
      </c>
      <c r="K19" s="90" t="s">
        <v>211</v>
      </c>
      <c r="L19" s="168" t="s">
        <v>211</v>
      </c>
      <c r="M19" s="829"/>
      <c r="N19" s="829"/>
      <c r="O19" s="829"/>
      <c r="P19" s="829"/>
      <c r="Q19" s="828"/>
      <c r="R19" s="92" t="s">
        <v>211</v>
      </c>
      <c r="S19" s="371" t="s">
        <v>211</v>
      </c>
      <c r="T19" s="371" t="s">
        <v>211</v>
      </c>
      <c r="U19" s="818"/>
    </row>
    <row r="20" spans="1:21" ht="15" customHeight="1" thickBot="1" x14ac:dyDescent="0.4">
      <c r="A20" s="821" t="s">
        <v>211</v>
      </c>
      <c r="B20" s="823" t="s">
        <v>211</v>
      </c>
      <c r="C20" s="86" t="s">
        <v>211</v>
      </c>
      <c r="D20" s="86" t="s">
        <v>211</v>
      </c>
      <c r="E20" s="86" t="s">
        <v>211</v>
      </c>
      <c r="F20" s="167" t="s">
        <v>211</v>
      </c>
      <c r="G20" s="167" t="s">
        <v>211</v>
      </c>
      <c r="H20" s="819" t="s">
        <v>211</v>
      </c>
      <c r="I20" s="87" t="s">
        <v>211</v>
      </c>
      <c r="J20" s="86" t="s">
        <v>211</v>
      </c>
      <c r="K20" s="86" t="s">
        <v>211</v>
      </c>
      <c r="L20" s="167" t="s">
        <v>211</v>
      </c>
      <c r="M20" s="816" t="s">
        <v>211</v>
      </c>
      <c r="N20" s="816" t="s">
        <v>211</v>
      </c>
      <c r="O20" s="816" t="s">
        <v>211</v>
      </c>
      <c r="P20" s="816" t="s">
        <v>211</v>
      </c>
      <c r="Q20" s="827" t="s">
        <v>211</v>
      </c>
      <c r="R20" s="88" t="s">
        <v>211</v>
      </c>
      <c r="S20" s="367" t="s">
        <v>211</v>
      </c>
      <c r="T20" s="367" t="s">
        <v>211</v>
      </c>
      <c r="U20" s="818" t="s">
        <v>211</v>
      </c>
    </row>
    <row r="21" spans="1:21" ht="15" customHeight="1" thickBot="1" x14ac:dyDescent="0.4">
      <c r="A21" s="822"/>
      <c r="B21" s="824"/>
      <c r="C21" s="90" t="s">
        <v>211</v>
      </c>
      <c r="D21" s="90" t="s">
        <v>211</v>
      </c>
      <c r="E21" s="90" t="s">
        <v>211</v>
      </c>
      <c r="F21" s="168" t="s">
        <v>211</v>
      </c>
      <c r="G21" s="168" t="s">
        <v>211</v>
      </c>
      <c r="H21" s="825"/>
      <c r="I21" s="91" t="s">
        <v>211</v>
      </c>
      <c r="J21" s="90" t="s">
        <v>211</v>
      </c>
      <c r="K21" s="90" t="s">
        <v>211</v>
      </c>
      <c r="L21" s="168" t="s">
        <v>211</v>
      </c>
      <c r="M21" s="829"/>
      <c r="N21" s="829"/>
      <c r="O21" s="829"/>
      <c r="P21" s="829"/>
      <c r="Q21" s="828"/>
      <c r="R21" s="92" t="s">
        <v>211</v>
      </c>
      <c r="S21" s="371" t="s">
        <v>211</v>
      </c>
      <c r="T21" s="371" t="s">
        <v>211</v>
      </c>
      <c r="U21" s="818"/>
    </row>
    <row r="22" spans="1:21" ht="15" customHeight="1" thickBot="1" x14ac:dyDescent="0.4">
      <c r="A22" s="821" t="s">
        <v>211</v>
      </c>
      <c r="B22" s="823" t="s">
        <v>211</v>
      </c>
      <c r="C22" s="86" t="s">
        <v>211</v>
      </c>
      <c r="D22" s="86" t="s">
        <v>211</v>
      </c>
      <c r="E22" s="86" t="s">
        <v>211</v>
      </c>
      <c r="F22" s="167" t="s">
        <v>211</v>
      </c>
      <c r="G22" s="167" t="s">
        <v>211</v>
      </c>
      <c r="H22" s="819" t="s">
        <v>211</v>
      </c>
      <c r="I22" s="87" t="s">
        <v>211</v>
      </c>
      <c r="J22" s="86" t="s">
        <v>211</v>
      </c>
      <c r="K22" s="86" t="s">
        <v>211</v>
      </c>
      <c r="L22" s="167" t="s">
        <v>211</v>
      </c>
      <c r="M22" s="816" t="s">
        <v>211</v>
      </c>
      <c r="N22" s="816" t="s">
        <v>211</v>
      </c>
      <c r="O22" s="816" t="s">
        <v>211</v>
      </c>
      <c r="P22" s="816" t="s">
        <v>211</v>
      </c>
      <c r="Q22" s="827" t="s">
        <v>211</v>
      </c>
      <c r="R22" s="88" t="s">
        <v>211</v>
      </c>
      <c r="S22" s="367" t="s">
        <v>211</v>
      </c>
      <c r="T22" s="367" t="s">
        <v>211</v>
      </c>
      <c r="U22" s="818" t="s">
        <v>211</v>
      </c>
    </row>
    <row r="23" spans="1:21" ht="15" customHeight="1" thickBot="1" x14ac:dyDescent="0.4">
      <c r="A23" s="822"/>
      <c r="B23" s="824"/>
      <c r="C23" s="90" t="s">
        <v>211</v>
      </c>
      <c r="D23" s="90" t="s">
        <v>211</v>
      </c>
      <c r="E23" s="90" t="s">
        <v>211</v>
      </c>
      <c r="F23" s="168" t="s">
        <v>211</v>
      </c>
      <c r="G23" s="168" t="s">
        <v>211</v>
      </c>
      <c r="H23" s="830"/>
      <c r="I23" s="91" t="s">
        <v>211</v>
      </c>
      <c r="J23" s="90" t="s">
        <v>211</v>
      </c>
      <c r="K23" s="90" t="s">
        <v>211</v>
      </c>
      <c r="L23" s="168" t="s">
        <v>211</v>
      </c>
      <c r="M23" s="829"/>
      <c r="N23" s="829"/>
      <c r="O23" s="829"/>
      <c r="P23" s="829"/>
      <c r="Q23" s="828"/>
      <c r="R23" s="92" t="s">
        <v>211</v>
      </c>
      <c r="S23" s="371" t="s">
        <v>211</v>
      </c>
      <c r="T23" s="371" t="s">
        <v>211</v>
      </c>
      <c r="U23" s="818"/>
    </row>
    <row r="24" spans="1:21" ht="15" customHeight="1" thickBot="1" x14ac:dyDescent="0.4">
      <c r="A24" s="821" t="s">
        <v>211</v>
      </c>
      <c r="B24" s="823" t="s">
        <v>211</v>
      </c>
      <c r="C24" s="86" t="s">
        <v>211</v>
      </c>
      <c r="D24" s="86" t="s">
        <v>211</v>
      </c>
      <c r="E24" s="86" t="s">
        <v>211</v>
      </c>
      <c r="F24" s="167" t="s">
        <v>211</v>
      </c>
      <c r="G24" s="167" t="s">
        <v>211</v>
      </c>
      <c r="H24" s="819" t="s">
        <v>211</v>
      </c>
      <c r="I24" s="87" t="s">
        <v>211</v>
      </c>
      <c r="J24" s="86" t="s">
        <v>211</v>
      </c>
      <c r="K24" s="86" t="s">
        <v>211</v>
      </c>
      <c r="L24" s="167" t="s">
        <v>211</v>
      </c>
      <c r="M24" s="816" t="s">
        <v>211</v>
      </c>
      <c r="N24" s="816" t="s">
        <v>211</v>
      </c>
      <c r="O24" s="816" t="s">
        <v>211</v>
      </c>
      <c r="P24" s="816" t="s">
        <v>211</v>
      </c>
      <c r="Q24" s="827" t="s">
        <v>211</v>
      </c>
      <c r="R24" s="88" t="s">
        <v>211</v>
      </c>
      <c r="S24" s="367" t="s">
        <v>211</v>
      </c>
      <c r="T24" s="367" t="s">
        <v>211</v>
      </c>
      <c r="U24" s="818" t="s">
        <v>211</v>
      </c>
    </row>
    <row r="25" spans="1:21" ht="15" customHeight="1" thickBot="1" x14ac:dyDescent="0.4">
      <c r="A25" s="822"/>
      <c r="B25" s="824"/>
      <c r="C25" s="90" t="s">
        <v>211</v>
      </c>
      <c r="D25" s="90" t="s">
        <v>211</v>
      </c>
      <c r="E25" s="90" t="s">
        <v>211</v>
      </c>
      <c r="F25" s="168" t="s">
        <v>211</v>
      </c>
      <c r="G25" s="168" t="s">
        <v>211</v>
      </c>
      <c r="H25" s="830"/>
      <c r="I25" s="91" t="s">
        <v>211</v>
      </c>
      <c r="J25" s="90" t="s">
        <v>211</v>
      </c>
      <c r="K25" s="90" t="s">
        <v>211</v>
      </c>
      <c r="L25" s="168" t="s">
        <v>211</v>
      </c>
      <c r="M25" s="829"/>
      <c r="N25" s="829"/>
      <c r="O25" s="829"/>
      <c r="P25" s="829"/>
      <c r="Q25" s="828"/>
      <c r="R25" s="92" t="s">
        <v>211</v>
      </c>
      <c r="S25" s="371" t="s">
        <v>211</v>
      </c>
      <c r="T25" s="371" t="s">
        <v>211</v>
      </c>
      <c r="U25" s="818"/>
    </row>
    <row r="26" spans="1:21" ht="15" customHeight="1" thickBot="1" x14ac:dyDescent="0.4">
      <c r="A26" s="821" t="s">
        <v>345</v>
      </c>
      <c r="B26" s="823" t="s">
        <v>180</v>
      </c>
      <c r="C26" s="86" t="s">
        <v>41</v>
      </c>
      <c r="D26" s="86">
        <v>11600</v>
      </c>
      <c r="E26" s="86">
        <v>70</v>
      </c>
      <c r="F26" s="167">
        <v>534300</v>
      </c>
      <c r="G26" s="167">
        <v>56358</v>
      </c>
      <c r="H26" s="819" t="s">
        <v>61</v>
      </c>
      <c r="I26" s="87">
        <v>11.32</v>
      </c>
      <c r="J26" s="86">
        <v>11700</v>
      </c>
      <c r="K26" s="86">
        <v>29</v>
      </c>
      <c r="L26" s="167">
        <v>2113725</v>
      </c>
      <c r="M26" s="816">
        <v>11590.35</v>
      </c>
      <c r="N26" s="816">
        <v>11600</v>
      </c>
      <c r="O26" s="816">
        <v>11640.9</v>
      </c>
      <c r="P26" s="816">
        <v>11674.9</v>
      </c>
      <c r="Q26" s="827">
        <v>11626.05</v>
      </c>
      <c r="R26" s="88" t="e">
        <v>#REF!</v>
      </c>
      <c r="S26" s="367" t="e">
        <v>#REF!</v>
      </c>
      <c r="T26" s="367" t="e">
        <v>#REF!</v>
      </c>
      <c r="U26" s="818" t="e">
        <v>#REF!</v>
      </c>
    </row>
    <row r="27" spans="1:21" ht="15" customHeight="1" thickBot="1" x14ac:dyDescent="0.4">
      <c r="A27" s="822"/>
      <c r="B27" s="824"/>
      <c r="C27" s="90" t="s">
        <v>42</v>
      </c>
      <c r="D27" s="90">
        <v>11600</v>
      </c>
      <c r="E27" s="90">
        <v>58.05</v>
      </c>
      <c r="F27" s="168">
        <v>699975</v>
      </c>
      <c r="G27" s="168">
        <v>84987</v>
      </c>
      <c r="H27" s="830"/>
      <c r="I27" s="91">
        <v>10.61</v>
      </c>
      <c r="J27" s="90">
        <v>11600</v>
      </c>
      <c r="K27" s="90">
        <v>58.05</v>
      </c>
      <c r="L27" s="168">
        <v>1441350</v>
      </c>
      <c r="M27" s="829"/>
      <c r="N27" s="829"/>
      <c r="O27" s="829"/>
      <c r="P27" s="829"/>
      <c r="Q27" s="828"/>
      <c r="R27" s="92" t="e">
        <v>#REF!</v>
      </c>
      <c r="S27" s="371" t="e">
        <v>#REF!</v>
      </c>
      <c r="T27" s="371" t="e">
        <v>#REF!</v>
      </c>
      <c r="U27" s="818"/>
    </row>
    <row r="28" spans="1:21" ht="15" customHeight="1" thickBot="1" x14ac:dyDescent="0.4">
      <c r="A28" s="821" t="s">
        <v>345</v>
      </c>
      <c r="B28" s="823" t="s">
        <v>180</v>
      </c>
      <c r="C28" s="86" t="s">
        <v>41</v>
      </c>
      <c r="D28" s="86">
        <v>11600</v>
      </c>
      <c r="E28" s="86">
        <v>70</v>
      </c>
      <c r="F28" s="167">
        <v>534300</v>
      </c>
      <c r="G28" s="167">
        <v>56358</v>
      </c>
      <c r="H28" s="819" t="s">
        <v>61</v>
      </c>
      <c r="I28" s="87">
        <v>11.32</v>
      </c>
      <c r="J28" s="86">
        <v>11700</v>
      </c>
      <c r="K28" s="86">
        <v>29</v>
      </c>
      <c r="L28" s="167">
        <v>2113725</v>
      </c>
      <c r="M28" s="816">
        <v>11590.35</v>
      </c>
      <c r="N28" s="816">
        <v>11600</v>
      </c>
      <c r="O28" s="816">
        <v>11640.9</v>
      </c>
      <c r="P28" s="816">
        <v>11674.9</v>
      </c>
      <c r="Q28" s="827">
        <v>11626.05</v>
      </c>
      <c r="R28" s="88" t="e">
        <v>#REF!</v>
      </c>
      <c r="S28" s="367" t="e">
        <v>#REF!</v>
      </c>
      <c r="T28" s="367" t="e">
        <v>#REF!</v>
      </c>
      <c r="U28" s="826" t="e">
        <v>#REF!</v>
      </c>
    </row>
    <row r="29" spans="1:21" ht="15" customHeight="1" thickBot="1" x14ac:dyDescent="0.4">
      <c r="A29" s="822"/>
      <c r="B29" s="824"/>
      <c r="C29" s="90" t="s">
        <v>42</v>
      </c>
      <c r="D29" s="90">
        <v>11600</v>
      </c>
      <c r="E29" s="90">
        <v>58.05</v>
      </c>
      <c r="F29" s="168">
        <v>699975</v>
      </c>
      <c r="G29" s="168">
        <v>84987</v>
      </c>
      <c r="H29" s="830"/>
      <c r="I29" s="91">
        <v>10.61</v>
      </c>
      <c r="J29" s="90">
        <v>11600</v>
      </c>
      <c r="K29" s="90">
        <v>58.05</v>
      </c>
      <c r="L29" s="168">
        <v>1441350</v>
      </c>
      <c r="M29" s="829"/>
      <c r="N29" s="829"/>
      <c r="O29" s="829"/>
      <c r="P29" s="829"/>
      <c r="Q29" s="828"/>
      <c r="R29" s="92" t="e">
        <v>#REF!</v>
      </c>
      <c r="S29" s="371" t="e">
        <v>#REF!</v>
      </c>
      <c r="T29" s="371" t="e">
        <v>#REF!</v>
      </c>
      <c r="U29" s="826"/>
    </row>
    <row r="30" spans="1:21" ht="15" customHeight="1" thickBot="1" x14ac:dyDescent="0.4">
      <c r="A30" s="821" t="s">
        <v>211</v>
      </c>
      <c r="B30" s="823" t="s">
        <v>211</v>
      </c>
      <c r="C30" s="86" t="s">
        <v>211</v>
      </c>
      <c r="D30" s="86" t="s">
        <v>211</v>
      </c>
      <c r="E30" s="86" t="s">
        <v>211</v>
      </c>
      <c r="F30" s="167" t="s">
        <v>211</v>
      </c>
      <c r="G30" s="167" t="s">
        <v>211</v>
      </c>
      <c r="H30" s="819" t="s">
        <v>211</v>
      </c>
      <c r="I30" s="87" t="s">
        <v>211</v>
      </c>
      <c r="J30" s="86" t="s">
        <v>211</v>
      </c>
      <c r="K30" s="86" t="s">
        <v>211</v>
      </c>
      <c r="L30" s="167" t="s">
        <v>211</v>
      </c>
      <c r="M30" s="816" t="s">
        <v>211</v>
      </c>
      <c r="N30" s="816" t="s">
        <v>211</v>
      </c>
      <c r="O30" s="816" t="s">
        <v>211</v>
      </c>
      <c r="P30" s="816" t="s">
        <v>211</v>
      </c>
      <c r="Q30" s="827" t="s">
        <v>211</v>
      </c>
      <c r="R30" s="88" t="s">
        <v>211</v>
      </c>
      <c r="S30" s="367" t="s">
        <v>211</v>
      </c>
      <c r="T30" s="367" t="s">
        <v>211</v>
      </c>
      <c r="U30" s="826" t="s">
        <v>211</v>
      </c>
    </row>
    <row r="31" spans="1:21" ht="15" customHeight="1" thickBot="1" x14ac:dyDescent="0.4">
      <c r="A31" s="822"/>
      <c r="B31" s="824"/>
      <c r="C31" s="90" t="s">
        <v>211</v>
      </c>
      <c r="D31" s="90" t="s">
        <v>211</v>
      </c>
      <c r="E31" s="90" t="s">
        <v>211</v>
      </c>
      <c r="F31" s="168" t="s">
        <v>211</v>
      </c>
      <c r="G31" s="168" t="s">
        <v>211</v>
      </c>
      <c r="H31" s="830"/>
      <c r="I31" s="91" t="s">
        <v>211</v>
      </c>
      <c r="J31" s="90" t="s">
        <v>211</v>
      </c>
      <c r="K31" s="90" t="s">
        <v>211</v>
      </c>
      <c r="L31" s="168" t="s">
        <v>211</v>
      </c>
      <c r="M31" s="829"/>
      <c r="N31" s="829"/>
      <c r="O31" s="829"/>
      <c r="P31" s="829"/>
      <c r="Q31" s="828"/>
      <c r="R31" s="92" t="s">
        <v>211</v>
      </c>
      <c r="S31" s="371" t="s">
        <v>211</v>
      </c>
      <c r="T31" s="371" t="s">
        <v>211</v>
      </c>
      <c r="U31" s="826"/>
    </row>
    <row r="32" spans="1:21" ht="15" customHeight="1" thickBot="1" x14ac:dyDescent="0.4">
      <c r="A32" s="821" t="s">
        <v>211</v>
      </c>
      <c r="B32" s="823" t="s">
        <v>211</v>
      </c>
      <c r="C32" s="86" t="s">
        <v>211</v>
      </c>
      <c r="D32" s="86" t="s">
        <v>211</v>
      </c>
      <c r="E32" s="86" t="s">
        <v>211</v>
      </c>
      <c r="F32" s="167" t="s">
        <v>211</v>
      </c>
      <c r="G32" s="167" t="s">
        <v>211</v>
      </c>
      <c r="H32" s="819" t="s">
        <v>211</v>
      </c>
      <c r="I32" s="87" t="s">
        <v>211</v>
      </c>
      <c r="J32" s="86" t="s">
        <v>211</v>
      </c>
      <c r="K32" s="86" t="s">
        <v>211</v>
      </c>
      <c r="L32" s="167" t="s">
        <v>211</v>
      </c>
      <c r="M32" s="816" t="s">
        <v>211</v>
      </c>
      <c r="N32" s="816" t="s">
        <v>211</v>
      </c>
      <c r="O32" s="816" t="s">
        <v>211</v>
      </c>
      <c r="P32" s="816" t="s">
        <v>211</v>
      </c>
      <c r="Q32" s="827" t="s">
        <v>211</v>
      </c>
      <c r="R32" s="88" t="s">
        <v>211</v>
      </c>
      <c r="S32" s="367" t="s">
        <v>211</v>
      </c>
      <c r="T32" s="367" t="s">
        <v>211</v>
      </c>
      <c r="U32" s="826" t="s">
        <v>211</v>
      </c>
    </row>
    <row r="33" spans="1:21" ht="15" customHeight="1" thickBot="1" x14ac:dyDescent="0.4">
      <c r="A33" s="822"/>
      <c r="B33" s="824"/>
      <c r="C33" s="90" t="s">
        <v>211</v>
      </c>
      <c r="D33" s="90" t="s">
        <v>211</v>
      </c>
      <c r="E33" s="90" t="s">
        <v>211</v>
      </c>
      <c r="F33" s="168" t="s">
        <v>211</v>
      </c>
      <c r="G33" s="168" t="s">
        <v>211</v>
      </c>
      <c r="H33" s="830"/>
      <c r="I33" s="91" t="s">
        <v>211</v>
      </c>
      <c r="J33" s="90" t="s">
        <v>211</v>
      </c>
      <c r="K33" s="90" t="s">
        <v>211</v>
      </c>
      <c r="L33" s="168" t="s">
        <v>211</v>
      </c>
      <c r="M33" s="829"/>
      <c r="N33" s="829"/>
      <c r="O33" s="829"/>
      <c r="P33" s="829"/>
      <c r="Q33" s="828"/>
      <c r="R33" s="92" t="s">
        <v>211</v>
      </c>
      <c r="S33" s="371" t="s">
        <v>211</v>
      </c>
      <c r="T33" s="371" t="s">
        <v>211</v>
      </c>
      <c r="U33" s="826"/>
    </row>
    <row r="34" spans="1:21" ht="15" customHeight="1" thickBot="1" x14ac:dyDescent="0.4">
      <c r="A34" s="821" t="s">
        <v>345</v>
      </c>
      <c r="B34" s="823" t="s">
        <v>180</v>
      </c>
      <c r="C34" s="86" t="s">
        <v>41</v>
      </c>
      <c r="D34" s="86">
        <v>11600</v>
      </c>
      <c r="E34" s="86">
        <v>70</v>
      </c>
      <c r="F34" s="167">
        <v>534300</v>
      </c>
      <c r="G34" s="167">
        <v>56358</v>
      </c>
      <c r="H34" s="819" t="s">
        <v>61</v>
      </c>
      <c r="I34" s="87">
        <v>11.32</v>
      </c>
      <c r="J34" s="86">
        <v>11700</v>
      </c>
      <c r="K34" s="86">
        <v>29</v>
      </c>
      <c r="L34" s="167">
        <v>2113725</v>
      </c>
      <c r="M34" s="816">
        <v>11590.35</v>
      </c>
      <c r="N34" s="816">
        <v>11600</v>
      </c>
      <c r="O34" s="816">
        <v>11640.9</v>
      </c>
      <c r="P34" s="816">
        <v>11674.9</v>
      </c>
      <c r="Q34" s="827">
        <v>11626.05</v>
      </c>
      <c r="R34" s="88" t="e">
        <v>#REF!</v>
      </c>
      <c r="S34" s="367" t="e">
        <v>#REF!</v>
      </c>
      <c r="T34" s="367" t="e">
        <v>#REF!</v>
      </c>
      <c r="U34" s="826" t="e">
        <v>#REF!</v>
      </c>
    </row>
    <row r="35" spans="1:21" ht="15" customHeight="1" thickBot="1" x14ac:dyDescent="0.4">
      <c r="A35" s="822"/>
      <c r="B35" s="824"/>
      <c r="C35" s="90" t="s">
        <v>42</v>
      </c>
      <c r="D35" s="90">
        <v>11600</v>
      </c>
      <c r="E35" s="90">
        <v>58.05</v>
      </c>
      <c r="F35" s="168">
        <v>699975</v>
      </c>
      <c r="G35" s="168">
        <v>84987</v>
      </c>
      <c r="H35" s="830"/>
      <c r="I35" s="91">
        <v>10.61</v>
      </c>
      <c r="J35" s="90">
        <v>11600</v>
      </c>
      <c r="K35" s="90">
        <v>58.05</v>
      </c>
      <c r="L35" s="168">
        <v>1441350</v>
      </c>
      <c r="M35" s="829"/>
      <c r="N35" s="829"/>
      <c r="O35" s="829"/>
      <c r="P35" s="829"/>
      <c r="Q35" s="828"/>
      <c r="R35" s="92" t="e">
        <v>#REF!</v>
      </c>
      <c r="S35" s="371" t="e">
        <v>#REF!</v>
      </c>
      <c r="T35" s="371" t="e">
        <v>#REF!</v>
      </c>
      <c r="U35" s="826"/>
    </row>
    <row r="36" spans="1:21" ht="15" customHeight="1" thickBot="1" x14ac:dyDescent="0.4">
      <c r="A36" s="821" t="s">
        <v>345</v>
      </c>
      <c r="B36" s="823" t="s">
        <v>180</v>
      </c>
      <c r="C36" s="86" t="s">
        <v>41</v>
      </c>
      <c r="D36" s="86">
        <v>11600</v>
      </c>
      <c r="E36" s="86">
        <v>70</v>
      </c>
      <c r="F36" s="167">
        <v>534300</v>
      </c>
      <c r="G36" s="167">
        <v>56358</v>
      </c>
      <c r="H36" s="819" t="s">
        <v>61</v>
      </c>
      <c r="I36" s="87">
        <v>11.32</v>
      </c>
      <c r="J36" s="86">
        <v>11700</v>
      </c>
      <c r="K36" s="86">
        <v>29</v>
      </c>
      <c r="L36" s="167">
        <v>2113725</v>
      </c>
      <c r="M36" s="816">
        <v>11590.35</v>
      </c>
      <c r="N36" s="816">
        <v>11600</v>
      </c>
      <c r="O36" s="816">
        <v>11640.9</v>
      </c>
      <c r="P36" s="816">
        <v>11674.9</v>
      </c>
      <c r="Q36" s="827">
        <v>11626.05</v>
      </c>
      <c r="R36" s="88" t="e">
        <v>#REF!</v>
      </c>
      <c r="S36" s="367" t="e">
        <v>#REF!</v>
      </c>
      <c r="T36" s="367" t="e">
        <v>#REF!</v>
      </c>
      <c r="U36" s="826" t="e">
        <v>#REF!</v>
      </c>
    </row>
    <row r="37" spans="1:21" ht="15" customHeight="1" thickBot="1" x14ac:dyDescent="0.4">
      <c r="A37" s="822"/>
      <c r="B37" s="824"/>
      <c r="C37" s="90" t="s">
        <v>42</v>
      </c>
      <c r="D37" s="90">
        <v>11600</v>
      </c>
      <c r="E37" s="90">
        <v>58.05</v>
      </c>
      <c r="F37" s="168">
        <v>699975</v>
      </c>
      <c r="G37" s="168">
        <v>84987</v>
      </c>
      <c r="H37" s="830"/>
      <c r="I37" s="91">
        <v>10.61</v>
      </c>
      <c r="J37" s="90">
        <v>11600</v>
      </c>
      <c r="K37" s="90">
        <v>58.05</v>
      </c>
      <c r="L37" s="168">
        <v>1441350</v>
      </c>
      <c r="M37" s="829"/>
      <c r="N37" s="829"/>
      <c r="O37" s="829"/>
      <c r="P37" s="829"/>
      <c r="Q37" s="828"/>
      <c r="R37" s="92" t="e">
        <v>#REF!</v>
      </c>
      <c r="S37" s="371" t="e">
        <v>#REF!</v>
      </c>
      <c r="T37" s="371" t="e">
        <v>#REF!</v>
      </c>
      <c r="U37" s="826"/>
    </row>
    <row r="38" spans="1:21" ht="15" customHeight="1" thickBot="1" x14ac:dyDescent="0.4">
      <c r="A38" s="821" t="s">
        <v>211</v>
      </c>
      <c r="B38" s="823" t="s">
        <v>211</v>
      </c>
      <c r="C38" s="86" t="s">
        <v>211</v>
      </c>
      <c r="D38" s="86" t="s">
        <v>211</v>
      </c>
      <c r="E38" s="86" t="s">
        <v>211</v>
      </c>
      <c r="F38" s="167" t="s">
        <v>211</v>
      </c>
      <c r="G38" s="167" t="s">
        <v>211</v>
      </c>
      <c r="H38" s="819" t="s">
        <v>211</v>
      </c>
      <c r="I38" s="87" t="s">
        <v>211</v>
      </c>
      <c r="J38" s="86" t="s">
        <v>211</v>
      </c>
      <c r="K38" s="86" t="s">
        <v>211</v>
      </c>
      <c r="L38" s="167" t="s">
        <v>211</v>
      </c>
      <c r="M38" s="816" t="s">
        <v>211</v>
      </c>
      <c r="N38" s="816" t="s">
        <v>211</v>
      </c>
      <c r="O38" s="816" t="s">
        <v>211</v>
      </c>
      <c r="P38" s="816" t="s">
        <v>211</v>
      </c>
      <c r="Q38" s="827" t="s">
        <v>211</v>
      </c>
      <c r="R38" s="88" t="s">
        <v>211</v>
      </c>
      <c r="S38" s="367" t="s">
        <v>211</v>
      </c>
      <c r="T38" s="367" t="s">
        <v>211</v>
      </c>
      <c r="U38" s="826" t="s">
        <v>211</v>
      </c>
    </row>
    <row r="39" spans="1:21" ht="15" customHeight="1" thickBot="1" x14ac:dyDescent="0.4">
      <c r="A39" s="822"/>
      <c r="B39" s="824"/>
      <c r="C39" s="90" t="s">
        <v>211</v>
      </c>
      <c r="D39" s="90" t="s">
        <v>211</v>
      </c>
      <c r="E39" s="90" t="s">
        <v>211</v>
      </c>
      <c r="F39" s="168" t="s">
        <v>211</v>
      </c>
      <c r="G39" s="168" t="s">
        <v>211</v>
      </c>
      <c r="H39" s="825"/>
      <c r="I39" s="91" t="s">
        <v>211</v>
      </c>
      <c r="J39" s="90" t="s">
        <v>211</v>
      </c>
      <c r="K39" s="90" t="s">
        <v>211</v>
      </c>
      <c r="L39" s="168" t="s">
        <v>211</v>
      </c>
      <c r="M39" s="829"/>
      <c r="N39" s="829"/>
      <c r="O39" s="829"/>
      <c r="P39" s="829"/>
      <c r="Q39" s="828"/>
      <c r="R39" s="92" t="s">
        <v>211</v>
      </c>
      <c r="S39" s="371" t="s">
        <v>211</v>
      </c>
      <c r="T39" s="371" t="s">
        <v>211</v>
      </c>
      <c r="U39" s="826"/>
    </row>
    <row r="40" spans="1:21" ht="15" customHeight="1" thickBot="1" x14ac:dyDescent="0.4">
      <c r="A40" s="821" t="s">
        <v>211</v>
      </c>
      <c r="B40" s="823" t="s">
        <v>211</v>
      </c>
      <c r="C40" s="86" t="s">
        <v>211</v>
      </c>
      <c r="D40" s="86" t="s">
        <v>211</v>
      </c>
      <c r="E40" s="86" t="s">
        <v>211</v>
      </c>
      <c r="F40" s="167" t="s">
        <v>211</v>
      </c>
      <c r="G40" s="167" t="s">
        <v>211</v>
      </c>
      <c r="H40" s="819" t="s">
        <v>211</v>
      </c>
      <c r="I40" s="87" t="s">
        <v>211</v>
      </c>
      <c r="J40" s="86" t="s">
        <v>211</v>
      </c>
      <c r="K40" s="86" t="s">
        <v>211</v>
      </c>
      <c r="L40" s="167" t="s">
        <v>211</v>
      </c>
      <c r="M40" s="816" t="s">
        <v>211</v>
      </c>
      <c r="N40" s="816" t="s">
        <v>211</v>
      </c>
      <c r="O40" s="816" t="s">
        <v>211</v>
      </c>
      <c r="P40" s="816" t="s">
        <v>211</v>
      </c>
      <c r="Q40" s="827" t="s">
        <v>211</v>
      </c>
      <c r="R40" s="88" t="s">
        <v>211</v>
      </c>
      <c r="S40" s="367" t="s">
        <v>211</v>
      </c>
      <c r="T40" s="367" t="s">
        <v>211</v>
      </c>
      <c r="U40" s="826" t="s">
        <v>211</v>
      </c>
    </row>
    <row r="41" spans="1:21" ht="15" customHeight="1" thickBot="1" x14ac:dyDescent="0.4">
      <c r="A41" s="822"/>
      <c r="B41" s="824"/>
      <c r="C41" s="90" t="s">
        <v>211</v>
      </c>
      <c r="D41" s="90" t="s">
        <v>211</v>
      </c>
      <c r="E41" s="90" t="s">
        <v>211</v>
      </c>
      <c r="F41" s="168" t="s">
        <v>211</v>
      </c>
      <c r="G41" s="168" t="s">
        <v>211</v>
      </c>
      <c r="H41" s="825"/>
      <c r="I41" s="91" t="s">
        <v>211</v>
      </c>
      <c r="J41" s="90" t="s">
        <v>211</v>
      </c>
      <c r="K41" s="90" t="s">
        <v>211</v>
      </c>
      <c r="L41" s="168" t="s">
        <v>211</v>
      </c>
      <c r="M41" s="829"/>
      <c r="N41" s="829"/>
      <c r="O41" s="829"/>
      <c r="P41" s="829"/>
      <c r="Q41" s="828"/>
      <c r="R41" s="92" t="s">
        <v>211</v>
      </c>
      <c r="S41" s="371" t="s">
        <v>211</v>
      </c>
      <c r="T41" s="371" t="s">
        <v>211</v>
      </c>
      <c r="U41" s="826"/>
    </row>
    <row r="42" spans="1:21" ht="15" customHeight="1" thickBot="1" x14ac:dyDescent="0.4">
      <c r="A42" s="821" t="s">
        <v>211</v>
      </c>
      <c r="B42" s="823" t="s">
        <v>211</v>
      </c>
      <c r="C42" s="86" t="s">
        <v>211</v>
      </c>
      <c r="D42" s="86" t="s">
        <v>211</v>
      </c>
      <c r="E42" s="86" t="s">
        <v>211</v>
      </c>
      <c r="F42" s="167" t="s">
        <v>211</v>
      </c>
      <c r="G42" s="167" t="s">
        <v>211</v>
      </c>
      <c r="H42" s="819" t="s">
        <v>211</v>
      </c>
      <c r="I42" s="87" t="s">
        <v>211</v>
      </c>
      <c r="J42" s="86" t="s">
        <v>211</v>
      </c>
      <c r="K42" s="86" t="s">
        <v>211</v>
      </c>
      <c r="L42" s="167" t="s">
        <v>211</v>
      </c>
      <c r="M42" s="816" t="s">
        <v>211</v>
      </c>
      <c r="N42" s="816" t="s">
        <v>211</v>
      </c>
      <c r="O42" s="816" t="s">
        <v>211</v>
      </c>
      <c r="P42" s="816" t="s">
        <v>211</v>
      </c>
      <c r="Q42" s="827" t="s">
        <v>211</v>
      </c>
      <c r="R42" s="88" t="s">
        <v>211</v>
      </c>
      <c r="S42" s="367" t="s">
        <v>211</v>
      </c>
      <c r="T42" s="367" t="s">
        <v>211</v>
      </c>
      <c r="U42" s="826" t="s">
        <v>211</v>
      </c>
    </row>
    <row r="43" spans="1:21" ht="15" customHeight="1" thickBot="1" x14ac:dyDescent="0.4">
      <c r="A43" s="822"/>
      <c r="B43" s="824"/>
      <c r="C43" s="90" t="s">
        <v>211</v>
      </c>
      <c r="D43" s="90" t="s">
        <v>211</v>
      </c>
      <c r="E43" s="90" t="s">
        <v>211</v>
      </c>
      <c r="F43" s="168" t="s">
        <v>211</v>
      </c>
      <c r="G43" s="168" t="s">
        <v>211</v>
      </c>
      <c r="H43" s="825"/>
      <c r="I43" s="91" t="s">
        <v>211</v>
      </c>
      <c r="J43" s="90" t="s">
        <v>211</v>
      </c>
      <c r="K43" s="90" t="s">
        <v>211</v>
      </c>
      <c r="L43" s="168" t="s">
        <v>211</v>
      </c>
      <c r="M43" s="829"/>
      <c r="N43" s="829"/>
      <c r="O43" s="829"/>
      <c r="P43" s="829"/>
      <c r="Q43" s="828"/>
      <c r="R43" s="92" t="s">
        <v>211</v>
      </c>
      <c r="S43" s="371" t="s">
        <v>211</v>
      </c>
      <c r="T43" s="371" t="s">
        <v>211</v>
      </c>
      <c r="U43" s="826"/>
    </row>
    <row r="44" spans="1:21" ht="15" customHeight="1" thickBot="1" x14ac:dyDescent="0.4">
      <c r="A44" s="821" t="s">
        <v>346</v>
      </c>
      <c r="B44" s="823" t="s">
        <v>180</v>
      </c>
      <c r="C44" s="86" t="s">
        <v>41</v>
      </c>
      <c r="D44" s="86">
        <v>11800</v>
      </c>
      <c r="E44" s="86">
        <v>21.5</v>
      </c>
      <c r="F44" s="167">
        <v>389625</v>
      </c>
      <c r="G44" s="167">
        <v>86691</v>
      </c>
      <c r="H44" s="819" t="s">
        <v>61</v>
      </c>
      <c r="I44" s="87">
        <v>10.79</v>
      </c>
      <c r="J44" s="86">
        <v>11700</v>
      </c>
      <c r="K44" s="86">
        <v>61.15</v>
      </c>
      <c r="L44" s="167">
        <v>1828125</v>
      </c>
      <c r="M44" s="816">
        <v>11655.65</v>
      </c>
      <c r="N44" s="816">
        <v>11600</v>
      </c>
      <c r="O44" s="816">
        <v>11725</v>
      </c>
      <c r="P44" s="816">
        <v>11727</v>
      </c>
      <c r="Q44" s="827">
        <v>11626.05</v>
      </c>
      <c r="R44" s="88" t="e">
        <v>#REF!</v>
      </c>
      <c r="S44" s="367" t="e">
        <v>#REF!</v>
      </c>
      <c r="T44" s="367" t="e">
        <v>#REF!</v>
      </c>
      <c r="U44" s="826" t="e">
        <v>#REF!</v>
      </c>
    </row>
    <row r="45" spans="1:21" ht="15" customHeight="1" thickBot="1" x14ac:dyDescent="0.4">
      <c r="A45" s="822"/>
      <c r="B45" s="824"/>
      <c r="C45" s="90" t="s">
        <v>42</v>
      </c>
      <c r="D45" s="90">
        <v>11600</v>
      </c>
      <c r="E45" s="90">
        <v>29.5</v>
      </c>
      <c r="F45" s="168">
        <v>1126050</v>
      </c>
      <c r="G45" s="168">
        <v>189947</v>
      </c>
      <c r="H45" s="825"/>
      <c r="I45" s="91">
        <v>9.7799999999999994</v>
      </c>
      <c r="J45" s="90">
        <v>11600</v>
      </c>
      <c r="K45" s="90">
        <v>29.5</v>
      </c>
      <c r="L45" s="168">
        <v>1867425</v>
      </c>
      <c r="M45" s="829"/>
      <c r="N45" s="829"/>
      <c r="O45" s="829"/>
      <c r="P45" s="829"/>
      <c r="Q45" s="828"/>
      <c r="R45" s="92" t="e">
        <v>#REF!</v>
      </c>
      <c r="S45" s="371" t="e">
        <v>#REF!</v>
      </c>
      <c r="T45" s="371" t="e">
        <v>#REF!</v>
      </c>
      <c r="U45" s="826"/>
    </row>
    <row r="46" spans="1:21" ht="15" customHeight="1" thickBot="1" x14ac:dyDescent="0.4">
      <c r="A46" s="821" t="s">
        <v>347</v>
      </c>
      <c r="B46" s="823" t="s">
        <v>180</v>
      </c>
      <c r="C46" s="86" t="s">
        <v>41</v>
      </c>
      <c r="D46" s="86">
        <v>11800</v>
      </c>
      <c r="E46" s="86">
        <v>18.25</v>
      </c>
      <c r="F46" s="167">
        <v>312750</v>
      </c>
      <c r="G46" s="167">
        <v>99527</v>
      </c>
      <c r="H46" s="819" t="s">
        <v>61</v>
      </c>
      <c r="I46" s="87">
        <v>10.86</v>
      </c>
      <c r="J46" s="86">
        <v>11700</v>
      </c>
      <c r="K46" s="86">
        <v>55.35</v>
      </c>
      <c r="L46" s="167">
        <v>1847550</v>
      </c>
      <c r="M46" s="816">
        <v>11652.45</v>
      </c>
      <c r="N46" s="816">
        <v>11600</v>
      </c>
      <c r="O46" s="816">
        <v>11719</v>
      </c>
      <c r="P46" s="816">
        <v>11727</v>
      </c>
      <c r="Q46" s="827">
        <v>11626.05</v>
      </c>
      <c r="R46" s="88" t="e">
        <v>#REF!</v>
      </c>
      <c r="S46" s="367" t="e">
        <v>#REF!</v>
      </c>
      <c r="T46" s="367" t="e">
        <v>#REF!</v>
      </c>
      <c r="U46" s="826" t="e">
        <v>#REF!</v>
      </c>
    </row>
    <row r="47" spans="1:21" ht="15" customHeight="1" thickBot="1" x14ac:dyDescent="0.4">
      <c r="A47" s="822"/>
      <c r="B47" s="824"/>
      <c r="C47" s="90" t="s">
        <v>42</v>
      </c>
      <c r="D47" s="90">
        <v>11600</v>
      </c>
      <c r="E47" s="90">
        <v>28.85</v>
      </c>
      <c r="F47" s="168">
        <v>1227975</v>
      </c>
      <c r="G47" s="168">
        <v>207793</v>
      </c>
      <c r="H47" s="825"/>
      <c r="I47" s="91">
        <v>9.25</v>
      </c>
      <c r="J47" s="90">
        <v>11600</v>
      </c>
      <c r="K47" s="90">
        <v>28.85</v>
      </c>
      <c r="L47" s="168">
        <v>1969350</v>
      </c>
      <c r="M47" s="829"/>
      <c r="N47" s="829"/>
      <c r="O47" s="829"/>
      <c r="P47" s="829"/>
      <c r="Q47" s="828"/>
      <c r="R47" s="92" t="e">
        <v>#REF!</v>
      </c>
      <c r="S47" s="371" t="e">
        <v>#REF!</v>
      </c>
      <c r="T47" s="371" t="e">
        <v>#REF!</v>
      </c>
      <c r="U47" s="826"/>
    </row>
    <row r="48" spans="1:21" ht="15" customHeight="1" thickBot="1" x14ac:dyDescent="0.4">
      <c r="A48" s="821" t="s">
        <v>339</v>
      </c>
      <c r="B48" s="823" t="s">
        <v>180</v>
      </c>
      <c r="C48" s="86" t="s">
        <v>41</v>
      </c>
      <c r="D48" s="86">
        <v>11800</v>
      </c>
      <c r="E48" s="86">
        <v>17.45</v>
      </c>
      <c r="F48" s="167">
        <v>310050</v>
      </c>
      <c r="G48" s="167">
        <v>106815</v>
      </c>
      <c r="H48" s="819" t="s">
        <v>61</v>
      </c>
      <c r="I48" s="87">
        <v>10.26</v>
      </c>
      <c r="J48" s="86">
        <v>11700</v>
      </c>
      <c r="K48" s="86">
        <v>52.35</v>
      </c>
      <c r="L48" s="167">
        <v>1800900</v>
      </c>
      <c r="M48" s="816">
        <v>11644.35</v>
      </c>
      <c r="N48" s="816">
        <v>11600</v>
      </c>
      <c r="O48" s="816">
        <v>11711.1</v>
      </c>
      <c r="P48" s="816">
        <v>11727</v>
      </c>
      <c r="Q48" s="827">
        <v>11626.05</v>
      </c>
      <c r="R48" s="88" t="e">
        <v>#REF!</v>
      </c>
      <c r="S48" s="367" t="e">
        <v>#REF!</v>
      </c>
      <c r="T48" s="367" t="e">
        <v>#REF!</v>
      </c>
      <c r="U48" s="826" t="e">
        <v>#REF!</v>
      </c>
    </row>
    <row r="49" spans="1:21" ht="15" customHeight="1" thickBot="1" x14ac:dyDescent="0.4">
      <c r="A49" s="822"/>
      <c r="B49" s="824"/>
      <c r="C49" s="90" t="s">
        <v>42</v>
      </c>
      <c r="D49" s="90">
        <v>11600</v>
      </c>
      <c r="E49" s="90">
        <v>31.05</v>
      </c>
      <c r="F49" s="168">
        <v>1133100</v>
      </c>
      <c r="G49" s="168">
        <v>218829</v>
      </c>
      <c r="H49" s="825"/>
      <c r="I49" s="91">
        <v>9.6300000000000008</v>
      </c>
      <c r="J49" s="90">
        <v>11600</v>
      </c>
      <c r="K49" s="90">
        <v>31.05</v>
      </c>
      <c r="L49" s="168">
        <v>1874475</v>
      </c>
      <c r="M49" s="829"/>
      <c r="N49" s="829"/>
      <c r="O49" s="829"/>
      <c r="P49" s="829"/>
      <c r="Q49" s="828"/>
      <c r="R49" s="92" t="e">
        <v>#REF!</v>
      </c>
      <c r="S49" s="371" t="e">
        <v>#REF!</v>
      </c>
      <c r="T49" s="371" t="e">
        <v>#REF!</v>
      </c>
      <c r="U49" s="826"/>
    </row>
    <row r="50" spans="1:21" ht="15" customHeight="1" thickBot="1" x14ac:dyDescent="0.4">
      <c r="A50" s="821" t="s">
        <v>348</v>
      </c>
      <c r="B50" s="823" t="s">
        <v>180</v>
      </c>
      <c r="C50" s="86" t="s">
        <v>41</v>
      </c>
      <c r="D50" s="86">
        <v>11750</v>
      </c>
      <c r="E50" s="86">
        <v>20.45</v>
      </c>
      <c r="F50" s="167">
        <v>254475</v>
      </c>
      <c r="G50" s="167">
        <v>62341</v>
      </c>
      <c r="H50" s="819" t="s">
        <v>61</v>
      </c>
      <c r="I50" s="87">
        <v>9.52</v>
      </c>
      <c r="J50" s="86">
        <v>11700</v>
      </c>
      <c r="K50" s="86">
        <v>36.6</v>
      </c>
      <c r="L50" s="167">
        <v>1449750</v>
      </c>
      <c r="M50" s="816">
        <v>11631.55</v>
      </c>
      <c r="N50" s="816">
        <v>11600</v>
      </c>
      <c r="O50" s="816">
        <v>11688.55</v>
      </c>
      <c r="P50" s="816">
        <v>11727</v>
      </c>
      <c r="Q50" s="827">
        <v>11626.05</v>
      </c>
      <c r="R50" s="88" t="e">
        <v>#REF!</v>
      </c>
      <c r="S50" s="367" t="e">
        <v>#REF!</v>
      </c>
      <c r="T50" s="367" t="e">
        <v>#REF!</v>
      </c>
      <c r="U50" s="826" t="e">
        <v>#REF!</v>
      </c>
    </row>
    <row r="51" spans="1:21" ht="15" customHeight="1" thickBot="1" x14ac:dyDescent="0.4">
      <c r="A51" s="822"/>
      <c r="B51" s="824"/>
      <c r="C51" s="90" t="s">
        <v>42</v>
      </c>
      <c r="D51" s="90">
        <v>11600</v>
      </c>
      <c r="E51" s="90">
        <v>36.15</v>
      </c>
      <c r="F51" s="168">
        <v>884925</v>
      </c>
      <c r="G51" s="168">
        <v>233299</v>
      </c>
      <c r="H51" s="825"/>
      <c r="I51" s="91">
        <v>9.77</v>
      </c>
      <c r="J51" s="90">
        <v>11600</v>
      </c>
      <c r="K51" s="90">
        <v>36.15</v>
      </c>
      <c r="L51" s="168">
        <v>1626300</v>
      </c>
      <c r="M51" s="829"/>
      <c r="N51" s="829"/>
      <c r="O51" s="829"/>
      <c r="P51" s="829"/>
      <c r="Q51" s="828"/>
      <c r="R51" s="92" t="e">
        <v>#REF!</v>
      </c>
      <c r="S51" s="371" t="e">
        <v>#REF!</v>
      </c>
      <c r="T51" s="371" t="e">
        <v>#REF!</v>
      </c>
      <c r="U51" s="826"/>
    </row>
  </sheetData>
  <mergeCells count="225">
    <mergeCell ref="P50:P51"/>
    <mergeCell ref="Q50:Q51"/>
    <mergeCell ref="U50:U51"/>
    <mergeCell ref="A50:A51"/>
    <mergeCell ref="B50:B51"/>
    <mergeCell ref="H50:H51"/>
    <mergeCell ref="M50:M51"/>
    <mergeCell ref="N50:N51"/>
    <mergeCell ref="O50:O51"/>
    <mergeCell ref="A48:A49"/>
    <mergeCell ref="B48:B49"/>
    <mergeCell ref="H48:H49"/>
    <mergeCell ref="M48:M49"/>
    <mergeCell ref="N48:N49"/>
    <mergeCell ref="O48:O49"/>
    <mergeCell ref="P48:P49"/>
    <mergeCell ref="Q48:Q49"/>
    <mergeCell ref="U48:U49"/>
    <mergeCell ref="A46:A47"/>
    <mergeCell ref="B46:B47"/>
    <mergeCell ref="H46:H47"/>
    <mergeCell ref="M46:M47"/>
    <mergeCell ref="N46:N47"/>
    <mergeCell ref="O46:O47"/>
    <mergeCell ref="P46:P47"/>
    <mergeCell ref="Q46:Q47"/>
    <mergeCell ref="U46:U47"/>
    <mergeCell ref="P42:P43"/>
    <mergeCell ref="Q42:Q43"/>
    <mergeCell ref="U42:U43"/>
    <mergeCell ref="A44:A45"/>
    <mergeCell ref="B44:B45"/>
    <mergeCell ref="H44:H45"/>
    <mergeCell ref="M44:M45"/>
    <mergeCell ref="N44:N45"/>
    <mergeCell ref="O44:O45"/>
    <mergeCell ref="P44:P45"/>
    <mergeCell ref="A42:A43"/>
    <mergeCell ref="B42:B43"/>
    <mergeCell ref="H42:H43"/>
    <mergeCell ref="M42:M43"/>
    <mergeCell ref="N42:N43"/>
    <mergeCell ref="O42:O43"/>
    <mergeCell ref="Q44:Q45"/>
    <mergeCell ref="U44:U45"/>
    <mergeCell ref="A40:A41"/>
    <mergeCell ref="B40:B41"/>
    <mergeCell ref="H40:H41"/>
    <mergeCell ref="M40:M41"/>
    <mergeCell ref="N40:N41"/>
    <mergeCell ref="O40:O41"/>
    <mergeCell ref="P40:P41"/>
    <mergeCell ref="Q40:Q41"/>
    <mergeCell ref="U40:U41"/>
    <mergeCell ref="A38:A39"/>
    <mergeCell ref="B38:B39"/>
    <mergeCell ref="H38:H39"/>
    <mergeCell ref="M38:M39"/>
    <mergeCell ref="N38:N39"/>
    <mergeCell ref="O38:O39"/>
    <mergeCell ref="P38:P39"/>
    <mergeCell ref="Q38:Q39"/>
    <mergeCell ref="U38:U39"/>
    <mergeCell ref="P34:P35"/>
    <mergeCell ref="Q34:Q35"/>
    <mergeCell ref="U34:U35"/>
    <mergeCell ref="A36:A37"/>
    <mergeCell ref="B36:B37"/>
    <mergeCell ref="H36:H37"/>
    <mergeCell ref="M36:M37"/>
    <mergeCell ref="N36:N37"/>
    <mergeCell ref="O36:O37"/>
    <mergeCell ref="P36:P37"/>
    <mergeCell ref="A34:A35"/>
    <mergeCell ref="B34:B35"/>
    <mergeCell ref="H34:H35"/>
    <mergeCell ref="M34:M35"/>
    <mergeCell ref="N34:N35"/>
    <mergeCell ref="O34:O35"/>
    <mergeCell ref="Q36:Q37"/>
    <mergeCell ref="U36:U37"/>
    <mergeCell ref="A32:A33"/>
    <mergeCell ref="B32:B33"/>
    <mergeCell ref="H32:H33"/>
    <mergeCell ref="M32:M33"/>
    <mergeCell ref="N32:N33"/>
    <mergeCell ref="O32:O33"/>
    <mergeCell ref="P32:P33"/>
    <mergeCell ref="Q32:Q33"/>
    <mergeCell ref="U32:U33"/>
    <mergeCell ref="A30:A31"/>
    <mergeCell ref="B30:B31"/>
    <mergeCell ref="H30:H31"/>
    <mergeCell ref="M30:M31"/>
    <mergeCell ref="N30:N31"/>
    <mergeCell ref="O30:O31"/>
    <mergeCell ref="P30:P31"/>
    <mergeCell ref="Q30:Q31"/>
    <mergeCell ref="U30:U31"/>
    <mergeCell ref="P26:P27"/>
    <mergeCell ref="Q26:Q27"/>
    <mergeCell ref="U26:U27"/>
    <mergeCell ref="A28:A29"/>
    <mergeCell ref="B28:B29"/>
    <mergeCell ref="H28:H29"/>
    <mergeCell ref="M28:M29"/>
    <mergeCell ref="N28:N29"/>
    <mergeCell ref="O28:O29"/>
    <mergeCell ref="P28:P29"/>
    <mergeCell ref="A26:A27"/>
    <mergeCell ref="B26:B27"/>
    <mergeCell ref="H26:H27"/>
    <mergeCell ref="M26:M27"/>
    <mergeCell ref="N26:N27"/>
    <mergeCell ref="O26:O27"/>
    <mergeCell ref="Q28:Q29"/>
    <mergeCell ref="U28:U29"/>
    <mergeCell ref="A24:A25"/>
    <mergeCell ref="B24:B25"/>
    <mergeCell ref="H24:H25"/>
    <mergeCell ref="M24:M25"/>
    <mergeCell ref="N24:N25"/>
    <mergeCell ref="O24:O25"/>
    <mergeCell ref="P24:P25"/>
    <mergeCell ref="Q24:Q25"/>
    <mergeCell ref="U24:U25"/>
    <mergeCell ref="A22:A23"/>
    <mergeCell ref="B22:B23"/>
    <mergeCell ref="H22:H23"/>
    <mergeCell ref="M22:M23"/>
    <mergeCell ref="N22:N23"/>
    <mergeCell ref="O22:O23"/>
    <mergeCell ref="P22:P23"/>
    <mergeCell ref="Q22:Q23"/>
    <mergeCell ref="U22:U23"/>
    <mergeCell ref="P18:P19"/>
    <mergeCell ref="Q18:Q19"/>
    <mergeCell ref="U18:U19"/>
    <mergeCell ref="A20:A21"/>
    <mergeCell ref="B20:B21"/>
    <mergeCell ref="H20:H21"/>
    <mergeCell ref="M20:M21"/>
    <mergeCell ref="N20:N21"/>
    <mergeCell ref="O20:O21"/>
    <mergeCell ref="P20:P21"/>
    <mergeCell ref="A18:A19"/>
    <mergeCell ref="B18:B19"/>
    <mergeCell ref="H18:H19"/>
    <mergeCell ref="M18:M19"/>
    <mergeCell ref="N18:N19"/>
    <mergeCell ref="O18:O19"/>
    <mergeCell ref="Q20:Q21"/>
    <mergeCell ref="U20:U21"/>
    <mergeCell ref="A16:A17"/>
    <mergeCell ref="B16:B17"/>
    <mergeCell ref="H16:H17"/>
    <mergeCell ref="M16:M17"/>
    <mergeCell ref="N16:N17"/>
    <mergeCell ref="O16:O17"/>
    <mergeCell ref="P16:P17"/>
    <mergeCell ref="Q16:Q17"/>
    <mergeCell ref="U16:U17"/>
    <mergeCell ref="A14:A15"/>
    <mergeCell ref="B14:B15"/>
    <mergeCell ref="H14:H15"/>
    <mergeCell ref="M14:M15"/>
    <mergeCell ref="N14:N15"/>
    <mergeCell ref="O14:O15"/>
    <mergeCell ref="P14:P15"/>
    <mergeCell ref="Q14:Q15"/>
    <mergeCell ref="U14:U15"/>
    <mergeCell ref="P10:P11"/>
    <mergeCell ref="Q10:Q11"/>
    <mergeCell ref="U10:U11"/>
    <mergeCell ref="A12:A13"/>
    <mergeCell ref="B12:B13"/>
    <mergeCell ref="H12:H13"/>
    <mergeCell ref="M12:M13"/>
    <mergeCell ref="N12:N13"/>
    <mergeCell ref="O12:O13"/>
    <mergeCell ref="P12:P13"/>
    <mergeCell ref="A10:A11"/>
    <mergeCell ref="B10:B11"/>
    <mergeCell ref="H10:H11"/>
    <mergeCell ref="M10:M11"/>
    <mergeCell ref="N10:N11"/>
    <mergeCell ref="O10:O11"/>
    <mergeCell ref="Q12:Q13"/>
    <mergeCell ref="U12:U13"/>
    <mergeCell ref="A8:A9"/>
    <mergeCell ref="B8:B9"/>
    <mergeCell ref="H8:H9"/>
    <mergeCell ref="M8:M9"/>
    <mergeCell ref="N8:N9"/>
    <mergeCell ref="O8:O9"/>
    <mergeCell ref="P8:P9"/>
    <mergeCell ref="Q8:Q9"/>
    <mergeCell ref="U8:U9"/>
    <mergeCell ref="A6:A7"/>
    <mergeCell ref="B6:B7"/>
    <mergeCell ref="H6:H7"/>
    <mergeCell ref="M6:M7"/>
    <mergeCell ref="N6:N7"/>
    <mergeCell ref="O6:O7"/>
    <mergeCell ref="P6:P7"/>
    <mergeCell ref="Q6:Q7"/>
    <mergeCell ref="U6:U7"/>
    <mergeCell ref="P2:P3"/>
    <mergeCell ref="Q2:Q3"/>
    <mergeCell ref="U2:U3"/>
    <mergeCell ref="A4:A5"/>
    <mergeCell ref="B4:B5"/>
    <mergeCell ref="H4:H5"/>
    <mergeCell ref="M4:M5"/>
    <mergeCell ref="N4:N5"/>
    <mergeCell ref="O4:O5"/>
    <mergeCell ref="P4:P5"/>
    <mergeCell ref="A2:A3"/>
    <mergeCell ref="B2:B3"/>
    <mergeCell ref="H2:H3"/>
    <mergeCell ref="M2:M3"/>
    <mergeCell ref="N2:N3"/>
    <mergeCell ref="O2:O3"/>
    <mergeCell ref="Q4:Q5"/>
    <mergeCell ref="U4:U5"/>
  </mergeCell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46FD7-978E-44B7-A973-25E1C1321926}">
  <sheetPr codeName="Sheet16"/>
  <dimension ref="A1:B6"/>
  <sheetViews>
    <sheetView workbookViewId="0">
      <selection activeCell="A7" sqref="A7"/>
    </sheetView>
  </sheetViews>
  <sheetFormatPr defaultRowHeight="14.5" x14ac:dyDescent="0.35"/>
  <sheetData>
    <row r="1" spans="1:2" x14ac:dyDescent="0.35">
      <c r="A1" t="s">
        <v>356</v>
      </c>
      <c r="B1" t="s">
        <v>357</v>
      </c>
    </row>
    <row r="2" spans="1:2" x14ac:dyDescent="0.35">
      <c r="A2">
        <v>1</v>
      </c>
      <c r="B2" t="s">
        <v>358</v>
      </c>
    </row>
    <row r="3" spans="1:2" x14ac:dyDescent="0.35">
      <c r="A3">
        <v>2</v>
      </c>
      <c r="B3" t="s">
        <v>359</v>
      </c>
    </row>
    <row r="4" spans="1:2" x14ac:dyDescent="0.35">
      <c r="A4">
        <v>3</v>
      </c>
      <c r="B4" t="s">
        <v>360</v>
      </c>
    </row>
    <row r="5" spans="1:2" x14ac:dyDescent="0.35">
      <c r="A5">
        <v>4</v>
      </c>
      <c r="B5" t="s">
        <v>361</v>
      </c>
    </row>
    <row r="6" spans="1:2" x14ac:dyDescent="0.35">
      <c r="A6">
        <v>5</v>
      </c>
      <c r="B6" t="s">
        <v>362</v>
      </c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81A04-9553-4DBD-B164-0644571E1771}">
  <sheetPr codeName="Sheet9"/>
  <dimension ref="A1:AO52"/>
  <sheetViews>
    <sheetView topLeftCell="L1" workbookViewId="0">
      <selection activeCell="X10" sqref="X10:Z10"/>
    </sheetView>
  </sheetViews>
  <sheetFormatPr defaultColWidth="9.1796875" defaultRowHeight="14.5" x14ac:dyDescent="0.35"/>
  <cols>
    <col min="1" max="1" width="9.1796875" style="309"/>
    <col min="2" max="2" width="9.1796875" style="274"/>
    <col min="3" max="3" width="5.453125" style="309" customWidth="1"/>
    <col min="4" max="4" width="8.453125" style="309" customWidth="1"/>
    <col min="5" max="5" width="8.7265625" style="309" customWidth="1"/>
    <col min="6" max="6" width="12.7265625" style="308" customWidth="1"/>
    <col min="7" max="7" width="13" style="308" customWidth="1"/>
    <col min="8" max="9" width="6.453125" style="309" customWidth="1"/>
    <col min="10" max="10" width="8.453125" style="309" customWidth="1"/>
    <col min="11" max="11" width="8" style="309" customWidth="1"/>
    <col min="12" max="12" width="13.54296875" style="308" customWidth="1"/>
    <col min="13" max="13" width="8.26953125" style="309" customWidth="1"/>
    <col min="14" max="14" width="9.453125" style="309" customWidth="1"/>
    <col min="15" max="17" width="9.1796875" style="309"/>
    <col min="18" max="18" width="5.453125" style="309" bestFit="1" customWidth="1"/>
    <col min="19" max="19" width="6.81640625" style="309" customWidth="1"/>
    <col min="20" max="21" width="9.1796875" style="309"/>
    <col min="22" max="22" width="9.453125" style="309" customWidth="1"/>
    <col min="23" max="34" width="9.1796875" style="309"/>
    <col min="35" max="36" width="7.90625" style="309" bestFit="1" customWidth="1"/>
    <col min="37" max="37" width="9.6328125" style="309" bestFit="1" customWidth="1"/>
    <col min="38" max="40" width="9.1796875" style="309"/>
    <col min="41" max="41" width="0" style="309" hidden="1" customWidth="1"/>
    <col min="42" max="16384" width="9.1796875" style="309"/>
  </cols>
  <sheetData>
    <row r="1" spans="1:41" ht="14.5" customHeight="1" thickBot="1" x14ac:dyDescent="0.4">
      <c r="A1" s="80"/>
      <c r="B1" s="273"/>
      <c r="C1" s="647" t="s">
        <v>35</v>
      </c>
      <c r="D1" s="811"/>
      <c r="E1" s="811"/>
      <c r="F1" s="811"/>
      <c r="G1" s="811"/>
      <c r="H1" s="315"/>
      <c r="I1" s="80"/>
      <c r="J1" s="810" t="s">
        <v>0</v>
      </c>
      <c r="K1" s="811"/>
      <c r="L1" s="812"/>
      <c r="M1" s="80"/>
      <c r="N1" s="80"/>
      <c r="O1" s="80"/>
      <c r="P1" s="813" t="s">
        <v>205</v>
      </c>
      <c r="Q1" s="814"/>
      <c r="R1" s="810" t="s">
        <v>87</v>
      </c>
      <c r="S1" s="811"/>
      <c r="T1" s="811"/>
      <c r="U1" s="815"/>
      <c r="V1" s="310"/>
      <c r="W1" s="310"/>
      <c r="X1" s="310"/>
      <c r="Y1" s="310"/>
      <c r="Z1" s="310"/>
      <c r="AH1" s="787" t="s">
        <v>170</v>
      </c>
      <c r="AI1" s="787"/>
      <c r="AJ1" s="787"/>
      <c r="AK1" s="787"/>
      <c r="AL1" s="787"/>
    </row>
    <row r="2" spans="1:41" ht="14.5" customHeight="1" thickBot="1" x14ac:dyDescent="0.4">
      <c r="A2" s="80" t="s">
        <v>86</v>
      </c>
      <c r="B2" s="273" t="s">
        <v>34</v>
      </c>
      <c r="C2" s="314" t="s">
        <v>54</v>
      </c>
      <c r="D2" s="313" t="s">
        <v>14</v>
      </c>
      <c r="E2" s="313" t="s">
        <v>6</v>
      </c>
      <c r="F2" s="166" t="s">
        <v>35</v>
      </c>
      <c r="G2" s="166" t="s">
        <v>37</v>
      </c>
      <c r="H2" s="315" t="s">
        <v>43</v>
      </c>
      <c r="I2" s="81" t="s">
        <v>88</v>
      </c>
      <c r="J2" s="314" t="s">
        <v>14</v>
      </c>
      <c r="K2" s="313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310"/>
      <c r="W2" s="310"/>
      <c r="X2" s="271" t="s">
        <v>97</v>
      </c>
      <c r="Y2" s="272" t="s">
        <v>98</v>
      </c>
      <c r="Z2" s="310"/>
      <c r="AO2" s="310" t="s">
        <v>99</v>
      </c>
    </row>
    <row r="3" spans="1:41" ht="14.5" customHeight="1" thickBot="1" x14ac:dyDescent="0.4">
      <c r="A3" s="821" t="s">
        <v>206</v>
      </c>
      <c r="B3" s="823" t="s">
        <v>180</v>
      </c>
      <c r="C3" s="86" t="s">
        <v>41</v>
      </c>
      <c r="D3" s="86">
        <v>0</v>
      </c>
      <c r="E3" s="86">
        <v>61.05</v>
      </c>
      <c r="F3" s="167">
        <v>149700</v>
      </c>
      <c r="G3" s="167">
        <v>12549</v>
      </c>
      <c r="H3" s="819" t="s">
        <v>55</v>
      </c>
      <c r="I3" s="87">
        <v>14.21</v>
      </c>
      <c r="J3" s="86">
        <v>11700</v>
      </c>
      <c r="K3" s="86">
        <v>61.05</v>
      </c>
      <c r="L3" s="167">
        <v>1233225</v>
      </c>
      <c r="M3" s="816">
        <v>11690.3</v>
      </c>
      <c r="N3" s="816">
        <v>11650</v>
      </c>
      <c r="O3" s="816">
        <v>11760.7</v>
      </c>
      <c r="P3" s="816">
        <v>11780.05</v>
      </c>
      <c r="Q3" s="816">
        <v>11750.05</v>
      </c>
      <c r="R3" s="88" t="e">
        <v>#REF!</v>
      </c>
      <c r="S3" s="311" t="e">
        <v>#REF!</v>
      </c>
      <c r="T3" s="311" t="e">
        <v>#REF!</v>
      </c>
      <c r="U3" s="818" t="e">
        <v>#REF!</v>
      </c>
      <c r="V3" s="310"/>
      <c r="W3" s="310"/>
      <c r="X3" s="310"/>
      <c r="Y3" s="310"/>
      <c r="Z3" s="310"/>
      <c r="AH3" s="310" t="s">
        <v>171</v>
      </c>
      <c r="AI3" s="275">
        <v>0.39583333333333331</v>
      </c>
      <c r="AJ3" s="89">
        <v>43563.707456481483</v>
      </c>
      <c r="AK3" s="310" t="s">
        <v>207</v>
      </c>
      <c r="AO3" s="310" t="s">
        <v>98</v>
      </c>
    </row>
    <row r="4" spans="1:41" ht="14.5" customHeight="1" thickBot="1" x14ac:dyDescent="0.4">
      <c r="A4" s="822"/>
      <c r="B4" s="824"/>
      <c r="C4" s="90" t="s">
        <v>42</v>
      </c>
      <c r="D4" s="90">
        <v>11650</v>
      </c>
      <c r="E4" s="90">
        <v>42</v>
      </c>
      <c r="F4" s="168">
        <v>81450</v>
      </c>
      <c r="G4" s="168">
        <v>4546</v>
      </c>
      <c r="H4" s="820"/>
      <c r="I4" s="91">
        <v>15.34</v>
      </c>
      <c r="J4" s="90">
        <v>11600</v>
      </c>
      <c r="K4" s="90">
        <v>27</v>
      </c>
      <c r="L4" s="168">
        <v>1955925</v>
      </c>
      <c r="M4" s="817"/>
      <c r="N4" s="817"/>
      <c r="O4" s="817"/>
      <c r="P4" s="817"/>
      <c r="Q4" s="817"/>
      <c r="R4" s="92" t="e">
        <v>#REF!</v>
      </c>
      <c r="S4" s="312" t="e">
        <v>#REF!</v>
      </c>
      <c r="T4" s="312" t="e">
        <v>#REF!</v>
      </c>
      <c r="U4" s="818"/>
      <c r="V4" s="310"/>
      <c r="W4" s="310"/>
      <c r="X4" s="310"/>
      <c r="Y4" s="310"/>
      <c r="Z4" s="310"/>
      <c r="AH4" s="310" t="s">
        <v>172</v>
      </c>
      <c r="AI4" s="275">
        <v>0.39861111111111108</v>
      </c>
      <c r="AJ4" s="310"/>
      <c r="AK4" s="310"/>
    </row>
    <row r="5" spans="1:41" ht="14.5" customHeight="1" thickBot="1" x14ac:dyDescent="0.4">
      <c r="A5" s="821" t="s">
        <v>208</v>
      </c>
      <c r="B5" s="823" t="s">
        <v>180</v>
      </c>
      <c r="C5" s="86" t="s">
        <v>41</v>
      </c>
      <c r="D5" s="86">
        <v>11700</v>
      </c>
      <c r="E5" s="86">
        <v>46.65</v>
      </c>
      <c r="F5" s="167">
        <v>425925</v>
      </c>
      <c r="G5" s="167">
        <v>43643</v>
      </c>
      <c r="H5" s="819" t="s">
        <v>55</v>
      </c>
      <c r="I5" s="87">
        <v>14.79</v>
      </c>
      <c r="J5" s="86">
        <v>11700</v>
      </c>
      <c r="K5" s="86">
        <v>46.65</v>
      </c>
      <c r="L5" s="167">
        <v>1509450</v>
      </c>
      <c r="M5" s="816">
        <v>11653.1</v>
      </c>
      <c r="N5" s="816">
        <v>11650</v>
      </c>
      <c r="O5" s="816">
        <v>11726</v>
      </c>
      <c r="P5" s="816">
        <v>11780.05</v>
      </c>
      <c r="Q5" s="827">
        <v>11715.65</v>
      </c>
      <c r="R5" s="88" t="e">
        <v>#REF!</v>
      </c>
      <c r="S5" s="311" t="e">
        <v>#REF!</v>
      </c>
      <c r="T5" s="311" t="e">
        <v>#REF!</v>
      </c>
      <c r="U5" s="818" t="e">
        <v>#REF!</v>
      </c>
      <c r="V5" s="310"/>
      <c r="W5" s="310"/>
      <c r="X5" s="310"/>
      <c r="Y5" s="310"/>
      <c r="Z5" s="310"/>
      <c r="AI5" s="275">
        <v>0.40625</v>
      </c>
      <c r="AJ5" s="310"/>
      <c r="AK5" s="310" t="s">
        <v>207</v>
      </c>
    </row>
    <row r="6" spans="1:41" ht="14.5" customHeight="1" thickBot="1" x14ac:dyDescent="0.4">
      <c r="A6" s="822"/>
      <c r="B6" s="824"/>
      <c r="C6" s="90" t="s">
        <v>42</v>
      </c>
      <c r="D6" s="90">
        <v>11700</v>
      </c>
      <c r="E6" s="90">
        <v>83</v>
      </c>
      <c r="F6" s="168">
        <v>173775</v>
      </c>
      <c r="G6" s="168">
        <v>32227</v>
      </c>
      <c r="H6" s="825"/>
      <c r="I6" s="91">
        <v>15</v>
      </c>
      <c r="J6" s="90">
        <v>11600</v>
      </c>
      <c r="K6" s="90">
        <v>39.450000000000003</v>
      </c>
      <c r="L6" s="168">
        <v>1997175</v>
      </c>
      <c r="M6" s="829"/>
      <c r="N6" s="829"/>
      <c r="O6" s="829"/>
      <c r="P6" s="829"/>
      <c r="Q6" s="828"/>
      <c r="R6" s="92" t="e">
        <v>#REF!</v>
      </c>
      <c r="S6" s="312" t="e">
        <v>#REF!</v>
      </c>
      <c r="T6" s="312" t="e">
        <v>#REF!</v>
      </c>
      <c r="U6" s="818"/>
      <c r="V6" s="310"/>
      <c r="W6" s="310"/>
      <c r="X6" s="310"/>
      <c r="Y6" s="310"/>
      <c r="Z6" s="310"/>
      <c r="AI6" s="275">
        <v>0.40902777777777777</v>
      </c>
      <c r="AJ6" s="310"/>
      <c r="AK6" s="310"/>
    </row>
    <row r="7" spans="1:41" ht="14.5" customHeight="1" thickBot="1" x14ac:dyDescent="0.4">
      <c r="A7" s="821" t="s">
        <v>209</v>
      </c>
      <c r="B7" s="823" t="s">
        <v>210</v>
      </c>
      <c r="C7" s="86" t="s">
        <v>41</v>
      </c>
      <c r="D7" s="86">
        <v>300</v>
      </c>
      <c r="E7" s="86">
        <v>5.9</v>
      </c>
      <c r="F7" s="167">
        <v>30000</v>
      </c>
      <c r="G7" s="167">
        <v>92</v>
      </c>
      <c r="H7" s="819" t="s">
        <v>55</v>
      </c>
      <c r="I7" s="87">
        <v>50.58</v>
      </c>
      <c r="J7" s="86">
        <v>320</v>
      </c>
      <c r="K7" s="86">
        <v>2.0499999999999998</v>
      </c>
      <c r="L7" s="167">
        <v>768000</v>
      </c>
      <c r="M7" s="816">
        <v>281.60000000000002</v>
      </c>
      <c r="N7" s="816">
        <v>290</v>
      </c>
      <c r="O7" s="816">
        <v>283.7</v>
      </c>
      <c r="P7" s="816">
        <v>284.5</v>
      </c>
      <c r="Q7" s="827">
        <v>280.7</v>
      </c>
      <c r="R7" s="88" t="e">
        <v>#REF!</v>
      </c>
      <c r="S7" s="311" t="e">
        <v>#REF!</v>
      </c>
      <c r="T7" s="311" t="e">
        <v>#REF!</v>
      </c>
      <c r="U7" s="818" t="e">
        <v>#REF!</v>
      </c>
      <c r="V7" s="310"/>
      <c r="W7" s="310"/>
      <c r="X7" s="310"/>
      <c r="Y7" s="310"/>
      <c r="Z7" s="310"/>
      <c r="AI7" s="275">
        <v>0.41666666666666669</v>
      </c>
      <c r="AJ7" s="310"/>
      <c r="AK7" s="310" t="s">
        <v>207</v>
      </c>
    </row>
    <row r="8" spans="1:41" ht="14.5" customHeight="1" thickBot="1" x14ac:dyDescent="0.4">
      <c r="A8" s="822"/>
      <c r="B8" s="824"/>
      <c r="C8" s="90" t="s">
        <v>42</v>
      </c>
      <c r="D8" s="90">
        <v>550</v>
      </c>
      <c r="E8" s="90">
        <v>0</v>
      </c>
      <c r="F8" s="168">
        <v>18000</v>
      </c>
      <c r="G8" s="168">
        <v>119</v>
      </c>
      <c r="H8" s="825"/>
      <c r="I8" s="91">
        <v>0</v>
      </c>
      <c r="J8" s="90">
        <v>280</v>
      </c>
      <c r="K8" s="90">
        <v>10.199999999999999</v>
      </c>
      <c r="L8" s="168">
        <v>262000</v>
      </c>
      <c r="M8" s="829"/>
      <c r="N8" s="829"/>
      <c r="O8" s="829"/>
      <c r="P8" s="829"/>
      <c r="Q8" s="828"/>
      <c r="R8" s="92" t="e">
        <v>#REF!</v>
      </c>
      <c r="S8" s="312" t="e">
        <v>#REF!</v>
      </c>
      <c r="T8" s="312" t="e">
        <v>#REF!</v>
      </c>
      <c r="U8" s="818"/>
      <c r="V8" s="310"/>
      <c r="W8" s="310"/>
      <c r="X8" s="310"/>
      <c r="Y8" s="310"/>
      <c r="Z8" s="310"/>
      <c r="AI8" s="275">
        <v>0.41944444444444445</v>
      </c>
      <c r="AJ8" s="310"/>
      <c r="AK8" s="310"/>
    </row>
    <row r="9" spans="1:41" ht="14.5" customHeight="1" thickBot="1" x14ac:dyDescent="0.4">
      <c r="A9" s="821" t="s">
        <v>211</v>
      </c>
      <c r="B9" s="823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819" t="s">
        <v>211</v>
      </c>
      <c r="I9" s="87" t="s">
        <v>211</v>
      </c>
      <c r="J9" s="86" t="s">
        <v>211</v>
      </c>
      <c r="K9" s="86" t="s">
        <v>211</v>
      </c>
      <c r="L9" s="167" t="s">
        <v>211</v>
      </c>
      <c r="M9" s="816" t="s">
        <v>211</v>
      </c>
      <c r="N9" s="816" t="s">
        <v>211</v>
      </c>
      <c r="O9" s="816" t="s">
        <v>211</v>
      </c>
      <c r="P9" s="816" t="s">
        <v>211</v>
      </c>
      <c r="Q9" s="827" t="s">
        <v>211</v>
      </c>
      <c r="R9" s="88" t="s">
        <v>211</v>
      </c>
      <c r="S9" s="311" t="s">
        <v>211</v>
      </c>
      <c r="T9" s="311" t="s">
        <v>211</v>
      </c>
      <c r="U9" s="818" t="s">
        <v>211</v>
      </c>
      <c r="V9" s="310"/>
      <c r="W9" s="310"/>
      <c r="X9" s="718" t="s">
        <v>165</v>
      </c>
      <c r="Y9" s="719"/>
      <c r="Z9" s="719"/>
      <c r="AI9" s="275">
        <v>0.42708333333333331</v>
      </c>
      <c r="AJ9" s="310"/>
      <c r="AK9" s="310" t="s">
        <v>207</v>
      </c>
    </row>
    <row r="10" spans="1:41" ht="14.5" customHeight="1" thickBot="1" x14ac:dyDescent="0.4">
      <c r="A10" s="822"/>
      <c r="B10" s="824"/>
      <c r="C10" s="90" t="s">
        <v>211</v>
      </c>
      <c r="D10" s="90" t="s">
        <v>211</v>
      </c>
      <c r="E10" s="90" t="s">
        <v>211</v>
      </c>
      <c r="F10" s="168" t="s">
        <v>211</v>
      </c>
      <c r="G10" s="168" t="s">
        <v>211</v>
      </c>
      <c r="H10" s="825"/>
      <c r="I10" s="91" t="s">
        <v>211</v>
      </c>
      <c r="J10" s="90" t="s">
        <v>211</v>
      </c>
      <c r="K10" s="90" t="s">
        <v>211</v>
      </c>
      <c r="L10" s="168" t="s">
        <v>211</v>
      </c>
      <c r="M10" s="829"/>
      <c r="N10" s="829"/>
      <c r="O10" s="829"/>
      <c r="P10" s="829"/>
      <c r="Q10" s="828"/>
      <c r="R10" s="92" t="s">
        <v>211</v>
      </c>
      <c r="S10" s="312" t="s">
        <v>211</v>
      </c>
      <c r="T10" s="312" t="s">
        <v>211</v>
      </c>
      <c r="U10" s="818"/>
      <c r="V10" s="310"/>
      <c r="W10" s="310"/>
      <c r="X10" s="718" t="s">
        <v>166</v>
      </c>
      <c r="Y10" s="719"/>
      <c r="Z10" s="719"/>
      <c r="AI10" s="275">
        <v>0.42986111111111108</v>
      </c>
      <c r="AJ10" s="310"/>
      <c r="AK10" s="310"/>
    </row>
    <row r="11" spans="1:41" ht="14.5" customHeight="1" thickBot="1" x14ac:dyDescent="0.4">
      <c r="A11" s="821" t="s">
        <v>212</v>
      </c>
      <c r="B11" s="823" t="s">
        <v>180</v>
      </c>
      <c r="C11" s="86" t="s">
        <v>41</v>
      </c>
      <c r="D11" s="86">
        <v>11700</v>
      </c>
      <c r="E11" s="86">
        <v>48.25</v>
      </c>
      <c r="F11" s="167">
        <v>677400</v>
      </c>
      <c r="G11" s="167">
        <v>70883</v>
      </c>
      <c r="H11" s="819" t="s">
        <v>55</v>
      </c>
      <c r="I11" s="87">
        <v>14.57</v>
      </c>
      <c r="J11" s="86">
        <v>11700</v>
      </c>
      <c r="K11" s="86">
        <v>48.25</v>
      </c>
      <c r="L11" s="167">
        <v>1760925</v>
      </c>
      <c r="M11" s="816">
        <v>11656.95</v>
      </c>
      <c r="N11" s="816">
        <v>11650</v>
      </c>
      <c r="O11" s="816">
        <v>11727.65</v>
      </c>
      <c r="P11" s="816">
        <v>11780.05</v>
      </c>
      <c r="Q11" s="827">
        <v>11715.65</v>
      </c>
      <c r="R11" s="88" t="e">
        <v>#REF!</v>
      </c>
      <c r="S11" s="311" t="e">
        <v>#REF!</v>
      </c>
      <c r="T11" s="311" t="e">
        <v>#REF!</v>
      </c>
      <c r="U11" s="818" t="e">
        <v>#REF!</v>
      </c>
      <c r="V11" s="310"/>
      <c r="W11" s="310"/>
      <c r="X11" s="718" t="s">
        <v>169</v>
      </c>
      <c r="Y11" s="718"/>
      <c r="Z11" s="718"/>
      <c r="AI11" s="275">
        <v>0.4375</v>
      </c>
      <c r="AJ11" s="310"/>
      <c r="AK11" s="310" t="s">
        <v>207</v>
      </c>
    </row>
    <row r="12" spans="1:41" ht="14.5" customHeight="1" thickBot="1" x14ac:dyDescent="0.4">
      <c r="A12" s="822"/>
      <c r="B12" s="824"/>
      <c r="C12" s="90" t="s">
        <v>42</v>
      </c>
      <c r="D12" s="90">
        <v>11700</v>
      </c>
      <c r="E12" s="90">
        <v>79.7</v>
      </c>
      <c r="F12" s="168">
        <v>182550</v>
      </c>
      <c r="G12" s="168">
        <v>48108</v>
      </c>
      <c r="H12" s="825"/>
      <c r="I12" s="91">
        <v>15.14</v>
      </c>
      <c r="J12" s="90">
        <v>11600</v>
      </c>
      <c r="K12" s="90">
        <v>36.700000000000003</v>
      </c>
      <c r="L12" s="168">
        <v>2053275</v>
      </c>
      <c r="M12" s="829"/>
      <c r="N12" s="829"/>
      <c r="O12" s="829"/>
      <c r="P12" s="829"/>
      <c r="Q12" s="828"/>
      <c r="R12" s="92" t="e">
        <v>#REF!</v>
      </c>
      <c r="S12" s="312" t="e">
        <v>#REF!</v>
      </c>
      <c r="T12" s="312" t="e">
        <v>#REF!</v>
      </c>
      <c r="U12" s="818"/>
      <c r="V12" s="310"/>
      <c r="W12" s="310"/>
      <c r="X12" s="718" t="s">
        <v>167</v>
      </c>
      <c r="Y12" s="718"/>
      <c r="Z12" s="718"/>
      <c r="AI12" s="275">
        <v>0.44027777777777777</v>
      </c>
      <c r="AJ12" s="310"/>
      <c r="AK12" s="310"/>
    </row>
    <row r="13" spans="1:41" ht="14.5" customHeight="1" thickBot="1" x14ac:dyDescent="0.4">
      <c r="A13" s="821" t="s">
        <v>213</v>
      </c>
      <c r="B13" s="823" t="s">
        <v>180</v>
      </c>
      <c r="C13" s="86" t="s">
        <v>41</v>
      </c>
      <c r="D13" s="86">
        <v>11700</v>
      </c>
      <c r="E13" s="86">
        <v>45.4</v>
      </c>
      <c r="F13" s="167">
        <v>822150</v>
      </c>
      <c r="G13" s="167">
        <v>80085</v>
      </c>
      <c r="H13" s="819" t="s">
        <v>55</v>
      </c>
      <c r="I13" s="87">
        <v>14.94</v>
      </c>
      <c r="J13" s="86">
        <v>11700</v>
      </c>
      <c r="K13" s="86">
        <v>45.4</v>
      </c>
      <c r="L13" s="167">
        <v>1905675</v>
      </c>
      <c r="M13" s="816">
        <v>11652.75</v>
      </c>
      <c r="N13" s="816">
        <v>11650</v>
      </c>
      <c r="O13" s="816">
        <v>11720.8</v>
      </c>
      <c r="P13" s="816">
        <v>11780.05</v>
      </c>
      <c r="Q13" s="827">
        <v>11715.65</v>
      </c>
      <c r="R13" s="88" t="e">
        <v>#REF!</v>
      </c>
      <c r="S13" s="311" t="e">
        <v>#REF!</v>
      </c>
      <c r="T13" s="311" t="e">
        <v>#REF!</v>
      </c>
      <c r="U13" s="818" t="e">
        <v>#REF!</v>
      </c>
      <c r="V13" s="310"/>
      <c r="W13" s="310"/>
      <c r="X13" s="718" t="s">
        <v>168</v>
      </c>
      <c r="Y13" s="718"/>
      <c r="Z13" s="718"/>
      <c r="AI13" s="275">
        <v>0.44791666666666669</v>
      </c>
      <c r="AJ13" s="310"/>
      <c r="AK13" s="310" t="s">
        <v>207</v>
      </c>
    </row>
    <row r="14" spans="1:41" ht="14.5" customHeight="1" thickBot="1" x14ac:dyDescent="0.4">
      <c r="A14" s="822"/>
      <c r="B14" s="824"/>
      <c r="C14" s="90" t="s">
        <v>42</v>
      </c>
      <c r="D14" s="90">
        <v>11700</v>
      </c>
      <c r="E14" s="90">
        <v>83.7</v>
      </c>
      <c r="F14" s="168">
        <v>192600</v>
      </c>
      <c r="G14" s="168">
        <v>53583</v>
      </c>
      <c r="H14" s="825"/>
      <c r="I14" s="91">
        <v>14.65</v>
      </c>
      <c r="J14" s="90">
        <v>11600</v>
      </c>
      <c r="K14" s="90">
        <v>38.65</v>
      </c>
      <c r="L14" s="168">
        <v>2072325</v>
      </c>
      <c r="M14" s="829"/>
      <c r="N14" s="829"/>
      <c r="O14" s="829"/>
      <c r="P14" s="829"/>
      <c r="Q14" s="828"/>
      <c r="R14" s="92" t="e">
        <v>#REF!</v>
      </c>
      <c r="S14" s="312" t="e">
        <v>#REF!</v>
      </c>
      <c r="T14" s="312" t="e">
        <v>#REF!</v>
      </c>
      <c r="U14" s="818"/>
      <c r="AI14" s="275">
        <v>0.45069444444444445</v>
      </c>
      <c r="AJ14" s="310"/>
      <c r="AK14" s="310"/>
    </row>
    <row r="15" spans="1:41" ht="14.5" customHeight="1" thickBot="1" x14ac:dyDescent="0.4">
      <c r="A15" s="821" t="s">
        <v>214</v>
      </c>
      <c r="B15" s="823" t="s">
        <v>180</v>
      </c>
      <c r="C15" s="86" t="s">
        <v>41</v>
      </c>
      <c r="D15" s="86">
        <v>11700</v>
      </c>
      <c r="E15" s="86">
        <v>45.95</v>
      </c>
      <c r="F15" s="167">
        <v>950250</v>
      </c>
      <c r="G15" s="167">
        <v>87279</v>
      </c>
      <c r="H15" s="819" t="s">
        <v>55</v>
      </c>
      <c r="I15" s="87">
        <v>14.41</v>
      </c>
      <c r="J15" s="86">
        <v>11700</v>
      </c>
      <c r="K15" s="86">
        <v>45.95</v>
      </c>
      <c r="L15" s="167">
        <v>2033775</v>
      </c>
      <c r="M15" s="816">
        <v>11655.45</v>
      </c>
      <c r="N15" s="816">
        <v>11650</v>
      </c>
      <c r="O15" s="816">
        <v>11722</v>
      </c>
      <c r="P15" s="816">
        <v>11780.05</v>
      </c>
      <c r="Q15" s="827">
        <v>11715.65</v>
      </c>
      <c r="R15" s="88" t="e">
        <v>#REF!</v>
      </c>
      <c r="S15" s="311" t="e">
        <v>#REF!</v>
      </c>
      <c r="T15" s="311" t="e">
        <v>#REF!</v>
      </c>
      <c r="U15" s="818" t="e">
        <v>#REF!</v>
      </c>
      <c r="AI15" s="275">
        <v>0.45833333333333331</v>
      </c>
      <c r="AJ15" s="310"/>
      <c r="AK15" s="310" t="s">
        <v>207</v>
      </c>
    </row>
    <row r="16" spans="1:41" ht="14.5" customHeight="1" thickBot="1" x14ac:dyDescent="0.4">
      <c r="A16" s="822"/>
      <c r="B16" s="824"/>
      <c r="C16" s="90" t="s">
        <v>42</v>
      </c>
      <c r="D16" s="90">
        <v>11700</v>
      </c>
      <c r="E16" s="90">
        <v>80.7</v>
      </c>
      <c r="F16" s="168">
        <v>218400</v>
      </c>
      <c r="G16" s="168">
        <v>58489</v>
      </c>
      <c r="H16" s="825"/>
      <c r="I16" s="91">
        <v>14.93</v>
      </c>
      <c r="J16" s="90">
        <v>11600</v>
      </c>
      <c r="K16" s="90">
        <v>36.799999999999997</v>
      </c>
      <c r="L16" s="168">
        <v>2052525</v>
      </c>
      <c r="M16" s="829"/>
      <c r="N16" s="829"/>
      <c r="O16" s="829"/>
      <c r="P16" s="829"/>
      <c r="Q16" s="828"/>
      <c r="R16" s="92" t="e">
        <v>#REF!</v>
      </c>
      <c r="S16" s="312" t="e">
        <v>#REF!</v>
      </c>
      <c r="T16" s="312" t="e">
        <v>#REF!</v>
      </c>
      <c r="U16" s="818"/>
      <c r="AI16" s="275">
        <v>0.46111111111111108</v>
      </c>
      <c r="AJ16" s="310"/>
      <c r="AK16" s="310"/>
    </row>
    <row r="17" spans="1:37" ht="14.5" customHeight="1" thickBot="1" x14ac:dyDescent="0.4">
      <c r="A17" s="821" t="s">
        <v>215</v>
      </c>
      <c r="B17" s="823" t="s">
        <v>180</v>
      </c>
      <c r="C17" s="86" t="s">
        <v>41</v>
      </c>
      <c r="D17" s="86">
        <v>11700</v>
      </c>
      <c r="E17" s="86">
        <v>42.65</v>
      </c>
      <c r="F17" s="167">
        <v>1034250</v>
      </c>
      <c r="G17" s="167">
        <v>97278</v>
      </c>
      <c r="H17" s="819" t="s">
        <v>55</v>
      </c>
      <c r="I17" s="87">
        <v>14.9</v>
      </c>
      <c r="J17" s="86">
        <v>11700</v>
      </c>
      <c r="K17" s="86">
        <v>42.65</v>
      </c>
      <c r="L17" s="167">
        <v>2117775</v>
      </c>
      <c r="M17" s="816">
        <v>11644.2</v>
      </c>
      <c r="N17" s="816">
        <v>11650</v>
      </c>
      <c r="O17" s="816">
        <v>11711</v>
      </c>
      <c r="P17" s="816">
        <v>11780.05</v>
      </c>
      <c r="Q17" s="827">
        <v>11705.05</v>
      </c>
      <c r="R17" s="88" t="e">
        <v>#REF!</v>
      </c>
      <c r="S17" s="311" t="e">
        <v>#REF!</v>
      </c>
      <c r="T17" s="311" t="e">
        <v>#REF!</v>
      </c>
      <c r="U17" s="818" t="e">
        <v>#REF!</v>
      </c>
      <c r="AI17" s="275">
        <v>0.46875</v>
      </c>
      <c r="AJ17" s="310"/>
      <c r="AK17" s="310" t="s">
        <v>207</v>
      </c>
    </row>
    <row r="18" spans="1:37" ht="14.5" customHeight="1" thickBot="1" x14ac:dyDescent="0.4">
      <c r="A18" s="822"/>
      <c r="B18" s="824"/>
      <c r="C18" s="90" t="s">
        <v>42</v>
      </c>
      <c r="D18" s="90">
        <v>11700</v>
      </c>
      <c r="E18" s="90">
        <v>87.7</v>
      </c>
      <c r="F18" s="168">
        <v>196125</v>
      </c>
      <c r="G18" s="168">
        <v>66325</v>
      </c>
      <c r="H18" s="825"/>
      <c r="I18" s="91">
        <v>14.03</v>
      </c>
      <c r="J18" s="90">
        <v>11600</v>
      </c>
      <c r="K18" s="90">
        <v>40.5</v>
      </c>
      <c r="L18" s="168">
        <v>2031300</v>
      </c>
      <c r="M18" s="829"/>
      <c r="N18" s="829"/>
      <c r="O18" s="829"/>
      <c r="P18" s="829"/>
      <c r="Q18" s="828"/>
      <c r="R18" s="92" t="e">
        <v>#REF!</v>
      </c>
      <c r="S18" s="312" t="e">
        <v>#REF!</v>
      </c>
      <c r="T18" s="312" t="e">
        <v>#REF!</v>
      </c>
      <c r="U18" s="818"/>
      <c r="AI18" s="275">
        <v>0.47152777777777777</v>
      </c>
      <c r="AJ18" s="310"/>
      <c r="AK18" s="310"/>
    </row>
    <row r="19" spans="1:37" ht="14.5" customHeight="1" thickBot="1" x14ac:dyDescent="0.4">
      <c r="A19" s="821" t="s">
        <v>216</v>
      </c>
      <c r="B19" s="823" t="s">
        <v>180</v>
      </c>
      <c r="C19" s="86" t="s">
        <v>41</v>
      </c>
      <c r="D19" s="86">
        <v>11700</v>
      </c>
      <c r="E19" s="86">
        <v>45</v>
      </c>
      <c r="F19" s="167">
        <v>1060650</v>
      </c>
      <c r="G19" s="167">
        <v>104256</v>
      </c>
      <c r="H19" s="819" t="s">
        <v>55</v>
      </c>
      <c r="I19" s="87">
        <v>15.12</v>
      </c>
      <c r="J19" s="86">
        <v>11700</v>
      </c>
      <c r="K19" s="86">
        <v>45</v>
      </c>
      <c r="L19" s="167">
        <v>2144175</v>
      </c>
      <c r="M19" s="816">
        <v>11646.1</v>
      </c>
      <c r="N19" s="816">
        <v>11650</v>
      </c>
      <c r="O19" s="816">
        <v>11717</v>
      </c>
      <c r="P19" s="816">
        <v>11780.05</v>
      </c>
      <c r="Q19" s="827">
        <v>11705.05</v>
      </c>
      <c r="R19" s="88" t="e">
        <v>#REF!</v>
      </c>
      <c r="S19" s="311" t="e">
        <v>#REF!</v>
      </c>
      <c r="T19" s="311" t="e">
        <v>#REF!</v>
      </c>
      <c r="U19" s="818" t="e">
        <v>#REF!</v>
      </c>
      <c r="AI19" s="275">
        <v>0.47916666666666669</v>
      </c>
      <c r="AJ19" s="310"/>
      <c r="AK19" s="310" t="s">
        <v>207</v>
      </c>
    </row>
    <row r="20" spans="1:37" ht="14.5" customHeight="1" thickBot="1" x14ac:dyDescent="0.4">
      <c r="A20" s="822"/>
      <c r="B20" s="824"/>
      <c r="C20" s="90" t="s">
        <v>42</v>
      </c>
      <c r="D20" s="90">
        <v>11700</v>
      </c>
      <c r="E20" s="90">
        <v>82.8</v>
      </c>
      <c r="F20" s="168">
        <v>218625</v>
      </c>
      <c r="G20" s="168">
        <v>71125</v>
      </c>
      <c r="H20" s="825"/>
      <c r="I20" s="91">
        <v>14.48</v>
      </c>
      <c r="J20" s="90">
        <v>11600</v>
      </c>
      <c r="K20" s="90">
        <v>37.950000000000003</v>
      </c>
      <c r="L20" s="168">
        <v>2014575</v>
      </c>
      <c r="M20" s="829"/>
      <c r="N20" s="829"/>
      <c r="O20" s="829"/>
      <c r="P20" s="829"/>
      <c r="Q20" s="828"/>
      <c r="R20" s="92" t="e">
        <v>#REF!</v>
      </c>
      <c r="S20" s="312" t="e">
        <v>#REF!</v>
      </c>
      <c r="T20" s="312" t="e">
        <v>#REF!</v>
      </c>
      <c r="U20" s="818"/>
      <c r="AI20" s="275">
        <v>0.48194444444444445</v>
      </c>
      <c r="AJ20" s="310"/>
      <c r="AK20" s="310"/>
    </row>
    <row r="21" spans="1:37" ht="14.5" customHeight="1" thickBot="1" x14ac:dyDescent="0.4">
      <c r="A21" s="821" t="s">
        <v>217</v>
      </c>
      <c r="B21" s="823" t="s">
        <v>180</v>
      </c>
      <c r="C21" s="86" t="s">
        <v>41</v>
      </c>
      <c r="D21" s="86">
        <v>11700</v>
      </c>
      <c r="E21" s="86">
        <v>43.5</v>
      </c>
      <c r="F21" s="167">
        <v>1111275</v>
      </c>
      <c r="G21" s="167">
        <v>110499</v>
      </c>
      <c r="H21" s="819" t="s">
        <v>55</v>
      </c>
      <c r="I21" s="87">
        <v>15.35</v>
      </c>
      <c r="J21" s="86">
        <v>11700</v>
      </c>
      <c r="K21" s="86">
        <v>43.5</v>
      </c>
      <c r="L21" s="167">
        <v>2194800</v>
      </c>
      <c r="M21" s="816">
        <v>11637.2</v>
      </c>
      <c r="N21" s="816">
        <v>11650</v>
      </c>
      <c r="O21" s="816">
        <v>11712.25</v>
      </c>
      <c r="P21" s="816">
        <v>11780.05</v>
      </c>
      <c r="Q21" s="827">
        <v>11705.05</v>
      </c>
      <c r="R21" s="88" t="e">
        <v>#REF!</v>
      </c>
      <c r="S21" s="311" t="e">
        <v>#REF!</v>
      </c>
      <c r="T21" s="311" t="e">
        <v>#REF!</v>
      </c>
      <c r="U21" s="818" t="e">
        <v>#REF!</v>
      </c>
      <c r="AI21" s="275">
        <v>0.48958333333333331</v>
      </c>
      <c r="AJ21" s="310"/>
      <c r="AK21" s="310" t="s">
        <v>207</v>
      </c>
    </row>
    <row r="22" spans="1:37" ht="14.5" customHeight="1" thickBot="1" x14ac:dyDescent="0.4">
      <c r="A22" s="822"/>
      <c r="B22" s="824"/>
      <c r="C22" s="90" t="s">
        <v>42</v>
      </c>
      <c r="D22" s="90">
        <v>11700</v>
      </c>
      <c r="E22" s="90">
        <v>86.35</v>
      </c>
      <c r="F22" s="168">
        <v>220575</v>
      </c>
      <c r="G22" s="168">
        <v>74866</v>
      </c>
      <c r="H22" s="825"/>
      <c r="I22" s="91">
        <v>14.04</v>
      </c>
      <c r="J22" s="90">
        <v>11600</v>
      </c>
      <c r="K22" s="90">
        <v>40.049999999999997</v>
      </c>
      <c r="L22" s="168">
        <v>2021250</v>
      </c>
      <c r="M22" s="829"/>
      <c r="N22" s="829"/>
      <c r="O22" s="829"/>
      <c r="P22" s="829"/>
      <c r="Q22" s="828"/>
      <c r="R22" s="92" t="e">
        <v>#REF!</v>
      </c>
      <c r="S22" s="312" t="e">
        <v>#REF!</v>
      </c>
      <c r="T22" s="312" t="e">
        <v>#REF!</v>
      </c>
      <c r="U22" s="818"/>
      <c r="AI22" s="275">
        <v>0.49236111111111108</v>
      </c>
      <c r="AJ22" s="310"/>
      <c r="AK22" s="310"/>
    </row>
    <row r="23" spans="1:37" ht="14.5" customHeight="1" thickBot="1" x14ac:dyDescent="0.4">
      <c r="A23" s="821" t="s">
        <v>218</v>
      </c>
      <c r="B23" s="823" t="s">
        <v>180</v>
      </c>
      <c r="C23" s="86" t="s">
        <v>41</v>
      </c>
      <c r="D23" s="86">
        <v>11700</v>
      </c>
      <c r="E23" s="86">
        <v>38.9</v>
      </c>
      <c r="F23" s="167">
        <v>1183125</v>
      </c>
      <c r="G23" s="167">
        <v>123588</v>
      </c>
      <c r="H23" s="819" t="s">
        <v>55</v>
      </c>
      <c r="I23" s="87">
        <v>15.63</v>
      </c>
      <c r="J23" s="86">
        <v>11700</v>
      </c>
      <c r="K23" s="86">
        <v>38.9</v>
      </c>
      <c r="L23" s="167">
        <v>2266650</v>
      </c>
      <c r="M23" s="816">
        <v>11628.3</v>
      </c>
      <c r="N23" s="816">
        <v>11650</v>
      </c>
      <c r="O23" s="816">
        <v>11699.8</v>
      </c>
      <c r="P23" s="816">
        <v>11780.05</v>
      </c>
      <c r="Q23" s="827">
        <v>11683.2</v>
      </c>
      <c r="R23" s="88" t="e">
        <v>#REF!</v>
      </c>
      <c r="S23" s="311" t="e">
        <v>#REF!</v>
      </c>
      <c r="T23" s="311" t="e">
        <v>#REF!</v>
      </c>
      <c r="U23" s="818" t="e">
        <v>#REF!</v>
      </c>
      <c r="AI23" s="275">
        <v>0.5</v>
      </c>
      <c r="AJ23" s="310"/>
      <c r="AK23" s="310" t="s">
        <v>207</v>
      </c>
    </row>
    <row r="24" spans="1:37" ht="14.5" customHeight="1" thickBot="1" x14ac:dyDescent="0.4">
      <c r="A24" s="822"/>
      <c r="B24" s="824"/>
      <c r="C24" s="90" t="s">
        <v>42</v>
      </c>
      <c r="D24" s="90">
        <v>11500</v>
      </c>
      <c r="E24" s="90">
        <v>17.5</v>
      </c>
      <c r="F24" s="168">
        <v>202800</v>
      </c>
      <c r="G24" s="168">
        <v>50436</v>
      </c>
      <c r="H24" s="830"/>
      <c r="I24" s="91">
        <v>15.35</v>
      </c>
      <c r="J24" s="90">
        <v>11600</v>
      </c>
      <c r="K24" s="90">
        <v>43.85</v>
      </c>
      <c r="L24" s="168">
        <v>2005500</v>
      </c>
      <c r="M24" s="829"/>
      <c r="N24" s="829"/>
      <c r="O24" s="829"/>
      <c r="P24" s="829"/>
      <c r="Q24" s="828"/>
      <c r="R24" s="92" t="e">
        <v>#REF!</v>
      </c>
      <c r="S24" s="312" t="e">
        <v>#REF!</v>
      </c>
      <c r="T24" s="312" t="e">
        <v>#REF!</v>
      </c>
      <c r="U24" s="818"/>
      <c r="AI24" s="275">
        <v>0.50277777777777777</v>
      </c>
      <c r="AJ24" s="310"/>
      <c r="AK24" s="310"/>
    </row>
    <row r="25" spans="1:37" ht="14.5" customHeight="1" thickBot="1" x14ac:dyDescent="0.4">
      <c r="A25" s="821" t="s">
        <v>219</v>
      </c>
      <c r="B25" s="823" t="s">
        <v>180</v>
      </c>
      <c r="C25" s="86" t="s">
        <v>41</v>
      </c>
      <c r="D25" s="86">
        <v>11700</v>
      </c>
      <c r="E25" s="86">
        <v>38.5</v>
      </c>
      <c r="F25" s="167">
        <v>1273125</v>
      </c>
      <c r="G25" s="167">
        <v>132836</v>
      </c>
      <c r="H25" s="819" t="s">
        <v>55</v>
      </c>
      <c r="I25" s="87">
        <v>15.59</v>
      </c>
      <c r="J25" s="86">
        <v>11700</v>
      </c>
      <c r="K25" s="86">
        <v>38.5</v>
      </c>
      <c r="L25" s="167">
        <v>2356650</v>
      </c>
      <c r="M25" s="816">
        <v>11627.05</v>
      </c>
      <c r="N25" s="816">
        <v>11650</v>
      </c>
      <c r="O25" s="816">
        <v>11698.5</v>
      </c>
      <c r="P25" s="816">
        <v>11780.05</v>
      </c>
      <c r="Q25" s="827">
        <v>11683.2</v>
      </c>
      <c r="R25" s="88" t="e">
        <v>#REF!</v>
      </c>
      <c r="S25" s="311" t="e">
        <v>#REF!</v>
      </c>
      <c r="T25" s="311" t="e">
        <v>#REF!</v>
      </c>
      <c r="U25" s="818" t="e">
        <v>#REF!</v>
      </c>
      <c r="AI25" s="275">
        <v>0.51041666666666663</v>
      </c>
      <c r="AJ25" s="310"/>
      <c r="AK25" s="310" t="s">
        <v>207</v>
      </c>
    </row>
    <row r="26" spans="1:37" ht="14.5" customHeight="1" thickBot="1" x14ac:dyDescent="0.4">
      <c r="A26" s="822"/>
      <c r="B26" s="824"/>
      <c r="C26" s="90" t="s">
        <v>42</v>
      </c>
      <c r="D26" s="90">
        <v>11500</v>
      </c>
      <c r="E26" s="90">
        <v>18.100000000000001</v>
      </c>
      <c r="F26" s="168">
        <v>206025</v>
      </c>
      <c r="G26" s="168">
        <v>54623</v>
      </c>
      <c r="H26" s="830"/>
      <c r="I26" s="91">
        <v>15.21</v>
      </c>
      <c r="J26" s="90">
        <v>11600</v>
      </c>
      <c r="K26" s="90">
        <v>44.55</v>
      </c>
      <c r="L26" s="168">
        <v>2009325</v>
      </c>
      <c r="M26" s="829"/>
      <c r="N26" s="829"/>
      <c r="O26" s="829"/>
      <c r="P26" s="829"/>
      <c r="Q26" s="828"/>
      <c r="R26" s="92" t="e">
        <v>#REF!</v>
      </c>
      <c r="S26" s="312" t="e">
        <v>#REF!</v>
      </c>
      <c r="T26" s="312" t="e">
        <v>#REF!</v>
      </c>
      <c r="U26" s="818"/>
      <c r="AI26" s="275">
        <v>0.5131944444444444</v>
      </c>
      <c r="AJ26" s="310"/>
      <c r="AK26" s="310"/>
    </row>
    <row r="27" spans="1:37" ht="14.5" customHeight="1" thickBot="1" x14ac:dyDescent="0.4">
      <c r="A27" s="821" t="s">
        <v>220</v>
      </c>
      <c r="B27" s="823" t="s">
        <v>180</v>
      </c>
      <c r="C27" s="86" t="s">
        <v>41</v>
      </c>
      <c r="D27" s="86">
        <v>11700</v>
      </c>
      <c r="E27" s="86">
        <v>41.5</v>
      </c>
      <c r="F27" s="167">
        <v>1330575</v>
      </c>
      <c r="G27" s="167">
        <v>141823</v>
      </c>
      <c r="H27" s="819" t="s">
        <v>55</v>
      </c>
      <c r="I27" s="87">
        <v>15.57</v>
      </c>
      <c r="J27" s="86">
        <v>11700</v>
      </c>
      <c r="K27" s="86">
        <v>41.5</v>
      </c>
      <c r="L27" s="167">
        <v>2414100</v>
      </c>
      <c r="M27" s="816">
        <v>11635.2</v>
      </c>
      <c r="N27" s="816">
        <v>11650</v>
      </c>
      <c r="O27" s="816">
        <v>11710.85</v>
      </c>
      <c r="P27" s="816">
        <v>11780.05</v>
      </c>
      <c r="Q27" s="827">
        <v>11683.2</v>
      </c>
      <c r="R27" s="88" t="e">
        <v>#REF!</v>
      </c>
      <c r="S27" s="311" t="e">
        <v>#REF!</v>
      </c>
      <c r="T27" s="311" t="e">
        <v>#REF!</v>
      </c>
      <c r="U27" s="818" t="e">
        <v>#REF!</v>
      </c>
      <c r="AI27" s="275">
        <v>0.52083333333333337</v>
      </c>
      <c r="AJ27" s="310"/>
      <c r="AK27" s="310" t="s">
        <v>207</v>
      </c>
    </row>
    <row r="28" spans="1:37" ht="14.5" customHeight="1" thickBot="1" x14ac:dyDescent="0.4">
      <c r="A28" s="822"/>
      <c r="B28" s="824"/>
      <c r="C28" s="90" t="s">
        <v>42</v>
      </c>
      <c r="D28" s="90">
        <v>11500</v>
      </c>
      <c r="E28" s="90">
        <v>16.149999999999999</v>
      </c>
      <c r="F28" s="168">
        <v>241800</v>
      </c>
      <c r="G28" s="168">
        <v>59677</v>
      </c>
      <c r="H28" s="830"/>
      <c r="I28" s="91">
        <v>15.37</v>
      </c>
      <c r="J28" s="90">
        <v>11600</v>
      </c>
      <c r="K28" s="90">
        <v>41</v>
      </c>
      <c r="L28" s="168">
        <v>2006925</v>
      </c>
      <c r="M28" s="829"/>
      <c r="N28" s="829"/>
      <c r="O28" s="829"/>
      <c r="P28" s="829"/>
      <c r="Q28" s="828"/>
      <c r="R28" s="92" t="e">
        <v>#REF!</v>
      </c>
      <c r="S28" s="312" t="e">
        <v>#REF!</v>
      </c>
      <c r="T28" s="312" t="e">
        <v>#REF!</v>
      </c>
      <c r="U28" s="818"/>
      <c r="AI28" s="275">
        <v>0.52361111111111114</v>
      </c>
      <c r="AJ28" s="310"/>
      <c r="AK28" s="310"/>
    </row>
    <row r="29" spans="1:37" ht="15" thickBot="1" x14ac:dyDescent="0.4">
      <c r="A29" s="821" t="s">
        <v>211</v>
      </c>
      <c r="B29" s="823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819" t="s">
        <v>211</v>
      </c>
      <c r="I29" s="87" t="s">
        <v>211</v>
      </c>
      <c r="J29" s="86" t="s">
        <v>211</v>
      </c>
      <c r="K29" s="86" t="s">
        <v>211</v>
      </c>
      <c r="L29" s="167" t="s">
        <v>211</v>
      </c>
      <c r="M29" s="816" t="s">
        <v>211</v>
      </c>
      <c r="N29" s="816" t="s">
        <v>211</v>
      </c>
      <c r="O29" s="816" t="s">
        <v>211</v>
      </c>
      <c r="P29" s="816" t="s">
        <v>211</v>
      </c>
      <c r="Q29" s="827" t="s">
        <v>211</v>
      </c>
      <c r="R29" s="88" t="s">
        <v>211</v>
      </c>
      <c r="S29" s="311" t="s">
        <v>211</v>
      </c>
      <c r="T29" s="311" t="s">
        <v>211</v>
      </c>
      <c r="U29" s="826" t="s">
        <v>211</v>
      </c>
      <c r="AI29" s="275">
        <v>0.53125</v>
      </c>
      <c r="AK29" s="310" t="s">
        <v>207</v>
      </c>
    </row>
    <row r="30" spans="1:37" ht="15" thickBot="1" x14ac:dyDescent="0.4">
      <c r="A30" s="822"/>
      <c r="B30" s="824"/>
      <c r="C30" s="90" t="s">
        <v>211</v>
      </c>
      <c r="D30" s="90" t="s">
        <v>211</v>
      </c>
      <c r="E30" s="90" t="s">
        <v>211</v>
      </c>
      <c r="F30" s="168" t="s">
        <v>211</v>
      </c>
      <c r="G30" s="168" t="s">
        <v>211</v>
      </c>
      <c r="H30" s="830"/>
      <c r="I30" s="91" t="s">
        <v>211</v>
      </c>
      <c r="J30" s="90" t="s">
        <v>211</v>
      </c>
      <c r="K30" s="90" t="s">
        <v>211</v>
      </c>
      <c r="L30" s="168" t="s">
        <v>211</v>
      </c>
      <c r="M30" s="829"/>
      <c r="N30" s="829"/>
      <c r="O30" s="829"/>
      <c r="P30" s="829"/>
      <c r="Q30" s="828"/>
      <c r="R30" s="92" t="s">
        <v>211</v>
      </c>
      <c r="S30" s="312" t="s">
        <v>211</v>
      </c>
      <c r="T30" s="312" t="s">
        <v>211</v>
      </c>
      <c r="U30" s="826"/>
      <c r="AI30" s="275">
        <v>0.53402777777777777</v>
      </c>
      <c r="AK30" s="310"/>
    </row>
    <row r="31" spans="1:37" ht="15" thickBot="1" x14ac:dyDescent="0.4">
      <c r="A31" s="821" t="s">
        <v>211</v>
      </c>
      <c r="B31" s="823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19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16" t="s">
        <v>211</v>
      </c>
      <c r="N31" s="816" t="s">
        <v>211</v>
      </c>
      <c r="O31" s="816" t="s">
        <v>211</v>
      </c>
      <c r="P31" s="816" t="s">
        <v>211</v>
      </c>
      <c r="Q31" s="827" t="s">
        <v>211</v>
      </c>
      <c r="R31" s="88" t="s">
        <v>211</v>
      </c>
      <c r="S31" s="311" t="s">
        <v>211</v>
      </c>
      <c r="T31" s="311" t="s">
        <v>211</v>
      </c>
      <c r="U31" s="826" t="s">
        <v>211</v>
      </c>
      <c r="AI31" s="275">
        <v>0.54166666666666663</v>
      </c>
      <c r="AK31" s="310" t="s">
        <v>207</v>
      </c>
    </row>
    <row r="32" spans="1:37" ht="15" thickBot="1" x14ac:dyDescent="0.4">
      <c r="A32" s="822"/>
      <c r="B32" s="824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30"/>
      <c r="I32" s="91" t="s">
        <v>211</v>
      </c>
      <c r="J32" s="90" t="s">
        <v>211</v>
      </c>
      <c r="K32" s="90" t="s">
        <v>211</v>
      </c>
      <c r="L32" s="168" t="s">
        <v>211</v>
      </c>
      <c r="M32" s="829"/>
      <c r="N32" s="829"/>
      <c r="O32" s="829"/>
      <c r="P32" s="829"/>
      <c r="Q32" s="828"/>
      <c r="R32" s="92" t="s">
        <v>211</v>
      </c>
      <c r="S32" s="312" t="s">
        <v>211</v>
      </c>
      <c r="T32" s="312" t="s">
        <v>211</v>
      </c>
      <c r="U32" s="826"/>
      <c r="AI32" s="275">
        <v>0.5444444444444444</v>
      </c>
      <c r="AK32" s="310"/>
    </row>
    <row r="33" spans="1:37" ht="15" thickBot="1" x14ac:dyDescent="0.4">
      <c r="A33" s="821" t="s">
        <v>221</v>
      </c>
      <c r="B33" s="823" t="s">
        <v>180</v>
      </c>
      <c r="C33" s="86" t="s">
        <v>41</v>
      </c>
      <c r="D33" s="86">
        <v>11700</v>
      </c>
      <c r="E33" s="86">
        <v>37.200000000000003</v>
      </c>
      <c r="F33" s="167">
        <v>1418250</v>
      </c>
      <c r="G33" s="167">
        <v>165425</v>
      </c>
      <c r="H33" s="819" t="s">
        <v>55</v>
      </c>
      <c r="I33" s="87">
        <v>15.53</v>
      </c>
      <c r="J33" s="86">
        <v>11700</v>
      </c>
      <c r="K33" s="86">
        <v>37.200000000000003</v>
      </c>
      <c r="L33" s="167">
        <v>2501775</v>
      </c>
      <c r="M33" s="816">
        <v>11622.4</v>
      </c>
      <c r="N33" s="816">
        <v>11650</v>
      </c>
      <c r="O33" s="816">
        <v>11693.55</v>
      </c>
      <c r="P33" s="816">
        <v>11780.05</v>
      </c>
      <c r="Q33" s="827">
        <v>11683.2</v>
      </c>
      <c r="R33" s="88" t="e">
        <v>#REF!</v>
      </c>
      <c r="S33" s="311" t="e">
        <v>#REF!</v>
      </c>
      <c r="T33" s="311" t="e">
        <v>#REF!</v>
      </c>
      <c r="U33" s="826" t="e">
        <v>#REF!</v>
      </c>
      <c r="AI33" s="275">
        <v>0.55208333333333337</v>
      </c>
      <c r="AK33" s="310" t="s">
        <v>207</v>
      </c>
    </row>
    <row r="34" spans="1:37" ht="15" thickBot="1" x14ac:dyDescent="0.4">
      <c r="A34" s="822"/>
      <c r="B34" s="824"/>
      <c r="C34" s="90" t="s">
        <v>42</v>
      </c>
      <c r="D34" s="90">
        <v>11500</v>
      </c>
      <c r="E34" s="90">
        <v>17.600000000000001</v>
      </c>
      <c r="F34" s="168">
        <v>284700</v>
      </c>
      <c r="G34" s="168">
        <v>68414</v>
      </c>
      <c r="H34" s="830"/>
      <c r="I34" s="91">
        <v>15.14</v>
      </c>
      <c r="J34" s="90">
        <v>11600</v>
      </c>
      <c r="K34" s="90">
        <v>45</v>
      </c>
      <c r="L34" s="168">
        <v>1965450</v>
      </c>
      <c r="M34" s="829"/>
      <c r="N34" s="829"/>
      <c r="O34" s="829"/>
      <c r="P34" s="829"/>
      <c r="Q34" s="828"/>
      <c r="R34" s="92" t="e">
        <v>#REF!</v>
      </c>
      <c r="S34" s="312" t="e">
        <v>#REF!</v>
      </c>
      <c r="T34" s="312" t="e">
        <v>#REF!</v>
      </c>
      <c r="U34" s="826"/>
      <c r="AI34" s="275">
        <v>0.55486111111111114</v>
      </c>
      <c r="AK34" s="310"/>
    </row>
    <row r="35" spans="1:37" ht="15" thickBot="1" x14ac:dyDescent="0.4">
      <c r="A35" s="821" t="s">
        <v>222</v>
      </c>
      <c r="B35" s="823" t="s">
        <v>180</v>
      </c>
      <c r="C35" s="86" t="s">
        <v>41</v>
      </c>
      <c r="D35" s="86">
        <v>11700</v>
      </c>
      <c r="E35" s="86">
        <v>31.55</v>
      </c>
      <c r="F35" s="167">
        <v>1410300</v>
      </c>
      <c r="G35" s="167">
        <v>181621</v>
      </c>
      <c r="H35" s="819" t="s">
        <v>55</v>
      </c>
      <c r="I35" s="87">
        <v>15.62</v>
      </c>
      <c r="J35" s="86">
        <v>11700</v>
      </c>
      <c r="K35" s="86">
        <v>31.55</v>
      </c>
      <c r="L35" s="167">
        <v>2493825</v>
      </c>
      <c r="M35" s="816">
        <v>11598.7</v>
      </c>
      <c r="N35" s="816">
        <v>11650</v>
      </c>
      <c r="O35" s="816">
        <v>11670.25</v>
      </c>
      <c r="P35" s="816">
        <v>11780.05</v>
      </c>
      <c r="Q35" s="827">
        <v>11667.1</v>
      </c>
      <c r="R35" s="88" t="e">
        <v>#REF!</v>
      </c>
      <c r="S35" s="311" t="e">
        <v>#REF!</v>
      </c>
      <c r="T35" s="311" t="e">
        <v>#REF!</v>
      </c>
      <c r="U35" s="826" t="e">
        <v>#REF!</v>
      </c>
      <c r="AI35" s="275">
        <v>0.5625</v>
      </c>
      <c r="AK35" s="310" t="s">
        <v>207</v>
      </c>
    </row>
    <row r="36" spans="1:37" ht="15" thickBot="1" x14ac:dyDescent="0.4">
      <c r="A36" s="822"/>
      <c r="B36" s="824"/>
      <c r="C36" s="90" t="s">
        <v>42</v>
      </c>
      <c r="D36" s="90">
        <v>11500</v>
      </c>
      <c r="E36" s="90">
        <v>19.95</v>
      </c>
      <c r="F36" s="168">
        <v>300825</v>
      </c>
      <c r="G36" s="168">
        <v>74832</v>
      </c>
      <c r="H36" s="830"/>
      <c r="I36" s="91">
        <v>14.98</v>
      </c>
      <c r="J36" s="90">
        <v>11600</v>
      </c>
      <c r="K36" s="90">
        <v>51</v>
      </c>
      <c r="L36" s="168">
        <v>1859475</v>
      </c>
      <c r="M36" s="829"/>
      <c r="N36" s="829"/>
      <c r="O36" s="829"/>
      <c r="P36" s="829"/>
      <c r="Q36" s="828"/>
      <c r="R36" s="92" t="e">
        <v>#REF!</v>
      </c>
      <c r="S36" s="312" t="e">
        <v>#REF!</v>
      </c>
      <c r="T36" s="312" t="e">
        <v>#REF!</v>
      </c>
      <c r="U36" s="826"/>
      <c r="AI36" s="275">
        <v>0.56527777777777777</v>
      </c>
      <c r="AK36" s="310"/>
    </row>
    <row r="37" spans="1:37" ht="15" thickBot="1" x14ac:dyDescent="0.4">
      <c r="A37" s="821" t="s">
        <v>223</v>
      </c>
      <c r="B37" s="823" t="s">
        <v>180</v>
      </c>
      <c r="C37" s="86" t="s">
        <v>41</v>
      </c>
      <c r="D37" s="86">
        <v>11700</v>
      </c>
      <c r="E37" s="86">
        <v>25.3</v>
      </c>
      <c r="F37" s="167">
        <v>1524750</v>
      </c>
      <c r="G37" s="167">
        <v>211746</v>
      </c>
      <c r="H37" s="819" t="s">
        <v>55</v>
      </c>
      <c r="I37" s="87">
        <v>14.81</v>
      </c>
      <c r="J37" s="86">
        <v>11700</v>
      </c>
      <c r="K37" s="86">
        <v>25.3</v>
      </c>
      <c r="L37" s="167">
        <v>2608275</v>
      </c>
      <c r="M37" s="816">
        <v>11591.95</v>
      </c>
      <c r="N37" s="816">
        <v>11650</v>
      </c>
      <c r="O37" s="816">
        <v>11657.4</v>
      </c>
      <c r="P37" s="816">
        <v>11780.05</v>
      </c>
      <c r="Q37" s="827">
        <v>11652</v>
      </c>
      <c r="R37" s="88" t="e">
        <v>#REF!</v>
      </c>
      <c r="S37" s="311" t="e">
        <v>#REF!</v>
      </c>
      <c r="T37" s="311" t="e">
        <v>#REF!</v>
      </c>
      <c r="U37" s="826" t="e">
        <v>#REF!</v>
      </c>
      <c r="AI37" s="275">
        <v>0.57291666666666663</v>
      </c>
      <c r="AK37" s="310" t="s">
        <v>207</v>
      </c>
    </row>
    <row r="38" spans="1:37" ht="15" thickBot="1" x14ac:dyDescent="0.4">
      <c r="A38" s="822"/>
      <c r="B38" s="824"/>
      <c r="C38" s="90" t="s">
        <v>42</v>
      </c>
      <c r="D38" s="90">
        <v>11500</v>
      </c>
      <c r="E38" s="90">
        <v>22.4</v>
      </c>
      <c r="F38" s="168">
        <v>306450</v>
      </c>
      <c r="G38" s="168">
        <v>92981</v>
      </c>
      <c r="H38" s="830"/>
      <c r="I38" s="91">
        <v>15.34</v>
      </c>
      <c r="J38" s="90">
        <v>11600</v>
      </c>
      <c r="K38" s="90">
        <v>55.65</v>
      </c>
      <c r="L38" s="168">
        <v>1654575</v>
      </c>
      <c r="M38" s="829"/>
      <c r="N38" s="829"/>
      <c r="O38" s="829"/>
      <c r="P38" s="829"/>
      <c r="Q38" s="828"/>
      <c r="R38" s="92" t="e">
        <v>#REF!</v>
      </c>
      <c r="S38" s="312" t="e">
        <v>#REF!</v>
      </c>
      <c r="T38" s="312" t="e">
        <v>#REF!</v>
      </c>
      <c r="U38" s="826"/>
      <c r="AI38" s="275">
        <v>0.5756944444444444</v>
      </c>
      <c r="AK38" s="310"/>
    </row>
    <row r="39" spans="1:37" ht="15" thickBot="1" x14ac:dyDescent="0.4">
      <c r="A39" s="821" t="s">
        <v>224</v>
      </c>
      <c r="B39" s="823" t="s">
        <v>180</v>
      </c>
      <c r="C39" s="86" t="s">
        <v>41</v>
      </c>
      <c r="D39" s="86">
        <v>11700</v>
      </c>
      <c r="E39" s="86">
        <v>23.45</v>
      </c>
      <c r="F39" s="167">
        <v>1590900</v>
      </c>
      <c r="G39" s="167">
        <v>223359</v>
      </c>
      <c r="H39" s="819" t="s">
        <v>55</v>
      </c>
      <c r="I39" s="87">
        <v>14.92</v>
      </c>
      <c r="J39" s="86">
        <v>11700</v>
      </c>
      <c r="K39" s="86">
        <v>23.45</v>
      </c>
      <c r="L39" s="167">
        <v>2674425</v>
      </c>
      <c r="M39" s="816">
        <v>11581.8</v>
      </c>
      <c r="N39" s="816">
        <v>11650</v>
      </c>
      <c r="O39" s="816">
        <v>11653</v>
      </c>
      <c r="P39" s="816">
        <v>11780.05</v>
      </c>
      <c r="Q39" s="827">
        <v>11652</v>
      </c>
      <c r="R39" s="88" t="e">
        <v>#REF!</v>
      </c>
      <c r="S39" s="311" t="e">
        <v>#REF!</v>
      </c>
      <c r="T39" s="311" t="e">
        <v>#REF!</v>
      </c>
      <c r="U39" s="826" t="e">
        <v>#REF!</v>
      </c>
      <c r="AI39" s="275">
        <v>0.58333333333333337</v>
      </c>
      <c r="AK39" s="310" t="s">
        <v>207</v>
      </c>
    </row>
    <row r="40" spans="1:37" ht="15" thickBot="1" x14ac:dyDescent="0.4">
      <c r="A40" s="822"/>
      <c r="B40" s="824"/>
      <c r="C40" s="90" t="s">
        <v>42</v>
      </c>
      <c r="D40" s="90">
        <v>11500</v>
      </c>
      <c r="E40" s="90">
        <v>25.1</v>
      </c>
      <c r="F40" s="168">
        <v>299250</v>
      </c>
      <c r="G40" s="168">
        <v>98974</v>
      </c>
      <c r="H40" s="825"/>
      <c r="I40" s="91">
        <v>14.72</v>
      </c>
      <c r="J40" s="90">
        <v>11600</v>
      </c>
      <c r="K40" s="90">
        <v>61.15</v>
      </c>
      <c r="L40" s="168">
        <v>1688175</v>
      </c>
      <c r="M40" s="829"/>
      <c r="N40" s="829"/>
      <c r="O40" s="829"/>
      <c r="P40" s="829"/>
      <c r="Q40" s="828"/>
      <c r="R40" s="92" t="e">
        <v>#REF!</v>
      </c>
      <c r="S40" s="312" t="e">
        <v>#REF!</v>
      </c>
      <c r="T40" s="312" t="e">
        <v>#REF!</v>
      </c>
      <c r="U40" s="826"/>
      <c r="AI40" s="275">
        <v>0.58611111111111114</v>
      </c>
      <c r="AK40" s="310"/>
    </row>
    <row r="41" spans="1:37" ht="15" thickBot="1" x14ac:dyDescent="0.4">
      <c r="A41" s="821" t="s">
        <v>225</v>
      </c>
      <c r="B41" s="823" t="s">
        <v>180</v>
      </c>
      <c r="C41" s="86" t="s">
        <v>41</v>
      </c>
      <c r="D41" s="86">
        <v>11700</v>
      </c>
      <c r="E41" s="86">
        <v>24.35</v>
      </c>
      <c r="F41" s="167">
        <v>1644375</v>
      </c>
      <c r="G41" s="167">
        <v>236696</v>
      </c>
      <c r="H41" s="819" t="s">
        <v>55</v>
      </c>
      <c r="I41" s="87">
        <v>14.71</v>
      </c>
      <c r="J41" s="86">
        <v>11700</v>
      </c>
      <c r="K41" s="86">
        <v>24.35</v>
      </c>
      <c r="L41" s="167">
        <v>2727900</v>
      </c>
      <c r="M41" s="816">
        <v>11588.25</v>
      </c>
      <c r="N41" s="816">
        <v>11600</v>
      </c>
      <c r="O41" s="816">
        <v>11660.05</v>
      </c>
      <c r="P41" s="816">
        <v>11780.05</v>
      </c>
      <c r="Q41" s="827">
        <v>11650.15</v>
      </c>
      <c r="R41" s="88" t="e">
        <v>#REF!</v>
      </c>
      <c r="S41" s="311" t="e">
        <v>#REF!</v>
      </c>
      <c r="T41" s="311" t="e">
        <v>#REF!</v>
      </c>
      <c r="U41" s="826" t="e">
        <v>#REF!</v>
      </c>
      <c r="AI41" s="275">
        <v>0.59375</v>
      </c>
      <c r="AK41" s="310" t="s">
        <v>207</v>
      </c>
    </row>
    <row r="42" spans="1:37" ht="15" thickBot="1" x14ac:dyDescent="0.4">
      <c r="A42" s="822"/>
      <c r="B42" s="824"/>
      <c r="C42" s="90" t="s">
        <v>42</v>
      </c>
      <c r="D42" s="90">
        <v>11500</v>
      </c>
      <c r="E42" s="90">
        <v>25</v>
      </c>
      <c r="F42" s="168">
        <v>282600</v>
      </c>
      <c r="G42" s="168">
        <v>108636</v>
      </c>
      <c r="H42" s="825"/>
      <c r="I42" s="91">
        <v>14.68</v>
      </c>
      <c r="J42" s="90">
        <v>11600</v>
      </c>
      <c r="K42" s="90">
        <v>61</v>
      </c>
      <c r="L42" s="168">
        <v>1711950</v>
      </c>
      <c r="M42" s="829"/>
      <c r="N42" s="829"/>
      <c r="O42" s="829"/>
      <c r="P42" s="829"/>
      <c r="Q42" s="828"/>
      <c r="R42" s="92" t="e">
        <v>#REF!</v>
      </c>
      <c r="S42" s="312" t="e">
        <v>#REF!</v>
      </c>
      <c r="T42" s="312" t="e">
        <v>#REF!</v>
      </c>
      <c r="U42" s="826"/>
      <c r="AI42" s="275">
        <v>0.59652777777777777</v>
      </c>
      <c r="AK42" s="310"/>
    </row>
    <row r="43" spans="1:37" ht="15" thickBot="1" x14ac:dyDescent="0.4">
      <c r="A43" s="821" t="s">
        <v>226</v>
      </c>
      <c r="B43" s="823" t="s">
        <v>180</v>
      </c>
      <c r="C43" s="86" t="s">
        <v>41</v>
      </c>
      <c r="D43" s="86">
        <v>11700</v>
      </c>
      <c r="E43" s="86">
        <v>20.7</v>
      </c>
      <c r="F43" s="167">
        <v>1699725</v>
      </c>
      <c r="G43" s="167">
        <v>261005</v>
      </c>
      <c r="H43" s="819" t="s">
        <v>55</v>
      </c>
      <c r="I43" s="87">
        <v>15.1</v>
      </c>
      <c r="J43" s="86">
        <v>11700</v>
      </c>
      <c r="K43" s="86">
        <v>20.7</v>
      </c>
      <c r="L43" s="167">
        <v>2783250</v>
      </c>
      <c r="M43" s="816">
        <v>11564.15</v>
      </c>
      <c r="N43" s="816">
        <v>11600</v>
      </c>
      <c r="O43" s="816">
        <v>11635</v>
      </c>
      <c r="P43" s="816">
        <v>11780.05</v>
      </c>
      <c r="Q43" s="827">
        <v>11625</v>
      </c>
      <c r="R43" s="88" t="e">
        <v>#REF!</v>
      </c>
      <c r="S43" s="311" t="e">
        <v>#REF!</v>
      </c>
      <c r="T43" s="311" t="e">
        <v>#REF!</v>
      </c>
      <c r="U43" s="826" t="e">
        <v>#REF!</v>
      </c>
      <c r="AI43" s="275">
        <v>0.60416666666666663</v>
      </c>
      <c r="AK43" s="310" t="s">
        <v>207</v>
      </c>
    </row>
    <row r="44" spans="1:37" ht="15" thickBot="1" x14ac:dyDescent="0.4">
      <c r="A44" s="822"/>
      <c r="B44" s="824"/>
      <c r="C44" s="90" t="s">
        <v>42</v>
      </c>
      <c r="D44" s="90">
        <v>11600</v>
      </c>
      <c r="E44" s="90">
        <v>64.7</v>
      </c>
      <c r="F44" s="168">
        <v>-434100</v>
      </c>
      <c r="G44" s="168">
        <v>227756</v>
      </c>
      <c r="H44" s="825"/>
      <c r="I44" s="91">
        <v>13.08</v>
      </c>
      <c r="J44" s="90">
        <v>11600</v>
      </c>
      <c r="K44" s="90">
        <v>64.7</v>
      </c>
      <c r="L44" s="168">
        <v>1484325</v>
      </c>
      <c r="M44" s="829"/>
      <c r="N44" s="829"/>
      <c r="O44" s="829"/>
      <c r="P44" s="829"/>
      <c r="Q44" s="828"/>
      <c r="R44" s="92" t="e">
        <v>#REF!</v>
      </c>
      <c r="S44" s="312" t="e">
        <v>#REF!</v>
      </c>
      <c r="T44" s="312" t="e">
        <v>#REF!</v>
      </c>
      <c r="U44" s="826"/>
      <c r="AI44" s="275">
        <v>0.6069444444444444</v>
      </c>
      <c r="AK44" s="310"/>
    </row>
    <row r="45" spans="1:37" ht="15" thickBot="1" x14ac:dyDescent="0.4">
      <c r="A45" s="821" t="s">
        <v>227</v>
      </c>
      <c r="B45" s="823" t="s">
        <v>180</v>
      </c>
      <c r="C45" s="86" t="s">
        <v>41</v>
      </c>
      <c r="D45" s="86">
        <v>11700</v>
      </c>
      <c r="E45" s="86">
        <v>20.2</v>
      </c>
      <c r="F45" s="167">
        <v>1740000</v>
      </c>
      <c r="G45" s="167">
        <v>277539</v>
      </c>
      <c r="H45" s="819" t="s">
        <v>55</v>
      </c>
      <c r="I45" s="87">
        <v>15.64</v>
      </c>
      <c r="J45" s="86">
        <v>11700</v>
      </c>
      <c r="K45" s="86">
        <v>20.2</v>
      </c>
      <c r="L45" s="167">
        <v>2823525</v>
      </c>
      <c r="M45" s="816">
        <v>11556.5</v>
      </c>
      <c r="N45" s="816">
        <v>11600</v>
      </c>
      <c r="O45" s="816">
        <v>11633.75</v>
      </c>
      <c r="P45" s="816">
        <v>11780.05</v>
      </c>
      <c r="Q45" s="827">
        <v>11622.25</v>
      </c>
      <c r="R45" s="88" t="e">
        <v>#REF!</v>
      </c>
      <c r="S45" s="311" t="e">
        <v>#REF!</v>
      </c>
      <c r="T45" s="311" t="e">
        <v>#REF!</v>
      </c>
      <c r="U45" s="826" t="e">
        <v>#REF!</v>
      </c>
      <c r="AI45" s="275">
        <v>0.61458333333333337</v>
      </c>
      <c r="AK45" s="310" t="s">
        <v>207</v>
      </c>
    </row>
    <row r="46" spans="1:37" ht="15" thickBot="1" x14ac:dyDescent="0.4">
      <c r="A46" s="822"/>
      <c r="B46" s="824"/>
      <c r="C46" s="90" t="s">
        <v>42</v>
      </c>
      <c r="D46" s="90">
        <v>11600</v>
      </c>
      <c r="E46" s="90">
        <v>65.099999999999994</v>
      </c>
      <c r="F46" s="168">
        <v>-503625</v>
      </c>
      <c r="G46" s="168">
        <v>241167</v>
      </c>
      <c r="H46" s="825"/>
      <c r="I46" s="91">
        <v>12.64</v>
      </c>
      <c r="J46" s="90">
        <v>11600</v>
      </c>
      <c r="K46" s="90">
        <v>65.099999999999994</v>
      </c>
      <c r="L46" s="168">
        <v>1414800</v>
      </c>
      <c r="M46" s="829"/>
      <c r="N46" s="829"/>
      <c r="O46" s="829"/>
      <c r="P46" s="829"/>
      <c r="Q46" s="828"/>
      <c r="R46" s="92" t="e">
        <v>#REF!</v>
      </c>
      <c r="S46" s="312" t="e">
        <v>#REF!</v>
      </c>
      <c r="T46" s="312" t="e">
        <v>#REF!</v>
      </c>
      <c r="U46" s="826"/>
      <c r="AI46" s="275">
        <v>0.61736111111111114</v>
      </c>
      <c r="AK46" s="310"/>
    </row>
    <row r="47" spans="1:37" ht="15" thickBot="1" x14ac:dyDescent="0.4">
      <c r="A47" s="821" t="s">
        <v>228</v>
      </c>
      <c r="B47" s="823" t="s">
        <v>180</v>
      </c>
      <c r="C47" s="86" t="s">
        <v>41</v>
      </c>
      <c r="D47" s="86">
        <v>11700</v>
      </c>
      <c r="E47" s="86">
        <v>21.25</v>
      </c>
      <c r="F47" s="167">
        <v>1641075</v>
      </c>
      <c r="G47" s="167">
        <v>298300</v>
      </c>
      <c r="H47" s="819" t="s">
        <v>55</v>
      </c>
      <c r="I47" s="87">
        <v>15.55</v>
      </c>
      <c r="J47" s="86">
        <v>11700</v>
      </c>
      <c r="K47" s="86">
        <v>21.25</v>
      </c>
      <c r="L47" s="167">
        <v>2724600</v>
      </c>
      <c r="M47" s="816">
        <v>11584.75</v>
      </c>
      <c r="N47" s="816">
        <v>11600</v>
      </c>
      <c r="O47" s="816">
        <v>11664.2</v>
      </c>
      <c r="P47" s="816">
        <v>11780.05</v>
      </c>
      <c r="Q47" s="827">
        <v>11622.25</v>
      </c>
      <c r="R47" s="88" t="e">
        <v>#REF!</v>
      </c>
      <c r="S47" s="311" t="e">
        <v>#REF!</v>
      </c>
      <c r="T47" s="311" t="e">
        <v>#REF!</v>
      </c>
      <c r="U47" s="826" t="e">
        <v>#REF!</v>
      </c>
      <c r="AI47" s="275">
        <v>0.625</v>
      </c>
      <c r="AK47" s="310" t="s">
        <v>207</v>
      </c>
    </row>
    <row r="48" spans="1:37" ht="15" thickBot="1" x14ac:dyDescent="0.4">
      <c r="A48" s="822"/>
      <c r="B48" s="824"/>
      <c r="C48" s="90" t="s">
        <v>42</v>
      </c>
      <c r="D48" s="90">
        <v>11600</v>
      </c>
      <c r="E48" s="90">
        <v>58</v>
      </c>
      <c r="F48" s="168">
        <v>-529050</v>
      </c>
      <c r="G48" s="168">
        <v>257897</v>
      </c>
      <c r="H48" s="825"/>
      <c r="I48" s="91">
        <v>11.04</v>
      </c>
      <c r="J48" s="90">
        <v>11600</v>
      </c>
      <c r="K48" s="90">
        <v>58</v>
      </c>
      <c r="L48" s="168">
        <v>1389375</v>
      </c>
      <c r="M48" s="829"/>
      <c r="N48" s="829"/>
      <c r="O48" s="829"/>
      <c r="P48" s="829"/>
      <c r="Q48" s="828"/>
      <c r="R48" s="92" t="e">
        <v>#REF!</v>
      </c>
      <c r="S48" s="312" t="e">
        <v>#REF!</v>
      </c>
      <c r="T48" s="312" t="e">
        <v>#REF!</v>
      </c>
      <c r="U48" s="826"/>
      <c r="AI48" s="275">
        <v>0.62777777777777777</v>
      </c>
      <c r="AK48" s="310"/>
    </row>
    <row r="49" spans="1:37" ht="15" thickBot="1" x14ac:dyDescent="0.4">
      <c r="A49" s="821" t="s">
        <v>229</v>
      </c>
      <c r="B49" s="823" t="s">
        <v>180</v>
      </c>
      <c r="C49" s="86" t="s">
        <v>41</v>
      </c>
      <c r="D49" s="86">
        <v>11700</v>
      </c>
      <c r="E49" s="86">
        <v>26.65</v>
      </c>
      <c r="F49" s="167">
        <v>1422825</v>
      </c>
      <c r="G49" s="167">
        <v>323295</v>
      </c>
      <c r="H49" s="819" t="s">
        <v>55</v>
      </c>
      <c r="I49" s="87">
        <v>14.21</v>
      </c>
      <c r="J49" s="86">
        <v>11700</v>
      </c>
      <c r="K49" s="86">
        <v>26.65</v>
      </c>
      <c r="L49" s="167">
        <v>2506350</v>
      </c>
      <c r="M49" s="816">
        <v>11602</v>
      </c>
      <c r="N49" s="816">
        <v>11600</v>
      </c>
      <c r="O49" s="816">
        <v>11674</v>
      </c>
      <c r="P49" s="816">
        <v>11780.05</v>
      </c>
      <c r="Q49" s="827">
        <v>11622.25</v>
      </c>
      <c r="R49" s="88" t="e">
        <v>#REF!</v>
      </c>
      <c r="S49" s="311" t="e">
        <v>#REF!</v>
      </c>
      <c r="T49" s="311" t="e">
        <v>#REF!</v>
      </c>
      <c r="U49" s="826" t="e">
        <v>#REF!</v>
      </c>
      <c r="AI49" s="275">
        <v>0.63541666666666663</v>
      </c>
      <c r="AK49" s="310" t="s">
        <v>207</v>
      </c>
    </row>
    <row r="50" spans="1:37" ht="15" thickBot="1" x14ac:dyDescent="0.4">
      <c r="A50" s="822"/>
      <c r="B50" s="824"/>
      <c r="C50" s="90" t="s">
        <v>42</v>
      </c>
      <c r="D50" s="90">
        <v>11600</v>
      </c>
      <c r="E50" s="90">
        <v>46.55</v>
      </c>
      <c r="F50" s="168">
        <v>-556650</v>
      </c>
      <c r="G50" s="168">
        <v>278207</v>
      </c>
      <c r="H50" s="825"/>
      <c r="I50" s="91">
        <v>13.19</v>
      </c>
      <c r="J50" s="90">
        <v>11600</v>
      </c>
      <c r="K50" s="90">
        <v>46.55</v>
      </c>
      <c r="L50" s="168">
        <v>1361775</v>
      </c>
      <c r="M50" s="829"/>
      <c r="N50" s="829"/>
      <c r="O50" s="829"/>
      <c r="P50" s="829"/>
      <c r="Q50" s="828"/>
      <c r="R50" s="92" t="e">
        <v>#REF!</v>
      </c>
      <c r="S50" s="312" t="e">
        <v>#REF!</v>
      </c>
      <c r="T50" s="312" t="e">
        <v>#REF!</v>
      </c>
      <c r="U50" s="826"/>
      <c r="AI50" s="275">
        <v>0.6381944444444444</v>
      </c>
      <c r="AK50" s="310"/>
    </row>
    <row r="51" spans="1:37" ht="15" thickBot="1" x14ac:dyDescent="0.4">
      <c r="A51" s="821" t="s">
        <v>230</v>
      </c>
      <c r="B51" s="823" t="s">
        <v>180</v>
      </c>
      <c r="C51" s="86" t="s">
        <v>41</v>
      </c>
      <c r="D51" s="86">
        <v>11700</v>
      </c>
      <c r="E51" s="86">
        <v>27.5</v>
      </c>
      <c r="F51" s="167">
        <v>1142325</v>
      </c>
      <c r="G51" s="167">
        <v>345741</v>
      </c>
      <c r="H51" s="819" t="s">
        <v>55</v>
      </c>
      <c r="I51" s="87">
        <v>14.62</v>
      </c>
      <c r="J51" s="86">
        <v>11700</v>
      </c>
      <c r="K51" s="86">
        <v>27.5</v>
      </c>
      <c r="L51" s="167">
        <v>2225850</v>
      </c>
      <c r="M51" s="816">
        <v>11600.75</v>
      </c>
      <c r="N51" s="816">
        <v>11600</v>
      </c>
      <c r="O51" s="816">
        <v>11674</v>
      </c>
      <c r="P51" s="816">
        <v>11780.05</v>
      </c>
      <c r="Q51" s="827">
        <v>11622.25</v>
      </c>
      <c r="R51" s="88" t="e">
        <v>#REF!</v>
      </c>
      <c r="S51" s="311" t="e">
        <v>#REF!</v>
      </c>
      <c r="T51" s="311" t="e">
        <v>#REF!</v>
      </c>
      <c r="U51" s="826" t="e">
        <v>#REF!</v>
      </c>
      <c r="AI51" s="275">
        <v>0.64583333333333337</v>
      </c>
      <c r="AK51" s="310" t="s">
        <v>207</v>
      </c>
    </row>
    <row r="52" spans="1:37" ht="15" thickBot="1" x14ac:dyDescent="0.4">
      <c r="A52" s="822"/>
      <c r="B52" s="824"/>
      <c r="C52" s="90" t="s">
        <v>42</v>
      </c>
      <c r="D52" s="90">
        <v>11600</v>
      </c>
      <c r="E52" s="90">
        <v>46.6</v>
      </c>
      <c r="F52" s="168">
        <v>-601650</v>
      </c>
      <c r="G52" s="168">
        <v>295505</v>
      </c>
      <c r="H52" s="825"/>
      <c r="I52" s="91">
        <v>12.26</v>
      </c>
      <c r="J52" s="90">
        <v>11600</v>
      </c>
      <c r="K52" s="90">
        <v>46.6</v>
      </c>
      <c r="L52" s="168">
        <v>1316775</v>
      </c>
      <c r="M52" s="829"/>
      <c r="N52" s="829"/>
      <c r="O52" s="829"/>
      <c r="P52" s="829"/>
      <c r="Q52" s="828"/>
      <c r="R52" s="92" t="e">
        <v>#REF!</v>
      </c>
      <c r="S52" s="312" t="e">
        <v>#REF!</v>
      </c>
      <c r="T52" s="312" t="e">
        <v>#REF!</v>
      </c>
      <c r="U52" s="826"/>
      <c r="AI52" s="275">
        <v>0.64861111111111114</v>
      </c>
      <c r="AK52" s="310"/>
    </row>
  </sheetData>
  <mergeCells count="235">
    <mergeCell ref="C1:G1"/>
    <mergeCell ref="J1:L1"/>
    <mergeCell ref="P1:Q1"/>
    <mergeCell ref="R1:U1"/>
    <mergeCell ref="AH1:AL1"/>
    <mergeCell ref="A3:A4"/>
    <mergeCell ref="B3:B4"/>
    <mergeCell ref="H3:H4"/>
    <mergeCell ref="M3:M4"/>
    <mergeCell ref="N3:N4"/>
    <mergeCell ref="O3:O4"/>
    <mergeCell ref="P3:P4"/>
    <mergeCell ref="Q3:Q4"/>
    <mergeCell ref="U3:U4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X9:Z9"/>
    <mergeCell ref="X10:Z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X11:Z11"/>
    <mergeCell ref="X12:Z12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X13:Z13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3:O14"/>
    <mergeCell ref="P13:P14"/>
    <mergeCell ref="Q13:Q14"/>
    <mergeCell ref="U13:U14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21:A22"/>
    <mergeCell ref="B21:B22"/>
    <mergeCell ref="H21:H22"/>
    <mergeCell ref="M21:M22"/>
    <mergeCell ref="N21:N22"/>
    <mergeCell ref="O21:O22"/>
    <mergeCell ref="P21:P22"/>
    <mergeCell ref="Q21:Q22"/>
    <mergeCell ref="U21:U22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A23:A24"/>
    <mergeCell ref="B23:B24"/>
    <mergeCell ref="H23:H24"/>
    <mergeCell ref="M23:M24"/>
    <mergeCell ref="N23:N24"/>
    <mergeCell ref="O23:O24"/>
    <mergeCell ref="Q25:Q26"/>
    <mergeCell ref="U25:U26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A29:A30"/>
    <mergeCell ref="B29:B30"/>
    <mergeCell ref="H29:H30"/>
    <mergeCell ref="M29:M30"/>
    <mergeCell ref="N29:N30"/>
    <mergeCell ref="O29:O30"/>
    <mergeCell ref="P29:P30"/>
    <mergeCell ref="Q29:Q30"/>
    <mergeCell ref="U29:U30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A31:A32"/>
    <mergeCell ref="B31:B32"/>
    <mergeCell ref="H31:H32"/>
    <mergeCell ref="M31:M32"/>
    <mergeCell ref="N31:N32"/>
    <mergeCell ref="O31:O32"/>
    <mergeCell ref="Q33:Q34"/>
    <mergeCell ref="U33:U34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A37:A38"/>
    <mergeCell ref="B37:B38"/>
    <mergeCell ref="H37:H38"/>
    <mergeCell ref="M37:M38"/>
    <mergeCell ref="N37:N38"/>
    <mergeCell ref="O37:O38"/>
    <mergeCell ref="P37:P38"/>
    <mergeCell ref="Q37:Q38"/>
    <mergeCell ref="U37:U38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A39:A40"/>
    <mergeCell ref="B39:B40"/>
    <mergeCell ref="H39:H40"/>
    <mergeCell ref="M39:M40"/>
    <mergeCell ref="N39:N40"/>
    <mergeCell ref="O39:O40"/>
    <mergeCell ref="Q41:Q42"/>
    <mergeCell ref="U41:U42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A45:A46"/>
    <mergeCell ref="B45:B46"/>
    <mergeCell ref="H45:H46"/>
    <mergeCell ref="M45:M46"/>
    <mergeCell ref="N45:N46"/>
    <mergeCell ref="O45:O46"/>
    <mergeCell ref="P45:P46"/>
    <mergeCell ref="Q45:Q46"/>
    <mergeCell ref="U45:U46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A47:A48"/>
    <mergeCell ref="B47:B48"/>
    <mergeCell ref="H47:H48"/>
    <mergeCell ref="M47:M48"/>
    <mergeCell ref="N47:N48"/>
    <mergeCell ref="O47:O48"/>
    <mergeCell ref="U51:U52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</mergeCells>
  <dataValidations count="1">
    <dataValidation type="list" errorStyle="information" allowBlank="1" showInputMessage="1" showErrorMessage="1" errorTitle="ALERT" error="SELECT &quot;YES&quot; OR &quot;NO&quot;" prompt="IF YOU WANT TO CLEAR ALL DATA CLICK &quot;YES&quot;_x000a_" sqref="Y2" xr:uid="{D607B5B0-CA4B-44A2-A80A-166F6BA3D01D}">
      <formula1>$AO$2:$AO$3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D857A-E44A-4993-84E3-68A0F9F9D9AD}">
  <sheetPr codeName="Sheet11"/>
  <dimension ref="A1:U52"/>
  <sheetViews>
    <sheetView topLeftCell="C28" workbookViewId="0">
      <selection activeCell="K44" sqref="K44"/>
    </sheetView>
  </sheetViews>
  <sheetFormatPr defaultRowHeight="14.5" x14ac:dyDescent="0.35"/>
  <cols>
    <col min="3" max="3" width="9.81640625" bestFit="1" customWidth="1"/>
    <col min="10" max="10" width="1.90625" customWidth="1"/>
    <col min="11" max="11" width="12.6328125" customWidth="1"/>
    <col min="12" max="12" width="8.90625" bestFit="1" customWidth="1"/>
    <col min="13" max="13" width="7.08984375" customWidth="1"/>
  </cols>
  <sheetData>
    <row r="1" spans="1:21" ht="16" thickBot="1" x14ac:dyDescent="0.4">
      <c r="A1" s="80"/>
      <c r="B1" s="273"/>
      <c r="C1" s="647" t="s">
        <v>35</v>
      </c>
      <c r="D1" s="811"/>
      <c r="E1" s="811"/>
      <c r="F1" s="811"/>
      <c r="G1" s="811"/>
      <c r="H1" s="338"/>
      <c r="I1" s="80"/>
      <c r="J1" s="810" t="s">
        <v>0</v>
      </c>
      <c r="K1" s="811"/>
      <c r="L1" s="812"/>
      <c r="M1" s="80"/>
      <c r="N1" s="80"/>
      <c r="O1" s="80"/>
      <c r="P1" s="813" t="s">
        <v>340</v>
      </c>
      <c r="Q1" s="814"/>
      <c r="R1" s="810" t="s">
        <v>87</v>
      </c>
      <c r="S1" s="811"/>
      <c r="T1" s="811"/>
      <c r="U1" s="815"/>
    </row>
    <row r="2" spans="1:21" ht="15" thickBot="1" x14ac:dyDescent="0.4">
      <c r="A2" s="80" t="s">
        <v>86</v>
      </c>
      <c r="B2" s="273" t="s">
        <v>34</v>
      </c>
      <c r="C2" s="337" t="s">
        <v>54</v>
      </c>
      <c r="D2" s="336" t="s">
        <v>14</v>
      </c>
      <c r="E2" s="336" t="s">
        <v>6</v>
      </c>
      <c r="F2" s="166" t="s">
        <v>35</v>
      </c>
      <c r="G2" s="166" t="s">
        <v>37</v>
      </c>
      <c r="H2" s="338" t="s">
        <v>43</v>
      </c>
      <c r="I2" s="81" t="s">
        <v>88</v>
      </c>
      <c r="J2" s="337" t="s">
        <v>14</v>
      </c>
      <c r="K2" s="336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</row>
    <row r="3" spans="1:21" ht="15" thickBot="1" x14ac:dyDescent="0.4">
      <c r="A3" s="821" t="s">
        <v>320</v>
      </c>
      <c r="B3" s="823" t="s">
        <v>180</v>
      </c>
      <c r="C3" s="86" t="s">
        <v>41</v>
      </c>
      <c r="D3" s="86">
        <v>11700</v>
      </c>
      <c r="E3" s="86">
        <v>47.05</v>
      </c>
      <c r="F3" s="167">
        <v>71925</v>
      </c>
      <c r="G3" s="167">
        <v>3970</v>
      </c>
      <c r="H3" s="819" t="s">
        <v>55</v>
      </c>
      <c r="I3" s="87">
        <v>13.28</v>
      </c>
      <c r="J3" s="86">
        <v>11700</v>
      </c>
      <c r="K3" s="86">
        <v>47.05</v>
      </c>
      <c r="L3" s="167">
        <v>1255125</v>
      </c>
      <c r="M3" s="816">
        <v>11590.15</v>
      </c>
      <c r="N3" s="816">
        <v>11600</v>
      </c>
      <c r="O3" s="816">
        <v>11648</v>
      </c>
      <c r="P3" s="816">
        <v>11658.5</v>
      </c>
      <c r="Q3" s="816">
        <v>11626.1</v>
      </c>
      <c r="R3" s="88" t="e">
        <v>#REF!</v>
      </c>
      <c r="S3" s="334" t="e">
        <v>#REF!</v>
      </c>
      <c r="T3" s="334" t="e">
        <v>#REF!</v>
      </c>
      <c r="U3" s="818" t="e">
        <v>#REF!</v>
      </c>
    </row>
    <row r="4" spans="1:21" ht="15" thickBot="1" x14ac:dyDescent="0.4">
      <c r="A4" s="822"/>
      <c r="B4" s="824"/>
      <c r="C4" s="90" t="s">
        <v>42</v>
      </c>
      <c r="D4" s="90">
        <v>11400</v>
      </c>
      <c r="E4" s="90">
        <v>17.100000000000001</v>
      </c>
      <c r="F4" s="168">
        <v>34950</v>
      </c>
      <c r="G4" s="168">
        <v>1944</v>
      </c>
      <c r="H4" s="820"/>
      <c r="I4" s="91">
        <v>13.12</v>
      </c>
      <c r="J4" s="90">
        <v>11600</v>
      </c>
      <c r="K4" s="90">
        <v>73</v>
      </c>
      <c r="L4" s="168">
        <v>444300</v>
      </c>
      <c r="M4" s="817"/>
      <c r="N4" s="817"/>
      <c r="O4" s="817"/>
      <c r="P4" s="817"/>
      <c r="Q4" s="817"/>
      <c r="R4" s="92" t="e">
        <v>#REF!</v>
      </c>
      <c r="S4" s="335" t="e">
        <v>#REF!</v>
      </c>
      <c r="T4" s="335" t="e">
        <v>#REF!</v>
      </c>
      <c r="U4" s="818"/>
    </row>
    <row r="5" spans="1:21" ht="15" thickBot="1" x14ac:dyDescent="0.4">
      <c r="A5" s="821" t="s">
        <v>321</v>
      </c>
      <c r="B5" s="823" t="s">
        <v>180</v>
      </c>
      <c r="C5" s="86" t="s">
        <v>41</v>
      </c>
      <c r="D5" s="86">
        <v>11700</v>
      </c>
      <c r="E5" s="86">
        <v>47.55</v>
      </c>
      <c r="F5" s="167">
        <v>83925</v>
      </c>
      <c r="G5" s="167">
        <v>5575</v>
      </c>
      <c r="H5" s="819" t="s">
        <v>61</v>
      </c>
      <c r="I5" s="87">
        <v>12.91</v>
      </c>
      <c r="J5" s="86">
        <v>11700</v>
      </c>
      <c r="K5" s="86">
        <v>47.55</v>
      </c>
      <c r="L5" s="167">
        <v>1267125</v>
      </c>
      <c r="M5" s="816">
        <v>11596.25</v>
      </c>
      <c r="N5" s="816">
        <v>11600</v>
      </c>
      <c r="O5" s="816">
        <v>11655</v>
      </c>
      <c r="P5" s="816">
        <v>11664.9</v>
      </c>
      <c r="Q5" s="827">
        <v>11626.1</v>
      </c>
      <c r="R5" s="88" t="e">
        <v>#REF!</v>
      </c>
      <c r="S5" s="334" t="e">
        <v>#REF!</v>
      </c>
      <c r="T5" s="334" t="e">
        <v>#REF!</v>
      </c>
      <c r="U5" s="818" t="e">
        <v>#REF!</v>
      </c>
    </row>
    <row r="6" spans="1:21" ht="15" thickBot="1" x14ac:dyDescent="0.4">
      <c r="A6" s="822"/>
      <c r="B6" s="824"/>
      <c r="C6" s="90" t="s">
        <v>42</v>
      </c>
      <c r="D6" s="90">
        <v>11600</v>
      </c>
      <c r="E6" s="90">
        <v>68.349999999999994</v>
      </c>
      <c r="F6" s="168">
        <v>90300</v>
      </c>
      <c r="G6" s="168">
        <v>5863</v>
      </c>
      <c r="H6" s="825"/>
      <c r="I6" s="91">
        <v>11.89</v>
      </c>
      <c r="J6" s="90">
        <v>11600</v>
      </c>
      <c r="K6" s="90">
        <v>68.349999999999994</v>
      </c>
      <c r="L6" s="168">
        <v>508650</v>
      </c>
      <c r="M6" s="829"/>
      <c r="N6" s="829"/>
      <c r="O6" s="829"/>
      <c r="P6" s="829"/>
      <c r="Q6" s="828"/>
      <c r="R6" s="92" t="e">
        <v>#REF!</v>
      </c>
      <c r="S6" s="335" t="e">
        <v>#REF!</v>
      </c>
      <c r="T6" s="335" t="e">
        <v>#REF!</v>
      </c>
      <c r="U6" s="818"/>
    </row>
    <row r="7" spans="1:21" ht="15" thickBot="1" x14ac:dyDescent="0.4">
      <c r="A7" s="821" t="s">
        <v>209</v>
      </c>
      <c r="B7" s="823" t="s">
        <v>180</v>
      </c>
      <c r="C7" s="86" t="s">
        <v>41</v>
      </c>
      <c r="D7" s="86">
        <v>11700</v>
      </c>
      <c r="E7" s="86">
        <v>43.4</v>
      </c>
      <c r="F7" s="167">
        <v>101625</v>
      </c>
      <c r="G7" s="167">
        <v>6771</v>
      </c>
      <c r="H7" s="819" t="s">
        <v>61</v>
      </c>
      <c r="I7" s="87">
        <v>12.65</v>
      </c>
      <c r="J7" s="86">
        <v>11700</v>
      </c>
      <c r="K7" s="86">
        <v>43.4</v>
      </c>
      <c r="L7" s="167">
        <v>1284825</v>
      </c>
      <c r="M7" s="816">
        <v>11583.6</v>
      </c>
      <c r="N7" s="816">
        <v>11600</v>
      </c>
      <c r="O7" s="816">
        <v>11644</v>
      </c>
      <c r="P7" s="816">
        <v>11664.9</v>
      </c>
      <c r="Q7" s="827">
        <v>11626.1</v>
      </c>
      <c r="R7" s="88" t="e">
        <v>#REF!</v>
      </c>
      <c r="S7" s="334" t="e">
        <v>#REF!</v>
      </c>
      <c r="T7" s="334" t="e">
        <v>#REF!</v>
      </c>
      <c r="U7" s="818" t="e">
        <v>#REF!</v>
      </c>
    </row>
    <row r="8" spans="1:21" ht="15" thickBot="1" x14ac:dyDescent="0.4">
      <c r="A8" s="822"/>
      <c r="B8" s="824"/>
      <c r="C8" s="90" t="s">
        <v>42</v>
      </c>
      <c r="D8" s="90">
        <v>11600</v>
      </c>
      <c r="E8" s="90">
        <v>72.3</v>
      </c>
      <c r="F8" s="168">
        <v>102075</v>
      </c>
      <c r="G8" s="168">
        <v>6753</v>
      </c>
      <c r="H8" s="825"/>
      <c r="I8" s="91">
        <v>11.87</v>
      </c>
      <c r="J8" s="90">
        <v>11600</v>
      </c>
      <c r="K8" s="90">
        <v>72.3</v>
      </c>
      <c r="L8" s="168">
        <v>520425</v>
      </c>
      <c r="M8" s="829"/>
      <c r="N8" s="829"/>
      <c r="O8" s="829"/>
      <c r="P8" s="829"/>
      <c r="Q8" s="828"/>
      <c r="R8" s="92" t="e">
        <v>#REF!</v>
      </c>
      <c r="S8" s="335" t="e">
        <v>#REF!</v>
      </c>
      <c r="T8" s="335" t="e">
        <v>#REF!</v>
      </c>
      <c r="U8" s="818"/>
    </row>
    <row r="9" spans="1:21" ht="15" thickBot="1" x14ac:dyDescent="0.4">
      <c r="A9" s="821" t="s">
        <v>322</v>
      </c>
      <c r="B9" s="823" t="s">
        <v>180</v>
      </c>
      <c r="C9" s="86" t="s">
        <v>41</v>
      </c>
      <c r="D9" s="86">
        <v>11700</v>
      </c>
      <c r="E9" s="86">
        <v>38.799999999999997</v>
      </c>
      <c r="F9" s="167">
        <v>147075</v>
      </c>
      <c r="G9" s="167">
        <v>8664</v>
      </c>
      <c r="H9" s="819" t="s">
        <v>55</v>
      </c>
      <c r="I9" s="87">
        <v>12.65</v>
      </c>
      <c r="J9" s="86">
        <v>11700</v>
      </c>
      <c r="K9" s="86">
        <v>38.799999999999997</v>
      </c>
      <c r="L9" s="167">
        <v>1330275</v>
      </c>
      <c r="M9" s="816">
        <v>11569.9</v>
      </c>
      <c r="N9" s="816">
        <v>11600</v>
      </c>
      <c r="O9" s="816">
        <v>11628.85</v>
      </c>
      <c r="P9" s="816">
        <v>11664.9</v>
      </c>
      <c r="Q9" s="827">
        <v>11625.35</v>
      </c>
      <c r="R9" s="88" t="e">
        <v>#REF!</v>
      </c>
      <c r="S9" s="334" t="e">
        <v>#REF!</v>
      </c>
      <c r="T9" s="334" t="e">
        <v>#REF!</v>
      </c>
      <c r="U9" s="818" t="e">
        <v>#REF!</v>
      </c>
    </row>
    <row r="10" spans="1:21" ht="15" thickBot="1" x14ac:dyDescent="0.4">
      <c r="A10" s="822"/>
      <c r="B10" s="824"/>
      <c r="C10" s="90" t="s">
        <v>42</v>
      </c>
      <c r="D10" s="90">
        <v>11600</v>
      </c>
      <c r="E10" s="90">
        <v>77.599999999999994</v>
      </c>
      <c r="F10" s="168">
        <v>114750</v>
      </c>
      <c r="G10" s="168">
        <v>8566</v>
      </c>
      <c r="H10" s="825"/>
      <c r="I10" s="91">
        <v>11.87</v>
      </c>
      <c r="J10" s="90">
        <v>11600</v>
      </c>
      <c r="K10" s="90">
        <v>77.599999999999994</v>
      </c>
      <c r="L10" s="168">
        <v>533100</v>
      </c>
      <c r="M10" s="829"/>
      <c r="N10" s="829"/>
      <c r="O10" s="829"/>
      <c r="P10" s="829"/>
      <c r="Q10" s="828"/>
      <c r="R10" s="92" t="e">
        <v>#REF!</v>
      </c>
      <c r="S10" s="335" t="e">
        <v>#REF!</v>
      </c>
      <c r="T10" s="335" t="e">
        <v>#REF!</v>
      </c>
      <c r="U10" s="818"/>
    </row>
    <row r="11" spans="1:21" ht="15" thickBot="1" x14ac:dyDescent="0.4">
      <c r="A11" s="821" t="s">
        <v>323</v>
      </c>
      <c r="B11" s="823" t="s">
        <v>180</v>
      </c>
      <c r="C11" s="86" t="s">
        <v>41</v>
      </c>
      <c r="D11" s="86">
        <v>11700</v>
      </c>
      <c r="E11" s="86">
        <v>39.799999999999997</v>
      </c>
      <c r="F11" s="167">
        <v>191250</v>
      </c>
      <c r="G11" s="167">
        <v>12497</v>
      </c>
      <c r="H11" s="819" t="s">
        <v>55</v>
      </c>
      <c r="I11" s="87">
        <v>11.89</v>
      </c>
      <c r="J11" s="86">
        <v>11700</v>
      </c>
      <c r="K11" s="86">
        <v>39.799999999999997</v>
      </c>
      <c r="L11" s="167">
        <v>1374450</v>
      </c>
      <c r="M11" s="816">
        <v>11588.4</v>
      </c>
      <c r="N11" s="816">
        <v>11600</v>
      </c>
      <c r="O11" s="816">
        <v>11643</v>
      </c>
      <c r="P11" s="816">
        <v>11664.9</v>
      </c>
      <c r="Q11" s="827">
        <v>11625.35</v>
      </c>
      <c r="R11" s="88" t="e">
        <v>#REF!</v>
      </c>
      <c r="S11" s="334" t="e">
        <v>#REF!</v>
      </c>
      <c r="T11" s="334" t="e">
        <v>#REF!</v>
      </c>
      <c r="U11" s="818" t="e">
        <v>#REF!</v>
      </c>
    </row>
    <row r="12" spans="1:21" ht="15" thickBot="1" x14ac:dyDescent="0.4">
      <c r="A12" s="822"/>
      <c r="B12" s="824"/>
      <c r="C12" s="90" t="s">
        <v>42</v>
      </c>
      <c r="D12" s="90">
        <v>11600</v>
      </c>
      <c r="E12" s="90">
        <v>73</v>
      </c>
      <c r="F12" s="168">
        <v>165450</v>
      </c>
      <c r="G12" s="168">
        <v>11557</v>
      </c>
      <c r="H12" s="825"/>
      <c r="I12" s="91">
        <v>11.95</v>
      </c>
      <c r="J12" s="90">
        <v>11600</v>
      </c>
      <c r="K12" s="90">
        <v>73</v>
      </c>
      <c r="L12" s="168">
        <v>583800</v>
      </c>
      <c r="M12" s="829"/>
      <c r="N12" s="829"/>
      <c r="O12" s="829"/>
      <c r="P12" s="829"/>
      <c r="Q12" s="828"/>
      <c r="R12" s="92" t="e">
        <v>#REF!</v>
      </c>
      <c r="S12" s="335" t="e">
        <v>#REF!</v>
      </c>
      <c r="T12" s="335" t="e">
        <v>#REF!</v>
      </c>
      <c r="U12" s="818"/>
    </row>
    <row r="13" spans="1:21" ht="15" thickBot="1" x14ac:dyDescent="0.4">
      <c r="A13" s="821" t="s">
        <v>324</v>
      </c>
      <c r="B13" s="823" t="s">
        <v>180</v>
      </c>
      <c r="C13" s="86" t="s">
        <v>41</v>
      </c>
      <c r="D13" s="86">
        <v>11700</v>
      </c>
      <c r="E13" s="86">
        <v>40.85</v>
      </c>
      <c r="F13" s="167">
        <v>202350</v>
      </c>
      <c r="G13" s="167">
        <v>13147</v>
      </c>
      <c r="H13" s="819" t="s">
        <v>55</v>
      </c>
      <c r="I13" s="87">
        <v>12.06</v>
      </c>
      <c r="J13" s="86">
        <v>11700</v>
      </c>
      <c r="K13" s="86">
        <v>40.85</v>
      </c>
      <c r="L13" s="167">
        <v>1385550</v>
      </c>
      <c r="M13" s="816">
        <v>11587.35</v>
      </c>
      <c r="N13" s="816">
        <v>11600</v>
      </c>
      <c r="O13" s="816">
        <v>11644.5</v>
      </c>
      <c r="P13" s="816">
        <v>11664.9</v>
      </c>
      <c r="Q13" s="827">
        <v>11625.35</v>
      </c>
      <c r="R13" s="88" t="e">
        <v>#REF!</v>
      </c>
      <c r="S13" s="334" t="e">
        <v>#REF!</v>
      </c>
      <c r="T13" s="334" t="e">
        <v>#REF!</v>
      </c>
      <c r="U13" s="818" t="e">
        <v>#REF!</v>
      </c>
    </row>
    <row r="14" spans="1:21" ht="15" thickBot="1" x14ac:dyDescent="0.4">
      <c r="A14" s="822"/>
      <c r="B14" s="824"/>
      <c r="C14" s="90" t="s">
        <v>42</v>
      </c>
      <c r="D14" s="90">
        <v>11600</v>
      </c>
      <c r="E14" s="90">
        <v>71.2</v>
      </c>
      <c r="F14" s="168">
        <v>168525</v>
      </c>
      <c r="G14" s="168">
        <v>11968</v>
      </c>
      <c r="H14" s="825"/>
      <c r="I14" s="91">
        <v>11.94</v>
      </c>
      <c r="J14" s="90">
        <v>11600</v>
      </c>
      <c r="K14" s="90">
        <v>71.2</v>
      </c>
      <c r="L14" s="168">
        <v>586875</v>
      </c>
      <c r="M14" s="829"/>
      <c r="N14" s="829"/>
      <c r="O14" s="829"/>
      <c r="P14" s="829"/>
      <c r="Q14" s="828"/>
      <c r="R14" s="92" t="e">
        <v>#REF!</v>
      </c>
      <c r="S14" s="335" t="e">
        <v>#REF!</v>
      </c>
      <c r="T14" s="335" t="e">
        <v>#REF!</v>
      </c>
      <c r="U14" s="818"/>
    </row>
    <row r="15" spans="1:21" ht="15" thickBot="1" x14ac:dyDescent="0.4">
      <c r="A15" s="821" t="s">
        <v>325</v>
      </c>
      <c r="B15" s="823" t="s">
        <v>180</v>
      </c>
      <c r="C15" s="86" t="s">
        <v>41</v>
      </c>
      <c r="D15" s="86">
        <v>11700</v>
      </c>
      <c r="E15" s="86">
        <v>40.450000000000003</v>
      </c>
      <c r="F15" s="167">
        <v>191175</v>
      </c>
      <c r="G15" s="167">
        <v>14744</v>
      </c>
      <c r="H15" s="819" t="s">
        <v>55</v>
      </c>
      <c r="I15" s="87">
        <v>12.18</v>
      </c>
      <c r="J15" s="86">
        <v>11700</v>
      </c>
      <c r="K15" s="86">
        <v>40.450000000000003</v>
      </c>
      <c r="L15" s="167">
        <v>1374375</v>
      </c>
      <c r="M15" s="816">
        <v>11591.05</v>
      </c>
      <c r="N15" s="816">
        <v>11600</v>
      </c>
      <c r="O15" s="816">
        <v>11648</v>
      </c>
      <c r="P15" s="816">
        <v>11664.9</v>
      </c>
      <c r="Q15" s="827">
        <v>11625.35</v>
      </c>
      <c r="R15" s="88" t="e">
        <v>#REF!</v>
      </c>
      <c r="S15" s="334" t="e">
        <v>#REF!</v>
      </c>
      <c r="T15" s="334" t="e">
        <v>#REF!</v>
      </c>
      <c r="U15" s="818" t="e">
        <v>#REF!</v>
      </c>
    </row>
    <row r="16" spans="1:21" ht="15" thickBot="1" x14ac:dyDescent="0.4">
      <c r="A16" s="822"/>
      <c r="B16" s="824"/>
      <c r="C16" s="90" t="s">
        <v>42</v>
      </c>
      <c r="D16" s="90">
        <v>11600</v>
      </c>
      <c r="E16" s="90">
        <v>69.650000000000006</v>
      </c>
      <c r="F16" s="168">
        <v>184125</v>
      </c>
      <c r="G16" s="168">
        <v>13223</v>
      </c>
      <c r="H16" s="825"/>
      <c r="I16" s="91">
        <v>11.77</v>
      </c>
      <c r="J16" s="90">
        <v>11600</v>
      </c>
      <c r="K16" s="90">
        <v>69.650000000000006</v>
      </c>
      <c r="L16" s="168">
        <v>602475</v>
      </c>
      <c r="M16" s="829"/>
      <c r="N16" s="829"/>
      <c r="O16" s="829"/>
      <c r="P16" s="829"/>
      <c r="Q16" s="828"/>
      <c r="R16" s="92" t="e">
        <v>#REF!</v>
      </c>
      <c r="S16" s="335" t="e">
        <v>#REF!</v>
      </c>
      <c r="T16" s="335" t="e">
        <v>#REF!</v>
      </c>
      <c r="U16" s="818"/>
    </row>
    <row r="17" spans="1:21" ht="15" thickBot="1" x14ac:dyDescent="0.4">
      <c r="A17" s="821" t="s">
        <v>326</v>
      </c>
      <c r="B17" s="823" t="s">
        <v>180</v>
      </c>
      <c r="C17" s="86" t="s">
        <v>41</v>
      </c>
      <c r="D17" s="86">
        <v>11700</v>
      </c>
      <c r="E17" s="86">
        <v>37.1</v>
      </c>
      <c r="F17" s="167">
        <v>196575</v>
      </c>
      <c r="G17" s="167">
        <v>15707</v>
      </c>
      <c r="H17" s="819" t="s">
        <v>55</v>
      </c>
      <c r="I17" s="87">
        <v>12.21</v>
      </c>
      <c r="J17" s="86">
        <v>11700</v>
      </c>
      <c r="K17" s="86">
        <v>37.1</v>
      </c>
      <c r="L17" s="167">
        <v>1379775</v>
      </c>
      <c r="M17" s="816">
        <v>11570.6</v>
      </c>
      <c r="N17" s="816">
        <v>11600</v>
      </c>
      <c r="O17" s="816">
        <v>11631</v>
      </c>
      <c r="P17" s="816">
        <v>11664.9</v>
      </c>
      <c r="Q17" s="827">
        <v>11625.35</v>
      </c>
      <c r="R17" s="88" t="e">
        <v>#REF!</v>
      </c>
      <c r="S17" s="334" t="e">
        <v>#REF!</v>
      </c>
      <c r="T17" s="334" t="e">
        <v>#REF!</v>
      </c>
      <c r="U17" s="818" t="e">
        <v>#REF!</v>
      </c>
    </row>
    <row r="18" spans="1:21" ht="15" thickBot="1" x14ac:dyDescent="0.4">
      <c r="A18" s="822"/>
      <c r="B18" s="824"/>
      <c r="C18" s="90" t="s">
        <v>42</v>
      </c>
      <c r="D18" s="90">
        <v>11600</v>
      </c>
      <c r="E18" s="90">
        <v>75</v>
      </c>
      <c r="F18" s="168">
        <v>194775</v>
      </c>
      <c r="G18" s="168">
        <v>14307</v>
      </c>
      <c r="H18" s="825"/>
      <c r="I18" s="91">
        <v>11.63</v>
      </c>
      <c r="J18" s="90">
        <v>11600</v>
      </c>
      <c r="K18" s="90">
        <v>75</v>
      </c>
      <c r="L18" s="168">
        <v>613125</v>
      </c>
      <c r="M18" s="829"/>
      <c r="N18" s="829"/>
      <c r="O18" s="829"/>
      <c r="P18" s="829"/>
      <c r="Q18" s="828"/>
      <c r="R18" s="92" t="e">
        <v>#REF!</v>
      </c>
      <c r="S18" s="335" t="e">
        <v>#REF!</v>
      </c>
      <c r="T18" s="335" t="e">
        <v>#REF!</v>
      </c>
      <c r="U18" s="818"/>
    </row>
    <row r="19" spans="1:21" ht="15" thickBot="1" x14ac:dyDescent="0.4">
      <c r="A19" s="821" t="s">
        <v>327</v>
      </c>
      <c r="B19" s="823" t="s">
        <v>180</v>
      </c>
      <c r="C19" s="86" t="s">
        <v>41</v>
      </c>
      <c r="D19" s="86">
        <v>11700</v>
      </c>
      <c r="E19" s="86">
        <v>40.5</v>
      </c>
      <c r="F19" s="167">
        <v>201900</v>
      </c>
      <c r="G19" s="167">
        <v>16677</v>
      </c>
      <c r="H19" s="819" t="s">
        <v>61</v>
      </c>
      <c r="I19" s="87">
        <v>12.42</v>
      </c>
      <c r="J19" s="86">
        <v>11700</v>
      </c>
      <c r="K19" s="86">
        <v>40.5</v>
      </c>
      <c r="L19" s="167">
        <v>1385100</v>
      </c>
      <c r="M19" s="816">
        <v>11577.75</v>
      </c>
      <c r="N19" s="816">
        <v>11600</v>
      </c>
      <c r="O19" s="816">
        <v>11637.85</v>
      </c>
      <c r="P19" s="816">
        <v>11664.9</v>
      </c>
      <c r="Q19" s="827">
        <v>11625.35</v>
      </c>
      <c r="R19" s="88" t="e">
        <v>#REF!</v>
      </c>
      <c r="S19" s="334" t="e">
        <v>#REF!</v>
      </c>
      <c r="T19" s="334" t="e">
        <v>#REF!</v>
      </c>
      <c r="U19" s="818" t="e">
        <v>#REF!</v>
      </c>
    </row>
    <row r="20" spans="1:21" ht="15" thickBot="1" x14ac:dyDescent="0.4">
      <c r="A20" s="822"/>
      <c r="B20" s="824"/>
      <c r="C20" s="90" t="s">
        <v>42</v>
      </c>
      <c r="D20" s="90">
        <v>11600</v>
      </c>
      <c r="E20" s="90">
        <v>72.05</v>
      </c>
      <c r="F20" s="168">
        <v>202425</v>
      </c>
      <c r="G20" s="168">
        <v>15115</v>
      </c>
      <c r="H20" s="825"/>
      <c r="I20" s="91">
        <v>11.5</v>
      </c>
      <c r="J20" s="90">
        <v>11600</v>
      </c>
      <c r="K20" s="90">
        <v>72.05</v>
      </c>
      <c r="L20" s="168">
        <v>620775</v>
      </c>
      <c r="M20" s="829"/>
      <c r="N20" s="829"/>
      <c r="O20" s="829"/>
      <c r="P20" s="829"/>
      <c r="Q20" s="828"/>
      <c r="R20" s="92" t="e">
        <v>#REF!</v>
      </c>
      <c r="S20" s="335" t="e">
        <v>#REF!</v>
      </c>
      <c r="T20" s="335" t="e">
        <v>#REF!</v>
      </c>
      <c r="U20" s="818"/>
    </row>
    <row r="21" spans="1:21" ht="15" thickBot="1" x14ac:dyDescent="0.4">
      <c r="A21" s="821" t="s">
        <v>328</v>
      </c>
      <c r="B21" s="823" t="s">
        <v>180</v>
      </c>
      <c r="C21" s="86" t="s">
        <v>41</v>
      </c>
      <c r="D21" s="86">
        <v>11700</v>
      </c>
      <c r="E21" s="86">
        <v>40</v>
      </c>
      <c r="F21" s="167">
        <v>217725</v>
      </c>
      <c r="G21" s="167">
        <v>17298</v>
      </c>
      <c r="H21" s="819" t="s">
        <v>55</v>
      </c>
      <c r="I21" s="87">
        <v>12.55</v>
      </c>
      <c r="J21" s="86">
        <v>11700</v>
      </c>
      <c r="K21" s="86">
        <v>40</v>
      </c>
      <c r="L21" s="167">
        <v>1400925</v>
      </c>
      <c r="M21" s="816">
        <v>11575.55</v>
      </c>
      <c r="N21" s="816">
        <v>11600</v>
      </c>
      <c r="O21" s="816">
        <v>11638.6</v>
      </c>
      <c r="P21" s="816">
        <v>11664.9</v>
      </c>
      <c r="Q21" s="827">
        <v>11625.35</v>
      </c>
      <c r="R21" s="88" t="e">
        <v>#REF!</v>
      </c>
      <c r="S21" s="334" t="e">
        <v>#REF!</v>
      </c>
      <c r="T21" s="334" t="e">
        <v>#REF!</v>
      </c>
      <c r="U21" s="818" t="e">
        <v>#REF!</v>
      </c>
    </row>
    <row r="22" spans="1:21" ht="15" thickBot="1" x14ac:dyDescent="0.4">
      <c r="A22" s="822"/>
      <c r="B22" s="824"/>
      <c r="C22" s="90" t="s">
        <v>42</v>
      </c>
      <c r="D22" s="90">
        <v>11600</v>
      </c>
      <c r="E22" s="90">
        <v>72</v>
      </c>
      <c r="F22" s="168">
        <v>203025</v>
      </c>
      <c r="G22" s="168">
        <v>15534</v>
      </c>
      <c r="H22" s="825"/>
      <c r="I22" s="91">
        <v>11.4</v>
      </c>
      <c r="J22" s="90">
        <v>11600</v>
      </c>
      <c r="K22" s="90">
        <v>72</v>
      </c>
      <c r="L22" s="168">
        <v>621375</v>
      </c>
      <c r="M22" s="829"/>
      <c r="N22" s="829"/>
      <c r="O22" s="829"/>
      <c r="P22" s="829"/>
      <c r="Q22" s="828"/>
      <c r="R22" s="92" t="e">
        <v>#REF!</v>
      </c>
      <c r="S22" s="335" t="e">
        <v>#REF!</v>
      </c>
      <c r="T22" s="335" t="e">
        <v>#REF!</v>
      </c>
      <c r="U22" s="818"/>
    </row>
    <row r="23" spans="1:21" ht="15" thickBot="1" x14ac:dyDescent="0.4">
      <c r="A23" s="821" t="s">
        <v>329</v>
      </c>
      <c r="B23" s="823" t="s">
        <v>180</v>
      </c>
      <c r="C23" s="86" t="s">
        <v>41</v>
      </c>
      <c r="D23" s="86">
        <v>11700</v>
      </c>
      <c r="E23" s="86">
        <v>40.549999999999997</v>
      </c>
      <c r="F23" s="167">
        <v>216750</v>
      </c>
      <c r="G23" s="167">
        <v>18600</v>
      </c>
      <c r="H23" s="819" t="s">
        <v>55</v>
      </c>
      <c r="I23" s="87">
        <v>12.43</v>
      </c>
      <c r="J23" s="86">
        <v>11700</v>
      </c>
      <c r="K23" s="86">
        <v>40.549999999999997</v>
      </c>
      <c r="L23" s="167">
        <v>1399950</v>
      </c>
      <c r="M23" s="816">
        <v>11582.1</v>
      </c>
      <c r="N23" s="816">
        <v>11600</v>
      </c>
      <c r="O23" s="816">
        <v>11645.8</v>
      </c>
      <c r="P23" s="816">
        <v>11664.9</v>
      </c>
      <c r="Q23" s="827">
        <v>11625.35</v>
      </c>
      <c r="R23" s="88" t="e">
        <v>#REF!</v>
      </c>
      <c r="S23" s="334" t="e">
        <v>#REF!</v>
      </c>
      <c r="T23" s="334" t="e">
        <v>#REF!</v>
      </c>
      <c r="U23" s="818" t="e">
        <v>#REF!</v>
      </c>
    </row>
    <row r="24" spans="1:21" ht="15" thickBot="1" x14ac:dyDescent="0.4">
      <c r="A24" s="822"/>
      <c r="B24" s="824"/>
      <c r="C24" s="90" t="s">
        <v>42</v>
      </c>
      <c r="D24" s="90">
        <v>11600</v>
      </c>
      <c r="E24" s="90">
        <v>70.5</v>
      </c>
      <c r="F24" s="168">
        <v>198300</v>
      </c>
      <c r="G24" s="168">
        <v>16591</v>
      </c>
      <c r="H24" s="830"/>
      <c r="I24" s="91">
        <v>11.07</v>
      </c>
      <c r="J24" s="90">
        <v>11600</v>
      </c>
      <c r="K24" s="90">
        <v>70.5</v>
      </c>
      <c r="L24" s="168">
        <v>616650</v>
      </c>
      <c r="M24" s="829"/>
      <c r="N24" s="829"/>
      <c r="O24" s="829"/>
      <c r="P24" s="829"/>
      <c r="Q24" s="828"/>
      <c r="R24" s="92" t="e">
        <v>#REF!</v>
      </c>
      <c r="S24" s="335" t="e">
        <v>#REF!</v>
      </c>
      <c r="T24" s="335" t="e">
        <v>#REF!</v>
      </c>
      <c r="U24" s="818"/>
    </row>
    <row r="25" spans="1:21" ht="15" thickBot="1" x14ac:dyDescent="0.4">
      <c r="A25" s="821" t="s">
        <v>330</v>
      </c>
      <c r="B25" s="823" t="s">
        <v>180</v>
      </c>
      <c r="C25" s="86" t="s">
        <v>41</v>
      </c>
      <c r="D25" s="86">
        <v>12500</v>
      </c>
      <c r="E25" s="86">
        <v>1.2</v>
      </c>
      <c r="F25" s="167">
        <v>227550</v>
      </c>
      <c r="G25" s="167">
        <v>3924</v>
      </c>
      <c r="H25" s="819" t="s">
        <v>55</v>
      </c>
      <c r="I25" s="87">
        <v>22.85</v>
      </c>
      <c r="J25" s="86">
        <v>11700</v>
      </c>
      <c r="K25" s="86">
        <v>40.950000000000003</v>
      </c>
      <c r="L25" s="167">
        <v>1400550</v>
      </c>
      <c r="M25" s="816">
        <v>11583.05</v>
      </c>
      <c r="N25" s="816">
        <v>11600</v>
      </c>
      <c r="O25" s="816">
        <v>11644.95</v>
      </c>
      <c r="P25" s="816">
        <v>11664.9</v>
      </c>
      <c r="Q25" s="827">
        <v>11625.35</v>
      </c>
      <c r="R25" s="88" t="e">
        <v>#REF!</v>
      </c>
      <c r="S25" s="334" t="e">
        <v>#REF!</v>
      </c>
      <c r="T25" s="334" t="e">
        <v>#REF!</v>
      </c>
      <c r="U25" s="818" t="e">
        <v>#REF!</v>
      </c>
    </row>
    <row r="26" spans="1:21" ht="15" thickBot="1" x14ac:dyDescent="0.4">
      <c r="A26" s="822"/>
      <c r="B26" s="824"/>
      <c r="C26" s="90" t="s">
        <v>42</v>
      </c>
      <c r="D26" s="90">
        <v>11600</v>
      </c>
      <c r="E26" s="90">
        <v>68.95</v>
      </c>
      <c r="F26" s="168">
        <v>201150</v>
      </c>
      <c r="G26" s="168">
        <v>17403</v>
      </c>
      <c r="H26" s="830"/>
      <c r="I26" s="91">
        <v>11.23</v>
      </c>
      <c r="J26" s="90">
        <v>11600</v>
      </c>
      <c r="K26" s="90">
        <v>68.95</v>
      </c>
      <c r="L26" s="168">
        <v>619500</v>
      </c>
      <c r="M26" s="829"/>
      <c r="N26" s="829"/>
      <c r="O26" s="829"/>
      <c r="P26" s="829"/>
      <c r="Q26" s="828"/>
      <c r="R26" s="92" t="e">
        <v>#REF!</v>
      </c>
      <c r="S26" s="335" t="e">
        <v>#REF!</v>
      </c>
      <c r="T26" s="335" t="e">
        <v>#REF!</v>
      </c>
      <c r="U26" s="818"/>
    </row>
    <row r="27" spans="1:21" ht="15" thickBot="1" x14ac:dyDescent="0.4">
      <c r="A27" s="821" t="s">
        <v>331</v>
      </c>
      <c r="B27" s="823" t="s">
        <v>180</v>
      </c>
      <c r="C27" s="86" t="s">
        <v>41</v>
      </c>
      <c r="D27" s="86">
        <v>12500</v>
      </c>
      <c r="E27" s="86">
        <v>1.1499999999999999</v>
      </c>
      <c r="F27" s="167">
        <v>260625</v>
      </c>
      <c r="G27" s="167">
        <v>4133</v>
      </c>
      <c r="H27" s="819" t="s">
        <v>55</v>
      </c>
      <c r="I27" s="87">
        <v>22.68</v>
      </c>
      <c r="J27" s="86">
        <v>11700</v>
      </c>
      <c r="K27" s="86">
        <v>39.700000000000003</v>
      </c>
      <c r="L27" s="167">
        <v>1396800</v>
      </c>
      <c r="M27" s="816">
        <v>11575.6</v>
      </c>
      <c r="N27" s="816">
        <v>11600</v>
      </c>
      <c r="O27" s="816">
        <v>11643.6</v>
      </c>
      <c r="P27" s="816">
        <v>11664.9</v>
      </c>
      <c r="Q27" s="827">
        <v>11625.35</v>
      </c>
      <c r="R27" s="88" t="e">
        <v>#REF!</v>
      </c>
      <c r="S27" s="334" t="e">
        <v>#REF!</v>
      </c>
      <c r="T27" s="334" t="e">
        <v>#REF!</v>
      </c>
      <c r="U27" s="818" t="e">
        <v>#REF!</v>
      </c>
    </row>
    <row r="28" spans="1:21" ht="15" thickBot="1" x14ac:dyDescent="0.4">
      <c r="A28" s="822"/>
      <c r="B28" s="824"/>
      <c r="C28" s="90" t="s">
        <v>42</v>
      </c>
      <c r="D28" s="90">
        <v>11600</v>
      </c>
      <c r="E28" s="90">
        <v>72.400000000000006</v>
      </c>
      <c r="F28" s="168">
        <v>210225</v>
      </c>
      <c r="G28" s="168">
        <v>18216</v>
      </c>
      <c r="H28" s="830"/>
      <c r="I28" s="91">
        <v>11.17</v>
      </c>
      <c r="J28" s="90">
        <v>11600</v>
      </c>
      <c r="K28" s="90">
        <v>72.400000000000006</v>
      </c>
      <c r="L28" s="168">
        <v>628575</v>
      </c>
      <c r="M28" s="829"/>
      <c r="N28" s="829"/>
      <c r="O28" s="829"/>
      <c r="P28" s="829"/>
      <c r="Q28" s="828"/>
      <c r="R28" s="92" t="e">
        <v>#REF!</v>
      </c>
      <c r="S28" s="335" t="e">
        <v>#REF!</v>
      </c>
      <c r="T28" s="335" t="e">
        <v>#REF!</v>
      </c>
      <c r="U28" s="818"/>
    </row>
    <row r="29" spans="1:21" ht="15" thickBot="1" x14ac:dyDescent="0.4">
      <c r="A29" s="821" t="s">
        <v>332</v>
      </c>
      <c r="B29" s="823" t="s">
        <v>180</v>
      </c>
      <c r="C29" s="86" t="s">
        <v>41</v>
      </c>
      <c r="D29" s="86">
        <v>12500</v>
      </c>
      <c r="E29" s="86">
        <v>1.1499999999999999</v>
      </c>
      <c r="F29" s="167">
        <v>283725</v>
      </c>
      <c r="G29" s="167">
        <v>4511</v>
      </c>
      <c r="H29" s="819" t="s">
        <v>55</v>
      </c>
      <c r="I29" s="87">
        <v>22.72</v>
      </c>
      <c r="J29" s="86">
        <v>11700</v>
      </c>
      <c r="K29" s="86">
        <v>41</v>
      </c>
      <c r="L29" s="167">
        <v>1402950</v>
      </c>
      <c r="M29" s="816">
        <v>11574.45</v>
      </c>
      <c r="N29" s="816">
        <v>11600</v>
      </c>
      <c r="O29" s="816">
        <v>11640.1</v>
      </c>
      <c r="P29" s="816">
        <v>11664.9</v>
      </c>
      <c r="Q29" s="827">
        <v>11625.35</v>
      </c>
      <c r="R29" s="88" t="e">
        <v>#REF!</v>
      </c>
      <c r="S29" s="334" t="e">
        <v>#REF!</v>
      </c>
      <c r="T29" s="334" t="e">
        <v>#REF!</v>
      </c>
      <c r="U29" s="826" t="e">
        <v>#REF!</v>
      </c>
    </row>
    <row r="30" spans="1:21" ht="15" thickBot="1" x14ac:dyDescent="0.4">
      <c r="A30" s="822"/>
      <c r="B30" s="824"/>
      <c r="C30" s="90" t="s">
        <v>42</v>
      </c>
      <c r="D30" s="90">
        <v>11600</v>
      </c>
      <c r="E30" s="90">
        <v>70</v>
      </c>
      <c r="F30" s="168">
        <v>212100</v>
      </c>
      <c r="G30" s="168">
        <v>18738</v>
      </c>
      <c r="H30" s="830"/>
      <c r="I30" s="91">
        <v>11.02</v>
      </c>
      <c r="J30" s="90">
        <v>11600</v>
      </c>
      <c r="K30" s="90">
        <v>70</v>
      </c>
      <c r="L30" s="168">
        <v>630450</v>
      </c>
      <c r="M30" s="829"/>
      <c r="N30" s="829"/>
      <c r="O30" s="829"/>
      <c r="P30" s="829"/>
      <c r="Q30" s="828"/>
      <c r="R30" s="92" t="e">
        <v>#REF!</v>
      </c>
      <c r="S30" s="335" t="e">
        <v>#REF!</v>
      </c>
      <c r="T30" s="335" t="e">
        <v>#REF!</v>
      </c>
      <c r="U30" s="826"/>
    </row>
    <row r="31" spans="1:21" ht="15" thickBot="1" x14ac:dyDescent="0.4">
      <c r="A31" s="821" t="s">
        <v>211</v>
      </c>
      <c r="B31" s="823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19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16" t="s">
        <v>211</v>
      </c>
      <c r="N31" s="816" t="s">
        <v>211</v>
      </c>
      <c r="O31" s="816" t="s">
        <v>211</v>
      </c>
      <c r="P31" s="816" t="s">
        <v>211</v>
      </c>
      <c r="Q31" s="827" t="s">
        <v>211</v>
      </c>
      <c r="R31" s="88" t="s">
        <v>211</v>
      </c>
      <c r="S31" s="334" t="s">
        <v>211</v>
      </c>
      <c r="T31" s="334" t="s">
        <v>211</v>
      </c>
      <c r="U31" s="826" t="s">
        <v>211</v>
      </c>
    </row>
    <row r="32" spans="1:21" ht="15" thickBot="1" x14ac:dyDescent="0.4">
      <c r="A32" s="822"/>
      <c r="B32" s="824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30"/>
      <c r="I32" s="91" t="s">
        <v>211</v>
      </c>
      <c r="J32" s="90" t="s">
        <v>211</v>
      </c>
      <c r="K32" s="90" t="s">
        <v>211</v>
      </c>
      <c r="L32" s="168" t="s">
        <v>211</v>
      </c>
      <c r="M32" s="829"/>
      <c r="N32" s="829"/>
      <c r="O32" s="829"/>
      <c r="P32" s="829"/>
      <c r="Q32" s="828"/>
      <c r="R32" s="92" t="s">
        <v>211</v>
      </c>
      <c r="S32" s="335" t="s">
        <v>211</v>
      </c>
      <c r="T32" s="335" t="s">
        <v>211</v>
      </c>
      <c r="U32" s="826"/>
    </row>
    <row r="33" spans="1:21" ht="15" thickBot="1" x14ac:dyDescent="0.4">
      <c r="A33" s="821" t="s">
        <v>211</v>
      </c>
      <c r="B33" s="823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819" t="s">
        <v>211</v>
      </c>
      <c r="I33" s="87" t="s">
        <v>211</v>
      </c>
      <c r="J33" s="86" t="s">
        <v>211</v>
      </c>
      <c r="K33" s="86" t="s">
        <v>211</v>
      </c>
      <c r="L33" s="167" t="s">
        <v>211</v>
      </c>
      <c r="M33" s="816" t="s">
        <v>211</v>
      </c>
      <c r="N33" s="816" t="s">
        <v>211</v>
      </c>
      <c r="O33" s="816" t="s">
        <v>211</v>
      </c>
      <c r="P33" s="816" t="s">
        <v>211</v>
      </c>
      <c r="Q33" s="827" t="s">
        <v>211</v>
      </c>
      <c r="R33" s="88" t="s">
        <v>211</v>
      </c>
      <c r="S33" s="334" t="s">
        <v>211</v>
      </c>
      <c r="T33" s="334" t="s">
        <v>211</v>
      </c>
      <c r="U33" s="826" t="s">
        <v>211</v>
      </c>
    </row>
    <row r="34" spans="1:21" ht="15" thickBot="1" x14ac:dyDescent="0.4">
      <c r="A34" s="822"/>
      <c r="B34" s="824"/>
      <c r="C34" s="90" t="s">
        <v>211</v>
      </c>
      <c r="D34" s="90" t="s">
        <v>211</v>
      </c>
      <c r="E34" s="90" t="s">
        <v>211</v>
      </c>
      <c r="F34" s="168" t="s">
        <v>211</v>
      </c>
      <c r="G34" s="168" t="s">
        <v>211</v>
      </c>
      <c r="H34" s="830"/>
      <c r="I34" s="91" t="s">
        <v>211</v>
      </c>
      <c r="J34" s="90" t="s">
        <v>211</v>
      </c>
      <c r="K34" s="90" t="s">
        <v>211</v>
      </c>
      <c r="L34" s="168" t="s">
        <v>211</v>
      </c>
      <c r="M34" s="829"/>
      <c r="N34" s="829"/>
      <c r="O34" s="829"/>
      <c r="P34" s="829"/>
      <c r="Q34" s="828"/>
      <c r="R34" s="92" t="s">
        <v>211</v>
      </c>
      <c r="S34" s="335" t="s">
        <v>211</v>
      </c>
      <c r="T34" s="335" t="s">
        <v>211</v>
      </c>
      <c r="U34" s="826"/>
    </row>
    <row r="35" spans="1:21" ht="15" thickBot="1" x14ac:dyDescent="0.4">
      <c r="A35" s="821" t="s">
        <v>333</v>
      </c>
      <c r="B35" s="823" t="s">
        <v>180</v>
      </c>
      <c r="C35" s="86" t="s">
        <v>41</v>
      </c>
      <c r="D35" s="86">
        <v>12500</v>
      </c>
      <c r="E35" s="86">
        <v>1</v>
      </c>
      <c r="F35" s="167">
        <v>395400</v>
      </c>
      <c r="G35" s="167">
        <v>6355</v>
      </c>
      <c r="H35" s="819" t="s">
        <v>55</v>
      </c>
      <c r="I35" s="87">
        <v>22.9</v>
      </c>
      <c r="J35" s="86">
        <v>11700</v>
      </c>
      <c r="K35" s="86">
        <v>30.8</v>
      </c>
      <c r="L35" s="167">
        <v>1422900</v>
      </c>
      <c r="M35" s="816">
        <v>11551.55</v>
      </c>
      <c r="N35" s="816">
        <v>11600</v>
      </c>
      <c r="O35" s="816">
        <v>11606.55</v>
      </c>
      <c r="P35" s="816">
        <v>11664.9</v>
      </c>
      <c r="Q35" s="827">
        <v>11605.2</v>
      </c>
      <c r="R35" s="88" t="e">
        <v>#REF!</v>
      </c>
      <c r="S35" s="334" t="e">
        <v>#REF!</v>
      </c>
      <c r="T35" s="334" t="e">
        <v>#REF!</v>
      </c>
      <c r="U35" s="826" t="e">
        <v>#REF!</v>
      </c>
    </row>
    <row r="36" spans="1:21" ht="15" thickBot="1" x14ac:dyDescent="0.4">
      <c r="A36" s="822"/>
      <c r="B36" s="824"/>
      <c r="C36" s="90" t="s">
        <v>42</v>
      </c>
      <c r="D36" s="90">
        <v>11600</v>
      </c>
      <c r="E36" s="90">
        <v>83.15</v>
      </c>
      <c r="F36" s="168">
        <v>221700</v>
      </c>
      <c r="G36" s="168">
        <v>25260</v>
      </c>
      <c r="H36" s="830"/>
      <c r="I36" s="91">
        <v>11.3</v>
      </c>
      <c r="J36" s="90">
        <v>11600</v>
      </c>
      <c r="K36" s="90">
        <v>83.15</v>
      </c>
      <c r="L36" s="168">
        <v>640050</v>
      </c>
      <c r="M36" s="829"/>
      <c r="N36" s="829"/>
      <c r="O36" s="829"/>
      <c r="P36" s="829"/>
      <c r="Q36" s="828"/>
      <c r="R36" s="92" t="e">
        <v>#REF!</v>
      </c>
      <c r="S36" s="335" t="e">
        <v>#REF!</v>
      </c>
      <c r="T36" s="335" t="e">
        <v>#REF!</v>
      </c>
      <c r="U36" s="826"/>
    </row>
    <row r="37" spans="1:21" ht="15" thickBot="1" x14ac:dyDescent="0.4">
      <c r="A37" s="821" t="s">
        <v>334</v>
      </c>
      <c r="B37" s="823" t="s">
        <v>180</v>
      </c>
      <c r="C37" s="86" t="s">
        <v>41</v>
      </c>
      <c r="D37" s="86">
        <v>12500</v>
      </c>
      <c r="E37" s="86">
        <v>1</v>
      </c>
      <c r="F37" s="167">
        <v>395475</v>
      </c>
      <c r="G37" s="167">
        <v>6699</v>
      </c>
      <c r="H37" s="819" t="s">
        <v>55</v>
      </c>
      <c r="I37" s="87">
        <v>22.74</v>
      </c>
      <c r="J37" s="86">
        <v>11700</v>
      </c>
      <c r="K37" s="86">
        <v>33.700000000000003</v>
      </c>
      <c r="L37" s="167">
        <v>1461150</v>
      </c>
      <c r="M37" s="816">
        <v>11567</v>
      </c>
      <c r="N37" s="816">
        <v>11600</v>
      </c>
      <c r="O37" s="816">
        <v>11623.35</v>
      </c>
      <c r="P37" s="816">
        <v>11664.9</v>
      </c>
      <c r="Q37" s="827">
        <v>11605.2</v>
      </c>
      <c r="R37" s="88" t="e">
        <v>#REF!</v>
      </c>
      <c r="S37" s="334" t="e">
        <v>#REF!</v>
      </c>
      <c r="T37" s="334" t="e">
        <v>#REF!</v>
      </c>
      <c r="U37" s="826" t="e">
        <v>#REF!</v>
      </c>
    </row>
    <row r="38" spans="1:21" ht="15" thickBot="1" x14ac:dyDescent="0.4">
      <c r="A38" s="822"/>
      <c r="B38" s="824"/>
      <c r="C38" s="90" t="s">
        <v>42</v>
      </c>
      <c r="D38" s="90">
        <v>11600</v>
      </c>
      <c r="E38" s="90">
        <v>79.8</v>
      </c>
      <c r="F38" s="168">
        <v>215625</v>
      </c>
      <c r="G38" s="168">
        <v>27257</v>
      </c>
      <c r="H38" s="830"/>
      <c r="I38" s="91">
        <v>11.83</v>
      </c>
      <c r="J38" s="90">
        <v>11600</v>
      </c>
      <c r="K38" s="90">
        <v>79.8</v>
      </c>
      <c r="L38" s="168">
        <v>633975</v>
      </c>
      <c r="M38" s="829"/>
      <c r="N38" s="829"/>
      <c r="O38" s="829"/>
      <c r="P38" s="829"/>
      <c r="Q38" s="828"/>
      <c r="R38" s="92" t="e">
        <v>#REF!</v>
      </c>
      <c r="S38" s="335" t="e">
        <v>#REF!</v>
      </c>
      <c r="T38" s="335" t="e">
        <v>#REF!</v>
      </c>
      <c r="U38" s="826"/>
    </row>
    <row r="39" spans="1:21" ht="15" thickBot="1" x14ac:dyDescent="0.4">
      <c r="A39" s="821" t="s">
        <v>335</v>
      </c>
      <c r="B39" s="823" t="s">
        <v>180</v>
      </c>
      <c r="C39" s="86" t="s">
        <v>41</v>
      </c>
      <c r="D39" s="86">
        <v>12500</v>
      </c>
      <c r="E39" s="86">
        <v>1.1000000000000001</v>
      </c>
      <c r="F39" s="167">
        <v>392025</v>
      </c>
      <c r="G39" s="167">
        <v>7034</v>
      </c>
      <c r="H39" s="819" t="s">
        <v>55</v>
      </c>
      <c r="I39" s="87">
        <v>22.87</v>
      </c>
      <c r="J39" s="86">
        <v>11700</v>
      </c>
      <c r="K39" s="86">
        <v>35.299999999999997</v>
      </c>
      <c r="L39" s="167">
        <v>1416675</v>
      </c>
      <c r="M39" s="816">
        <v>11570.2</v>
      </c>
      <c r="N39" s="816">
        <v>11600</v>
      </c>
      <c r="O39" s="816">
        <v>11625.65</v>
      </c>
      <c r="P39" s="816">
        <v>11664.9</v>
      </c>
      <c r="Q39" s="827">
        <v>11605.2</v>
      </c>
      <c r="R39" s="88" t="e">
        <v>#REF!</v>
      </c>
      <c r="S39" s="334" t="e">
        <v>#REF!</v>
      </c>
      <c r="T39" s="334" t="e">
        <v>#REF!</v>
      </c>
      <c r="U39" s="826" t="e">
        <v>#REF!</v>
      </c>
    </row>
    <row r="40" spans="1:21" ht="15" thickBot="1" x14ac:dyDescent="0.4">
      <c r="A40" s="822"/>
      <c r="B40" s="824"/>
      <c r="C40" s="90" t="s">
        <v>42</v>
      </c>
      <c r="D40" s="90">
        <v>11600</v>
      </c>
      <c r="E40" s="90">
        <v>75.8</v>
      </c>
      <c r="F40" s="168">
        <v>226200</v>
      </c>
      <c r="G40" s="168">
        <v>28588</v>
      </c>
      <c r="H40" s="825"/>
      <c r="I40" s="91">
        <v>11.42</v>
      </c>
      <c r="J40" s="90">
        <v>11600</v>
      </c>
      <c r="K40" s="90">
        <v>75.8</v>
      </c>
      <c r="L40" s="168">
        <v>644550</v>
      </c>
      <c r="M40" s="829"/>
      <c r="N40" s="829"/>
      <c r="O40" s="829"/>
      <c r="P40" s="829"/>
      <c r="Q40" s="828"/>
      <c r="R40" s="92" t="e">
        <v>#REF!</v>
      </c>
      <c r="S40" s="335" t="e">
        <v>#REF!</v>
      </c>
      <c r="T40" s="335" t="e">
        <v>#REF!</v>
      </c>
      <c r="U40" s="826"/>
    </row>
    <row r="41" spans="1:21" ht="15" thickBot="1" x14ac:dyDescent="0.4">
      <c r="A41" s="821" t="s">
        <v>225</v>
      </c>
      <c r="B41" s="823" t="s">
        <v>180</v>
      </c>
      <c r="C41" s="86" t="s">
        <v>41</v>
      </c>
      <c r="D41" s="86">
        <v>12500</v>
      </c>
      <c r="E41" s="86">
        <v>1.1000000000000001</v>
      </c>
      <c r="F41" s="167">
        <v>401025</v>
      </c>
      <c r="G41" s="167">
        <v>7521</v>
      </c>
      <c r="H41" s="819" t="s">
        <v>55</v>
      </c>
      <c r="I41" s="87">
        <v>23.14</v>
      </c>
      <c r="J41" s="86">
        <v>11700</v>
      </c>
      <c r="K41" s="86">
        <v>33.85</v>
      </c>
      <c r="L41" s="167">
        <v>1440300</v>
      </c>
      <c r="M41" s="816">
        <v>11564.2</v>
      </c>
      <c r="N41" s="816">
        <v>11600</v>
      </c>
      <c r="O41" s="816">
        <v>11624.9</v>
      </c>
      <c r="P41" s="816">
        <v>11664.9</v>
      </c>
      <c r="Q41" s="827">
        <v>11605.2</v>
      </c>
      <c r="R41" s="88" t="e">
        <v>#REF!</v>
      </c>
      <c r="S41" s="334" t="e">
        <v>#REF!</v>
      </c>
      <c r="T41" s="334" t="e">
        <v>#REF!</v>
      </c>
      <c r="U41" s="826" t="e">
        <v>#REF!</v>
      </c>
    </row>
    <row r="42" spans="1:21" ht="15" thickBot="1" x14ac:dyDescent="0.4">
      <c r="A42" s="822"/>
      <c r="B42" s="824"/>
      <c r="C42" s="90" t="s">
        <v>42</v>
      </c>
      <c r="D42" s="90">
        <v>11600</v>
      </c>
      <c r="E42" s="90">
        <v>78.8</v>
      </c>
      <c r="F42" s="168">
        <v>232275</v>
      </c>
      <c r="G42" s="168">
        <v>29967</v>
      </c>
      <c r="H42" s="825"/>
      <c r="I42" s="91">
        <v>11.55</v>
      </c>
      <c r="J42" s="90">
        <v>11600</v>
      </c>
      <c r="K42" s="90">
        <v>78.8</v>
      </c>
      <c r="L42" s="168">
        <v>650625</v>
      </c>
      <c r="M42" s="829"/>
      <c r="N42" s="829"/>
      <c r="O42" s="829"/>
      <c r="P42" s="829"/>
      <c r="Q42" s="828"/>
      <c r="R42" s="92" t="e">
        <v>#REF!</v>
      </c>
      <c r="S42" s="335" t="e">
        <v>#REF!</v>
      </c>
      <c r="T42" s="335" t="e">
        <v>#REF!</v>
      </c>
      <c r="U42" s="826"/>
    </row>
    <row r="43" spans="1:21" ht="15" thickBot="1" x14ac:dyDescent="0.4">
      <c r="A43" s="821" t="s">
        <v>336</v>
      </c>
      <c r="B43" s="823" t="s">
        <v>180</v>
      </c>
      <c r="C43" s="86" t="s">
        <v>41</v>
      </c>
      <c r="D43" s="86">
        <v>12500</v>
      </c>
      <c r="E43" s="86">
        <v>1.1499999999999999</v>
      </c>
      <c r="F43" s="167">
        <v>471075</v>
      </c>
      <c r="G43" s="167">
        <v>8582</v>
      </c>
      <c r="H43" s="819" t="s">
        <v>55</v>
      </c>
      <c r="I43" s="87">
        <v>22.99</v>
      </c>
      <c r="J43" s="86">
        <v>11700</v>
      </c>
      <c r="K43" s="86">
        <v>40.75</v>
      </c>
      <c r="L43" s="167">
        <v>1448550</v>
      </c>
      <c r="M43" s="816">
        <v>11585.6</v>
      </c>
      <c r="N43" s="816">
        <v>11600</v>
      </c>
      <c r="O43" s="816">
        <v>11648.2</v>
      </c>
      <c r="P43" s="816">
        <v>11664.9</v>
      </c>
      <c r="Q43" s="827">
        <v>11605.2</v>
      </c>
      <c r="R43" s="88" t="e">
        <v>#REF!</v>
      </c>
      <c r="S43" s="334" t="e">
        <v>#REF!</v>
      </c>
      <c r="T43" s="334" t="e">
        <v>#REF!</v>
      </c>
      <c r="U43" s="826" t="e">
        <v>#REF!</v>
      </c>
    </row>
    <row r="44" spans="1:21" ht="15" thickBot="1" x14ac:dyDescent="0.4">
      <c r="A44" s="822"/>
      <c r="B44" s="824"/>
      <c r="C44" s="90" t="s">
        <v>42</v>
      </c>
      <c r="D44" s="90">
        <v>11000</v>
      </c>
      <c r="E44" s="90">
        <v>3.15</v>
      </c>
      <c r="F44" s="168">
        <v>246150</v>
      </c>
      <c r="G44" s="168">
        <v>4705</v>
      </c>
      <c r="H44" s="825"/>
      <c r="I44" s="91">
        <v>19.62</v>
      </c>
      <c r="J44" s="90">
        <v>11600</v>
      </c>
      <c r="K44" s="90">
        <v>64.55</v>
      </c>
      <c r="L44" s="168">
        <v>659625</v>
      </c>
      <c r="M44" s="829"/>
      <c r="N44" s="829"/>
      <c r="O44" s="829"/>
      <c r="P44" s="829"/>
      <c r="Q44" s="828"/>
      <c r="R44" s="92" t="e">
        <v>#REF!</v>
      </c>
      <c r="S44" s="335" t="e">
        <v>#REF!</v>
      </c>
      <c r="T44" s="335" t="e">
        <v>#REF!</v>
      </c>
      <c r="U44" s="826"/>
    </row>
    <row r="45" spans="1:21" ht="15" thickBot="1" x14ac:dyDescent="0.4">
      <c r="A45" s="821" t="s">
        <v>337</v>
      </c>
      <c r="B45" s="823" t="s">
        <v>180</v>
      </c>
      <c r="C45" s="86" t="s">
        <v>41</v>
      </c>
      <c r="D45" s="86">
        <v>12500</v>
      </c>
      <c r="E45" s="86">
        <v>1.1000000000000001</v>
      </c>
      <c r="F45" s="167">
        <v>568350</v>
      </c>
      <c r="G45" s="167">
        <v>10455</v>
      </c>
      <c r="H45" s="819" t="s">
        <v>55</v>
      </c>
      <c r="I45" s="87">
        <v>22.57</v>
      </c>
      <c r="J45" s="86">
        <v>11700</v>
      </c>
      <c r="K45" s="86">
        <v>41.15</v>
      </c>
      <c r="L45" s="167">
        <v>1427400</v>
      </c>
      <c r="M45" s="816">
        <v>11586.9</v>
      </c>
      <c r="N45" s="816">
        <v>11600</v>
      </c>
      <c r="O45" s="816">
        <v>11653.8</v>
      </c>
      <c r="P45" s="816">
        <v>11664.9</v>
      </c>
      <c r="Q45" s="827">
        <v>11605.2</v>
      </c>
      <c r="R45" s="88" t="e">
        <v>#REF!</v>
      </c>
      <c r="S45" s="334" t="e">
        <v>#REF!</v>
      </c>
      <c r="T45" s="334" t="e">
        <v>#REF!</v>
      </c>
      <c r="U45" s="826" t="e">
        <v>#REF!</v>
      </c>
    </row>
    <row r="46" spans="1:21" ht="15" thickBot="1" x14ac:dyDescent="0.4">
      <c r="A46" s="822"/>
      <c r="B46" s="824"/>
      <c r="C46" s="90" t="s">
        <v>42</v>
      </c>
      <c r="D46" s="90">
        <v>11000</v>
      </c>
      <c r="E46" s="90">
        <v>3.4</v>
      </c>
      <c r="F46" s="168">
        <v>326175</v>
      </c>
      <c r="G46" s="168">
        <v>6663</v>
      </c>
      <c r="H46" s="825"/>
      <c r="I46" s="91">
        <v>20.05</v>
      </c>
      <c r="J46" s="90">
        <v>11600</v>
      </c>
      <c r="K46" s="90">
        <v>62.5</v>
      </c>
      <c r="L46" s="168">
        <v>670125</v>
      </c>
      <c r="M46" s="829"/>
      <c r="N46" s="829"/>
      <c r="O46" s="829"/>
      <c r="P46" s="829"/>
      <c r="Q46" s="828"/>
      <c r="R46" s="92" t="e">
        <v>#REF!</v>
      </c>
      <c r="S46" s="335" t="e">
        <v>#REF!</v>
      </c>
      <c r="T46" s="335" t="e">
        <v>#REF!</v>
      </c>
      <c r="U46" s="826"/>
    </row>
    <row r="47" spans="1:21" ht="15" thickBot="1" x14ac:dyDescent="0.4">
      <c r="A47" s="821" t="s">
        <v>338</v>
      </c>
      <c r="B47" s="823" t="s">
        <v>180</v>
      </c>
      <c r="C47" s="86" t="s">
        <v>41</v>
      </c>
      <c r="D47" s="86">
        <v>12500</v>
      </c>
      <c r="E47" s="86">
        <v>1.1000000000000001</v>
      </c>
      <c r="F47" s="167">
        <v>630000</v>
      </c>
      <c r="G47" s="167">
        <v>11410</v>
      </c>
      <c r="H47" s="819" t="s">
        <v>55</v>
      </c>
      <c r="I47" s="87">
        <v>22.65</v>
      </c>
      <c r="J47" s="86">
        <v>11700</v>
      </c>
      <c r="K47" s="86">
        <v>40</v>
      </c>
      <c r="L47" s="167">
        <v>1449675</v>
      </c>
      <c r="M47" s="816">
        <v>11589.25</v>
      </c>
      <c r="N47" s="816">
        <v>11600</v>
      </c>
      <c r="O47" s="816">
        <v>11657.1</v>
      </c>
      <c r="P47" s="816">
        <v>11664.9</v>
      </c>
      <c r="Q47" s="827">
        <v>11605.2</v>
      </c>
      <c r="R47" s="88" t="e">
        <v>#REF!</v>
      </c>
      <c r="S47" s="334" t="e">
        <v>#REF!</v>
      </c>
      <c r="T47" s="334" t="e">
        <v>#REF!</v>
      </c>
      <c r="U47" s="826" t="e">
        <v>#REF!</v>
      </c>
    </row>
    <row r="48" spans="1:21" ht="15" thickBot="1" x14ac:dyDescent="0.4">
      <c r="A48" s="822"/>
      <c r="B48" s="824"/>
      <c r="C48" s="90" t="s">
        <v>42</v>
      </c>
      <c r="D48" s="90">
        <v>11000</v>
      </c>
      <c r="E48" s="90">
        <v>3.2</v>
      </c>
      <c r="F48" s="168">
        <v>443475</v>
      </c>
      <c r="G48" s="168">
        <v>8731</v>
      </c>
      <c r="H48" s="825"/>
      <c r="I48" s="91">
        <v>20.010000000000002</v>
      </c>
      <c r="J48" s="90">
        <v>11600</v>
      </c>
      <c r="K48" s="90">
        <v>58.95</v>
      </c>
      <c r="L48" s="168">
        <v>699375</v>
      </c>
      <c r="M48" s="829"/>
      <c r="N48" s="829"/>
      <c r="O48" s="829"/>
      <c r="P48" s="829"/>
      <c r="Q48" s="828"/>
      <c r="R48" s="92" t="e">
        <v>#REF!</v>
      </c>
      <c r="S48" s="335" t="e">
        <v>#REF!</v>
      </c>
      <c r="T48" s="335" t="e">
        <v>#REF!</v>
      </c>
      <c r="U48" s="826"/>
    </row>
    <row r="49" spans="1:21" ht="15" thickBot="1" x14ac:dyDescent="0.4">
      <c r="A49" s="821" t="s">
        <v>339</v>
      </c>
      <c r="B49" s="823" t="s">
        <v>180</v>
      </c>
      <c r="C49" s="86" t="s">
        <v>41</v>
      </c>
      <c r="D49" s="86">
        <v>12500</v>
      </c>
      <c r="E49" s="86">
        <v>1.05</v>
      </c>
      <c r="F49" s="167">
        <v>699375</v>
      </c>
      <c r="G49" s="167">
        <v>12665</v>
      </c>
      <c r="H49" s="819" t="s">
        <v>55</v>
      </c>
      <c r="I49" s="87">
        <v>22</v>
      </c>
      <c r="J49" s="86">
        <v>11700</v>
      </c>
      <c r="K49" s="86">
        <v>43.2</v>
      </c>
      <c r="L49" s="167">
        <v>1492200</v>
      </c>
      <c r="M49" s="816">
        <v>11598.4</v>
      </c>
      <c r="N49" s="816">
        <v>11600</v>
      </c>
      <c r="O49" s="816">
        <v>11665.9</v>
      </c>
      <c r="P49" s="816">
        <v>11673</v>
      </c>
      <c r="Q49" s="827">
        <v>11605.2</v>
      </c>
      <c r="R49" s="88" t="e">
        <v>#REF!</v>
      </c>
      <c r="S49" s="334" t="e">
        <v>#REF!</v>
      </c>
      <c r="T49" s="334" t="e">
        <v>#REF!</v>
      </c>
      <c r="U49" s="826" t="e">
        <v>#REF!</v>
      </c>
    </row>
    <row r="50" spans="1:21" ht="15" thickBot="1" x14ac:dyDescent="0.4">
      <c r="A50" s="822"/>
      <c r="B50" s="824"/>
      <c r="C50" s="90" t="s">
        <v>42</v>
      </c>
      <c r="D50" s="90">
        <v>11000</v>
      </c>
      <c r="E50" s="90">
        <v>3.1</v>
      </c>
      <c r="F50" s="168">
        <v>492300</v>
      </c>
      <c r="G50" s="168">
        <v>9677</v>
      </c>
      <c r="H50" s="825"/>
      <c r="I50" s="91">
        <v>20.04</v>
      </c>
      <c r="J50" s="90">
        <v>11600</v>
      </c>
      <c r="K50" s="90">
        <v>56.4</v>
      </c>
      <c r="L50" s="168">
        <v>721200</v>
      </c>
      <c r="M50" s="829"/>
      <c r="N50" s="829"/>
      <c r="O50" s="829"/>
      <c r="P50" s="829"/>
      <c r="Q50" s="828"/>
      <c r="R50" s="92" t="e">
        <v>#REF!</v>
      </c>
      <c r="S50" s="335" t="e">
        <v>#REF!</v>
      </c>
      <c r="T50" s="335" t="e">
        <v>#REF!</v>
      </c>
      <c r="U50" s="826"/>
    </row>
    <row r="51" spans="1:21" ht="15" thickBot="1" x14ac:dyDescent="0.4">
      <c r="A51" s="821" t="s">
        <v>230</v>
      </c>
      <c r="B51" s="823" t="s">
        <v>180</v>
      </c>
      <c r="C51" s="86" t="s">
        <v>41</v>
      </c>
      <c r="D51" s="86">
        <v>12500</v>
      </c>
      <c r="E51" s="86">
        <v>0.95</v>
      </c>
      <c r="F51" s="167">
        <v>761550</v>
      </c>
      <c r="G51" s="167">
        <v>13593</v>
      </c>
      <c r="H51" s="819" t="s">
        <v>55</v>
      </c>
      <c r="I51" s="87">
        <v>21.74</v>
      </c>
      <c r="J51" s="86">
        <v>11700</v>
      </c>
      <c r="K51" s="86">
        <v>42.55</v>
      </c>
      <c r="L51" s="167">
        <v>1583625</v>
      </c>
      <c r="M51" s="816">
        <v>11603</v>
      </c>
      <c r="N51" s="816">
        <v>11600</v>
      </c>
      <c r="O51" s="816">
        <v>11669.9</v>
      </c>
      <c r="P51" s="816">
        <v>11677.85</v>
      </c>
      <c r="Q51" s="827">
        <v>11605.2</v>
      </c>
      <c r="R51" s="88" t="e">
        <v>#REF!</v>
      </c>
      <c r="S51" s="334" t="e">
        <v>#REF!</v>
      </c>
      <c r="T51" s="334" t="e">
        <v>#REF!</v>
      </c>
      <c r="U51" s="826" t="e">
        <v>#REF!</v>
      </c>
    </row>
    <row r="52" spans="1:21" ht="15" thickBot="1" x14ac:dyDescent="0.4">
      <c r="A52" s="822"/>
      <c r="B52" s="824"/>
      <c r="C52" s="90" t="s">
        <v>42</v>
      </c>
      <c r="D52" s="90">
        <v>11000</v>
      </c>
      <c r="E52" s="90">
        <v>2.75</v>
      </c>
      <c r="F52" s="168">
        <v>696600</v>
      </c>
      <c r="G52" s="168">
        <v>14095</v>
      </c>
      <c r="H52" s="825"/>
      <c r="I52" s="91">
        <v>20.059999999999999</v>
      </c>
      <c r="J52" s="90">
        <v>11600</v>
      </c>
      <c r="K52" s="90">
        <v>52.5</v>
      </c>
      <c r="L52" s="168">
        <v>741900</v>
      </c>
      <c r="M52" s="829"/>
      <c r="N52" s="829"/>
      <c r="O52" s="829"/>
      <c r="P52" s="829"/>
      <c r="Q52" s="828"/>
      <c r="R52" s="92" t="e">
        <v>#REF!</v>
      </c>
      <c r="S52" s="335" t="e">
        <v>#REF!</v>
      </c>
      <c r="T52" s="335" t="e">
        <v>#REF!</v>
      </c>
      <c r="U52" s="826"/>
    </row>
  </sheetData>
  <mergeCells count="229">
    <mergeCell ref="A3:A4"/>
    <mergeCell ref="B3:B4"/>
    <mergeCell ref="A5:A6"/>
    <mergeCell ref="B5:B6"/>
    <mergeCell ref="M5:M6"/>
    <mergeCell ref="N5:N6"/>
    <mergeCell ref="C1:G1"/>
    <mergeCell ref="J1:L1"/>
    <mergeCell ref="P1:Q1"/>
    <mergeCell ref="R1:U1"/>
    <mergeCell ref="H3:H4"/>
    <mergeCell ref="M3:M4"/>
    <mergeCell ref="N3:N4"/>
    <mergeCell ref="O3:O4"/>
    <mergeCell ref="P3:P4"/>
    <mergeCell ref="Q3:Q4"/>
    <mergeCell ref="U3:U4"/>
    <mergeCell ref="O5:O6"/>
    <mergeCell ref="P5:P6"/>
    <mergeCell ref="Q5:Q6"/>
    <mergeCell ref="U5:U6"/>
    <mergeCell ref="H5:H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O9:O10"/>
    <mergeCell ref="P9:P10"/>
    <mergeCell ref="Q9:Q10"/>
    <mergeCell ref="U9:U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A9:A10"/>
    <mergeCell ref="B9:B10"/>
    <mergeCell ref="H9:H10"/>
    <mergeCell ref="M9:M10"/>
    <mergeCell ref="N9:N10"/>
    <mergeCell ref="O13:O14"/>
    <mergeCell ref="P13:P14"/>
    <mergeCell ref="Q13:Q14"/>
    <mergeCell ref="U13:U14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7:O18"/>
    <mergeCell ref="P17:P18"/>
    <mergeCell ref="Q17:Q18"/>
    <mergeCell ref="U17:U18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17:A18"/>
    <mergeCell ref="B17:B18"/>
    <mergeCell ref="H17:H18"/>
    <mergeCell ref="M17:M18"/>
    <mergeCell ref="N17:N18"/>
    <mergeCell ref="O21:O22"/>
    <mergeCell ref="P21:P22"/>
    <mergeCell ref="Q21:Q22"/>
    <mergeCell ref="U21:U22"/>
    <mergeCell ref="A23:A24"/>
    <mergeCell ref="B23:B24"/>
    <mergeCell ref="H23:H24"/>
    <mergeCell ref="M23:M24"/>
    <mergeCell ref="N23:N24"/>
    <mergeCell ref="O23:O24"/>
    <mergeCell ref="P23:P24"/>
    <mergeCell ref="Q23:Q24"/>
    <mergeCell ref="U23:U24"/>
    <mergeCell ref="A21:A22"/>
    <mergeCell ref="B21:B22"/>
    <mergeCell ref="H21:H22"/>
    <mergeCell ref="M21:M22"/>
    <mergeCell ref="N21:N22"/>
    <mergeCell ref="O25:O26"/>
    <mergeCell ref="P25:P26"/>
    <mergeCell ref="Q25:Q26"/>
    <mergeCell ref="U25:U26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A25:A26"/>
    <mergeCell ref="B25:B26"/>
    <mergeCell ref="H25:H26"/>
    <mergeCell ref="M25:M26"/>
    <mergeCell ref="N25:N26"/>
    <mergeCell ref="O29:O30"/>
    <mergeCell ref="P29:P30"/>
    <mergeCell ref="Q29:Q30"/>
    <mergeCell ref="U29:U30"/>
    <mergeCell ref="A31:A32"/>
    <mergeCell ref="B31:B32"/>
    <mergeCell ref="H31:H32"/>
    <mergeCell ref="M31:M32"/>
    <mergeCell ref="N31:N32"/>
    <mergeCell ref="O31:O32"/>
    <mergeCell ref="P31:P32"/>
    <mergeCell ref="Q31:Q32"/>
    <mergeCell ref="U31:U32"/>
    <mergeCell ref="A29:A30"/>
    <mergeCell ref="B29:B30"/>
    <mergeCell ref="H29:H30"/>
    <mergeCell ref="M29:M30"/>
    <mergeCell ref="N29:N30"/>
    <mergeCell ref="O33:O34"/>
    <mergeCell ref="P33:P34"/>
    <mergeCell ref="Q33:Q34"/>
    <mergeCell ref="U33:U34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A33:A34"/>
    <mergeCell ref="B33:B34"/>
    <mergeCell ref="H33:H34"/>
    <mergeCell ref="M33:M34"/>
    <mergeCell ref="N33:N34"/>
    <mergeCell ref="O37:O38"/>
    <mergeCell ref="P37:P38"/>
    <mergeCell ref="Q37:Q38"/>
    <mergeCell ref="U37:U38"/>
    <mergeCell ref="A39:A40"/>
    <mergeCell ref="B39:B40"/>
    <mergeCell ref="H39:H40"/>
    <mergeCell ref="M39:M40"/>
    <mergeCell ref="N39:N40"/>
    <mergeCell ref="O39:O40"/>
    <mergeCell ref="P39:P40"/>
    <mergeCell ref="Q39:Q40"/>
    <mergeCell ref="U39:U40"/>
    <mergeCell ref="A37:A38"/>
    <mergeCell ref="B37:B38"/>
    <mergeCell ref="H37:H38"/>
    <mergeCell ref="M37:M38"/>
    <mergeCell ref="N37:N38"/>
    <mergeCell ref="O41:O42"/>
    <mergeCell ref="P41:P42"/>
    <mergeCell ref="Q41:Q42"/>
    <mergeCell ref="U41:U42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A41:A42"/>
    <mergeCell ref="B41:B42"/>
    <mergeCell ref="H41:H42"/>
    <mergeCell ref="M41:M42"/>
    <mergeCell ref="N41:N42"/>
    <mergeCell ref="O45:O46"/>
    <mergeCell ref="P45:P46"/>
    <mergeCell ref="Q45:Q46"/>
    <mergeCell ref="U45:U46"/>
    <mergeCell ref="A47:A48"/>
    <mergeCell ref="B47:B48"/>
    <mergeCell ref="H47:H48"/>
    <mergeCell ref="M47:M48"/>
    <mergeCell ref="N47:N48"/>
    <mergeCell ref="O47:O48"/>
    <mergeCell ref="P47:P48"/>
    <mergeCell ref="Q47:Q48"/>
    <mergeCell ref="U47:U48"/>
    <mergeCell ref="A45:A46"/>
    <mergeCell ref="B45:B46"/>
    <mergeCell ref="H45:H46"/>
    <mergeCell ref="M45:M46"/>
    <mergeCell ref="N45:N46"/>
    <mergeCell ref="O49:O50"/>
    <mergeCell ref="P49:P50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  <mergeCell ref="U51:U52"/>
    <mergeCell ref="A49:A50"/>
    <mergeCell ref="B49:B50"/>
    <mergeCell ref="H49:H50"/>
    <mergeCell ref="M49:M50"/>
    <mergeCell ref="N49:N5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16</vt:i4>
      </vt:variant>
    </vt:vector>
  </HeadingPairs>
  <TitlesOfParts>
    <vt:vector size="51" baseType="lpstr">
      <vt:lpstr>MAIN</vt:lpstr>
      <vt:lpstr>Sheet51</vt:lpstr>
      <vt:lpstr>Data</vt:lpstr>
      <vt:lpstr>Pivot</vt:lpstr>
      <vt:lpstr>CHGOI</vt:lpstr>
      <vt:lpstr>OI</vt:lpstr>
      <vt:lpstr>Price</vt:lpstr>
      <vt:lpstr>Option Trend Table</vt:lpstr>
      <vt:lpstr>FII-Analysis</vt:lpstr>
      <vt:lpstr>Auto_History</vt:lpstr>
      <vt:lpstr>0529</vt:lpstr>
      <vt:lpstr>Sheet1</vt:lpstr>
      <vt:lpstr>0528</vt:lpstr>
      <vt:lpstr>0527</vt:lpstr>
      <vt:lpstr>0524</vt:lpstr>
      <vt:lpstr>0522</vt:lpstr>
      <vt:lpstr>Auto</vt:lpstr>
      <vt:lpstr>0521</vt:lpstr>
      <vt:lpstr>0514</vt:lpstr>
      <vt:lpstr>0513</vt:lpstr>
      <vt:lpstr>0507</vt:lpstr>
      <vt:lpstr>0506</vt:lpstr>
      <vt:lpstr>0505</vt:lpstr>
      <vt:lpstr>0502</vt:lpstr>
      <vt:lpstr>0425</vt:lpstr>
      <vt:lpstr>0423</vt:lpstr>
      <vt:lpstr>0422</vt:lpstr>
      <vt:lpstr>Strategy</vt:lpstr>
      <vt:lpstr>0416</vt:lpstr>
      <vt:lpstr>0414</vt:lpstr>
      <vt:lpstr>Sheet2</vt:lpstr>
      <vt:lpstr>0413</vt:lpstr>
      <vt:lpstr>Changes</vt:lpstr>
      <vt:lpstr>04-08</vt:lpstr>
      <vt:lpstr>0411</vt:lpstr>
      <vt:lpstr>EXPIRY_DATES</vt:lpstr>
      <vt:lpstr>EXPIRYDATE</vt:lpstr>
      <vt:lpstr>Data!fomwatchsymbol.jsp?key_NIFTY_Fut_Opt_Futures</vt:lpstr>
      <vt:lpstr>Data!NIFTY_Futures_1</vt:lpstr>
      <vt:lpstr>Data!NIFTY_Futures_2</vt:lpstr>
      <vt:lpstr>Data!NIFTY_Futures_3</vt:lpstr>
      <vt:lpstr>Data!NIFTY_OptionsChain</vt:lpstr>
      <vt:lpstr>Data!NIFTY_OptionsChain_1</vt:lpstr>
      <vt:lpstr>Data!NIFTY_OptionsChain_2</vt:lpstr>
      <vt:lpstr>Data!NIFTY_OptionsChain_3</vt:lpstr>
      <vt:lpstr>Data!NIFTY_OptionsChain_4</vt:lpstr>
      <vt:lpstr>Data!NIFTY_OptionsChain_5</vt:lpstr>
      <vt:lpstr>Data!optionKeys.jsp?symbolCode__10007_symbol_NIFTY_symbol_NIFTY_instrument___date___segmentLink_17_symbolCount_2_segmentLink_17</vt:lpstr>
      <vt:lpstr>REFRESH_STATUS</vt:lpstr>
      <vt:lpstr>REFRESH_TIME</vt:lpstr>
      <vt:lpstr>STOCK_SYMBOL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EarningLogic</dc:creator>
  <cp:lastModifiedBy>Singh Rajawat, Ajay</cp:lastModifiedBy>
  <dcterms:created xsi:type="dcterms:W3CDTF">2015-07-21T02:59:36Z</dcterms:created>
  <dcterms:modified xsi:type="dcterms:W3CDTF">2019-05-30T13:22:05Z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c0f418-96a4-4caf-9d7c-ccc5ec7f9d91_Enabled">
    <vt:lpwstr>True</vt:lpwstr>
  </property>
  <property fmtid="{D5CDD505-2E9C-101B-9397-08002B2CF9AE}" pid="3" name="MSIP_Label_1bc0f418-96a4-4caf-9d7c-ccc5ec7f9d91_SiteId">
    <vt:lpwstr>e0793d39-0939-496d-b129-198edd916feb</vt:lpwstr>
  </property>
  <property fmtid="{D5CDD505-2E9C-101B-9397-08002B2CF9AE}" pid="4" name="MSIP_Label_1bc0f418-96a4-4caf-9d7c-ccc5ec7f9d91_Owner">
    <vt:lpwstr>ajay.singh.rajawat@accenture.com</vt:lpwstr>
  </property>
  <property fmtid="{D5CDD505-2E9C-101B-9397-08002B2CF9AE}" pid="5" name="MSIP_Label_1bc0f418-96a4-4caf-9d7c-ccc5ec7f9d91_SetDate">
    <vt:lpwstr>2019-04-12T10:50:38.8548410Z</vt:lpwstr>
  </property>
  <property fmtid="{D5CDD505-2E9C-101B-9397-08002B2CF9AE}" pid="6" name="MSIP_Label_1bc0f418-96a4-4caf-9d7c-ccc5ec7f9d91_Name">
    <vt:lpwstr>Unrestricted</vt:lpwstr>
  </property>
  <property fmtid="{D5CDD505-2E9C-101B-9397-08002B2CF9AE}" pid="7" name="MSIP_Label_1bc0f418-96a4-4caf-9d7c-ccc5ec7f9d91_Application">
    <vt:lpwstr>Microsoft Azure Information Protection</vt:lpwstr>
  </property>
  <property fmtid="{D5CDD505-2E9C-101B-9397-08002B2CF9AE}" pid="8" name="MSIP_Label_1bc0f418-96a4-4caf-9d7c-ccc5ec7f9d91_Extended_MSFT_Method">
    <vt:lpwstr>Manual</vt:lpwstr>
  </property>
  <property fmtid="{D5CDD505-2E9C-101B-9397-08002B2CF9AE}" pid="9" name="Sensitivity">
    <vt:lpwstr>Unrestricted</vt:lpwstr>
  </property>
</Properties>
</file>