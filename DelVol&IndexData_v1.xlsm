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ExcelSheets\Option Chain\"/>
    </mc:Choice>
  </mc:AlternateContent>
  <xr:revisionPtr revIDLastSave="0" documentId="13_ncr:1_{F9265929-0828-4B98-9477-0D16D3472E95}" xr6:coauthVersionLast="36" xr6:coauthVersionMax="36" xr10:uidLastSave="{00000000-0000-0000-0000-000000000000}"/>
  <bookViews>
    <workbookView xWindow="0" yWindow="0" windowWidth="24000" windowHeight="8910" xr2:uid="{00000000-000D-0000-FFFF-FFFF00000000}"/>
  </bookViews>
  <sheets>
    <sheet name="Analysis" sheetId="1" r:id="rId1"/>
    <sheet name="Sheet1" sheetId="24" r:id="rId2"/>
    <sheet name="TotalTrades" sheetId="10" r:id="rId3"/>
    <sheet name="WatchList" sheetId="13" r:id="rId4"/>
    <sheet name="Nifty Futures " sheetId="19" r:id="rId5"/>
    <sheet name="NiftyStocks" sheetId="22" r:id="rId6"/>
    <sheet name="Nifty Options" sheetId="23" r:id="rId7"/>
    <sheet name="Consolidated" sheetId="21" r:id="rId8"/>
    <sheet name="OptionChainAnalysis" sheetId="14" r:id="rId9"/>
    <sheet name="High Beta" sheetId="17" r:id="rId10"/>
    <sheet name="Swing Watchlist" sheetId="18" r:id="rId11"/>
  </sheets>
  <externalReferences>
    <externalReference r:id="rId12"/>
  </externalReferences>
  <definedNames>
    <definedName name="_xlnm._FilterDatabase" localSheetId="0" hidden="1">Analysis!$A$1:$BD$195</definedName>
    <definedName name="ExpirayDate">#REF!</definedName>
    <definedName name="ExternalData_1" localSheetId="1" hidden="1">Sheet1!$A$12:$H$604</definedName>
    <definedName name="ExternalData_1" localSheetId="2" hidden="1">TotalTrades!$A$4:$U$200</definedName>
    <definedName name="Fortnight">#REF!</definedName>
    <definedName name="FromDate">TotalTrades!$J$1</definedName>
    <definedName name="SymbolFut" localSheetId="6">#REF!</definedName>
    <definedName name="SymbolFut">#REF!</definedName>
    <definedName name="SymbolStockList">[1]OIAnalysis!$F$2</definedName>
    <definedName name="SymbolStockList1">[1]OIAnalysis!$F$2</definedName>
    <definedName name="ToDate">TotalTrades!$J$2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91" i="1" l="1"/>
  <c r="F191" i="1"/>
  <c r="G191" i="1"/>
  <c r="H191" i="1"/>
  <c r="I191" i="1"/>
  <c r="R191" i="1"/>
  <c r="S191" i="1"/>
  <c r="T191" i="1"/>
  <c r="U191" i="1"/>
  <c r="V191" i="1"/>
  <c r="AA191" i="1"/>
  <c r="AB191" i="1"/>
  <c r="AC191" i="1"/>
  <c r="AD191" i="1"/>
  <c r="AE191" i="1"/>
  <c r="AR191" i="1"/>
  <c r="AS191" i="1"/>
  <c r="AT191" i="1"/>
  <c r="AU191" i="1"/>
  <c r="AV191" i="1"/>
  <c r="E192" i="1"/>
  <c r="F192" i="1"/>
  <c r="G192" i="1"/>
  <c r="H192" i="1"/>
  <c r="I192" i="1"/>
  <c r="R192" i="1"/>
  <c r="S192" i="1"/>
  <c r="T192" i="1"/>
  <c r="U192" i="1"/>
  <c r="V192" i="1"/>
  <c r="AA192" i="1"/>
  <c r="AB192" i="1"/>
  <c r="AC192" i="1"/>
  <c r="AD192" i="1"/>
  <c r="AE192" i="1"/>
  <c r="AR192" i="1"/>
  <c r="AS192" i="1"/>
  <c r="AT192" i="1"/>
  <c r="AU192" i="1"/>
  <c r="AV192" i="1"/>
  <c r="E193" i="1"/>
  <c r="F193" i="1"/>
  <c r="G193" i="1"/>
  <c r="H193" i="1"/>
  <c r="I193" i="1"/>
  <c r="R193" i="1"/>
  <c r="S193" i="1"/>
  <c r="T193" i="1"/>
  <c r="U193" i="1"/>
  <c r="V193" i="1"/>
  <c r="AA193" i="1"/>
  <c r="AB193" i="1"/>
  <c r="AC193" i="1"/>
  <c r="AD193" i="1"/>
  <c r="AE193" i="1"/>
  <c r="AR193" i="1"/>
  <c r="AS193" i="1"/>
  <c r="AT193" i="1"/>
  <c r="AU193" i="1"/>
  <c r="AV193" i="1"/>
  <c r="D194" i="1"/>
  <c r="E194" i="1"/>
  <c r="F194" i="1"/>
  <c r="G194" i="1"/>
  <c r="H194" i="1"/>
  <c r="I194" i="1"/>
  <c r="R194" i="1"/>
  <c r="S194" i="1"/>
  <c r="T194" i="1"/>
  <c r="U194" i="1"/>
  <c r="V194" i="1"/>
  <c r="AA194" i="1"/>
  <c r="AB194" i="1"/>
  <c r="AC194" i="1"/>
  <c r="AD194" i="1"/>
  <c r="AE194" i="1"/>
  <c r="AR194" i="1"/>
  <c r="AS194" i="1"/>
  <c r="AT194" i="1"/>
  <c r="AU194" i="1"/>
  <c r="AV194" i="1"/>
  <c r="D195" i="1"/>
  <c r="E195" i="1"/>
  <c r="F195" i="1"/>
  <c r="G195" i="1"/>
  <c r="H195" i="1"/>
  <c r="I195" i="1"/>
  <c r="R195" i="1"/>
  <c r="S195" i="1"/>
  <c r="T195" i="1"/>
  <c r="U195" i="1"/>
  <c r="V195" i="1"/>
  <c r="AA195" i="1"/>
  <c r="AB195" i="1"/>
  <c r="AC195" i="1"/>
  <c r="AD195" i="1"/>
  <c r="AE195" i="1"/>
  <c r="AR195" i="1"/>
  <c r="AS195" i="1"/>
  <c r="AT195" i="1"/>
  <c r="AU195" i="1"/>
  <c r="AV195" i="1"/>
  <c r="AU57" i="1"/>
  <c r="AV57" i="1"/>
  <c r="E58" i="1"/>
  <c r="F58" i="1"/>
  <c r="G58" i="1"/>
  <c r="G57" i="1"/>
  <c r="H57" i="1"/>
  <c r="F180" i="1"/>
  <c r="F9" i="1"/>
  <c r="E189" i="1"/>
  <c r="I57" i="1"/>
  <c r="F54" i="1"/>
  <c r="AF194" i="1" l="1"/>
  <c r="M57" i="1"/>
  <c r="AL192" i="1"/>
  <c r="J191" i="1"/>
  <c r="AK195" i="1"/>
  <c r="M195" i="1"/>
  <c r="AF191" i="1"/>
  <c r="M191" i="1"/>
  <c r="AK191" i="1"/>
  <c r="N191" i="1"/>
  <c r="K195" i="1"/>
  <c r="J194" i="1"/>
  <c r="AY191" i="1"/>
  <c r="AW192" i="1"/>
  <c r="AK192" i="1"/>
  <c r="AX192" i="1"/>
  <c r="J192" i="1"/>
  <c r="AX191" i="1"/>
  <c r="AH191" i="1"/>
  <c r="Z191" i="1"/>
  <c r="AK193" i="1"/>
  <c r="K194" i="1"/>
  <c r="AL193" i="1"/>
  <c r="AY192" i="1"/>
  <c r="AO192" i="1"/>
  <c r="AP191" i="1"/>
  <c r="AQ195" i="1"/>
  <c r="W195" i="1"/>
  <c r="AG194" i="1"/>
  <c r="P194" i="1"/>
  <c r="O193" i="1"/>
  <c r="Z192" i="1"/>
  <c r="W192" i="1"/>
  <c r="AQ191" i="1"/>
  <c r="AG191" i="1"/>
  <c r="K191" i="1"/>
  <c r="AW195" i="1"/>
  <c r="Y195" i="1"/>
  <c r="AL194" i="1"/>
  <c r="AN194" i="1"/>
  <c r="M193" i="1"/>
  <c r="Y192" i="1"/>
  <c r="N192" i="1"/>
  <c r="AQ194" i="1"/>
  <c r="AI193" i="1"/>
  <c r="AO193" i="1"/>
  <c r="W191" i="1"/>
  <c r="AG192" i="1"/>
  <c r="Y191" i="1"/>
  <c r="O195" i="1"/>
  <c r="AZ194" i="1"/>
  <c r="AQ192" i="1"/>
  <c r="L192" i="1"/>
  <c r="AW191" i="1"/>
  <c r="O191" i="1"/>
  <c r="AX194" i="1"/>
  <c r="W193" i="1"/>
  <c r="AP192" i="1"/>
  <c r="AH192" i="1"/>
  <c r="K192" i="1"/>
  <c r="K193" i="1"/>
  <c r="P191" i="1"/>
  <c r="L191" i="1"/>
  <c r="W194" i="1"/>
  <c r="AY195" i="1"/>
  <c r="AG195" i="1"/>
  <c r="AY193" i="1"/>
  <c r="Y193" i="1"/>
  <c r="Q193" i="1"/>
  <c r="AM192" i="1"/>
  <c r="M192" i="1"/>
  <c r="AL191" i="1"/>
  <c r="Q191" i="1"/>
  <c r="AX195" i="1"/>
  <c r="AJ194" i="1"/>
  <c r="AI194" i="1"/>
  <c r="Z194" i="1"/>
  <c r="Y194" i="1"/>
  <c r="N194" i="1"/>
  <c r="M194" i="1"/>
  <c r="AM193" i="1"/>
  <c r="AZ192" i="1"/>
  <c r="AI192" i="1"/>
  <c r="Q192" i="1"/>
  <c r="AI195" i="1"/>
  <c r="AF195" i="1"/>
  <c r="Z195" i="1"/>
  <c r="Q195" i="1"/>
  <c r="J195" i="1"/>
  <c r="AW194" i="1"/>
  <c r="AH194" i="1"/>
  <c r="X194" i="1"/>
  <c r="L194" i="1"/>
  <c r="AW193" i="1"/>
  <c r="AH193" i="1"/>
  <c r="X193" i="1"/>
  <c r="L193" i="1"/>
  <c r="O192" i="1"/>
  <c r="AM191" i="1"/>
  <c r="AO191" i="1"/>
  <c r="AH195" i="1"/>
  <c r="X195" i="1"/>
  <c r="L195" i="1"/>
  <c r="AY194" i="1"/>
  <c r="AZ193" i="1"/>
  <c r="AF193" i="1"/>
  <c r="Z193" i="1"/>
  <c r="J193" i="1"/>
  <c r="AF192" i="1"/>
  <c r="AZ191" i="1"/>
  <c r="AI191" i="1"/>
  <c r="AG193" i="1"/>
  <c r="AP195" i="1"/>
  <c r="AL195" i="1"/>
  <c r="N195" i="1"/>
  <c r="AM194" i="1"/>
  <c r="O194" i="1"/>
  <c r="AN193" i="1"/>
  <c r="AJ193" i="1"/>
  <c r="P193" i="1"/>
  <c r="AN192" i="1"/>
  <c r="AJ192" i="1"/>
  <c r="X192" i="1"/>
  <c r="P192" i="1"/>
  <c r="AN191" i="1"/>
  <c r="AJ191" i="1"/>
  <c r="X191" i="1"/>
  <c r="AO195" i="1"/>
  <c r="AP194" i="1"/>
  <c r="AQ193" i="1"/>
  <c r="AZ195" i="1"/>
  <c r="AN195" i="1"/>
  <c r="AJ195" i="1"/>
  <c r="P195" i="1"/>
  <c r="AO194" i="1"/>
  <c r="AK194" i="1"/>
  <c r="Q194" i="1"/>
  <c r="AX193" i="1"/>
  <c r="AP193" i="1"/>
  <c r="N193" i="1"/>
  <c r="AM195" i="1"/>
  <c r="I148" i="1"/>
  <c r="U4" i="23" l="1"/>
  <c r="U5" i="23"/>
  <c r="U6" i="23"/>
  <c r="M7" i="21" l="1"/>
  <c r="M8" i="21"/>
  <c r="M9" i="21"/>
  <c r="X3" i="21"/>
  <c r="X4" i="21"/>
  <c r="L4" i="19"/>
  <c r="L5" i="19"/>
  <c r="L6" i="19"/>
  <c r="L7" i="19"/>
  <c r="L8" i="19"/>
  <c r="L9" i="19"/>
  <c r="L10" i="19"/>
  <c r="L11" i="19"/>
  <c r="L12" i="19"/>
  <c r="L13" i="19"/>
  <c r="L14" i="19"/>
  <c r="L15" i="19"/>
  <c r="L16" i="19"/>
  <c r="L17" i="19"/>
  <c r="L18" i="19"/>
  <c r="L19" i="19"/>
  <c r="L20" i="19"/>
  <c r="L21" i="19"/>
  <c r="L22" i="19"/>
  <c r="L23" i="19"/>
  <c r="L24" i="19"/>
  <c r="L25" i="19"/>
  <c r="L26" i="19"/>
  <c r="L27" i="19"/>
  <c r="L28" i="19"/>
  <c r="L29" i="19"/>
  <c r="L30" i="19"/>
  <c r="L31" i="19"/>
  <c r="L32" i="19"/>
  <c r="L33" i="19"/>
  <c r="L34" i="19"/>
  <c r="L35" i="19"/>
  <c r="L36" i="19"/>
  <c r="L37" i="19"/>
  <c r="L38" i="19"/>
  <c r="L39" i="19"/>
  <c r="L40" i="19"/>
  <c r="L41" i="19"/>
  <c r="L42" i="19"/>
  <c r="L43" i="19"/>
  <c r="L44" i="19"/>
  <c r="L45" i="19"/>
  <c r="L46" i="19"/>
  <c r="L47" i="19"/>
  <c r="L48" i="19"/>
  <c r="L49" i="19"/>
  <c r="L50" i="19"/>
  <c r="L51" i="19"/>
  <c r="L52" i="19"/>
  <c r="L53" i="19"/>
  <c r="L54" i="19"/>
  <c r="L55" i="19"/>
  <c r="L56" i="19"/>
  <c r="L57" i="19"/>
  <c r="L58" i="19"/>
  <c r="L59" i="19"/>
  <c r="L60" i="19"/>
  <c r="L61" i="19"/>
  <c r="L62" i="19"/>
  <c r="L63" i="19"/>
  <c r="L64" i="19"/>
  <c r="L65" i="19"/>
  <c r="L66" i="19"/>
  <c r="L67" i="19"/>
  <c r="L68" i="19"/>
  <c r="L69" i="19"/>
  <c r="L70" i="19"/>
  <c r="L71" i="19"/>
  <c r="L72" i="19"/>
  <c r="L73" i="19"/>
  <c r="L74" i="19"/>
  <c r="L3" i="19"/>
  <c r="U7" i="23" s="1"/>
  <c r="U8" i="23"/>
  <c r="U9" i="23" l="1"/>
  <c r="G57" i="21" l="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M57" i="21"/>
  <c r="M58" i="21"/>
  <c r="M59" i="21"/>
  <c r="M60" i="21"/>
  <c r="M61" i="21"/>
  <c r="M62" i="21"/>
  <c r="M63" i="21"/>
  <c r="M64" i="21"/>
  <c r="M65" i="21"/>
  <c r="M66" i="21"/>
  <c r="M67" i="21"/>
  <c r="M68" i="21"/>
  <c r="M69" i="21"/>
  <c r="M70" i="21"/>
  <c r="M71" i="21"/>
  <c r="M72" i="21"/>
  <c r="M73" i="21"/>
  <c r="M74" i="21"/>
  <c r="M75" i="21"/>
  <c r="Q57" i="21"/>
  <c r="Q58" i="21"/>
  <c r="Q59" i="21"/>
  <c r="Q60" i="21"/>
  <c r="Q61" i="21"/>
  <c r="Q62" i="21"/>
  <c r="Q63" i="21"/>
  <c r="Q64" i="21"/>
  <c r="Q65" i="21"/>
  <c r="Q66" i="21"/>
  <c r="Q67" i="21"/>
  <c r="Q68" i="21"/>
  <c r="Q69" i="21"/>
  <c r="Q70" i="21"/>
  <c r="Q71" i="21"/>
  <c r="Q72" i="21"/>
  <c r="Q73" i="21"/>
  <c r="Q74" i="21"/>
  <c r="Q75" i="21"/>
  <c r="R57" i="21"/>
  <c r="R58" i="21"/>
  <c r="R59" i="21"/>
  <c r="R60" i="21"/>
  <c r="R61" i="21"/>
  <c r="R62" i="21"/>
  <c r="R63" i="21"/>
  <c r="R64" i="21"/>
  <c r="R65" i="21"/>
  <c r="R66" i="21"/>
  <c r="R67" i="21"/>
  <c r="R68" i="21"/>
  <c r="R69" i="21"/>
  <c r="R70" i="21"/>
  <c r="R71" i="21"/>
  <c r="R72" i="21"/>
  <c r="R73" i="21"/>
  <c r="R74" i="21"/>
  <c r="R75" i="21"/>
  <c r="V57" i="21"/>
  <c r="V58" i="21"/>
  <c r="V59" i="21"/>
  <c r="V60" i="21"/>
  <c r="V61" i="21"/>
  <c r="V62" i="21"/>
  <c r="V63" i="21"/>
  <c r="V64" i="21"/>
  <c r="V65" i="21"/>
  <c r="V66" i="21"/>
  <c r="V67" i="21"/>
  <c r="V68" i="21"/>
  <c r="V69" i="21"/>
  <c r="V70" i="21"/>
  <c r="V71" i="21"/>
  <c r="V72" i="21"/>
  <c r="V73" i="21"/>
  <c r="V74" i="21"/>
  <c r="V75" i="21"/>
  <c r="X75" i="21" s="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7" i="21"/>
  <c r="G6" i="21"/>
  <c r="L6" i="21"/>
  <c r="V6" i="21"/>
  <c r="X5" i="21" s="1"/>
  <c r="W6" i="21"/>
  <c r="W7" i="21"/>
  <c r="U10" i="23"/>
  <c r="X70" i="21" l="1"/>
  <c r="X66" i="21"/>
  <c r="X59" i="21"/>
  <c r="X61" i="21"/>
  <c r="X57" i="21"/>
  <c r="X72" i="21"/>
  <c r="X60" i="21"/>
  <c r="X73" i="21"/>
  <c r="X62" i="21"/>
  <c r="X69" i="21"/>
  <c r="X65" i="21"/>
  <c r="X68" i="21"/>
  <c r="X58" i="21"/>
  <c r="X74" i="21"/>
  <c r="X64" i="21"/>
  <c r="X71" i="21"/>
  <c r="X67" i="21"/>
  <c r="X63" i="21"/>
  <c r="G7" i="21"/>
  <c r="U79" i="23"/>
  <c r="U78" i="23"/>
  <c r="U77" i="23"/>
  <c r="U76" i="23"/>
  <c r="U75" i="23"/>
  <c r="U74" i="23"/>
  <c r="U73" i="23"/>
  <c r="U72" i="23"/>
  <c r="U71" i="23"/>
  <c r="U70" i="23"/>
  <c r="U69" i="23"/>
  <c r="U68" i="23"/>
  <c r="U67" i="23"/>
  <c r="U66" i="23"/>
  <c r="U65" i="23"/>
  <c r="U64" i="23"/>
  <c r="U63" i="23"/>
  <c r="U62" i="23"/>
  <c r="U61" i="23"/>
  <c r="U60" i="23"/>
  <c r="U59" i="23"/>
  <c r="U58" i="23"/>
  <c r="U57" i="23"/>
  <c r="U56" i="23"/>
  <c r="U55" i="23"/>
  <c r="U54" i="23"/>
  <c r="U53" i="23"/>
  <c r="U52" i="23"/>
  <c r="U51" i="23"/>
  <c r="U50" i="23"/>
  <c r="U49" i="23"/>
  <c r="U48" i="23"/>
  <c r="U47" i="23"/>
  <c r="U46" i="23"/>
  <c r="U45" i="23"/>
  <c r="U44" i="23"/>
  <c r="U43" i="23"/>
  <c r="U42" i="23"/>
  <c r="U41" i="23"/>
  <c r="U40" i="23"/>
  <c r="U39" i="23"/>
  <c r="U38" i="23"/>
  <c r="U37" i="23"/>
  <c r="U36" i="23"/>
  <c r="U35" i="23"/>
  <c r="U34" i="23"/>
  <c r="U33" i="23"/>
  <c r="U32" i="23"/>
  <c r="U31" i="23"/>
  <c r="U30" i="23"/>
  <c r="U29" i="23"/>
  <c r="U28" i="23"/>
  <c r="U27" i="23"/>
  <c r="U26" i="23"/>
  <c r="U25" i="23"/>
  <c r="U24" i="23"/>
  <c r="U23" i="23"/>
  <c r="U22" i="23"/>
  <c r="U21" i="23"/>
  <c r="U20" i="23"/>
  <c r="U19" i="23"/>
  <c r="U18" i="23"/>
  <c r="U17" i="23"/>
  <c r="U16" i="23"/>
  <c r="U15" i="23"/>
  <c r="U14" i="23"/>
  <c r="U13" i="23"/>
  <c r="U12" i="23"/>
  <c r="U11" i="23"/>
  <c r="Q7" i="21" l="1"/>
  <c r="P4" i="22" l="1"/>
  <c r="P5" i="22"/>
  <c r="P6" i="22"/>
  <c r="P7" i="22"/>
  <c r="P8" i="22"/>
  <c r="P3" i="22"/>
  <c r="V7" i="21" l="1"/>
  <c r="X6" i="21" s="1"/>
  <c r="V8" i="21"/>
  <c r="V9" i="21"/>
  <c r="V10" i="21"/>
  <c r="V11" i="21"/>
  <c r="V12" i="21"/>
  <c r="V13" i="21"/>
  <c r="V14" i="21"/>
  <c r="V15" i="21"/>
  <c r="V16" i="21"/>
  <c r="V17" i="21"/>
  <c r="V18" i="21"/>
  <c r="V19" i="21"/>
  <c r="V20" i="21"/>
  <c r="V21" i="21"/>
  <c r="V22" i="21"/>
  <c r="V23" i="21"/>
  <c r="V24" i="21"/>
  <c r="V25" i="21"/>
  <c r="V26" i="21"/>
  <c r="V27" i="21"/>
  <c r="V28" i="21"/>
  <c r="V29" i="21"/>
  <c r="V30" i="21"/>
  <c r="V31" i="21"/>
  <c r="V32" i="21"/>
  <c r="V33" i="21"/>
  <c r="V34" i="21"/>
  <c r="V35" i="21"/>
  <c r="V36" i="21"/>
  <c r="V37" i="21"/>
  <c r="V38" i="21"/>
  <c r="V39" i="21"/>
  <c r="V40" i="21"/>
  <c r="V41" i="21"/>
  <c r="V42" i="21"/>
  <c r="V43" i="21"/>
  <c r="V44" i="21"/>
  <c r="V45" i="21"/>
  <c r="V46" i="21"/>
  <c r="V47" i="21"/>
  <c r="V48" i="21"/>
  <c r="V49" i="21"/>
  <c r="V50" i="21"/>
  <c r="V51" i="21"/>
  <c r="V52" i="21"/>
  <c r="V53" i="21"/>
  <c r="V54" i="21"/>
  <c r="V55" i="21"/>
  <c r="V56" i="21"/>
  <c r="W8" i="21"/>
  <c r="W9" i="21"/>
  <c r="W10" i="21"/>
  <c r="W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M26" i="21"/>
  <c r="M27" i="21"/>
  <c r="M28" i="21"/>
  <c r="M29" i="21"/>
  <c r="M30" i="21"/>
  <c r="M31" i="21"/>
  <c r="M32" i="21"/>
  <c r="M33" i="21"/>
  <c r="M34" i="21"/>
  <c r="M35" i="21"/>
  <c r="M36" i="21"/>
  <c r="M37" i="21"/>
  <c r="M38" i="21"/>
  <c r="M39" i="21"/>
  <c r="M40" i="21"/>
  <c r="M41" i="21"/>
  <c r="M42" i="21"/>
  <c r="M43" i="21"/>
  <c r="M44" i="21"/>
  <c r="M45" i="21"/>
  <c r="M46" i="21"/>
  <c r="M47" i="21"/>
  <c r="M48" i="21"/>
  <c r="M49" i="21"/>
  <c r="M50" i="21"/>
  <c r="M51" i="21"/>
  <c r="M52" i="21"/>
  <c r="M53" i="21"/>
  <c r="M54" i="21"/>
  <c r="M55" i="21"/>
  <c r="M56" i="21"/>
  <c r="R8" i="21"/>
  <c r="R9" i="21"/>
  <c r="R10" i="21"/>
  <c r="R11" i="21"/>
  <c r="R12" i="21"/>
  <c r="R13" i="21"/>
  <c r="R14" i="21"/>
  <c r="R15" i="21"/>
  <c r="R16" i="21"/>
  <c r="R17" i="21"/>
  <c r="R18" i="21"/>
  <c r="R19" i="21"/>
  <c r="R20" i="21"/>
  <c r="R21" i="21"/>
  <c r="R22" i="21"/>
  <c r="R23" i="21"/>
  <c r="R24" i="21"/>
  <c r="R25" i="21"/>
  <c r="R26" i="21"/>
  <c r="R27" i="21"/>
  <c r="R28" i="21"/>
  <c r="R29" i="21"/>
  <c r="R30" i="21"/>
  <c r="R31" i="21"/>
  <c r="R32" i="21"/>
  <c r="R33" i="21"/>
  <c r="R34" i="21"/>
  <c r="R35" i="21"/>
  <c r="R36" i="21"/>
  <c r="R37" i="21"/>
  <c r="R38" i="21"/>
  <c r="R39" i="21"/>
  <c r="R40" i="21"/>
  <c r="R41" i="21"/>
  <c r="R42" i="21"/>
  <c r="R43" i="21"/>
  <c r="R44" i="21"/>
  <c r="R45" i="21"/>
  <c r="R46" i="21"/>
  <c r="R47" i="21"/>
  <c r="R48" i="21"/>
  <c r="R49" i="21"/>
  <c r="R50" i="21"/>
  <c r="R51" i="21"/>
  <c r="R52" i="21"/>
  <c r="R53" i="21"/>
  <c r="R54" i="21"/>
  <c r="R55" i="21"/>
  <c r="R56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Q17" i="21"/>
  <c r="Q18" i="21"/>
  <c r="Q19" i="21"/>
  <c r="Q20" i="21"/>
  <c r="Q21" i="21"/>
  <c r="Q22" i="21"/>
  <c r="Q23" i="21"/>
  <c r="Q24" i="21"/>
  <c r="Q25" i="21"/>
  <c r="Q26" i="21"/>
  <c r="Q27" i="21"/>
  <c r="Q28" i="21"/>
  <c r="Q29" i="21"/>
  <c r="Q30" i="21"/>
  <c r="Q31" i="21"/>
  <c r="Q32" i="21"/>
  <c r="Q33" i="21"/>
  <c r="Q34" i="21"/>
  <c r="Q35" i="21"/>
  <c r="Q36" i="21"/>
  <c r="Q37" i="21"/>
  <c r="Q38" i="21"/>
  <c r="Q39" i="21"/>
  <c r="Q40" i="21"/>
  <c r="Q41" i="21"/>
  <c r="Q42" i="21"/>
  <c r="Q43" i="21"/>
  <c r="Q44" i="21"/>
  <c r="Q45" i="21"/>
  <c r="Q46" i="21"/>
  <c r="Q47" i="21"/>
  <c r="Q48" i="21"/>
  <c r="Q49" i="21"/>
  <c r="Q50" i="21"/>
  <c r="Q51" i="21"/>
  <c r="Q52" i="21"/>
  <c r="Q53" i="21"/>
  <c r="Q54" i="21"/>
  <c r="Q55" i="21"/>
  <c r="Q56" i="21"/>
  <c r="Q8" i="21"/>
  <c r="Q9" i="21"/>
  <c r="Q10" i="21"/>
  <c r="Q11" i="21"/>
  <c r="Q12" i="21"/>
  <c r="Q13" i="21"/>
  <c r="Q14" i="21"/>
  <c r="Q15" i="21"/>
  <c r="Q16" i="21"/>
  <c r="L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X7" i="21" l="1"/>
  <c r="X53" i="21"/>
  <c r="X21" i="21"/>
  <c r="X54" i="21"/>
  <c r="X50" i="21"/>
  <c r="X46" i="21"/>
  <c r="X42" i="21"/>
  <c r="X38" i="21"/>
  <c r="X34" i="21"/>
  <c r="X30" i="21"/>
  <c r="X26" i="21"/>
  <c r="X22" i="21"/>
  <c r="X18" i="21"/>
  <c r="X14" i="21"/>
  <c r="X10" i="21"/>
  <c r="X41" i="21"/>
  <c r="X25" i="21"/>
  <c r="X9" i="21"/>
  <c r="X37" i="21"/>
  <c r="X55" i="21"/>
  <c r="X51" i="21"/>
  <c r="X47" i="21"/>
  <c r="X43" i="21"/>
  <c r="X39" i="21"/>
  <c r="X35" i="21"/>
  <c r="X31" i="21"/>
  <c r="X27" i="21"/>
  <c r="X23" i="21"/>
  <c r="X19" i="21"/>
  <c r="X15" i="21"/>
  <c r="X11" i="21"/>
  <c r="X49" i="21"/>
  <c r="X45" i="21"/>
  <c r="X33" i="21"/>
  <c r="X29" i="21"/>
  <c r="X17" i="21"/>
  <c r="X13" i="21"/>
  <c r="X12" i="21"/>
  <c r="X8" i="21"/>
  <c r="X56" i="21"/>
  <c r="X52" i="21"/>
  <c r="X48" i="21"/>
  <c r="X44" i="21"/>
  <c r="X40" i="21"/>
  <c r="X36" i="21"/>
  <c r="X32" i="21"/>
  <c r="X28" i="21"/>
  <c r="X24" i="21"/>
  <c r="X20" i="21"/>
  <c r="X16" i="21"/>
  <c r="AT59" i="1"/>
  <c r="K32" i="14" l="1"/>
  <c r="J32" i="14"/>
  <c r="G32" i="14" l="1"/>
  <c r="F32" i="14"/>
  <c r="G101" i="1" l="1"/>
  <c r="AA181" i="1" l="1"/>
  <c r="AA189" i="1"/>
  <c r="AA163" i="1"/>
  <c r="AA133" i="1"/>
  <c r="AA110" i="1"/>
  <c r="AA60" i="1"/>
  <c r="AA28" i="1"/>
  <c r="AA18" i="1"/>
  <c r="AA99" i="1"/>
  <c r="AA147" i="1"/>
  <c r="AA131" i="1"/>
  <c r="AA93" i="1"/>
  <c r="AA31" i="1"/>
  <c r="AA46" i="1"/>
  <c r="AA84" i="1"/>
  <c r="AA69" i="1"/>
  <c r="AA90" i="1"/>
  <c r="AA71" i="1"/>
  <c r="AA21" i="1"/>
  <c r="AA171" i="1"/>
  <c r="AA186" i="1"/>
  <c r="AA165" i="1"/>
  <c r="AA34" i="1"/>
  <c r="AA126" i="1"/>
  <c r="AA162" i="1"/>
  <c r="AA63" i="1"/>
  <c r="AA174" i="1"/>
  <c r="AA78" i="1"/>
  <c r="AA8" i="1"/>
  <c r="AA98" i="1"/>
  <c r="AA124" i="1"/>
  <c r="AA70" i="1"/>
  <c r="AA87" i="1"/>
  <c r="AA26" i="1"/>
  <c r="AA103" i="1"/>
  <c r="AA67" i="1"/>
  <c r="AA44" i="1"/>
  <c r="AA148" i="1"/>
  <c r="AA9" i="1"/>
  <c r="AA81" i="1"/>
  <c r="AA62" i="1"/>
  <c r="AA117" i="1"/>
  <c r="AA158" i="1"/>
  <c r="AA40" i="1"/>
  <c r="AA41" i="1"/>
  <c r="AA23" i="1"/>
  <c r="AA29" i="1"/>
  <c r="AA35" i="1"/>
  <c r="AA37" i="1"/>
  <c r="AA83" i="1"/>
  <c r="AA85" i="1"/>
  <c r="AA73" i="1"/>
  <c r="AA112" i="1"/>
  <c r="AA32" i="1"/>
  <c r="AA27" i="1"/>
  <c r="AA22" i="1"/>
  <c r="AA45" i="1"/>
  <c r="AA17" i="1"/>
  <c r="AA106" i="1"/>
  <c r="AA50" i="1"/>
  <c r="AA113" i="1"/>
  <c r="AA116" i="1"/>
  <c r="AA175" i="1"/>
  <c r="AA89" i="1"/>
  <c r="AA187" i="1"/>
  <c r="AA86" i="1"/>
  <c r="AA48" i="1"/>
  <c r="AA54" i="1"/>
  <c r="AA36" i="1"/>
  <c r="AA125" i="1"/>
  <c r="AA66" i="1"/>
  <c r="AA176" i="1"/>
  <c r="AA143" i="1"/>
  <c r="AA43" i="1"/>
  <c r="AA122" i="1"/>
  <c r="AA120" i="1"/>
  <c r="AA109" i="1"/>
  <c r="AA16" i="1"/>
  <c r="AA3" i="1"/>
  <c r="AA141" i="1"/>
  <c r="AA190" i="1"/>
  <c r="AA168" i="1"/>
  <c r="AA172" i="1"/>
  <c r="AA108" i="1"/>
  <c r="AA91" i="1"/>
  <c r="AA61" i="1"/>
  <c r="AA123" i="1"/>
  <c r="AA111" i="1"/>
  <c r="AA49" i="1"/>
  <c r="AA79" i="1"/>
  <c r="AA57" i="1"/>
  <c r="AA5" i="1"/>
  <c r="AA102" i="1"/>
  <c r="AA58" i="1"/>
  <c r="AA12" i="1"/>
  <c r="AA166" i="1"/>
  <c r="AA101" i="1"/>
  <c r="AA188" i="1"/>
  <c r="AA177" i="1"/>
  <c r="AA135" i="1"/>
  <c r="AA139" i="1"/>
  <c r="AA178" i="1"/>
  <c r="AA92" i="1"/>
  <c r="AA132" i="1"/>
  <c r="AA179" i="1"/>
  <c r="AA30" i="1"/>
  <c r="AE30" i="1"/>
  <c r="AE181" i="1"/>
  <c r="AE189" i="1"/>
  <c r="AE163" i="1"/>
  <c r="AE133" i="1"/>
  <c r="AE110" i="1"/>
  <c r="AE60" i="1"/>
  <c r="AE28" i="1"/>
  <c r="AE18" i="1"/>
  <c r="AE99" i="1"/>
  <c r="AE147" i="1"/>
  <c r="AE131" i="1"/>
  <c r="AE93" i="1"/>
  <c r="AE31" i="1"/>
  <c r="AE46" i="1"/>
  <c r="AE84" i="1"/>
  <c r="AE69" i="1"/>
  <c r="AE90" i="1"/>
  <c r="AE71" i="1"/>
  <c r="AE21" i="1"/>
  <c r="AE171" i="1"/>
  <c r="AE186" i="1"/>
  <c r="AE165" i="1"/>
  <c r="AE34" i="1"/>
  <c r="AE126" i="1"/>
  <c r="AE162" i="1"/>
  <c r="AE63" i="1"/>
  <c r="AE174" i="1"/>
  <c r="AE78" i="1"/>
  <c r="AE8" i="1"/>
  <c r="AE98" i="1"/>
  <c r="AE124" i="1"/>
  <c r="AE70" i="1"/>
  <c r="AE87" i="1"/>
  <c r="AE26" i="1"/>
  <c r="AE103" i="1"/>
  <c r="AE67" i="1"/>
  <c r="AE44" i="1"/>
  <c r="AE148" i="1"/>
  <c r="AE9" i="1"/>
  <c r="AE81" i="1"/>
  <c r="AE62" i="1"/>
  <c r="AE117" i="1"/>
  <c r="AE158" i="1"/>
  <c r="AE40" i="1"/>
  <c r="AE41" i="1"/>
  <c r="AE23" i="1"/>
  <c r="AE29" i="1"/>
  <c r="AE35" i="1"/>
  <c r="AE37" i="1"/>
  <c r="AE83" i="1"/>
  <c r="AE85" i="1"/>
  <c r="AE73" i="1"/>
  <c r="AE112" i="1"/>
  <c r="AE32" i="1"/>
  <c r="AE27" i="1"/>
  <c r="AE22" i="1"/>
  <c r="AE45" i="1"/>
  <c r="AE17" i="1"/>
  <c r="AE106" i="1"/>
  <c r="AE50" i="1"/>
  <c r="AE113" i="1"/>
  <c r="AE116" i="1"/>
  <c r="AE175" i="1"/>
  <c r="AE89" i="1"/>
  <c r="AE187" i="1"/>
  <c r="AE86" i="1"/>
  <c r="AE48" i="1"/>
  <c r="AE54" i="1"/>
  <c r="AE36" i="1"/>
  <c r="AE125" i="1"/>
  <c r="AE66" i="1"/>
  <c r="AE176" i="1"/>
  <c r="AE143" i="1"/>
  <c r="AE43" i="1"/>
  <c r="AE122" i="1"/>
  <c r="AE120" i="1"/>
  <c r="AE109" i="1"/>
  <c r="AE16" i="1"/>
  <c r="AE3" i="1"/>
  <c r="AE141" i="1"/>
  <c r="AE190" i="1"/>
  <c r="AE168" i="1"/>
  <c r="AE172" i="1"/>
  <c r="AE108" i="1"/>
  <c r="AE91" i="1"/>
  <c r="AE61" i="1"/>
  <c r="AE123" i="1"/>
  <c r="AE111" i="1"/>
  <c r="AE49" i="1"/>
  <c r="AE79" i="1"/>
  <c r="AE57" i="1"/>
  <c r="AE5" i="1"/>
  <c r="AE102" i="1"/>
  <c r="AE58" i="1"/>
  <c r="AE12" i="1"/>
  <c r="AE166" i="1"/>
  <c r="AE101" i="1"/>
  <c r="AE188" i="1"/>
  <c r="AE177" i="1"/>
  <c r="AE135" i="1"/>
  <c r="AE139" i="1"/>
  <c r="AE178" i="1"/>
  <c r="AE92" i="1"/>
  <c r="AE132" i="1"/>
  <c r="AE179" i="1"/>
  <c r="AE104" i="1"/>
  <c r="AE170" i="1"/>
  <c r="AE11" i="1"/>
  <c r="AE130" i="1"/>
  <c r="AE95" i="1"/>
  <c r="AE107" i="1"/>
  <c r="AE10" i="1"/>
  <c r="AE129" i="1"/>
  <c r="AE97" i="1"/>
  <c r="AE14" i="1"/>
  <c r="AE169" i="1"/>
  <c r="AE55" i="1"/>
  <c r="AE96" i="1"/>
  <c r="AE6" i="1"/>
  <c r="AE56" i="1"/>
  <c r="AE42" i="1"/>
  <c r="AE77" i="1"/>
  <c r="AE146" i="1"/>
  <c r="AE134" i="1"/>
  <c r="AE76" i="1"/>
  <c r="AE20" i="1"/>
  <c r="AE127" i="1"/>
  <c r="AE142" i="1"/>
  <c r="AE15" i="1"/>
  <c r="AE39" i="1"/>
  <c r="AE136" i="1"/>
  <c r="AE94" i="1"/>
  <c r="AE137" i="1"/>
  <c r="AE53" i="1"/>
  <c r="AE157" i="1"/>
  <c r="AE154" i="1"/>
  <c r="AE51" i="1"/>
  <c r="AE38" i="1"/>
  <c r="AE156" i="1"/>
  <c r="AE24" i="1"/>
  <c r="AE72" i="1"/>
  <c r="AE75" i="1"/>
  <c r="AE25" i="1"/>
  <c r="AE80" i="1"/>
  <c r="AE149" i="1"/>
  <c r="AE64" i="1"/>
  <c r="AE150" i="1"/>
  <c r="AE74" i="1"/>
  <c r="AE119" i="1"/>
  <c r="AE182" i="1"/>
  <c r="AE100" i="1"/>
  <c r="AE144" i="1"/>
  <c r="AE138" i="1"/>
  <c r="AE118" i="1"/>
  <c r="AE140" i="1"/>
  <c r="AE128" i="1"/>
  <c r="AE65" i="1"/>
  <c r="AE115" i="1"/>
  <c r="AE4" i="1"/>
  <c r="AE82" i="1"/>
  <c r="AE160" i="1"/>
  <c r="AE184" i="1"/>
  <c r="AE183" i="1"/>
  <c r="AE52" i="1"/>
  <c r="AE68" i="1"/>
  <c r="AE121" i="1"/>
  <c r="AE7" i="1"/>
  <c r="AE151" i="1"/>
  <c r="AE33" i="1"/>
  <c r="AE164" i="1"/>
  <c r="AE19" i="1"/>
  <c r="AE145" i="1"/>
  <c r="AE161" i="1"/>
  <c r="AE167" i="1"/>
  <c r="AE180" i="1"/>
  <c r="AE88" i="1"/>
  <c r="AE155" i="1"/>
  <c r="AE114" i="1"/>
  <c r="AE2" i="1"/>
  <c r="AE153" i="1"/>
  <c r="AE105" i="1"/>
  <c r="AE152" i="1"/>
  <c r="AE173" i="1"/>
  <c r="AE47" i="1"/>
  <c r="AE159" i="1"/>
  <c r="AE59" i="1"/>
  <c r="AE185" i="1"/>
  <c r="AE13" i="1"/>
  <c r="AD30" i="1"/>
  <c r="AD181" i="1"/>
  <c r="AD189" i="1"/>
  <c r="AD163" i="1"/>
  <c r="AD133" i="1"/>
  <c r="AD110" i="1"/>
  <c r="AD60" i="1"/>
  <c r="AD28" i="1"/>
  <c r="AD18" i="1"/>
  <c r="AD99" i="1"/>
  <c r="AD147" i="1"/>
  <c r="AD131" i="1"/>
  <c r="AD93" i="1"/>
  <c r="AD31" i="1"/>
  <c r="AD46" i="1"/>
  <c r="AD84" i="1"/>
  <c r="AD69" i="1"/>
  <c r="AD90" i="1"/>
  <c r="AD71" i="1"/>
  <c r="AD21" i="1"/>
  <c r="AD171" i="1"/>
  <c r="AD186" i="1"/>
  <c r="AD165" i="1"/>
  <c r="AD34" i="1"/>
  <c r="AD126" i="1"/>
  <c r="AD162" i="1"/>
  <c r="AD63" i="1"/>
  <c r="AD174" i="1"/>
  <c r="AD78" i="1"/>
  <c r="AD8" i="1"/>
  <c r="AD98" i="1"/>
  <c r="AD124" i="1"/>
  <c r="AD70" i="1"/>
  <c r="AD87" i="1"/>
  <c r="AD26" i="1"/>
  <c r="AD103" i="1"/>
  <c r="AD67" i="1"/>
  <c r="AD44" i="1"/>
  <c r="AD148" i="1"/>
  <c r="AD9" i="1"/>
  <c r="AD81" i="1"/>
  <c r="AD62" i="1"/>
  <c r="AD117" i="1"/>
  <c r="AD158" i="1"/>
  <c r="AD40" i="1"/>
  <c r="AD41" i="1"/>
  <c r="AD23" i="1"/>
  <c r="AD29" i="1"/>
  <c r="AD35" i="1"/>
  <c r="AD37" i="1"/>
  <c r="AD83" i="1"/>
  <c r="AD85" i="1"/>
  <c r="AD73" i="1"/>
  <c r="AD112" i="1"/>
  <c r="AD32" i="1"/>
  <c r="AD27" i="1"/>
  <c r="AD22" i="1"/>
  <c r="AD45" i="1"/>
  <c r="AD17" i="1"/>
  <c r="AD106" i="1"/>
  <c r="AD50" i="1"/>
  <c r="AD113" i="1"/>
  <c r="AD116" i="1"/>
  <c r="AD175" i="1"/>
  <c r="AD89" i="1"/>
  <c r="AD187" i="1"/>
  <c r="AD86" i="1"/>
  <c r="AD48" i="1"/>
  <c r="AD54" i="1"/>
  <c r="AD36" i="1"/>
  <c r="AD125" i="1"/>
  <c r="AD66" i="1"/>
  <c r="AD176" i="1"/>
  <c r="AD143" i="1"/>
  <c r="AD43" i="1"/>
  <c r="AD122" i="1"/>
  <c r="AD120" i="1"/>
  <c r="AD109" i="1"/>
  <c r="AD16" i="1"/>
  <c r="AD3" i="1"/>
  <c r="AD141" i="1"/>
  <c r="AD190" i="1"/>
  <c r="AD168" i="1"/>
  <c r="AD172" i="1"/>
  <c r="AD108" i="1"/>
  <c r="AD91" i="1"/>
  <c r="AD61" i="1"/>
  <c r="AD123" i="1"/>
  <c r="AD111" i="1"/>
  <c r="AD49" i="1"/>
  <c r="AD79" i="1"/>
  <c r="AD57" i="1"/>
  <c r="AD5" i="1"/>
  <c r="AD102" i="1"/>
  <c r="AD58" i="1"/>
  <c r="AD12" i="1"/>
  <c r="AD166" i="1"/>
  <c r="AD101" i="1"/>
  <c r="AD188" i="1"/>
  <c r="AD177" i="1"/>
  <c r="AD135" i="1"/>
  <c r="AD139" i="1"/>
  <c r="AD178" i="1"/>
  <c r="AD92" i="1"/>
  <c r="AD132" i="1"/>
  <c r="AD179" i="1"/>
  <c r="AD104" i="1"/>
  <c r="AD170" i="1"/>
  <c r="AD11" i="1"/>
  <c r="AD130" i="1"/>
  <c r="AD95" i="1"/>
  <c r="AD107" i="1"/>
  <c r="AD10" i="1"/>
  <c r="AD129" i="1"/>
  <c r="AD97" i="1"/>
  <c r="AD14" i="1"/>
  <c r="AD169" i="1"/>
  <c r="AD55" i="1"/>
  <c r="AD96" i="1"/>
  <c r="AD6" i="1"/>
  <c r="AD56" i="1"/>
  <c r="AD42" i="1"/>
  <c r="AD77" i="1"/>
  <c r="AD146" i="1"/>
  <c r="AD134" i="1"/>
  <c r="AD76" i="1"/>
  <c r="AD20" i="1"/>
  <c r="AD127" i="1"/>
  <c r="AD142" i="1"/>
  <c r="AD15" i="1"/>
  <c r="AD39" i="1"/>
  <c r="AD136" i="1"/>
  <c r="AD94" i="1"/>
  <c r="AD137" i="1"/>
  <c r="AD53" i="1"/>
  <c r="AD157" i="1"/>
  <c r="AD154" i="1"/>
  <c r="AD51" i="1"/>
  <c r="AD38" i="1"/>
  <c r="AD156" i="1"/>
  <c r="AD24" i="1"/>
  <c r="AD72" i="1"/>
  <c r="AD75" i="1"/>
  <c r="AD25" i="1"/>
  <c r="AD80" i="1"/>
  <c r="AD149" i="1"/>
  <c r="AD64" i="1"/>
  <c r="AD150" i="1"/>
  <c r="AD74" i="1"/>
  <c r="AD119" i="1"/>
  <c r="AD182" i="1"/>
  <c r="AD100" i="1"/>
  <c r="AD144" i="1"/>
  <c r="AD138" i="1"/>
  <c r="AD118" i="1"/>
  <c r="AD140" i="1"/>
  <c r="AD128" i="1"/>
  <c r="AD65" i="1"/>
  <c r="AD115" i="1"/>
  <c r="AD4" i="1"/>
  <c r="AD82" i="1"/>
  <c r="AD160" i="1"/>
  <c r="AD184" i="1"/>
  <c r="AD183" i="1"/>
  <c r="AD52" i="1"/>
  <c r="AD68" i="1"/>
  <c r="AD121" i="1"/>
  <c r="AD7" i="1"/>
  <c r="AD151" i="1"/>
  <c r="AD33" i="1"/>
  <c r="AD164" i="1"/>
  <c r="AD19" i="1"/>
  <c r="AD145" i="1"/>
  <c r="AD161" i="1"/>
  <c r="AD167" i="1"/>
  <c r="AD180" i="1"/>
  <c r="AD88" i="1"/>
  <c r="AD155" i="1"/>
  <c r="AD114" i="1"/>
  <c r="AD2" i="1"/>
  <c r="AD153" i="1"/>
  <c r="AD105" i="1"/>
  <c r="AD152" i="1"/>
  <c r="AD173" i="1"/>
  <c r="AD47" i="1"/>
  <c r="AD159" i="1"/>
  <c r="AD59" i="1"/>
  <c r="AD185" i="1"/>
  <c r="AD13" i="1"/>
  <c r="AC30" i="1"/>
  <c r="AC181" i="1"/>
  <c r="AC189" i="1"/>
  <c r="AC163" i="1"/>
  <c r="AC133" i="1"/>
  <c r="AC110" i="1"/>
  <c r="AC60" i="1"/>
  <c r="AC28" i="1"/>
  <c r="AC18" i="1"/>
  <c r="AC99" i="1"/>
  <c r="AC147" i="1"/>
  <c r="AC131" i="1"/>
  <c r="AC93" i="1"/>
  <c r="AC31" i="1"/>
  <c r="AC46" i="1"/>
  <c r="AC84" i="1"/>
  <c r="AC69" i="1"/>
  <c r="AC90" i="1"/>
  <c r="AC71" i="1"/>
  <c r="AC21" i="1"/>
  <c r="AC171" i="1"/>
  <c r="AC186" i="1"/>
  <c r="AC165" i="1"/>
  <c r="AC34" i="1"/>
  <c r="AC126" i="1"/>
  <c r="AC162" i="1"/>
  <c r="AC63" i="1"/>
  <c r="AC174" i="1"/>
  <c r="AC78" i="1"/>
  <c r="AC8" i="1"/>
  <c r="AC98" i="1"/>
  <c r="AC124" i="1"/>
  <c r="AC70" i="1"/>
  <c r="AC87" i="1"/>
  <c r="AC26" i="1"/>
  <c r="AC103" i="1"/>
  <c r="AC67" i="1"/>
  <c r="AC44" i="1"/>
  <c r="AC148" i="1"/>
  <c r="AC9" i="1"/>
  <c r="AC81" i="1"/>
  <c r="AC62" i="1"/>
  <c r="AC117" i="1"/>
  <c r="AC158" i="1"/>
  <c r="AC40" i="1"/>
  <c r="AC41" i="1"/>
  <c r="AC23" i="1"/>
  <c r="AC29" i="1"/>
  <c r="AC35" i="1"/>
  <c r="AC37" i="1"/>
  <c r="AC83" i="1"/>
  <c r="AC85" i="1"/>
  <c r="AC73" i="1"/>
  <c r="AC112" i="1"/>
  <c r="AC32" i="1"/>
  <c r="AC27" i="1"/>
  <c r="AC22" i="1"/>
  <c r="AC45" i="1"/>
  <c r="AC17" i="1"/>
  <c r="AC106" i="1"/>
  <c r="AC50" i="1"/>
  <c r="AC113" i="1"/>
  <c r="AC116" i="1"/>
  <c r="AC175" i="1"/>
  <c r="AC89" i="1"/>
  <c r="AC187" i="1"/>
  <c r="AC86" i="1"/>
  <c r="AC48" i="1"/>
  <c r="AC54" i="1"/>
  <c r="AC36" i="1"/>
  <c r="AC125" i="1"/>
  <c r="AC66" i="1"/>
  <c r="AC176" i="1"/>
  <c r="AC143" i="1"/>
  <c r="AC43" i="1"/>
  <c r="AC122" i="1"/>
  <c r="AC120" i="1"/>
  <c r="AC109" i="1"/>
  <c r="AC16" i="1"/>
  <c r="AC3" i="1"/>
  <c r="AC141" i="1"/>
  <c r="AC190" i="1"/>
  <c r="AC168" i="1"/>
  <c r="AC172" i="1"/>
  <c r="AC108" i="1"/>
  <c r="AC91" i="1"/>
  <c r="AC61" i="1"/>
  <c r="AC123" i="1"/>
  <c r="AC111" i="1"/>
  <c r="AC49" i="1"/>
  <c r="AC79" i="1"/>
  <c r="AC57" i="1"/>
  <c r="AC5" i="1"/>
  <c r="AC102" i="1"/>
  <c r="AC58" i="1"/>
  <c r="AC12" i="1"/>
  <c r="AC166" i="1"/>
  <c r="AC101" i="1"/>
  <c r="AC188" i="1"/>
  <c r="AC177" i="1"/>
  <c r="AC135" i="1"/>
  <c r="AC139" i="1"/>
  <c r="AC178" i="1"/>
  <c r="AC92" i="1"/>
  <c r="AC132" i="1"/>
  <c r="AC179" i="1"/>
  <c r="AC104" i="1"/>
  <c r="AC170" i="1"/>
  <c r="AC11" i="1"/>
  <c r="AC130" i="1"/>
  <c r="AC95" i="1"/>
  <c r="AC107" i="1"/>
  <c r="AC10" i="1"/>
  <c r="AC129" i="1"/>
  <c r="AC97" i="1"/>
  <c r="AC14" i="1"/>
  <c r="AC169" i="1"/>
  <c r="AC55" i="1"/>
  <c r="AC96" i="1"/>
  <c r="AC6" i="1"/>
  <c r="AC56" i="1"/>
  <c r="AC42" i="1"/>
  <c r="AC77" i="1"/>
  <c r="AC146" i="1"/>
  <c r="AC134" i="1"/>
  <c r="AC76" i="1"/>
  <c r="AC20" i="1"/>
  <c r="AC127" i="1"/>
  <c r="AC142" i="1"/>
  <c r="AC15" i="1"/>
  <c r="AC39" i="1"/>
  <c r="AC136" i="1"/>
  <c r="AC94" i="1"/>
  <c r="AC137" i="1"/>
  <c r="AC53" i="1"/>
  <c r="AC157" i="1"/>
  <c r="AC154" i="1"/>
  <c r="AC51" i="1"/>
  <c r="AC38" i="1"/>
  <c r="AC156" i="1"/>
  <c r="AC24" i="1"/>
  <c r="AC72" i="1"/>
  <c r="AC75" i="1"/>
  <c r="AC25" i="1"/>
  <c r="AC80" i="1"/>
  <c r="AC149" i="1"/>
  <c r="AC64" i="1"/>
  <c r="AC150" i="1"/>
  <c r="AC74" i="1"/>
  <c r="AC119" i="1"/>
  <c r="AC182" i="1"/>
  <c r="AC100" i="1"/>
  <c r="AC144" i="1"/>
  <c r="AC138" i="1"/>
  <c r="AC118" i="1"/>
  <c r="AC140" i="1"/>
  <c r="AC128" i="1"/>
  <c r="AC65" i="1"/>
  <c r="AC115" i="1"/>
  <c r="AC4" i="1"/>
  <c r="AC82" i="1"/>
  <c r="AC160" i="1"/>
  <c r="AC184" i="1"/>
  <c r="AC183" i="1"/>
  <c r="AC52" i="1"/>
  <c r="AC68" i="1"/>
  <c r="AC121" i="1"/>
  <c r="AC7" i="1"/>
  <c r="AC151" i="1"/>
  <c r="AC33" i="1"/>
  <c r="AC164" i="1"/>
  <c r="AC19" i="1"/>
  <c r="AC145" i="1"/>
  <c r="AC161" i="1"/>
  <c r="AC167" i="1"/>
  <c r="AC180" i="1"/>
  <c r="AC88" i="1"/>
  <c r="AC155" i="1"/>
  <c r="AC114" i="1"/>
  <c r="AC2" i="1"/>
  <c r="AC153" i="1"/>
  <c r="AC105" i="1"/>
  <c r="AC152" i="1"/>
  <c r="AC173" i="1"/>
  <c r="AC47" i="1"/>
  <c r="AC159" i="1"/>
  <c r="AC59" i="1"/>
  <c r="AC185" i="1"/>
  <c r="AC13" i="1"/>
  <c r="AB30" i="1"/>
  <c r="AB181" i="1"/>
  <c r="AB189" i="1"/>
  <c r="AB163" i="1"/>
  <c r="AB133" i="1"/>
  <c r="AB110" i="1"/>
  <c r="AB60" i="1"/>
  <c r="AB28" i="1"/>
  <c r="AB18" i="1"/>
  <c r="AB99" i="1"/>
  <c r="AB147" i="1"/>
  <c r="AB131" i="1"/>
  <c r="AB93" i="1"/>
  <c r="AB31" i="1"/>
  <c r="AB46" i="1"/>
  <c r="AB84" i="1"/>
  <c r="AB69" i="1"/>
  <c r="AB90" i="1"/>
  <c r="AB71" i="1"/>
  <c r="AB21" i="1"/>
  <c r="AB171" i="1"/>
  <c r="AB186" i="1"/>
  <c r="AB165" i="1"/>
  <c r="AB34" i="1"/>
  <c r="AB126" i="1"/>
  <c r="AB162" i="1"/>
  <c r="AB63" i="1"/>
  <c r="AB174" i="1"/>
  <c r="AB78" i="1"/>
  <c r="AB8" i="1"/>
  <c r="AB98" i="1"/>
  <c r="AB124" i="1"/>
  <c r="AB70" i="1"/>
  <c r="AB87" i="1"/>
  <c r="AB26" i="1"/>
  <c r="AB103" i="1"/>
  <c r="AB67" i="1"/>
  <c r="AB44" i="1"/>
  <c r="AB148" i="1"/>
  <c r="AB9" i="1"/>
  <c r="AB81" i="1"/>
  <c r="AB62" i="1"/>
  <c r="AB117" i="1"/>
  <c r="AB158" i="1"/>
  <c r="AB40" i="1"/>
  <c r="AB41" i="1"/>
  <c r="AB23" i="1"/>
  <c r="AB29" i="1"/>
  <c r="AB35" i="1"/>
  <c r="AB37" i="1"/>
  <c r="AB83" i="1"/>
  <c r="AB85" i="1"/>
  <c r="AB73" i="1"/>
  <c r="AB112" i="1"/>
  <c r="AB32" i="1"/>
  <c r="AB27" i="1"/>
  <c r="AB22" i="1"/>
  <c r="AB45" i="1"/>
  <c r="AB17" i="1"/>
  <c r="AB106" i="1"/>
  <c r="AB50" i="1"/>
  <c r="AB113" i="1"/>
  <c r="AB116" i="1"/>
  <c r="AB175" i="1"/>
  <c r="AB89" i="1"/>
  <c r="AB187" i="1"/>
  <c r="AB86" i="1"/>
  <c r="AB48" i="1"/>
  <c r="AB54" i="1"/>
  <c r="AB36" i="1"/>
  <c r="AB125" i="1"/>
  <c r="AB66" i="1"/>
  <c r="AB176" i="1"/>
  <c r="AB143" i="1"/>
  <c r="AB43" i="1"/>
  <c r="AB122" i="1"/>
  <c r="AB120" i="1"/>
  <c r="AB109" i="1"/>
  <c r="AB16" i="1"/>
  <c r="AB3" i="1"/>
  <c r="AB141" i="1"/>
  <c r="AB190" i="1"/>
  <c r="AB168" i="1"/>
  <c r="AB172" i="1"/>
  <c r="AB108" i="1"/>
  <c r="AB91" i="1"/>
  <c r="AB61" i="1"/>
  <c r="AB123" i="1"/>
  <c r="AB111" i="1"/>
  <c r="AB49" i="1"/>
  <c r="AB79" i="1"/>
  <c r="AB57" i="1"/>
  <c r="AB5" i="1"/>
  <c r="AB102" i="1"/>
  <c r="AB58" i="1"/>
  <c r="AB12" i="1"/>
  <c r="AB166" i="1"/>
  <c r="AB101" i="1"/>
  <c r="AB188" i="1"/>
  <c r="AB177" i="1"/>
  <c r="AB135" i="1"/>
  <c r="AB139" i="1"/>
  <c r="AB178" i="1"/>
  <c r="AB92" i="1"/>
  <c r="AB132" i="1"/>
  <c r="AB179" i="1"/>
  <c r="AB104" i="1"/>
  <c r="AB170" i="1"/>
  <c r="AB11" i="1"/>
  <c r="AB130" i="1"/>
  <c r="AB95" i="1"/>
  <c r="AB107" i="1"/>
  <c r="AB10" i="1"/>
  <c r="AB129" i="1"/>
  <c r="AB97" i="1"/>
  <c r="AB14" i="1"/>
  <c r="AB169" i="1"/>
  <c r="AB55" i="1"/>
  <c r="AB96" i="1"/>
  <c r="AB6" i="1"/>
  <c r="AB56" i="1"/>
  <c r="AB42" i="1"/>
  <c r="AB77" i="1"/>
  <c r="AB146" i="1"/>
  <c r="AB134" i="1"/>
  <c r="AB76" i="1"/>
  <c r="AB20" i="1"/>
  <c r="AB127" i="1"/>
  <c r="AB142" i="1"/>
  <c r="AB15" i="1"/>
  <c r="AB39" i="1"/>
  <c r="AB136" i="1"/>
  <c r="AB94" i="1"/>
  <c r="AB137" i="1"/>
  <c r="AB53" i="1"/>
  <c r="AB157" i="1"/>
  <c r="AB154" i="1"/>
  <c r="AB51" i="1"/>
  <c r="AB38" i="1"/>
  <c r="AB156" i="1"/>
  <c r="AB24" i="1"/>
  <c r="AB72" i="1"/>
  <c r="AB75" i="1"/>
  <c r="AB25" i="1"/>
  <c r="AB80" i="1"/>
  <c r="AB149" i="1"/>
  <c r="AB64" i="1"/>
  <c r="AB150" i="1"/>
  <c r="AB74" i="1"/>
  <c r="AB119" i="1"/>
  <c r="AB182" i="1"/>
  <c r="AB100" i="1"/>
  <c r="AB144" i="1"/>
  <c r="AB138" i="1"/>
  <c r="AB118" i="1"/>
  <c r="AB140" i="1"/>
  <c r="AB128" i="1"/>
  <c r="AB65" i="1"/>
  <c r="AB115" i="1"/>
  <c r="AB4" i="1"/>
  <c r="AB82" i="1"/>
  <c r="AB160" i="1"/>
  <c r="AB184" i="1"/>
  <c r="AB183" i="1"/>
  <c r="AB52" i="1"/>
  <c r="AB68" i="1"/>
  <c r="AB121" i="1"/>
  <c r="AB7" i="1"/>
  <c r="AB151" i="1"/>
  <c r="AB33" i="1"/>
  <c r="AB164" i="1"/>
  <c r="AB19" i="1"/>
  <c r="AB145" i="1"/>
  <c r="AB161" i="1"/>
  <c r="AB167" i="1"/>
  <c r="AB180" i="1"/>
  <c r="AB88" i="1"/>
  <c r="AB155" i="1"/>
  <c r="AB114" i="1"/>
  <c r="AB2" i="1"/>
  <c r="AB153" i="1"/>
  <c r="AB105" i="1"/>
  <c r="AB152" i="1"/>
  <c r="AB173" i="1"/>
  <c r="AB47" i="1"/>
  <c r="AB159" i="1"/>
  <c r="AB59" i="1"/>
  <c r="AB185" i="1"/>
  <c r="AB13" i="1"/>
  <c r="AG16" i="1" l="1"/>
  <c r="AG43" i="1"/>
  <c r="AG125" i="1"/>
  <c r="AG86" i="1"/>
  <c r="AG116" i="1"/>
  <c r="AG17" i="1"/>
  <c r="AG27" i="1"/>
  <c r="AG85" i="1"/>
  <c r="AG29" i="1"/>
  <c r="AG158" i="1"/>
  <c r="AG9" i="1"/>
  <c r="AG103" i="1"/>
  <c r="AG124" i="1"/>
  <c r="AG78" i="1"/>
  <c r="AG126" i="1"/>
  <c r="AG171" i="1"/>
  <c r="AG69" i="1"/>
  <c r="AG93" i="1"/>
  <c r="AG99" i="1"/>
  <c r="AG189" i="1"/>
  <c r="AI141" i="1"/>
  <c r="AI120" i="1"/>
  <c r="AI176" i="1"/>
  <c r="AI54" i="1"/>
  <c r="AI89" i="1"/>
  <c r="AI50" i="1"/>
  <c r="AI22" i="1"/>
  <c r="AI112" i="1"/>
  <c r="AI37" i="1"/>
  <c r="AI41" i="1"/>
  <c r="AI62" i="1"/>
  <c r="AI44" i="1"/>
  <c r="AI87" i="1"/>
  <c r="AI63" i="1"/>
  <c r="AI165" i="1"/>
  <c r="AI71" i="1"/>
  <c r="AI46" i="1"/>
  <c r="AI28" i="1"/>
  <c r="AI133" i="1"/>
  <c r="AI30" i="1"/>
  <c r="AG168" i="1"/>
  <c r="AG3" i="1"/>
  <c r="AG122" i="1"/>
  <c r="AG66" i="1"/>
  <c r="AG48" i="1"/>
  <c r="AG175" i="1"/>
  <c r="AG106" i="1"/>
  <c r="AG73" i="1"/>
  <c r="AG35" i="1"/>
  <c r="AG40" i="1"/>
  <c r="AG81" i="1"/>
  <c r="AG67" i="1"/>
  <c r="AG70" i="1"/>
  <c r="AG8" i="1"/>
  <c r="AG162" i="1"/>
  <c r="AG186" i="1"/>
  <c r="AG90" i="1"/>
  <c r="AG31" i="1"/>
  <c r="AG147" i="1"/>
  <c r="AG60" i="1"/>
  <c r="AG163" i="1"/>
  <c r="AH190" i="1"/>
  <c r="AH109" i="1"/>
  <c r="AH143" i="1"/>
  <c r="AH36" i="1"/>
  <c r="AH187" i="1"/>
  <c r="AH113" i="1"/>
  <c r="AH45" i="1"/>
  <c r="AH32" i="1"/>
  <c r="AH83" i="1"/>
  <c r="AH23" i="1"/>
  <c r="AH117" i="1"/>
  <c r="AH148" i="1"/>
  <c r="AH26" i="1"/>
  <c r="AH98" i="1"/>
  <c r="AH174" i="1"/>
  <c r="AH34" i="1"/>
  <c r="AH21" i="1"/>
  <c r="AH84" i="1"/>
  <c r="AH131" i="1"/>
  <c r="AH18" i="1"/>
  <c r="AH110" i="1"/>
  <c r="AH181" i="1"/>
  <c r="AI168" i="1"/>
  <c r="AI3" i="1"/>
  <c r="AI122" i="1"/>
  <c r="AI66" i="1"/>
  <c r="AI48" i="1"/>
  <c r="AI175" i="1"/>
  <c r="AI106" i="1"/>
  <c r="AI73" i="1"/>
  <c r="AI35" i="1"/>
  <c r="AI40" i="1"/>
  <c r="AI81" i="1"/>
  <c r="AI67" i="1"/>
  <c r="AI70" i="1"/>
  <c r="AI8" i="1"/>
  <c r="AI162" i="1"/>
  <c r="AI186" i="1"/>
  <c r="AI90" i="1"/>
  <c r="AI31" i="1"/>
  <c r="AI147" i="1"/>
  <c r="AI60" i="1"/>
  <c r="AI163" i="1"/>
  <c r="AH141" i="1"/>
  <c r="AH120" i="1"/>
  <c r="AH176" i="1"/>
  <c r="AH54" i="1"/>
  <c r="AH89" i="1"/>
  <c r="AH50" i="1"/>
  <c r="AH22" i="1"/>
  <c r="AH112" i="1"/>
  <c r="AH37" i="1"/>
  <c r="AH41" i="1"/>
  <c r="AH62" i="1"/>
  <c r="AH44" i="1"/>
  <c r="AH87" i="1"/>
  <c r="AH63" i="1"/>
  <c r="AH165" i="1"/>
  <c r="AH71" i="1"/>
  <c r="AH46" i="1"/>
  <c r="AH28" i="1"/>
  <c r="AH133" i="1"/>
  <c r="AH30" i="1"/>
  <c r="AI16" i="1"/>
  <c r="AI43" i="1"/>
  <c r="AI125" i="1"/>
  <c r="AI86" i="1"/>
  <c r="AI116" i="1"/>
  <c r="AI17" i="1"/>
  <c r="AI27" i="1"/>
  <c r="AI85" i="1"/>
  <c r="AI29" i="1"/>
  <c r="AI158" i="1"/>
  <c r="AI9" i="1"/>
  <c r="AI103" i="1"/>
  <c r="AI124" i="1"/>
  <c r="AI78" i="1"/>
  <c r="AI126" i="1"/>
  <c r="AI171" i="1"/>
  <c r="AI69" i="1"/>
  <c r="AI93" i="1"/>
  <c r="AI99" i="1"/>
  <c r="AI189" i="1"/>
  <c r="AG190" i="1"/>
  <c r="AG109" i="1"/>
  <c r="AG143" i="1"/>
  <c r="AG36" i="1"/>
  <c r="AG187" i="1"/>
  <c r="AG113" i="1"/>
  <c r="AG45" i="1"/>
  <c r="AG32" i="1"/>
  <c r="AG83" i="1"/>
  <c r="AG23" i="1"/>
  <c r="AG117" i="1"/>
  <c r="AG148" i="1"/>
  <c r="AG26" i="1"/>
  <c r="AG98" i="1"/>
  <c r="AG174" i="1"/>
  <c r="AG34" i="1"/>
  <c r="AG21" i="1"/>
  <c r="AG84" i="1"/>
  <c r="AG131" i="1"/>
  <c r="AG18" i="1"/>
  <c r="AG110" i="1"/>
  <c r="AG181" i="1"/>
  <c r="AH168" i="1"/>
  <c r="AH3" i="1"/>
  <c r="AH122" i="1"/>
  <c r="AH66" i="1"/>
  <c r="AH48" i="1"/>
  <c r="AH175" i="1"/>
  <c r="AH106" i="1"/>
  <c r="AH73" i="1"/>
  <c r="AH35" i="1"/>
  <c r="AH40" i="1"/>
  <c r="AH81" i="1"/>
  <c r="AH67" i="1"/>
  <c r="AH70" i="1"/>
  <c r="AH8" i="1"/>
  <c r="AH162" i="1"/>
  <c r="AH186" i="1"/>
  <c r="AH90" i="1"/>
  <c r="AH31" i="1"/>
  <c r="AH147" i="1"/>
  <c r="AH60" i="1"/>
  <c r="AH163" i="1"/>
  <c r="AI190" i="1"/>
  <c r="AI109" i="1"/>
  <c r="AI143" i="1"/>
  <c r="AI36" i="1"/>
  <c r="AI187" i="1"/>
  <c r="AI113" i="1"/>
  <c r="AI45" i="1"/>
  <c r="AI32" i="1"/>
  <c r="AI83" i="1"/>
  <c r="AI23" i="1"/>
  <c r="AI117" i="1"/>
  <c r="AI148" i="1"/>
  <c r="AI26" i="1"/>
  <c r="AI98" i="1"/>
  <c r="AI174" i="1"/>
  <c r="AI34" i="1"/>
  <c r="AI21" i="1"/>
  <c r="AI84" i="1"/>
  <c r="AI131" i="1"/>
  <c r="AI18" i="1"/>
  <c r="AI110" i="1"/>
  <c r="AI181" i="1"/>
  <c r="AG141" i="1"/>
  <c r="AG120" i="1"/>
  <c r="AG176" i="1"/>
  <c r="AG54" i="1"/>
  <c r="AG89" i="1"/>
  <c r="AG50" i="1"/>
  <c r="AG22" i="1"/>
  <c r="AG112" i="1"/>
  <c r="AG37" i="1"/>
  <c r="AG41" i="1"/>
  <c r="AG62" i="1"/>
  <c r="AG44" i="1"/>
  <c r="AG87" i="1"/>
  <c r="AG63" i="1"/>
  <c r="AG165" i="1"/>
  <c r="AG71" i="1"/>
  <c r="AG46" i="1"/>
  <c r="AG28" i="1"/>
  <c r="AG133" i="1"/>
  <c r="AG30" i="1"/>
  <c r="AH16" i="1"/>
  <c r="AH43" i="1"/>
  <c r="AH125" i="1"/>
  <c r="AH86" i="1"/>
  <c r="AH116" i="1"/>
  <c r="AH17" i="1"/>
  <c r="AH27" i="1"/>
  <c r="AH85" i="1"/>
  <c r="AH29" i="1"/>
  <c r="AH158" i="1"/>
  <c r="AH9" i="1"/>
  <c r="AH103" i="1"/>
  <c r="AH124" i="1"/>
  <c r="AH78" i="1"/>
  <c r="AH126" i="1"/>
  <c r="AH171" i="1"/>
  <c r="AH69" i="1"/>
  <c r="AH93" i="1"/>
  <c r="AH99" i="1"/>
  <c r="AH189" i="1"/>
  <c r="V159" i="1"/>
  <c r="V52" i="1"/>
  <c r="V29" i="1"/>
  <c r="V139" i="1"/>
  <c r="V165" i="1"/>
  <c r="V4" i="1"/>
  <c r="V143" i="1"/>
  <c r="V3" i="1"/>
  <c r="V12" i="1"/>
  <c r="V27" i="1"/>
  <c r="V89" i="1"/>
  <c r="V188" i="1"/>
  <c r="V16" i="1"/>
  <c r="V174" i="1"/>
  <c r="V124" i="1"/>
  <c r="V5" i="1"/>
  <c r="V147" i="1"/>
  <c r="V131" i="1"/>
  <c r="V57" i="1"/>
  <c r="V13" i="1"/>
  <c r="V105" i="1"/>
  <c r="V11" i="1"/>
  <c r="V49" i="1"/>
  <c r="V102" i="1"/>
  <c r="V71" i="1"/>
  <c r="V127" i="1"/>
  <c r="V61" i="1"/>
  <c r="V60" i="1"/>
  <c r="V35" i="1"/>
  <c r="V183" i="1"/>
  <c r="V22" i="1"/>
  <c r="V59" i="1"/>
  <c r="V9" i="1"/>
  <c r="V187" i="1"/>
  <c r="V164" i="1"/>
  <c r="V179" i="1"/>
  <c r="V7" i="1"/>
  <c r="V189" i="1"/>
  <c r="V19" i="1"/>
  <c r="V33" i="1"/>
  <c r="V21" i="1"/>
  <c r="V50" i="1"/>
  <c r="V82" i="1"/>
  <c r="V66" i="1"/>
  <c r="V153" i="1"/>
  <c r="V36" i="1"/>
  <c r="V176" i="1"/>
  <c r="V99" i="1"/>
  <c r="V15" i="1"/>
  <c r="V103" i="1"/>
  <c r="V149" i="1"/>
  <c r="V123" i="1"/>
  <c r="V17" i="1"/>
  <c r="V107" i="1"/>
  <c r="V8" i="1"/>
  <c r="V118" i="1"/>
  <c r="V128" i="1"/>
  <c r="V63" i="1"/>
  <c r="V157" i="1"/>
  <c r="V190" i="1"/>
  <c r="V23" i="1"/>
  <c r="V135" i="1"/>
  <c r="V140" i="1"/>
  <c r="V38" i="1"/>
  <c r="V117" i="1"/>
  <c r="V74" i="1"/>
  <c r="V10" i="1"/>
  <c r="V2" i="1"/>
  <c r="V154" i="1"/>
  <c r="V20" i="1"/>
  <c r="V46" i="1"/>
  <c r="V112" i="1"/>
  <c r="V18" i="1"/>
  <c r="V146" i="1"/>
  <c r="V129" i="1"/>
  <c r="V152" i="1"/>
  <c r="V182" i="1"/>
  <c r="V6" i="1"/>
  <c r="V172" i="1"/>
  <c r="V14" i="1"/>
  <c r="V121" i="1"/>
  <c r="V37" i="1"/>
  <c r="V41" i="1"/>
  <c r="V44" i="1"/>
  <c r="V68" i="1"/>
  <c r="V28" i="1"/>
  <c r="V47" i="1"/>
  <c r="V142" i="1"/>
  <c r="V80" i="1"/>
  <c r="V108" i="1"/>
  <c r="V126" i="1"/>
  <c r="V175" i="1"/>
  <c r="V78" i="1"/>
  <c r="V39" i="1"/>
  <c r="V101" i="1"/>
  <c r="V109" i="1"/>
  <c r="V170" i="1"/>
  <c r="V84" i="1"/>
  <c r="V30" i="1"/>
  <c r="V75" i="1"/>
  <c r="V134" i="1"/>
  <c r="V53" i="1"/>
  <c r="V97" i="1"/>
  <c r="V76" i="1"/>
  <c r="V34" i="1"/>
  <c r="V58" i="1"/>
  <c r="V94" i="1"/>
  <c r="V125" i="1"/>
  <c r="V166" i="1"/>
  <c r="V181" i="1"/>
  <c r="V173" i="1"/>
  <c r="V88" i="1"/>
  <c r="V64" i="1"/>
  <c r="V98" i="1"/>
  <c r="V136" i="1"/>
  <c r="V51" i="1"/>
  <c r="V48" i="1"/>
  <c r="V85" i="1"/>
  <c r="V69" i="1"/>
  <c r="V141" i="1"/>
  <c r="V77" i="1"/>
  <c r="V40" i="1"/>
  <c r="V43" i="1"/>
  <c r="V73" i="1"/>
  <c r="V96" i="1"/>
  <c r="V177" i="1"/>
  <c r="V45" i="1"/>
  <c r="V160" i="1"/>
  <c r="V114" i="1"/>
  <c r="V151" i="1"/>
  <c r="V42" i="1"/>
  <c r="V87" i="1"/>
  <c r="V130" i="1"/>
  <c r="V67" i="1"/>
  <c r="V180" i="1"/>
  <c r="V155" i="1"/>
  <c r="V31" i="1"/>
  <c r="V162" i="1"/>
  <c r="V81" i="1"/>
  <c r="V119" i="1"/>
  <c r="V100" i="1"/>
  <c r="V72" i="1"/>
  <c r="V132" i="1"/>
  <c r="V115" i="1"/>
  <c r="V32" i="1"/>
  <c r="V178" i="1"/>
  <c r="V116" i="1"/>
  <c r="V113" i="1"/>
  <c r="V148" i="1"/>
  <c r="V24" i="1"/>
  <c r="V161" i="1"/>
  <c r="V169" i="1"/>
  <c r="V167" i="1"/>
  <c r="V144" i="1"/>
  <c r="V93" i="1"/>
  <c r="V137" i="1"/>
  <c r="V86" i="1"/>
  <c r="V104" i="1"/>
  <c r="V120" i="1"/>
  <c r="V171" i="1"/>
  <c r="V184" i="1"/>
  <c r="V156" i="1"/>
  <c r="V150" i="1"/>
  <c r="V65" i="1"/>
  <c r="V26" i="1"/>
  <c r="V83" i="1"/>
  <c r="V163" i="1"/>
  <c r="V185" i="1"/>
  <c r="V111" i="1"/>
  <c r="V122" i="1"/>
  <c r="V79" i="1"/>
  <c r="V56" i="1"/>
  <c r="V168" i="1"/>
  <c r="V55" i="1"/>
  <c r="V158" i="1"/>
  <c r="V92" i="1"/>
  <c r="V95" i="1"/>
  <c r="V145" i="1"/>
  <c r="V106" i="1"/>
  <c r="V91" i="1"/>
  <c r="V62" i="1"/>
  <c r="V25" i="1"/>
  <c r="V138" i="1"/>
  <c r="V186" i="1"/>
  <c r="V133" i="1"/>
  <c r="V90" i="1"/>
  <c r="V54" i="1"/>
  <c r="V70" i="1"/>
  <c r="V110" i="1"/>
  <c r="U159" i="1"/>
  <c r="U52" i="1"/>
  <c r="U29" i="1"/>
  <c r="U139" i="1"/>
  <c r="U165" i="1"/>
  <c r="U4" i="1"/>
  <c r="U143" i="1"/>
  <c r="U3" i="1"/>
  <c r="U12" i="1"/>
  <c r="U27" i="1"/>
  <c r="U89" i="1"/>
  <c r="U188" i="1"/>
  <c r="U16" i="1"/>
  <c r="U174" i="1"/>
  <c r="U124" i="1"/>
  <c r="U5" i="1"/>
  <c r="U147" i="1"/>
  <c r="U131" i="1"/>
  <c r="U57" i="1"/>
  <c r="U13" i="1"/>
  <c r="U105" i="1"/>
  <c r="U11" i="1"/>
  <c r="U49" i="1"/>
  <c r="U102" i="1"/>
  <c r="U71" i="1"/>
  <c r="U127" i="1"/>
  <c r="U61" i="1"/>
  <c r="U60" i="1"/>
  <c r="U35" i="1"/>
  <c r="U183" i="1"/>
  <c r="U22" i="1"/>
  <c r="U59" i="1"/>
  <c r="U9" i="1"/>
  <c r="U187" i="1"/>
  <c r="U164" i="1"/>
  <c r="U179" i="1"/>
  <c r="U7" i="1"/>
  <c r="U189" i="1"/>
  <c r="U19" i="1"/>
  <c r="U33" i="1"/>
  <c r="U21" i="1"/>
  <c r="U50" i="1"/>
  <c r="U82" i="1"/>
  <c r="U66" i="1"/>
  <c r="U153" i="1"/>
  <c r="U36" i="1"/>
  <c r="U176" i="1"/>
  <c r="U99" i="1"/>
  <c r="U15" i="1"/>
  <c r="U103" i="1"/>
  <c r="U149" i="1"/>
  <c r="U123" i="1"/>
  <c r="U17" i="1"/>
  <c r="U107" i="1"/>
  <c r="U8" i="1"/>
  <c r="U118" i="1"/>
  <c r="U128" i="1"/>
  <c r="U63" i="1"/>
  <c r="U157" i="1"/>
  <c r="U190" i="1"/>
  <c r="U23" i="1"/>
  <c r="U135" i="1"/>
  <c r="U140" i="1"/>
  <c r="U38" i="1"/>
  <c r="U117" i="1"/>
  <c r="U74" i="1"/>
  <c r="U10" i="1"/>
  <c r="U2" i="1"/>
  <c r="U154" i="1"/>
  <c r="U20" i="1"/>
  <c r="U46" i="1"/>
  <c r="U112" i="1"/>
  <c r="U18" i="1"/>
  <c r="U146" i="1"/>
  <c r="U129" i="1"/>
  <c r="U152" i="1"/>
  <c r="U182" i="1"/>
  <c r="U6" i="1"/>
  <c r="U172" i="1"/>
  <c r="U14" i="1"/>
  <c r="U121" i="1"/>
  <c r="U37" i="1"/>
  <c r="U41" i="1"/>
  <c r="U44" i="1"/>
  <c r="U68" i="1"/>
  <c r="U28" i="1"/>
  <c r="U47" i="1"/>
  <c r="U142" i="1"/>
  <c r="U80" i="1"/>
  <c r="U108" i="1"/>
  <c r="U126" i="1"/>
  <c r="U175" i="1"/>
  <c r="U78" i="1"/>
  <c r="U39" i="1"/>
  <c r="U101" i="1"/>
  <c r="U109" i="1"/>
  <c r="U170" i="1"/>
  <c r="U84" i="1"/>
  <c r="U30" i="1"/>
  <c r="U75" i="1"/>
  <c r="U134" i="1"/>
  <c r="U53" i="1"/>
  <c r="U97" i="1"/>
  <c r="U76" i="1"/>
  <c r="U34" i="1"/>
  <c r="U58" i="1"/>
  <c r="U94" i="1"/>
  <c r="U125" i="1"/>
  <c r="U166" i="1"/>
  <c r="U181" i="1"/>
  <c r="U173" i="1"/>
  <c r="U88" i="1"/>
  <c r="U64" i="1"/>
  <c r="U98" i="1"/>
  <c r="U136" i="1"/>
  <c r="U51" i="1"/>
  <c r="U48" i="1"/>
  <c r="U85" i="1"/>
  <c r="U69" i="1"/>
  <c r="U141" i="1"/>
  <c r="U77" i="1"/>
  <c r="U40" i="1"/>
  <c r="U43" i="1"/>
  <c r="U73" i="1"/>
  <c r="U96" i="1"/>
  <c r="U177" i="1"/>
  <c r="U45" i="1"/>
  <c r="U160" i="1"/>
  <c r="U114" i="1"/>
  <c r="U151" i="1"/>
  <c r="U42" i="1"/>
  <c r="U87" i="1"/>
  <c r="U130" i="1"/>
  <c r="U67" i="1"/>
  <c r="U180" i="1"/>
  <c r="U155" i="1"/>
  <c r="U31" i="1"/>
  <c r="U162" i="1"/>
  <c r="U81" i="1"/>
  <c r="U119" i="1"/>
  <c r="U100" i="1"/>
  <c r="U72" i="1"/>
  <c r="U132" i="1"/>
  <c r="U115" i="1"/>
  <c r="U32" i="1"/>
  <c r="U178" i="1"/>
  <c r="U116" i="1"/>
  <c r="U113" i="1"/>
  <c r="U148" i="1"/>
  <c r="U24" i="1"/>
  <c r="U161" i="1"/>
  <c r="U169" i="1"/>
  <c r="U167" i="1"/>
  <c r="U144" i="1"/>
  <c r="U93" i="1"/>
  <c r="U137" i="1"/>
  <c r="U86" i="1"/>
  <c r="U104" i="1"/>
  <c r="U120" i="1"/>
  <c r="U171" i="1"/>
  <c r="U184" i="1"/>
  <c r="U156" i="1"/>
  <c r="U150" i="1"/>
  <c r="U65" i="1"/>
  <c r="U26" i="1"/>
  <c r="U83" i="1"/>
  <c r="U163" i="1"/>
  <c r="U185" i="1"/>
  <c r="U111" i="1"/>
  <c r="U122" i="1"/>
  <c r="U79" i="1"/>
  <c r="U56" i="1"/>
  <c r="U168" i="1"/>
  <c r="U55" i="1"/>
  <c r="U158" i="1"/>
  <c r="U92" i="1"/>
  <c r="U95" i="1"/>
  <c r="U145" i="1"/>
  <c r="U106" i="1"/>
  <c r="U91" i="1"/>
  <c r="U62" i="1"/>
  <c r="U25" i="1"/>
  <c r="U138" i="1"/>
  <c r="U186" i="1"/>
  <c r="U133" i="1"/>
  <c r="U90" i="1"/>
  <c r="U54" i="1"/>
  <c r="U70" i="1"/>
  <c r="U110" i="1"/>
  <c r="T159" i="1"/>
  <c r="T52" i="1"/>
  <c r="T29" i="1"/>
  <c r="T139" i="1"/>
  <c r="T165" i="1"/>
  <c r="T4" i="1"/>
  <c r="T143" i="1"/>
  <c r="T3" i="1"/>
  <c r="T12" i="1"/>
  <c r="T27" i="1"/>
  <c r="T89" i="1"/>
  <c r="T188" i="1"/>
  <c r="T16" i="1"/>
  <c r="T174" i="1"/>
  <c r="T124" i="1"/>
  <c r="T5" i="1"/>
  <c r="T147" i="1"/>
  <c r="T131" i="1"/>
  <c r="T57" i="1"/>
  <c r="T13" i="1"/>
  <c r="T105" i="1"/>
  <c r="T11" i="1"/>
  <c r="T49" i="1"/>
  <c r="T102" i="1"/>
  <c r="T71" i="1"/>
  <c r="T127" i="1"/>
  <c r="T61" i="1"/>
  <c r="T60" i="1"/>
  <c r="T35" i="1"/>
  <c r="T183" i="1"/>
  <c r="T22" i="1"/>
  <c r="T59" i="1"/>
  <c r="T9" i="1"/>
  <c r="T187" i="1"/>
  <c r="T164" i="1"/>
  <c r="T179" i="1"/>
  <c r="T7" i="1"/>
  <c r="T189" i="1"/>
  <c r="T19" i="1"/>
  <c r="T33" i="1"/>
  <c r="T21" i="1"/>
  <c r="T50" i="1"/>
  <c r="T82" i="1"/>
  <c r="T66" i="1"/>
  <c r="T153" i="1"/>
  <c r="T36" i="1"/>
  <c r="T176" i="1"/>
  <c r="T99" i="1"/>
  <c r="T15" i="1"/>
  <c r="T103" i="1"/>
  <c r="T149" i="1"/>
  <c r="T123" i="1"/>
  <c r="T17" i="1"/>
  <c r="T107" i="1"/>
  <c r="T8" i="1"/>
  <c r="T118" i="1"/>
  <c r="T128" i="1"/>
  <c r="T63" i="1"/>
  <c r="T157" i="1"/>
  <c r="T190" i="1"/>
  <c r="T23" i="1"/>
  <c r="T135" i="1"/>
  <c r="T140" i="1"/>
  <c r="T38" i="1"/>
  <c r="T117" i="1"/>
  <c r="T74" i="1"/>
  <c r="T10" i="1"/>
  <c r="T2" i="1"/>
  <c r="T154" i="1"/>
  <c r="T20" i="1"/>
  <c r="T46" i="1"/>
  <c r="T112" i="1"/>
  <c r="T18" i="1"/>
  <c r="T146" i="1"/>
  <c r="T129" i="1"/>
  <c r="T152" i="1"/>
  <c r="T182" i="1"/>
  <c r="T6" i="1"/>
  <c r="T172" i="1"/>
  <c r="T14" i="1"/>
  <c r="T121" i="1"/>
  <c r="T37" i="1"/>
  <c r="T41" i="1"/>
  <c r="T44" i="1"/>
  <c r="T68" i="1"/>
  <c r="T28" i="1"/>
  <c r="T47" i="1"/>
  <c r="T142" i="1"/>
  <c r="T80" i="1"/>
  <c r="T108" i="1"/>
  <c r="T126" i="1"/>
  <c r="T175" i="1"/>
  <c r="T78" i="1"/>
  <c r="T39" i="1"/>
  <c r="T101" i="1"/>
  <c r="T109" i="1"/>
  <c r="T170" i="1"/>
  <c r="T84" i="1"/>
  <c r="T30" i="1"/>
  <c r="T75" i="1"/>
  <c r="T134" i="1"/>
  <c r="T53" i="1"/>
  <c r="T97" i="1"/>
  <c r="T76" i="1"/>
  <c r="T34" i="1"/>
  <c r="T58" i="1"/>
  <c r="T94" i="1"/>
  <c r="T125" i="1"/>
  <c r="T166" i="1"/>
  <c r="T181" i="1"/>
  <c r="T173" i="1"/>
  <c r="T88" i="1"/>
  <c r="T64" i="1"/>
  <c r="T98" i="1"/>
  <c r="T136" i="1"/>
  <c r="T51" i="1"/>
  <c r="T48" i="1"/>
  <c r="T85" i="1"/>
  <c r="T69" i="1"/>
  <c r="T141" i="1"/>
  <c r="T77" i="1"/>
  <c r="T40" i="1"/>
  <c r="T43" i="1"/>
  <c r="T73" i="1"/>
  <c r="T96" i="1"/>
  <c r="T177" i="1"/>
  <c r="T45" i="1"/>
  <c r="T160" i="1"/>
  <c r="T114" i="1"/>
  <c r="T151" i="1"/>
  <c r="T42" i="1"/>
  <c r="T87" i="1"/>
  <c r="T130" i="1"/>
  <c r="T67" i="1"/>
  <c r="T180" i="1"/>
  <c r="T155" i="1"/>
  <c r="T31" i="1"/>
  <c r="T162" i="1"/>
  <c r="T81" i="1"/>
  <c r="T119" i="1"/>
  <c r="T100" i="1"/>
  <c r="T72" i="1"/>
  <c r="T132" i="1"/>
  <c r="T115" i="1"/>
  <c r="T32" i="1"/>
  <c r="T178" i="1"/>
  <c r="T116" i="1"/>
  <c r="T113" i="1"/>
  <c r="T148" i="1"/>
  <c r="T24" i="1"/>
  <c r="T161" i="1"/>
  <c r="T169" i="1"/>
  <c r="T167" i="1"/>
  <c r="T144" i="1"/>
  <c r="T93" i="1"/>
  <c r="T137" i="1"/>
  <c r="T86" i="1"/>
  <c r="T104" i="1"/>
  <c r="T120" i="1"/>
  <c r="T171" i="1"/>
  <c r="T184" i="1"/>
  <c r="T156" i="1"/>
  <c r="T150" i="1"/>
  <c r="T65" i="1"/>
  <c r="T26" i="1"/>
  <c r="T83" i="1"/>
  <c r="T163" i="1"/>
  <c r="T185" i="1"/>
  <c r="T111" i="1"/>
  <c r="T122" i="1"/>
  <c r="T79" i="1"/>
  <c r="T56" i="1"/>
  <c r="T168" i="1"/>
  <c r="T55" i="1"/>
  <c r="T158" i="1"/>
  <c r="T92" i="1"/>
  <c r="T95" i="1"/>
  <c r="T145" i="1"/>
  <c r="T106" i="1"/>
  <c r="T91" i="1"/>
  <c r="T62" i="1"/>
  <c r="T25" i="1"/>
  <c r="T138" i="1"/>
  <c r="T186" i="1"/>
  <c r="T133" i="1"/>
  <c r="T90" i="1"/>
  <c r="T54" i="1"/>
  <c r="T70" i="1"/>
  <c r="T110" i="1"/>
  <c r="S159" i="1"/>
  <c r="S52" i="1"/>
  <c r="S29" i="1"/>
  <c r="S139" i="1"/>
  <c r="S165" i="1"/>
  <c r="S4" i="1"/>
  <c r="S143" i="1"/>
  <c r="S3" i="1"/>
  <c r="S12" i="1"/>
  <c r="S27" i="1"/>
  <c r="S89" i="1"/>
  <c r="S188" i="1"/>
  <c r="S16" i="1"/>
  <c r="S174" i="1"/>
  <c r="S124" i="1"/>
  <c r="S5" i="1"/>
  <c r="S147" i="1"/>
  <c r="S131" i="1"/>
  <c r="S57" i="1"/>
  <c r="S13" i="1"/>
  <c r="S105" i="1"/>
  <c r="S11" i="1"/>
  <c r="S49" i="1"/>
  <c r="S102" i="1"/>
  <c r="S71" i="1"/>
  <c r="S127" i="1"/>
  <c r="S61" i="1"/>
  <c r="S60" i="1"/>
  <c r="S35" i="1"/>
  <c r="S183" i="1"/>
  <c r="S22" i="1"/>
  <c r="S59" i="1"/>
  <c r="S9" i="1"/>
  <c r="S187" i="1"/>
  <c r="S164" i="1"/>
  <c r="S179" i="1"/>
  <c r="S7" i="1"/>
  <c r="S189" i="1"/>
  <c r="S19" i="1"/>
  <c r="S33" i="1"/>
  <c r="S21" i="1"/>
  <c r="S50" i="1"/>
  <c r="S82" i="1"/>
  <c r="S66" i="1"/>
  <c r="S153" i="1"/>
  <c r="S36" i="1"/>
  <c r="S176" i="1"/>
  <c r="S99" i="1"/>
  <c r="S15" i="1"/>
  <c r="S103" i="1"/>
  <c r="S149" i="1"/>
  <c r="S123" i="1"/>
  <c r="S17" i="1"/>
  <c r="S107" i="1"/>
  <c r="S8" i="1"/>
  <c r="S118" i="1"/>
  <c r="S128" i="1"/>
  <c r="S63" i="1"/>
  <c r="S157" i="1"/>
  <c r="S190" i="1"/>
  <c r="S23" i="1"/>
  <c r="S135" i="1"/>
  <c r="S140" i="1"/>
  <c r="S38" i="1"/>
  <c r="S117" i="1"/>
  <c r="S74" i="1"/>
  <c r="S10" i="1"/>
  <c r="S2" i="1"/>
  <c r="S154" i="1"/>
  <c r="S20" i="1"/>
  <c r="S46" i="1"/>
  <c r="S112" i="1"/>
  <c r="S18" i="1"/>
  <c r="S146" i="1"/>
  <c r="S129" i="1"/>
  <c r="S152" i="1"/>
  <c r="S182" i="1"/>
  <c r="S6" i="1"/>
  <c r="S172" i="1"/>
  <c r="S14" i="1"/>
  <c r="S121" i="1"/>
  <c r="S37" i="1"/>
  <c r="S41" i="1"/>
  <c r="S44" i="1"/>
  <c r="S68" i="1"/>
  <c r="S28" i="1"/>
  <c r="S47" i="1"/>
  <c r="S142" i="1"/>
  <c r="S80" i="1"/>
  <c r="S108" i="1"/>
  <c r="S126" i="1"/>
  <c r="S175" i="1"/>
  <c r="S78" i="1"/>
  <c r="S39" i="1"/>
  <c r="S101" i="1"/>
  <c r="S109" i="1"/>
  <c r="S170" i="1"/>
  <c r="S84" i="1"/>
  <c r="S30" i="1"/>
  <c r="S75" i="1"/>
  <c r="S134" i="1"/>
  <c r="S53" i="1"/>
  <c r="S97" i="1"/>
  <c r="S76" i="1"/>
  <c r="S34" i="1"/>
  <c r="S58" i="1"/>
  <c r="S94" i="1"/>
  <c r="S125" i="1"/>
  <c r="S166" i="1"/>
  <c r="S181" i="1"/>
  <c r="S173" i="1"/>
  <c r="S88" i="1"/>
  <c r="S64" i="1"/>
  <c r="S98" i="1"/>
  <c r="S136" i="1"/>
  <c r="S51" i="1"/>
  <c r="S48" i="1"/>
  <c r="S85" i="1"/>
  <c r="S69" i="1"/>
  <c r="S141" i="1"/>
  <c r="S77" i="1"/>
  <c r="S40" i="1"/>
  <c r="S43" i="1"/>
  <c r="S73" i="1"/>
  <c r="S96" i="1"/>
  <c r="S177" i="1"/>
  <c r="S45" i="1"/>
  <c r="S160" i="1"/>
  <c r="S114" i="1"/>
  <c r="S151" i="1"/>
  <c r="S42" i="1"/>
  <c r="S87" i="1"/>
  <c r="S130" i="1"/>
  <c r="S67" i="1"/>
  <c r="S180" i="1"/>
  <c r="S155" i="1"/>
  <c r="S31" i="1"/>
  <c r="S162" i="1"/>
  <c r="S81" i="1"/>
  <c r="S119" i="1"/>
  <c r="S100" i="1"/>
  <c r="S72" i="1"/>
  <c r="S132" i="1"/>
  <c r="S115" i="1"/>
  <c r="S32" i="1"/>
  <c r="S178" i="1"/>
  <c r="S116" i="1"/>
  <c r="S113" i="1"/>
  <c r="S148" i="1"/>
  <c r="S24" i="1"/>
  <c r="S161" i="1"/>
  <c r="S169" i="1"/>
  <c r="S167" i="1"/>
  <c r="S144" i="1"/>
  <c r="S93" i="1"/>
  <c r="S137" i="1"/>
  <c r="S86" i="1"/>
  <c r="S104" i="1"/>
  <c r="S120" i="1"/>
  <c r="S171" i="1"/>
  <c r="S184" i="1"/>
  <c r="S156" i="1"/>
  <c r="S150" i="1"/>
  <c r="S65" i="1"/>
  <c r="S26" i="1"/>
  <c r="S83" i="1"/>
  <c r="S163" i="1"/>
  <c r="S185" i="1"/>
  <c r="S111" i="1"/>
  <c r="S122" i="1"/>
  <c r="S79" i="1"/>
  <c r="S56" i="1"/>
  <c r="S168" i="1"/>
  <c r="S55" i="1"/>
  <c r="S158" i="1"/>
  <c r="S92" i="1"/>
  <c r="S95" i="1"/>
  <c r="S145" i="1"/>
  <c r="S106" i="1"/>
  <c r="S91" i="1"/>
  <c r="S62" i="1"/>
  <c r="S25" i="1"/>
  <c r="S138" i="1"/>
  <c r="S186" i="1"/>
  <c r="S133" i="1"/>
  <c r="S90" i="1"/>
  <c r="S54" i="1"/>
  <c r="S70" i="1"/>
  <c r="S110" i="1"/>
  <c r="I159" i="1"/>
  <c r="I52" i="1"/>
  <c r="I29" i="1"/>
  <c r="I139" i="1"/>
  <c r="I165" i="1"/>
  <c r="I4" i="1"/>
  <c r="I143" i="1"/>
  <c r="I3" i="1"/>
  <c r="I12" i="1"/>
  <c r="I27" i="1"/>
  <c r="I89" i="1"/>
  <c r="I188" i="1"/>
  <c r="I16" i="1"/>
  <c r="I174" i="1"/>
  <c r="I124" i="1"/>
  <c r="I5" i="1"/>
  <c r="I147" i="1"/>
  <c r="I131" i="1"/>
  <c r="I13" i="1"/>
  <c r="I105" i="1"/>
  <c r="I11" i="1"/>
  <c r="I49" i="1"/>
  <c r="I102" i="1"/>
  <c r="I71" i="1"/>
  <c r="I127" i="1"/>
  <c r="I61" i="1"/>
  <c r="I60" i="1"/>
  <c r="I35" i="1"/>
  <c r="I183" i="1"/>
  <c r="I22" i="1"/>
  <c r="I59" i="1"/>
  <c r="I9" i="1"/>
  <c r="I187" i="1"/>
  <c r="I164" i="1"/>
  <c r="I179" i="1"/>
  <c r="I7" i="1"/>
  <c r="I189" i="1"/>
  <c r="I19" i="1"/>
  <c r="I33" i="1"/>
  <c r="I21" i="1"/>
  <c r="I50" i="1"/>
  <c r="I82" i="1"/>
  <c r="I66" i="1"/>
  <c r="I153" i="1"/>
  <c r="I36" i="1"/>
  <c r="I176" i="1"/>
  <c r="I99" i="1"/>
  <c r="I15" i="1"/>
  <c r="I103" i="1"/>
  <c r="I149" i="1"/>
  <c r="I123" i="1"/>
  <c r="I17" i="1"/>
  <c r="I107" i="1"/>
  <c r="I8" i="1"/>
  <c r="I118" i="1"/>
  <c r="I128" i="1"/>
  <c r="I63" i="1"/>
  <c r="I157" i="1"/>
  <c r="I190" i="1"/>
  <c r="I23" i="1"/>
  <c r="I135" i="1"/>
  <c r="I140" i="1"/>
  <c r="I38" i="1"/>
  <c r="I117" i="1"/>
  <c r="I74" i="1"/>
  <c r="I10" i="1"/>
  <c r="I2" i="1"/>
  <c r="I154" i="1"/>
  <c r="I20" i="1"/>
  <c r="I46" i="1"/>
  <c r="I112" i="1"/>
  <c r="I18" i="1"/>
  <c r="I146" i="1"/>
  <c r="I129" i="1"/>
  <c r="I152" i="1"/>
  <c r="I182" i="1"/>
  <c r="I6" i="1"/>
  <c r="I172" i="1"/>
  <c r="I14" i="1"/>
  <c r="I121" i="1"/>
  <c r="I37" i="1"/>
  <c r="I41" i="1"/>
  <c r="I44" i="1"/>
  <c r="I68" i="1"/>
  <c r="I28" i="1"/>
  <c r="I47" i="1"/>
  <c r="I142" i="1"/>
  <c r="I80" i="1"/>
  <c r="I108" i="1"/>
  <c r="I126" i="1"/>
  <c r="I175" i="1"/>
  <c r="I78" i="1"/>
  <c r="I39" i="1"/>
  <c r="I101" i="1"/>
  <c r="I109" i="1"/>
  <c r="I170" i="1"/>
  <c r="I84" i="1"/>
  <c r="I30" i="1"/>
  <c r="I75" i="1"/>
  <c r="I134" i="1"/>
  <c r="I53" i="1"/>
  <c r="I97" i="1"/>
  <c r="I76" i="1"/>
  <c r="I34" i="1"/>
  <c r="I58" i="1"/>
  <c r="I94" i="1"/>
  <c r="I125" i="1"/>
  <c r="I166" i="1"/>
  <c r="I181" i="1"/>
  <c r="I173" i="1"/>
  <c r="I88" i="1"/>
  <c r="I64" i="1"/>
  <c r="I98" i="1"/>
  <c r="I136" i="1"/>
  <c r="I51" i="1"/>
  <c r="I48" i="1"/>
  <c r="I85" i="1"/>
  <c r="I69" i="1"/>
  <c r="I141" i="1"/>
  <c r="I77" i="1"/>
  <c r="I40" i="1"/>
  <c r="I43" i="1"/>
  <c r="I73" i="1"/>
  <c r="I96" i="1"/>
  <c r="I177" i="1"/>
  <c r="I45" i="1"/>
  <c r="I160" i="1"/>
  <c r="I114" i="1"/>
  <c r="I151" i="1"/>
  <c r="I42" i="1"/>
  <c r="I87" i="1"/>
  <c r="I130" i="1"/>
  <c r="I67" i="1"/>
  <c r="I180" i="1"/>
  <c r="I155" i="1"/>
  <c r="I31" i="1"/>
  <c r="I162" i="1"/>
  <c r="I81" i="1"/>
  <c r="I119" i="1"/>
  <c r="I100" i="1"/>
  <c r="I72" i="1"/>
  <c r="I132" i="1"/>
  <c r="I115" i="1"/>
  <c r="I32" i="1"/>
  <c r="I178" i="1"/>
  <c r="I116" i="1"/>
  <c r="I113" i="1"/>
  <c r="I24" i="1"/>
  <c r="I161" i="1"/>
  <c r="I169" i="1"/>
  <c r="I167" i="1"/>
  <c r="I144" i="1"/>
  <c r="I93" i="1"/>
  <c r="I137" i="1"/>
  <c r="I86" i="1"/>
  <c r="I104" i="1"/>
  <c r="I120" i="1"/>
  <c r="I171" i="1"/>
  <c r="I184" i="1"/>
  <c r="I156" i="1"/>
  <c r="I150" i="1"/>
  <c r="I65" i="1"/>
  <c r="I26" i="1"/>
  <c r="I83" i="1"/>
  <c r="I163" i="1"/>
  <c r="I185" i="1"/>
  <c r="I111" i="1"/>
  <c r="I122" i="1"/>
  <c r="I79" i="1"/>
  <c r="I56" i="1"/>
  <c r="I168" i="1"/>
  <c r="I55" i="1"/>
  <c r="I158" i="1"/>
  <c r="I92" i="1"/>
  <c r="I95" i="1"/>
  <c r="I145" i="1"/>
  <c r="I106" i="1"/>
  <c r="I91" i="1"/>
  <c r="I62" i="1"/>
  <c r="I25" i="1"/>
  <c r="I138" i="1"/>
  <c r="I186" i="1"/>
  <c r="I133" i="1"/>
  <c r="I90" i="1"/>
  <c r="I54" i="1"/>
  <c r="I70" i="1"/>
  <c r="I110" i="1"/>
  <c r="H159" i="1"/>
  <c r="H52" i="1"/>
  <c r="H29" i="1"/>
  <c r="H139" i="1"/>
  <c r="H165" i="1"/>
  <c r="H4" i="1"/>
  <c r="H143" i="1"/>
  <c r="H3" i="1"/>
  <c r="H12" i="1"/>
  <c r="H27" i="1"/>
  <c r="H89" i="1"/>
  <c r="H188" i="1"/>
  <c r="H16" i="1"/>
  <c r="H174" i="1"/>
  <c r="H124" i="1"/>
  <c r="H5" i="1"/>
  <c r="H147" i="1"/>
  <c r="H131" i="1"/>
  <c r="H13" i="1"/>
  <c r="H105" i="1"/>
  <c r="H11" i="1"/>
  <c r="H49" i="1"/>
  <c r="H102" i="1"/>
  <c r="H71" i="1"/>
  <c r="H127" i="1"/>
  <c r="H61" i="1"/>
  <c r="H60" i="1"/>
  <c r="H35" i="1"/>
  <c r="H183" i="1"/>
  <c r="H22" i="1"/>
  <c r="H59" i="1"/>
  <c r="H9" i="1"/>
  <c r="H187" i="1"/>
  <c r="H164" i="1"/>
  <c r="H179" i="1"/>
  <c r="H7" i="1"/>
  <c r="H189" i="1"/>
  <c r="H19" i="1"/>
  <c r="H33" i="1"/>
  <c r="H21" i="1"/>
  <c r="H50" i="1"/>
  <c r="H82" i="1"/>
  <c r="H66" i="1"/>
  <c r="H153" i="1"/>
  <c r="H36" i="1"/>
  <c r="H176" i="1"/>
  <c r="H99" i="1"/>
  <c r="H15" i="1"/>
  <c r="H103" i="1"/>
  <c r="H149" i="1"/>
  <c r="H123" i="1"/>
  <c r="H17" i="1"/>
  <c r="H107" i="1"/>
  <c r="H8" i="1"/>
  <c r="H118" i="1"/>
  <c r="H128" i="1"/>
  <c r="H63" i="1"/>
  <c r="H157" i="1"/>
  <c r="H190" i="1"/>
  <c r="H23" i="1"/>
  <c r="H135" i="1"/>
  <c r="H140" i="1"/>
  <c r="H38" i="1"/>
  <c r="H117" i="1"/>
  <c r="H74" i="1"/>
  <c r="H10" i="1"/>
  <c r="H2" i="1"/>
  <c r="H154" i="1"/>
  <c r="H20" i="1"/>
  <c r="H46" i="1"/>
  <c r="H112" i="1"/>
  <c r="H18" i="1"/>
  <c r="H146" i="1"/>
  <c r="H129" i="1"/>
  <c r="H152" i="1"/>
  <c r="H182" i="1"/>
  <c r="H6" i="1"/>
  <c r="H172" i="1"/>
  <c r="H14" i="1"/>
  <c r="H121" i="1"/>
  <c r="H37" i="1"/>
  <c r="H41" i="1"/>
  <c r="H44" i="1"/>
  <c r="H68" i="1"/>
  <c r="H28" i="1"/>
  <c r="H47" i="1"/>
  <c r="H142" i="1"/>
  <c r="H80" i="1"/>
  <c r="H108" i="1"/>
  <c r="H126" i="1"/>
  <c r="H175" i="1"/>
  <c r="H78" i="1"/>
  <c r="H39" i="1"/>
  <c r="H101" i="1"/>
  <c r="P101" i="1" s="1"/>
  <c r="H109" i="1"/>
  <c r="H170" i="1"/>
  <c r="H84" i="1"/>
  <c r="H30" i="1"/>
  <c r="H75" i="1"/>
  <c r="H134" i="1"/>
  <c r="H53" i="1"/>
  <c r="H97" i="1"/>
  <c r="H76" i="1"/>
  <c r="H34" i="1"/>
  <c r="H58" i="1"/>
  <c r="H94" i="1"/>
  <c r="H125" i="1"/>
  <c r="H166" i="1"/>
  <c r="H181" i="1"/>
  <c r="H173" i="1"/>
  <c r="H88" i="1"/>
  <c r="H64" i="1"/>
  <c r="H98" i="1"/>
  <c r="H136" i="1"/>
  <c r="H51" i="1"/>
  <c r="H48" i="1"/>
  <c r="H85" i="1"/>
  <c r="H69" i="1"/>
  <c r="H141" i="1"/>
  <c r="H77" i="1"/>
  <c r="H40" i="1"/>
  <c r="H43" i="1"/>
  <c r="H73" i="1"/>
  <c r="H96" i="1"/>
  <c r="H177" i="1"/>
  <c r="H45" i="1"/>
  <c r="H160" i="1"/>
  <c r="H114" i="1"/>
  <c r="H151" i="1"/>
  <c r="H42" i="1"/>
  <c r="H87" i="1"/>
  <c r="H130" i="1"/>
  <c r="H67" i="1"/>
  <c r="H180" i="1"/>
  <c r="H155" i="1"/>
  <c r="H31" i="1"/>
  <c r="H162" i="1"/>
  <c r="H81" i="1"/>
  <c r="H119" i="1"/>
  <c r="H100" i="1"/>
  <c r="H72" i="1"/>
  <c r="H132" i="1"/>
  <c r="H115" i="1"/>
  <c r="H32" i="1"/>
  <c r="H178" i="1"/>
  <c r="H116" i="1"/>
  <c r="H113" i="1"/>
  <c r="H148" i="1"/>
  <c r="H24" i="1"/>
  <c r="H161" i="1"/>
  <c r="H169" i="1"/>
  <c r="H167" i="1"/>
  <c r="H144" i="1"/>
  <c r="H93" i="1"/>
  <c r="H137" i="1"/>
  <c r="H86" i="1"/>
  <c r="H104" i="1"/>
  <c r="H120" i="1"/>
  <c r="H171" i="1"/>
  <c r="H184" i="1"/>
  <c r="H156" i="1"/>
  <c r="H150" i="1"/>
  <c r="H65" i="1"/>
  <c r="H26" i="1"/>
  <c r="H83" i="1"/>
  <c r="H163" i="1"/>
  <c r="H185" i="1"/>
  <c r="H111" i="1"/>
  <c r="H122" i="1"/>
  <c r="H79" i="1"/>
  <c r="H56" i="1"/>
  <c r="H168" i="1"/>
  <c r="H55" i="1"/>
  <c r="H158" i="1"/>
  <c r="H92" i="1"/>
  <c r="H95" i="1"/>
  <c r="H145" i="1"/>
  <c r="H106" i="1"/>
  <c r="H91" i="1"/>
  <c r="H62" i="1"/>
  <c r="H25" i="1"/>
  <c r="H138" i="1"/>
  <c r="H186" i="1"/>
  <c r="H133" i="1"/>
  <c r="H90" i="1"/>
  <c r="H54" i="1"/>
  <c r="H70" i="1"/>
  <c r="H110" i="1"/>
  <c r="G159" i="1"/>
  <c r="G52" i="1"/>
  <c r="G29" i="1"/>
  <c r="G139" i="1"/>
  <c r="G165" i="1"/>
  <c r="G4" i="1"/>
  <c r="G143" i="1"/>
  <c r="G3" i="1"/>
  <c r="G12" i="1"/>
  <c r="G27" i="1"/>
  <c r="G89" i="1"/>
  <c r="G188" i="1"/>
  <c r="G16" i="1"/>
  <c r="G174" i="1"/>
  <c r="G124" i="1"/>
  <c r="G5" i="1"/>
  <c r="G147" i="1"/>
  <c r="G131" i="1"/>
  <c r="G13" i="1"/>
  <c r="G105" i="1"/>
  <c r="G11" i="1"/>
  <c r="G49" i="1"/>
  <c r="G102" i="1"/>
  <c r="G71" i="1"/>
  <c r="G127" i="1"/>
  <c r="G61" i="1"/>
  <c r="G60" i="1"/>
  <c r="G35" i="1"/>
  <c r="G183" i="1"/>
  <c r="G22" i="1"/>
  <c r="G59" i="1"/>
  <c r="G9" i="1"/>
  <c r="G187" i="1"/>
  <c r="G164" i="1"/>
  <c r="G179" i="1"/>
  <c r="G7" i="1"/>
  <c r="G189" i="1"/>
  <c r="G19" i="1"/>
  <c r="G33" i="1"/>
  <c r="G21" i="1"/>
  <c r="G50" i="1"/>
  <c r="G82" i="1"/>
  <c r="G66" i="1"/>
  <c r="G153" i="1"/>
  <c r="G36" i="1"/>
  <c r="G176" i="1"/>
  <c r="G99" i="1"/>
  <c r="G15" i="1"/>
  <c r="G103" i="1"/>
  <c r="G149" i="1"/>
  <c r="G123" i="1"/>
  <c r="G17" i="1"/>
  <c r="G107" i="1"/>
  <c r="G8" i="1"/>
  <c r="G118" i="1"/>
  <c r="G128" i="1"/>
  <c r="G63" i="1"/>
  <c r="G157" i="1"/>
  <c r="G190" i="1"/>
  <c r="G23" i="1"/>
  <c r="G135" i="1"/>
  <c r="G140" i="1"/>
  <c r="G38" i="1"/>
  <c r="G117" i="1"/>
  <c r="G74" i="1"/>
  <c r="G10" i="1"/>
  <c r="G2" i="1"/>
  <c r="G154" i="1"/>
  <c r="G20" i="1"/>
  <c r="G46" i="1"/>
  <c r="G112" i="1"/>
  <c r="G18" i="1"/>
  <c r="G146" i="1"/>
  <c r="G129" i="1"/>
  <c r="G152" i="1"/>
  <c r="G182" i="1"/>
  <c r="G6" i="1"/>
  <c r="G172" i="1"/>
  <c r="G14" i="1"/>
  <c r="G121" i="1"/>
  <c r="G37" i="1"/>
  <c r="G41" i="1"/>
  <c r="G44" i="1"/>
  <c r="G68" i="1"/>
  <c r="G28" i="1"/>
  <c r="G47" i="1"/>
  <c r="G142" i="1"/>
  <c r="G80" i="1"/>
  <c r="G108" i="1"/>
  <c r="G126" i="1"/>
  <c r="G175" i="1"/>
  <c r="G78" i="1"/>
  <c r="G39" i="1"/>
  <c r="G109" i="1"/>
  <c r="G170" i="1"/>
  <c r="G84" i="1"/>
  <c r="G30" i="1"/>
  <c r="G75" i="1"/>
  <c r="G134" i="1"/>
  <c r="G53" i="1"/>
  <c r="G97" i="1"/>
  <c r="G76" i="1"/>
  <c r="G34" i="1"/>
  <c r="G94" i="1"/>
  <c r="G125" i="1"/>
  <c r="G166" i="1"/>
  <c r="G181" i="1"/>
  <c r="G173" i="1"/>
  <c r="G88" i="1"/>
  <c r="G64" i="1"/>
  <c r="G98" i="1"/>
  <c r="G136" i="1"/>
  <c r="G51" i="1"/>
  <c r="G48" i="1"/>
  <c r="G85" i="1"/>
  <c r="G69" i="1"/>
  <c r="G141" i="1"/>
  <c r="G77" i="1"/>
  <c r="G40" i="1"/>
  <c r="G43" i="1"/>
  <c r="G73" i="1"/>
  <c r="G96" i="1"/>
  <c r="G177" i="1"/>
  <c r="G45" i="1"/>
  <c r="G160" i="1"/>
  <c r="G114" i="1"/>
  <c r="G151" i="1"/>
  <c r="G42" i="1"/>
  <c r="G87" i="1"/>
  <c r="G130" i="1"/>
  <c r="G67" i="1"/>
  <c r="G180" i="1"/>
  <c r="G155" i="1"/>
  <c r="G31" i="1"/>
  <c r="G162" i="1"/>
  <c r="G81" i="1"/>
  <c r="G119" i="1"/>
  <c r="G100" i="1"/>
  <c r="G72" i="1"/>
  <c r="G132" i="1"/>
  <c r="G115" i="1"/>
  <c r="G32" i="1"/>
  <c r="G178" i="1"/>
  <c r="G116" i="1"/>
  <c r="G113" i="1"/>
  <c r="G148" i="1"/>
  <c r="G24" i="1"/>
  <c r="G161" i="1"/>
  <c r="G169" i="1"/>
  <c r="G167" i="1"/>
  <c r="G144" i="1"/>
  <c r="G93" i="1"/>
  <c r="G137" i="1"/>
  <c r="G86" i="1"/>
  <c r="G104" i="1"/>
  <c r="G120" i="1"/>
  <c r="G171" i="1"/>
  <c r="G184" i="1"/>
  <c r="G156" i="1"/>
  <c r="G150" i="1"/>
  <c r="G65" i="1"/>
  <c r="G26" i="1"/>
  <c r="G83" i="1"/>
  <c r="G163" i="1"/>
  <c r="G185" i="1"/>
  <c r="G111" i="1"/>
  <c r="G122" i="1"/>
  <c r="G79" i="1"/>
  <c r="G56" i="1"/>
  <c r="G168" i="1"/>
  <c r="G55" i="1"/>
  <c r="G158" i="1"/>
  <c r="G92" i="1"/>
  <c r="G95" i="1"/>
  <c r="G145" i="1"/>
  <c r="G106" i="1"/>
  <c r="G91" i="1"/>
  <c r="G62" i="1"/>
  <c r="G25" i="1"/>
  <c r="G138" i="1"/>
  <c r="G186" i="1"/>
  <c r="G133" i="1"/>
  <c r="G90" i="1"/>
  <c r="G54" i="1"/>
  <c r="G70" i="1"/>
  <c r="G110" i="1"/>
  <c r="F159" i="1"/>
  <c r="F52" i="1"/>
  <c r="F29" i="1"/>
  <c r="F139" i="1"/>
  <c r="F165" i="1"/>
  <c r="F4" i="1"/>
  <c r="F143" i="1"/>
  <c r="F3" i="1"/>
  <c r="F12" i="1"/>
  <c r="F27" i="1"/>
  <c r="F89" i="1"/>
  <c r="F188" i="1"/>
  <c r="F16" i="1"/>
  <c r="F174" i="1"/>
  <c r="F124" i="1"/>
  <c r="F5" i="1"/>
  <c r="F147" i="1"/>
  <c r="F131" i="1"/>
  <c r="F57" i="1"/>
  <c r="F13" i="1"/>
  <c r="F105" i="1"/>
  <c r="F11" i="1"/>
  <c r="F49" i="1"/>
  <c r="F102" i="1"/>
  <c r="F71" i="1"/>
  <c r="F127" i="1"/>
  <c r="F61" i="1"/>
  <c r="F60" i="1"/>
  <c r="F35" i="1"/>
  <c r="F183" i="1"/>
  <c r="F22" i="1"/>
  <c r="F59" i="1"/>
  <c r="F187" i="1"/>
  <c r="F164" i="1"/>
  <c r="F179" i="1"/>
  <c r="F7" i="1"/>
  <c r="F189" i="1"/>
  <c r="F19" i="1"/>
  <c r="F33" i="1"/>
  <c r="F21" i="1"/>
  <c r="F50" i="1"/>
  <c r="F82" i="1"/>
  <c r="F66" i="1"/>
  <c r="F153" i="1"/>
  <c r="F36" i="1"/>
  <c r="F176" i="1"/>
  <c r="F99" i="1"/>
  <c r="F15" i="1"/>
  <c r="F103" i="1"/>
  <c r="F149" i="1"/>
  <c r="F123" i="1"/>
  <c r="F17" i="1"/>
  <c r="F107" i="1"/>
  <c r="F8" i="1"/>
  <c r="F118" i="1"/>
  <c r="F128" i="1"/>
  <c r="F63" i="1"/>
  <c r="F157" i="1"/>
  <c r="F190" i="1"/>
  <c r="F23" i="1"/>
  <c r="F135" i="1"/>
  <c r="F140" i="1"/>
  <c r="F38" i="1"/>
  <c r="F117" i="1"/>
  <c r="F74" i="1"/>
  <c r="F10" i="1"/>
  <c r="F2" i="1"/>
  <c r="F154" i="1"/>
  <c r="F20" i="1"/>
  <c r="F46" i="1"/>
  <c r="F112" i="1"/>
  <c r="F18" i="1"/>
  <c r="F146" i="1"/>
  <c r="F129" i="1"/>
  <c r="F152" i="1"/>
  <c r="F182" i="1"/>
  <c r="F6" i="1"/>
  <c r="F172" i="1"/>
  <c r="F14" i="1"/>
  <c r="F121" i="1"/>
  <c r="F37" i="1"/>
  <c r="F41" i="1"/>
  <c r="F44" i="1"/>
  <c r="F68" i="1"/>
  <c r="F28" i="1"/>
  <c r="F47" i="1"/>
  <c r="F142" i="1"/>
  <c r="F80" i="1"/>
  <c r="F108" i="1"/>
  <c r="F126" i="1"/>
  <c r="F175" i="1"/>
  <c r="F78" i="1"/>
  <c r="F39" i="1"/>
  <c r="F101" i="1"/>
  <c r="F109" i="1"/>
  <c r="F170" i="1"/>
  <c r="F84" i="1"/>
  <c r="F30" i="1"/>
  <c r="F75" i="1"/>
  <c r="F134" i="1"/>
  <c r="F53" i="1"/>
  <c r="F97" i="1"/>
  <c r="F76" i="1"/>
  <c r="F34" i="1"/>
  <c r="F94" i="1"/>
  <c r="F125" i="1"/>
  <c r="F166" i="1"/>
  <c r="F181" i="1"/>
  <c r="F173" i="1"/>
  <c r="F88" i="1"/>
  <c r="F64" i="1"/>
  <c r="F98" i="1"/>
  <c r="F136" i="1"/>
  <c r="F51" i="1"/>
  <c r="F48" i="1"/>
  <c r="F85" i="1"/>
  <c r="F69" i="1"/>
  <c r="F141" i="1"/>
  <c r="F77" i="1"/>
  <c r="F40" i="1"/>
  <c r="F43" i="1"/>
  <c r="F73" i="1"/>
  <c r="F96" i="1"/>
  <c r="F177" i="1"/>
  <c r="F45" i="1"/>
  <c r="F160" i="1"/>
  <c r="F114" i="1"/>
  <c r="F151" i="1"/>
  <c r="F42" i="1"/>
  <c r="F87" i="1"/>
  <c r="F130" i="1"/>
  <c r="F67" i="1"/>
  <c r="F155" i="1"/>
  <c r="F31" i="1"/>
  <c r="F162" i="1"/>
  <c r="F81" i="1"/>
  <c r="F119" i="1"/>
  <c r="F100" i="1"/>
  <c r="F72" i="1"/>
  <c r="F132" i="1"/>
  <c r="F115" i="1"/>
  <c r="F32" i="1"/>
  <c r="F178" i="1"/>
  <c r="F116" i="1"/>
  <c r="F113" i="1"/>
  <c r="F148" i="1"/>
  <c r="F24" i="1"/>
  <c r="F161" i="1"/>
  <c r="F169" i="1"/>
  <c r="F167" i="1"/>
  <c r="F144" i="1"/>
  <c r="F93" i="1"/>
  <c r="F137" i="1"/>
  <c r="F86" i="1"/>
  <c r="F104" i="1"/>
  <c r="F120" i="1"/>
  <c r="F171" i="1"/>
  <c r="F184" i="1"/>
  <c r="F156" i="1"/>
  <c r="F150" i="1"/>
  <c r="F65" i="1"/>
  <c r="F26" i="1"/>
  <c r="F83" i="1"/>
  <c r="F163" i="1"/>
  <c r="F185" i="1"/>
  <c r="F111" i="1"/>
  <c r="F122" i="1"/>
  <c r="F79" i="1"/>
  <c r="F56" i="1"/>
  <c r="F168" i="1"/>
  <c r="F55" i="1"/>
  <c r="F158" i="1"/>
  <c r="F92" i="1"/>
  <c r="F95" i="1"/>
  <c r="F145" i="1"/>
  <c r="F106" i="1"/>
  <c r="F91" i="1"/>
  <c r="F62" i="1"/>
  <c r="F25" i="1"/>
  <c r="F138" i="1"/>
  <c r="F186" i="1"/>
  <c r="F133" i="1"/>
  <c r="F90" i="1"/>
  <c r="F70" i="1"/>
  <c r="F110" i="1"/>
  <c r="AV159" i="1"/>
  <c r="AV52" i="1"/>
  <c r="AV29" i="1"/>
  <c r="AV139" i="1"/>
  <c r="AV165" i="1"/>
  <c r="AV4" i="1"/>
  <c r="AV143" i="1"/>
  <c r="AV3" i="1"/>
  <c r="AV12" i="1"/>
  <c r="AV27" i="1"/>
  <c r="AV89" i="1"/>
  <c r="AV188" i="1"/>
  <c r="AV16" i="1"/>
  <c r="AV174" i="1"/>
  <c r="AV124" i="1"/>
  <c r="AV5" i="1"/>
  <c r="AV147" i="1"/>
  <c r="AV131" i="1"/>
  <c r="AV13" i="1"/>
  <c r="AV105" i="1"/>
  <c r="AV11" i="1"/>
  <c r="AV49" i="1"/>
  <c r="AV102" i="1"/>
  <c r="AV71" i="1"/>
  <c r="AV127" i="1"/>
  <c r="AV61" i="1"/>
  <c r="AV60" i="1"/>
  <c r="AV35" i="1"/>
  <c r="AV183" i="1"/>
  <c r="AV22" i="1"/>
  <c r="AV59" i="1"/>
  <c r="AV9" i="1"/>
  <c r="AV187" i="1"/>
  <c r="AV164" i="1"/>
  <c r="AV179" i="1"/>
  <c r="AV7" i="1"/>
  <c r="AV189" i="1"/>
  <c r="AV19" i="1"/>
  <c r="AV33" i="1"/>
  <c r="AV21" i="1"/>
  <c r="AV50" i="1"/>
  <c r="AV82" i="1"/>
  <c r="AV66" i="1"/>
  <c r="AV153" i="1"/>
  <c r="AV36" i="1"/>
  <c r="AV176" i="1"/>
  <c r="AV99" i="1"/>
  <c r="AV15" i="1"/>
  <c r="AV103" i="1"/>
  <c r="AV149" i="1"/>
  <c r="AV123" i="1"/>
  <c r="AV17" i="1"/>
  <c r="AV107" i="1"/>
  <c r="AV8" i="1"/>
  <c r="AV118" i="1"/>
  <c r="AV128" i="1"/>
  <c r="AV63" i="1"/>
  <c r="AV157" i="1"/>
  <c r="AV190" i="1"/>
  <c r="AV23" i="1"/>
  <c r="AV135" i="1"/>
  <c r="AV140" i="1"/>
  <c r="AV38" i="1"/>
  <c r="AV117" i="1"/>
  <c r="AV74" i="1"/>
  <c r="AV10" i="1"/>
  <c r="AV2" i="1"/>
  <c r="AV154" i="1"/>
  <c r="AV20" i="1"/>
  <c r="AV46" i="1"/>
  <c r="AV112" i="1"/>
  <c r="AV18" i="1"/>
  <c r="AV146" i="1"/>
  <c r="AV129" i="1"/>
  <c r="AV152" i="1"/>
  <c r="AV182" i="1"/>
  <c r="AV6" i="1"/>
  <c r="AV172" i="1"/>
  <c r="AV14" i="1"/>
  <c r="AV121" i="1"/>
  <c r="AV37" i="1"/>
  <c r="AV41" i="1"/>
  <c r="AV44" i="1"/>
  <c r="AV68" i="1"/>
  <c r="AV28" i="1"/>
  <c r="AV47" i="1"/>
  <c r="AV142" i="1"/>
  <c r="AV80" i="1"/>
  <c r="AV108" i="1"/>
  <c r="AV126" i="1"/>
  <c r="AV175" i="1"/>
  <c r="AV78" i="1"/>
  <c r="AV39" i="1"/>
  <c r="AV101" i="1"/>
  <c r="AV109" i="1"/>
  <c r="AV170" i="1"/>
  <c r="AV84" i="1"/>
  <c r="AV30" i="1"/>
  <c r="AV75" i="1"/>
  <c r="AV134" i="1"/>
  <c r="AV53" i="1"/>
  <c r="AV97" i="1"/>
  <c r="AV76" i="1"/>
  <c r="AV34" i="1"/>
  <c r="AV58" i="1"/>
  <c r="AV94" i="1"/>
  <c r="AV125" i="1"/>
  <c r="AV166" i="1"/>
  <c r="AV181" i="1"/>
  <c r="AV173" i="1"/>
  <c r="AV88" i="1"/>
  <c r="AV64" i="1"/>
  <c r="AV98" i="1"/>
  <c r="AV136" i="1"/>
  <c r="AV51" i="1"/>
  <c r="AV48" i="1"/>
  <c r="AV85" i="1"/>
  <c r="AV69" i="1"/>
  <c r="AV141" i="1"/>
  <c r="AV77" i="1"/>
  <c r="AV40" i="1"/>
  <c r="AV43" i="1"/>
  <c r="AV73" i="1"/>
  <c r="AV96" i="1"/>
  <c r="AV177" i="1"/>
  <c r="AV45" i="1"/>
  <c r="AV160" i="1"/>
  <c r="AV114" i="1"/>
  <c r="AV151" i="1"/>
  <c r="AV42" i="1"/>
  <c r="AV87" i="1"/>
  <c r="AV130" i="1"/>
  <c r="AV67" i="1"/>
  <c r="AV180" i="1"/>
  <c r="AV155" i="1"/>
  <c r="AV31" i="1"/>
  <c r="AV162" i="1"/>
  <c r="AV81" i="1"/>
  <c r="AV119" i="1"/>
  <c r="AV100" i="1"/>
  <c r="AV72" i="1"/>
  <c r="AV132" i="1"/>
  <c r="AV115" i="1"/>
  <c r="AV32" i="1"/>
  <c r="AV178" i="1"/>
  <c r="AV116" i="1"/>
  <c r="AV113" i="1"/>
  <c r="AV148" i="1"/>
  <c r="AV24" i="1"/>
  <c r="AV161" i="1"/>
  <c r="AV169" i="1"/>
  <c r="AV167" i="1"/>
  <c r="AV144" i="1"/>
  <c r="AV93" i="1"/>
  <c r="AV137" i="1"/>
  <c r="AV86" i="1"/>
  <c r="AV104" i="1"/>
  <c r="AV120" i="1"/>
  <c r="AV171" i="1"/>
  <c r="AV184" i="1"/>
  <c r="AV156" i="1"/>
  <c r="AV150" i="1"/>
  <c r="AV65" i="1"/>
  <c r="AV26" i="1"/>
  <c r="AV83" i="1"/>
  <c r="AV163" i="1"/>
  <c r="AV185" i="1"/>
  <c r="AV111" i="1"/>
  <c r="AV122" i="1"/>
  <c r="AV79" i="1"/>
  <c r="AV56" i="1"/>
  <c r="AV168" i="1"/>
  <c r="AV55" i="1"/>
  <c r="AV158" i="1"/>
  <c r="AV92" i="1"/>
  <c r="AV95" i="1"/>
  <c r="AV145" i="1"/>
  <c r="AV106" i="1"/>
  <c r="AV91" i="1"/>
  <c r="AV62" i="1"/>
  <c r="AV25" i="1"/>
  <c r="AV138" i="1"/>
  <c r="AV186" i="1"/>
  <c r="AV133" i="1"/>
  <c r="AV90" i="1"/>
  <c r="AV54" i="1"/>
  <c r="AV70" i="1"/>
  <c r="AV110" i="1"/>
  <c r="AU159" i="1"/>
  <c r="AU52" i="1"/>
  <c r="AU29" i="1"/>
  <c r="AU139" i="1"/>
  <c r="AU165" i="1"/>
  <c r="AU4" i="1"/>
  <c r="AU143" i="1"/>
  <c r="AU3" i="1"/>
  <c r="AU12" i="1"/>
  <c r="AU27" i="1"/>
  <c r="AU89" i="1"/>
  <c r="AU188" i="1"/>
  <c r="AU16" i="1"/>
  <c r="AU174" i="1"/>
  <c r="AU124" i="1"/>
  <c r="AU5" i="1"/>
  <c r="AU147" i="1"/>
  <c r="AU131" i="1"/>
  <c r="AU13" i="1"/>
  <c r="AU105" i="1"/>
  <c r="AU11" i="1"/>
  <c r="AU49" i="1"/>
  <c r="AU102" i="1"/>
  <c r="AU71" i="1"/>
  <c r="AU127" i="1"/>
  <c r="AU61" i="1"/>
  <c r="AU60" i="1"/>
  <c r="AU35" i="1"/>
  <c r="AU183" i="1"/>
  <c r="AU22" i="1"/>
  <c r="AU59" i="1"/>
  <c r="AU9" i="1"/>
  <c r="AU187" i="1"/>
  <c r="AU164" i="1"/>
  <c r="AU179" i="1"/>
  <c r="AU7" i="1"/>
  <c r="AU189" i="1"/>
  <c r="AU19" i="1"/>
  <c r="AU33" i="1"/>
  <c r="AU21" i="1"/>
  <c r="AU50" i="1"/>
  <c r="AU82" i="1"/>
  <c r="AU66" i="1"/>
  <c r="AU153" i="1"/>
  <c r="AU36" i="1"/>
  <c r="AU176" i="1"/>
  <c r="AU99" i="1"/>
  <c r="AU15" i="1"/>
  <c r="AU103" i="1"/>
  <c r="AU149" i="1"/>
  <c r="AU123" i="1"/>
  <c r="AU17" i="1"/>
  <c r="AU107" i="1"/>
  <c r="AU8" i="1"/>
  <c r="AU118" i="1"/>
  <c r="AU128" i="1"/>
  <c r="AU63" i="1"/>
  <c r="AU157" i="1"/>
  <c r="AU190" i="1"/>
  <c r="AU23" i="1"/>
  <c r="AU135" i="1"/>
  <c r="AU140" i="1"/>
  <c r="AU38" i="1"/>
  <c r="AU117" i="1"/>
  <c r="AU74" i="1"/>
  <c r="AU10" i="1"/>
  <c r="AU2" i="1"/>
  <c r="AU154" i="1"/>
  <c r="AU20" i="1"/>
  <c r="AU46" i="1"/>
  <c r="AU112" i="1"/>
  <c r="AU18" i="1"/>
  <c r="AU146" i="1"/>
  <c r="AU129" i="1"/>
  <c r="AU152" i="1"/>
  <c r="AU182" i="1"/>
  <c r="AU6" i="1"/>
  <c r="AU172" i="1"/>
  <c r="AU14" i="1"/>
  <c r="AU121" i="1"/>
  <c r="AU37" i="1"/>
  <c r="AU41" i="1"/>
  <c r="AU44" i="1"/>
  <c r="AU68" i="1"/>
  <c r="AU28" i="1"/>
  <c r="AU47" i="1"/>
  <c r="AU142" i="1"/>
  <c r="AU80" i="1"/>
  <c r="AU108" i="1"/>
  <c r="AU126" i="1"/>
  <c r="AU175" i="1"/>
  <c r="AU78" i="1"/>
  <c r="AU39" i="1"/>
  <c r="AU101" i="1"/>
  <c r="AU109" i="1"/>
  <c r="AU170" i="1"/>
  <c r="AU84" i="1"/>
  <c r="AU30" i="1"/>
  <c r="AU75" i="1"/>
  <c r="AU134" i="1"/>
  <c r="AU53" i="1"/>
  <c r="AU97" i="1"/>
  <c r="AU76" i="1"/>
  <c r="AU34" i="1"/>
  <c r="AU58" i="1"/>
  <c r="AU94" i="1"/>
  <c r="AU125" i="1"/>
  <c r="AU166" i="1"/>
  <c r="AU181" i="1"/>
  <c r="AU173" i="1"/>
  <c r="AU88" i="1"/>
  <c r="AU64" i="1"/>
  <c r="AU98" i="1"/>
  <c r="AU136" i="1"/>
  <c r="AU51" i="1"/>
  <c r="AU48" i="1"/>
  <c r="AU85" i="1"/>
  <c r="AU69" i="1"/>
  <c r="AU141" i="1"/>
  <c r="AU77" i="1"/>
  <c r="AU40" i="1"/>
  <c r="AU43" i="1"/>
  <c r="AU73" i="1"/>
  <c r="AU96" i="1"/>
  <c r="AU177" i="1"/>
  <c r="AU45" i="1"/>
  <c r="AU160" i="1"/>
  <c r="AU114" i="1"/>
  <c r="AU151" i="1"/>
  <c r="AU42" i="1"/>
  <c r="AU87" i="1"/>
  <c r="AU130" i="1"/>
  <c r="AU67" i="1"/>
  <c r="AU180" i="1"/>
  <c r="AU155" i="1"/>
  <c r="AU31" i="1"/>
  <c r="AU162" i="1"/>
  <c r="AU81" i="1"/>
  <c r="AU119" i="1"/>
  <c r="AU100" i="1"/>
  <c r="AU72" i="1"/>
  <c r="AU132" i="1"/>
  <c r="AU115" i="1"/>
  <c r="AU32" i="1"/>
  <c r="AU178" i="1"/>
  <c r="AU116" i="1"/>
  <c r="AU113" i="1"/>
  <c r="AU148" i="1"/>
  <c r="AU24" i="1"/>
  <c r="AU161" i="1"/>
  <c r="AU169" i="1"/>
  <c r="AU167" i="1"/>
  <c r="AU144" i="1"/>
  <c r="AU93" i="1"/>
  <c r="AU137" i="1"/>
  <c r="AU86" i="1"/>
  <c r="AU104" i="1"/>
  <c r="AU120" i="1"/>
  <c r="AU171" i="1"/>
  <c r="AU184" i="1"/>
  <c r="AU156" i="1"/>
  <c r="AU150" i="1"/>
  <c r="AU65" i="1"/>
  <c r="AU26" i="1"/>
  <c r="AU83" i="1"/>
  <c r="AU163" i="1"/>
  <c r="AU185" i="1"/>
  <c r="AU111" i="1"/>
  <c r="AU122" i="1"/>
  <c r="AU79" i="1"/>
  <c r="AU56" i="1"/>
  <c r="AU168" i="1"/>
  <c r="AU55" i="1"/>
  <c r="AU158" i="1"/>
  <c r="AU92" i="1"/>
  <c r="AU95" i="1"/>
  <c r="AU145" i="1"/>
  <c r="AU106" i="1"/>
  <c r="AU91" i="1"/>
  <c r="AU62" i="1"/>
  <c r="AU25" i="1"/>
  <c r="AU138" i="1"/>
  <c r="AU186" i="1"/>
  <c r="AU133" i="1"/>
  <c r="AU90" i="1"/>
  <c r="AU54" i="1"/>
  <c r="AU70" i="1"/>
  <c r="AU110" i="1"/>
  <c r="AT159" i="1"/>
  <c r="AT52" i="1"/>
  <c r="AT29" i="1"/>
  <c r="AT139" i="1"/>
  <c r="AT165" i="1"/>
  <c r="AT4" i="1"/>
  <c r="AT143" i="1"/>
  <c r="AT3" i="1"/>
  <c r="AT12" i="1"/>
  <c r="AT27" i="1"/>
  <c r="AT89" i="1"/>
  <c r="AT188" i="1"/>
  <c r="AT16" i="1"/>
  <c r="AT174" i="1"/>
  <c r="AT124" i="1"/>
  <c r="AT5" i="1"/>
  <c r="AT147" i="1"/>
  <c r="AT131" i="1"/>
  <c r="AT57" i="1"/>
  <c r="AT13" i="1"/>
  <c r="AT105" i="1"/>
  <c r="AT11" i="1"/>
  <c r="AT49" i="1"/>
  <c r="AT102" i="1"/>
  <c r="AT71" i="1"/>
  <c r="AT127" i="1"/>
  <c r="AT61" i="1"/>
  <c r="AT60" i="1"/>
  <c r="AT35" i="1"/>
  <c r="AT183" i="1"/>
  <c r="AT22" i="1"/>
  <c r="AT9" i="1"/>
  <c r="AT187" i="1"/>
  <c r="AT164" i="1"/>
  <c r="AT179" i="1"/>
  <c r="AT7" i="1"/>
  <c r="AT189" i="1"/>
  <c r="AT19" i="1"/>
  <c r="AT33" i="1"/>
  <c r="AT21" i="1"/>
  <c r="AT50" i="1"/>
  <c r="AT82" i="1"/>
  <c r="AT66" i="1"/>
  <c r="AT153" i="1"/>
  <c r="AT36" i="1"/>
  <c r="AT176" i="1"/>
  <c r="AT99" i="1"/>
  <c r="AT15" i="1"/>
  <c r="AT103" i="1"/>
  <c r="AT149" i="1"/>
  <c r="AT123" i="1"/>
  <c r="AT17" i="1"/>
  <c r="AT107" i="1"/>
  <c r="AT8" i="1"/>
  <c r="AT118" i="1"/>
  <c r="AT128" i="1"/>
  <c r="AT63" i="1"/>
  <c r="AT157" i="1"/>
  <c r="AT190" i="1"/>
  <c r="AT23" i="1"/>
  <c r="AT135" i="1"/>
  <c r="AT140" i="1"/>
  <c r="AT38" i="1"/>
  <c r="AT117" i="1"/>
  <c r="AT74" i="1"/>
  <c r="AT10" i="1"/>
  <c r="AT2" i="1"/>
  <c r="AT154" i="1"/>
  <c r="AT20" i="1"/>
  <c r="AT46" i="1"/>
  <c r="AT112" i="1"/>
  <c r="AT18" i="1"/>
  <c r="AT146" i="1"/>
  <c r="AT129" i="1"/>
  <c r="AT152" i="1"/>
  <c r="AT182" i="1"/>
  <c r="AT6" i="1"/>
  <c r="AT172" i="1"/>
  <c r="AT14" i="1"/>
  <c r="AT121" i="1"/>
  <c r="AT37" i="1"/>
  <c r="AT41" i="1"/>
  <c r="AT44" i="1"/>
  <c r="AT68" i="1"/>
  <c r="AT28" i="1"/>
  <c r="AT47" i="1"/>
  <c r="AT142" i="1"/>
  <c r="AT80" i="1"/>
  <c r="AT108" i="1"/>
  <c r="AT126" i="1"/>
  <c r="AT175" i="1"/>
  <c r="AT78" i="1"/>
  <c r="AT39" i="1"/>
  <c r="AT101" i="1"/>
  <c r="AT109" i="1"/>
  <c r="AT170" i="1"/>
  <c r="AT84" i="1"/>
  <c r="AT30" i="1"/>
  <c r="AT75" i="1"/>
  <c r="AT134" i="1"/>
  <c r="AT53" i="1"/>
  <c r="AT97" i="1"/>
  <c r="AT76" i="1"/>
  <c r="AT34" i="1"/>
  <c r="AT58" i="1"/>
  <c r="AT94" i="1"/>
  <c r="AT125" i="1"/>
  <c r="AT166" i="1"/>
  <c r="AT181" i="1"/>
  <c r="AT173" i="1"/>
  <c r="AT88" i="1"/>
  <c r="AT64" i="1"/>
  <c r="AT98" i="1"/>
  <c r="AT136" i="1"/>
  <c r="AT51" i="1"/>
  <c r="AT48" i="1"/>
  <c r="AT85" i="1"/>
  <c r="AT69" i="1"/>
  <c r="AT141" i="1"/>
  <c r="AT77" i="1"/>
  <c r="AT40" i="1"/>
  <c r="AT43" i="1"/>
  <c r="AT73" i="1"/>
  <c r="AT96" i="1"/>
  <c r="AT177" i="1"/>
  <c r="AT45" i="1"/>
  <c r="AT160" i="1"/>
  <c r="AT114" i="1"/>
  <c r="AT151" i="1"/>
  <c r="AT42" i="1"/>
  <c r="AT87" i="1"/>
  <c r="AT130" i="1"/>
  <c r="AT67" i="1"/>
  <c r="AT180" i="1"/>
  <c r="AT155" i="1"/>
  <c r="AT31" i="1"/>
  <c r="AT162" i="1"/>
  <c r="AT81" i="1"/>
  <c r="AT119" i="1"/>
  <c r="AT100" i="1"/>
  <c r="AT72" i="1"/>
  <c r="AT132" i="1"/>
  <c r="AT115" i="1"/>
  <c r="AT32" i="1"/>
  <c r="AT178" i="1"/>
  <c r="AT116" i="1"/>
  <c r="AT113" i="1"/>
  <c r="AT148" i="1"/>
  <c r="AT24" i="1"/>
  <c r="AT161" i="1"/>
  <c r="AT169" i="1"/>
  <c r="AT167" i="1"/>
  <c r="AT144" i="1"/>
  <c r="AT93" i="1"/>
  <c r="AT137" i="1"/>
  <c r="AT86" i="1"/>
  <c r="AT104" i="1"/>
  <c r="AT120" i="1"/>
  <c r="AT171" i="1"/>
  <c r="AT184" i="1"/>
  <c r="AT156" i="1"/>
  <c r="AT150" i="1"/>
  <c r="AT65" i="1"/>
  <c r="AT26" i="1"/>
  <c r="AT83" i="1"/>
  <c r="AT163" i="1"/>
  <c r="AT185" i="1"/>
  <c r="AT111" i="1"/>
  <c r="AT122" i="1"/>
  <c r="AT79" i="1"/>
  <c r="AT56" i="1"/>
  <c r="AT168" i="1"/>
  <c r="AT55" i="1"/>
  <c r="AT158" i="1"/>
  <c r="AT92" i="1"/>
  <c r="AT95" i="1"/>
  <c r="AT145" i="1"/>
  <c r="AT106" i="1"/>
  <c r="AT91" i="1"/>
  <c r="AT62" i="1"/>
  <c r="AT25" i="1"/>
  <c r="AT138" i="1"/>
  <c r="AT186" i="1"/>
  <c r="AT133" i="1"/>
  <c r="AT90" i="1"/>
  <c r="AT54" i="1"/>
  <c r="AT70" i="1"/>
  <c r="AT110" i="1"/>
  <c r="AS159" i="1"/>
  <c r="AS52" i="1"/>
  <c r="AS29" i="1"/>
  <c r="AS139" i="1"/>
  <c r="AS165" i="1"/>
  <c r="AS4" i="1"/>
  <c r="AS143" i="1"/>
  <c r="AS3" i="1"/>
  <c r="AS12" i="1"/>
  <c r="AS27" i="1"/>
  <c r="AS89" i="1"/>
  <c r="AS188" i="1"/>
  <c r="AS16" i="1"/>
  <c r="AS174" i="1"/>
  <c r="AS124" i="1"/>
  <c r="AS5" i="1"/>
  <c r="AS147" i="1"/>
  <c r="AS131" i="1"/>
  <c r="AS57" i="1"/>
  <c r="AS13" i="1"/>
  <c r="AS105" i="1"/>
  <c r="AS11" i="1"/>
  <c r="AS49" i="1"/>
  <c r="AS102" i="1"/>
  <c r="AS71" i="1"/>
  <c r="AS127" i="1"/>
  <c r="AS61" i="1"/>
  <c r="AS60" i="1"/>
  <c r="AS35" i="1"/>
  <c r="AS183" i="1"/>
  <c r="AS22" i="1"/>
  <c r="AS59" i="1"/>
  <c r="AS9" i="1"/>
  <c r="AS187" i="1"/>
  <c r="AS164" i="1"/>
  <c r="AS179" i="1"/>
  <c r="AS7" i="1"/>
  <c r="AS189" i="1"/>
  <c r="AS19" i="1"/>
  <c r="AS33" i="1"/>
  <c r="AS21" i="1"/>
  <c r="AS50" i="1"/>
  <c r="AS82" i="1"/>
  <c r="AS66" i="1"/>
  <c r="AS153" i="1"/>
  <c r="AS36" i="1"/>
  <c r="AS176" i="1"/>
  <c r="AS99" i="1"/>
  <c r="AS15" i="1"/>
  <c r="AS103" i="1"/>
  <c r="AS149" i="1"/>
  <c r="AS123" i="1"/>
  <c r="AS17" i="1"/>
  <c r="AS107" i="1"/>
  <c r="AS8" i="1"/>
  <c r="AS118" i="1"/>
  <c r="AS128" i="1"/>
  <c r="AS63" i="1"/>
  <c r="AS157" i="1"/>
  <c r="AS190" i="1"/>
  <c r="AS23" i="1"/>
  <c r="AS135" i="1"/>
  <c r="AS140" i="1"/>
  <c r="AS38" i="1"/>
  <c r="AS117" i="1"/>
  <c r="AS74" i="1"/>
  <c r="AS10" i="1"/>
  <c r="AS2" i="1"/>
  <c r="AS154" i="1"/>
  <c r="AS20" i="1"/>
  <c r="AS46" i="1"/>
  <c r="AS112" i="1"/>
  <c r="AS18" i="1"/>
  <c r="AS146" i="1"/>
  <c r="AS129" i="1"/>
  <c r="AS152" i="1"/>
  <c r="AS182" i="1"/>
  <c r="AS6" i="1"/>
  <c r="AS172" i="1"/>
  <c r="AS14" i="1"/>
  <c r="AS121" i="1"/>
  <c r="AS37" i="1"/>
  <c r="AS41" i="1"/>
  <c r="AS44" i="1"/>
  <c r="AS68" i="1"/>
  <c r="AS28" i="1"/>
  <c r="AS47" i="1"/>
  <c r="AS142" i="1"/>
  <c r="AS80" i="1"/>
  <c r="AS108" i="1"/>
  <c r="AS126" i="1"/>
  <c r="AS175" i="1"/>
  <c r="AS78" i="1"/>
  <c r="AS39" i="1"/>
  <c r="AS101" i="1"/>
  <c r="AS109" i="1"/>
  <c r="AS170" i="1"/>
  <c r="AS84" i="1"/>
  <c r="AS30" i="1"/>
  <c r="AS75" i="1"/>
  <c r="AS134" i="1"/>
  <c r="AS53" i="1"/>
  <c r="AS97" i="1"/>
  <c r="AS76" i="1"/>
  <c r="AS34" i="1"/>
  <c r="AS58" i="1"/>
  <c r="AS94" i="1"/>
  <c r="AS125" i="1"/>
  <c r="AS166" i="1"/>
  <c r="AS181" i="1"/>
  <c r="AS173" i="1"/>
  <c r="AS88" i="1"/>
  <c r="AS64" i="1"/>
  <c r="AS98" i="1"/>
  <c r="AS136" i="1"/>
  <c r="AS51" i="1"/>
  <c r="AS48" i="1"/>
  <c r="AS85" i="1"/>
  <c r="AS69" i="1"/>
  <c r="AS141" i="1"/>
  <c r="AS77" i="1"/>
  <c r="AS40" i="1"/>
  <c r="AS43" i="1"/>
  <c r="AS73" i="1"/>
  <c r="AS96" i="1"/>
  <c r="AS177" i="1"/>
  <c r="AS45" i="1"/>
  <c r="AS160" i="1"/>
  <c r="AS114" i="1"/>
  <c r="AS151" i="1"/>
  <c r="AS42" i="1"/>
  <c r="AS87" i="1"/>
  <c r="AS130" i="1"/>
  <c r="AS67" i="1"/>
  <c r="AS180" i="1"/>
  <c r="AS155" i="1"/>
  <c r="AS31" i="1"/>
  <c r="AS162" i="1"/>
  <c r="AS81" i="1"/>
  <c r="AS119" i="1"/>
  <c r="AS100" i="1"/>
  <c r="AS72" i="1"/>
  <c r="AS132" i="1"/>
  <c r="AS115" i="1"/>
  <c r="AS32" i="1"/>
  <c r="AS178" i="1"/>
  <c r="AS116" i="1"/>
  <c r="AS113" i="1"/>
  <c r="AS148" i="1"/>
  <c r="AS24" i="1"/>
  <c r="AS161" i="1"/>
  <c r="AS169" i="1"/>
  <c r="AS167" i="1"/>
  <c r="AS144" i="1"/>
  <c r="AS93" i="1"/>
  <c r="AS137" i="1"/>
  <c r="AS86" i="1"/>
  <c r="AS104" i="1"/>
  <c r="AS120" i="1"/>
  <c r="AS171" i="1"/>
  <c r="AS184" i="1"/>
  <c r="AS156" i="1"/>
  <c r="AS150" i="1"/>
  <c r="AS65" i="1"/>
  <c r="AS26" i="1"/>
  <c r="AS83" i="1"/>
  <c r="AS163" i="1"/>
  <c r="AS185" i="1"/>
  <c r="AS111" i="1"/>
  <c r="AS122" i="1"/>
  <c r="AS79" i="1"/>
  <c r="AS56" i="1"/>
  <c r="AS168" i="1"/>
  <c r="AS55" i="1"/>
  <c r="AS158" i="1"/>
  <c r="AS92" i="1"/>
  <c r="AS95" i="1"/>
  <c r="AS145" i="1"/>
  <c r="AS106" i="1"/>
  <c r="AS91" i="1"/>
  <c r="AS62" i="1"/>
  <c r="AS25" i="1"/>
  <c r="AS138" i="1"/>
  <c r="AS186" i="1"/>
  <c r="AS133" i="1"/>
  <c r="AS90" i="1"/>
  <c r="AS54" i="1"/>
  <c r="AS70" i="1"/>
  <c r="AS110" i="1"/>
  <c r="AR159" i="1"/>
  <c r="AR52" i="1"/>
  <c r="AR29" i="1"/>
  <c r="AR139" i="1"/>
  <c r="AR165" i="1"/>
  <c r="AR4" i="1"/>
  <c r="AR143" i="1"/>
  <c r="AR3" i="1"/>
  <c r="AR12" i="1"/>
  <c r="AR27" i="1"/>
  <c r="AR89" i="1"/>
  <c r="AR188" i="1"/>
  <c r="AR16" i="1"/>
  <c r="AR174" i="1"/>
  <c r="AR124" i="1"/>
  <c r="AR5" i="1"/>
  <c r="AR147" i="1"/>
  <c r="AR131" i="1"/>
  <c r="AR57" i="1"/>
  <c r="AR13" i="1"/>
  <c r="AR105" i="1"/>
  <c r="AR11" i="1"/>
  <c r="AR49" i="1"/>
  <c r="AR102" i="1"/>
  <c r="AR71" i="1"/>
  <c r="AR127" i="1"/>
  <c r="AR61" i="1"/>
  <c r="AR60" i="1"/>
  <c r="AR35" i="1"/>
  <c r="AR183" i="1"/>
  <c r="AR22" i="1"/>
  <c r="AR59" i="1"/>
  <c r="AR9" i="1"/>
  <c r="AR187" i="1"/>
  <c r="AR164" i="1"/>
  <c r="AR179" i="1"/>
  <c r="AR7" i="1"/>
  <c r="AR189" i="1"/>
  <c r="AR19" i="1"/>
  <c r="AR33" i="1"/>
  <c r="AR21" i="1"/>
  <c r="AR50" i="1"/>
  <c r="AR82" i="1"/>
  <c r="AR66" i="1"/>
  <c r="AR153" i="1"/>
  <c r="AR36" i="1"/>
  <c r="AR176" i="1"/>
  <c r="AR99" i="1"/>
  <c r="AR15" i="1"/>
  <c r="AR103" i="1"/>
  <c r="AR149" i="1"/>
  <c r="AR123" i="1"/>
  <c r="AR17" i="1"/>
  <c r="AR107" i="1"/>
  <c r="AR8" i="1"/>
  <c r="AR118" i="1"/>
  <c r="AR128" i="1"/>
  <c r="AR63" i="1"/>
  <c r="AR157" i="1"/>
  <c r="AR190" i="1"/>
  <c r="AR23" i="1"/>
  <c r="AR135" i="1"/>
  <c r="AR140" i="1"/>
  <c r="AR38" i="1"/>
  <c r="AR117" i="1"/>
  <c r="AR74" i="1"/>
  <c r="AR10" i="1"/>
  <c r="AR2" i="1"/>
  <c r="AR154" i="1"/>
  <c r="AR20" i="1"/>
  <c r="AR46" i="1"/>
  <c r="AR112" i="1"/>
  <c r="AR18" i="1"/>
  <c r="AR146" i="1"/>
  <c r="AR129" i="1"/>
  <c r="AR152" i="1"/>
  <c r="AR182" i="1"/>
  <c r="AR6" i="1"/>
  <c r="AR172" i="1"/>
  <c r="AR14" i="1"/>
  <c r="AR121" i="1"/>
  <c r="AR37" i="1"/>
  <c r="AR41" i="1"/>
  <c r="AR44" i="1"/>
  <c r="AR68" i="1"/>
  <c r="AR28" i="1"/>
  <c r="AR47" i="1"/>
  <c r="AR142" i="1"/>
  <c r="AR80" i="1"/>
  <c r="AR108" i="1"/>
  <c r="AR126" i="1"/>
  <c r="AR175" i="1"/>
  <c r="AR78" i="1"/>
  <c r="AR39" i="1"/>
  <c r="AR101" i="1"/>
  <c r="AR109" i="1"/>
  <c r="AR170" i="1"/>
  <c r="AR84" i="1"/>
  <c r="AR30" i="1"/>
  <c r="AR75" i="1"/>
  <c r="AR134" i="1"/>
  <c r="AR53" i="1"/>
  <c r="AR97" i="1"/>
  <c r="AR76" i="1"/>
  <c r="AR34" i="1"/>
  <c r="AR58" i="1"/>
  <c r="AR94" i="1"/>
  <c r="AR125" i="1"/>
  <c r="AR166" i="1"/>
  <c r="AR181" i="1"/>
  <c r="AR173" i="1"/>
  <c r="AR88" i="1"/>
  <c r="AR64" i="1"/>
  <c r="AR98" i="1"/>
  <c r="AR136" i="1"/>
  <c r="AR51" i="1"/>
  <c r="AR48" i="1"/>
  <c r="AR85" i="1"/>
  <c r="AR69" i="1"/>
  <c r="AR141" i="1"/>
  <c r="AR77" i="1"/>
  <c r="AR40" i="1"/>
  <c r="AR43" i="1"/>
  <c r="AR73" i="1"/>
  <c r="AR96" i="1"/>
  <c r="AR177" i="1"/>
  <c r="AR45" i="1"/>
  <c r="AR160" i="1"/>
  <c r="AR114" i="1"/>
  <c r="AR151" i="1"/>
  <c r="AR42" i="1"/>
  <c r="AR87" i="1"/>
  <c r="AR130" i="1"/>
  <c r="AR67" i="1"/>
  <c r="AR180" i="1"/>
  <c r="AR155" i="1"/>
  <c r="AR31" i="1"/>
  <c r="AR162" i="1"/>
  <c r="AR81" i="1"/>
  <c r="AR119" i="1"/>
  <c r="AR100" i="1"/>
  <c r="AR72" i="1"/>
  <c r="AR132" i="1"/>
  <c r="AR115" i="1"/>
  <c r="AR32" i="1"/>
  <c r="AR178" i="1"/>
  <c r="AR116" i="1"/>
  <c r="AR113" i="1"/>
  <c r="AR148" i="1"/>
  <c r="AR24" i="1"/>
  <c r="AR161" i="1"/>
  <c r="AR169" i="1"/>
  <c r="AR167" i="1"/>
  <c r="AR144" i="1"/>
  <c r="AR93" i="1"/>
  <c r="AR137" i="1"/>
  <c r="AR86" i="1"/>
  <c r="AR104" i="1"/>
  <c r="AR120" i="1"/>
  <c r="AR171" i="1"/>
  <c r="AR184" i="1"/>
  <c r="AR156" i="1"/>
  <c r="AR150" i="1"/>
  <c r="AR65" i="1"/>
  <c r="AR26" i="1"/>
  <c r="AR83" i="1"/>
  <c r="AR163" i="1"/>
  <c r="AR185" i="1"/>
  <c r="AR111" i="1"/>
  <c r="AR122" i="1"/>
  <c r="AR79" i="1"/>
  <c r="AR56" i="1"/>
  <c r="AR168" i="1"/>
  <c r="AR55" i="1"/>
  <c r="AR158" i="1"/>
  <c r="AR92" i="1"/>
  <c r="AR95" i="1"/>
  <c r="AR145" i="1"/>
  <c r="AR106" i="1"/>
  <c r="AR91" i="1"/>
  <c r="AR62" i="1"/>
  <c r="AR25" i="1"/>
  <c r="AR138" i="1"/>
  <c r="AR186" i="1"/>
  <c r="AR133" i="1"/>
  <c r="AR90" i="1"/>
  <c r="AR54" i="1"/>
  <c r="AR70" i="1"/>
  <c r="AR110" i="1"/>
  <c r="AF104" i="1"/>
  <c r="R159" i="1"/>
  <c r="R52" i="1"/>
  <c r="R29" i="1"/>
  <c r="R139" i="1"/>
  <c r="R165" i="1"/>
  <c r="R4" i="1"/>
  <c r="R143" i="1"/>
  <c r="R3" i="1"/>
  <c r="R12" i="1"/>
  <c r="R27" i="1"/>
  <c r="R89" i="1"/>
  <c r="R188" i="1"/>
  <c r="R16" i="1"/>
  <c r="R174" i="1"/>
  <c r="R124" i="1"/>
  <c r="R5" i="1"/>
  <c r="R147" i="1"/>
  <c r="R131" i="1"/>
  <c r="R57" i="1"/>
  <c r="R13" i="1"/>
  <c r="R105" i="1"/>
  <c r="R11" i="1"/>
  <c r="R49" i="1"/>
  <c r="R102" i="1"/>
  <c r="R71" i="1"/>
  <c r="R127" i="1"/>
  <c r="R61" i="1"/>
  <c r="R60" i="1"/>
  <c r="R35" i="1"/>
  <c r="R183" i="1"/>
  <c r="R22" i="1"/>
  <c r="R59" i="1"/>
  <c r="R9" i="1"/>
  <c r="R187" i="1"/>
  <c r="R164" i="1"/>
  <c r="R179" i="1"/>
  <c r="R7" i="1"/>
  <c r="R189" i="1"/>
  <c r="R19" i="1"/>
  <c r="R33" i="1"/>
  <c r="R21" i="1"/>
  <c r="R50" i="1"/>
  <c r="R82" i="1"/>
  <c r="R66" i="1"/>
  <c r="R153" i="1"/>
  <c r="R36" i="1"/>
  <c r="R176" i="1"/>
  <c r="R99" i="1"/>
  <c r="R15" i="1"/>
  <c r="R103" i="1"/>
  <c r="R149" i="1"/>
  <c r="R123" i="1"/>
  <c r="R17" i="1"/>
  <c r="R107" i="1"/>
  <c r="R8" i="1"/>
  <c r="R118" i="1"/>
  <c r="R128" i="1"/>
  <c r="R63" i="1"/>
  <c r="R157" i="1"/>
  <c r="R190" i="1"/>
  <c r="R23" i="1"/>
  <c r="R135" i="1"/>
  <c r="R140" i="1"/>
  <c r="R38" i="1"/>
  <c r="R117" i="1"/>
  <c r="R74" i="1"/>
  <c r="R10" i="1"/>
  <c r="R2" i="1"/>
  <c r="R154" i="1"/>
  <c r="R20" i="1"/>
  <c r="R46" i="1"/>
  <c r="R112" i="1"/>
  <c r="R18" i="1"/>
  <c r="R146" i="1"/>
  <c r="R129" i="1"/>
  <c r="R152" i="1"/>
  <c r="R182" i="1"/>
  <c r="R6" i="1"/>
  <c r="R172" i="1"/>
  <c r="R14" i="1"/>
  <c r="R121" i="1"/>
  <c r="R37" i="1"/>
  <c r="R41" i="1"/>
  <c r="R44" i="1"/>
  <c r="R68" i="1"/>
  <c r="R28" i="1"/>
  <c r="R47" i="1"/>
  <c r="R142" i="1"/>
  <c r="R80" i="1"/>
  <c r="R108" i="1"/>
  <c r="R126" i="1"/>
  <c r="R175" i="1"/>
  <c r="R78" i="1"/>
  <c r="R39" i="1"/>
  <c r="R101" i="1"/>
  <c r="R109" i="1"/>
  <c r="R170" i="1"/>
  <c r="R84" i="1"/>
  <c r="R30" i="1"/>
  <c r="R75" i="1"/>
  <c r="R134" i="1"/>
  <c r="R53" i="1"/>
  <c r="R97" i="1"/>
  <c r="R76" i="1"/>
  <c r="R34" i="1"/>
  <c r="R58" i="1"/>
  <c r="R94" i="1"/>
  <c r="R125" i="1"/>
  <c r="R166" i="1"/>
  <c r="R181" i="1"/>
  <c r="R173" i="1"/>
  <c r="R88" i="1"/>
  <c r="R64" i="1"/>
  <c r="R98" i="1"/>
  <c r="R136" i="1"/>
  <c r="R51" i="1"/>
  <c r="R48" i="1"/>
  <c r="R85" i="1"/>
  <c r="R69" i="1"/>
  <c r="R141" i="1"/>
  <c r="R77" i="1"/>
  <c r="R40" i="1"/>
  <c r="R43" i="1"/>
  <c r="R73" i="1"/>
  <c r="R96" i="1"/>
  <c r="R177" i="1"/>
  <c r="R45" i="1"/>
  <c r="R160" i="1"/>
  <c r="R114" i="1"/>
  <c r="R151" i="1"/>
  <c r="R42" i="1"/>
  <c r="R87" i="1"/>
  <c r="R130" i="1"/>
  <c r="R67" i="1"/>
  <c r="R180" i="1"/>
  <c r="R155" i="1"/>
  <c r="R31" i="1"/>
  <c r="R162" i="1"/>
  <c r="R81" i="1"/>
  <c r="R119" i="1"/>
  <c r="R100" i="1"/>
  <c r="R72" i="1"/>
  <c r="R132" i="1"/>
  <c r="R115" i="1"/>
  <c r="R32" i="1"/>
  <c r="R178" i="1"/>
  <c r="R116" i="1"/>
  <c r="R113" i="1"/>
  <c r="R148" i="1"/>
  <c r="R24" i="1"/>
  <c r="R161" i="1"/>
  <c r="R169" i="1"/>
  <c r="R167" i="1"/>
  <c r="R144" i="1"/>
  <c r="R93" i="1"/>
  <c r="R137" i="1"/>
  <c r="R86" i="1"/>
  <c r="R104" i="1"/>
  <c r="R120" i="1"/>
  <c r="R171" i="1"/>
  <c r="R184" i="1"/>
  <c r="R156" i="1"/>
  <c r="R150" i="1"/>
  <c r="R65" i="1"/>
  <c r="R26" i="1"/>
  <c r="R83" i="1"/>
  <c r="R163" i="1"/>
  <c r="R185" i="1"/>
  <c r="R111" i="1"/>
  <c r="R122" i="1"/>
  <c r="R79" i="1"/>
  <c r="R56" i="1"/>
  <c r="R168" i="1"/>
  <c r="R55" i="1"/>
  <c r="R158" i="1"/>
  <c r="R92" i="1"/>
  <c r="R95" i="1"/>
  <c r="R145" i="1"/>
  <c r="R106" i="1"/>
  <c r="R91" i="1"/>
  <c r="R62" i="1"/>
  <c r="R25" i="1"/>
  <c r="R138" i="1"/>
  <c r="R186" i="1"/>
  <c r="R133" i="1"/>
  <c r="R90" i="1"/>
  <c r="R54" i="1"/>
  <c r="R70" i="1"/>
  <c r="R110" i="1"/>
  <c r="AA159" i="1"/>
  <c r="AA52" i="1"/>
  <c r="AA4" i="1"/>
  <c r="AA13" i="1"/>
  <c r="AA105" i="1"/>
  <c r="AA11" i="1"/>
  <c r="AA127" i="1"/>
  <c r="AA183" i="1"/>
  <c r="AA59" i="1"/>
  <c r="AA164" i="1"/>
  <c r="AA7" i="1"/>
  <c r="AA19" i="1"/>
  <c r="AA33" i="1"/>
  <c r="AA82" i="1"/>
  <c r="AA153" i="1"/>
  <c r="AA15" i="1"/>
  <c r="AA149" i="1"/>
  <c r="AA107" i="1"/>
  <c r="AA118" i="1"/>
  <c r="AA128" i="1"/>
  <c r="AA157" i="1"/>
  <c r="AA140" i="1"/>
  <c r="AA38" i="1"/>
  <c r="AA74" i="1"/>
  <c r="AA10" i="1"/>
  <c r="AA2" i="1"/>
  <c r="AA154" i="1"/>
  <c r="AA20" i="1"/>
  <c r="AA146" i="1"/>
  <c r="AA129" i="1"/>
  <c r="AA152" i="1"/>
  <c r="AA182" i="1"/>
  <c r="AA6" i="1"/>
  <c r="AA14" i="1"/>
  <c r="AA121" i="1"/>
  <c r="AA68" i="1"/>
  <c r="AA47" i="1"/>
  <c r="AA142" i="1"/>
  <c r="AA80" i="1"/>
  <c r="AA39" i="1"/>
  <c r="AA170" i="1"/>
  <c r="AA75" i="1"/>
  <c r="AA134" i="1"/>
  <c r="AA53" i="1"/>
  <c r="AA97" i="1"/>
  <c r="AA76" i="1"/>
  <c r="AA94" i="1"/>
  <c r="AA173" i="1"/>
  <c r="AA88" i="1"/>
  <c r="AA64" i="1"/>
  <c r="AA136" i="1"/>
  <c r="AA51" i="1"/>
  <c r="AA77" i="1"/>
  <c r="AA96" i="1"/>
  <c r="AA160" i="1"/>
  <c r="AA114" i="1"/>
  <c r="AA151" i="1"/>
  <c r="AA42" i="1"/>
  <c r="AA130" i="1"/>
  <c r="AA180" i="1"/>
  <c r="AA155" i="1"/>
  <c r="AA119" i="1"/>
  <c r="AA100" i="1"/>
  <c r="AA72" i="1"/>
  <c r="AA115" i="1"/>
  <c r="AA24" i="1"/>
  <c r="AA161" i="1"/>
  <c r="AA169" i="1"/>
  <c r="AA167" i="1"/>
  <c r="AA144" i="1"/>
  <c r="AA137" i="1"/>
  <c r="AA184" i="1"/>
  <c r="AA156" i="1"/>
  <c r="AA150" i="1"/>
  <c r="AA65" i="1"/>
  <c r="AA185" i="1"/>
  <c r="AA56" i="1"/>
  <c r="AA55" i="1"/>
  <c r="AA95" i="1"/>
  <c r="AA145" i="1"/>
  <c r="AA25" i="1"/>
  <c r="AA138" i="1"/>
  <c r="O70" i="1" l="1"/>
  <c r="O186" i="1"/>
  <c r="O91" i="1"/>
  <c r="O92" i="1"/>
  <c r="O168" i="1"/>
  <c r="O111" i="1"/>
  <c r="O26" i="1"/>
  <c r="O184" i="1"/>
  <c r="O86" i="1"/>
  <c r="O167" i="1"/>
  <c r="O24" i="1"/>
  <c r="O178" i="1"/>
  <c r="O72" i="1"/>
  <c r="O162" i="1"/>
  <c r="O67" i="1"/>
  <c r="O151" i="1"/>
  <c r="O177" i="1"/>
  <c r="O40" i="1"/>
  <c r="O51" i="1"/>
  <c r="O88" i="1"/>
  <c r="O125" i="1"/>
  <c r="O34" i="1"/>
  <c r="O134" i="1"/>
  <c r="O170" i="1"/>
  <c r="O175" i="1"/>
  <c r="O142" i="1"/>
  <c r="O68" i="1"/>
  <c r="O121" i="1"/>
  <c r="O182" i="1"/>
  <c r="O18" i="1"/>
  <c r="O154" i="1"/>
  <c r="O117" i="1"/>
  <c r="O23" i="1"/>
  <c r="O63" i="1"/>
  <c r="O8" i="1"/>
  <c r="O149" i="1"/>
  <c r="O66" i="1"/>
  <c r="O21" i="1"/>
  <c r="O7" i="1"/>
  <c r="O9" i="1"/>
  <c r="O61" i="1"/>
  <c r="O49" i="1"/>
  <c r="O57" i="1"/>
  <c r="O124" i="1"/>
  <c r="O16" i="1"/>
  <c r="O12" i="1"/>
  <c r="O165" i="1"/>
  <c r="O29" i="1"/>
  <c r="P110" i="1"/>
  <c r="P133" i="1"/>
  <c r="P62" i="1"/>
  <c r="P95" i="1"/>
  <c r="P122" i="1"/>
  <c r="P83" i="1"/>
  <c r="P156" i="1"/>
  <c r="P104" i="1"/>
  <c r="P144" i="1"/>
  <c r="P116" i="1"/>
  <c r="P132" i="1"/>
  <c r="P81" i="1"/>
  <c r="P180" i="1"/>
  <c r="P42" i="1"/>
  <c r="P45" i="1"/>
  <c r="P43" i="1"/>
  <c r="P69" i="1"/>
  <c r="P48" i="1"/>
  <c r="P64" i="1"/>
  <c r="P166" i="1"/>
  <c r="P58" i="1"/>
  <c r="P53" i="1"/>
  <c r="P84" i="1"/>
  <c r="P39" i="1"/>
  <c r="P108" i="1"/>
  <c r="P28" i="1"/>
  <c r="P41" i="1"/>
  <c r="P172" i="1"/>
  <c r="P129" i="1"/>
  <c r="P46" i="1"/>
  <c r="P10" i="1"/>
  <c r="P140" i="1"/>
  <c r="P190" i="1"/>
  <c r="P17" i="1"/>
  <c r="P15" i="1"/>
  <c r="P36" i="1"/>
  <c r="P19" i="1"/>
  <c r="P164" i="1"/>
  <c r="P22" i="1"/>
  <c r="P71" i="1"/>
  <c r="P105" i="1"/>
  <c r="P147" i="1"/>
  <c r="P89" i="1"/>
  <c r="P143" i="1"/>
  <c r="P159" i="1"/>
  <c r="Q54" i="1"/>
  <c r="Q138" i="1"/>
  <c r="Q106" i="1"/>
  <c r="Q158" i="1"/>
  <c r="Q56" i="1"/>
  <c r="Q185" i="1"/>
  <c r="Q65" i="1"/>
  <c r="Q171" i="1"/>
  <c r="Q137" i="1"/>
  <c r="Q169" i="1"/>
  <c r="Q148" i="1"/>
  <c r="Q32" i="1"/>
  <c r="Q100" i="1"/>
  <c r="Q31" i="1"/>
  <c r="Q130" i="1"/>
  <c r="Q114" i="1"/>
  <c r="Q96" i="1"/>
  <c r="Q77" i="1"/>
  <c r="Q85" i="1"/>
  <c r="Q136" i="1"/>
  <c r="Q173" i="1"/>
  <c r="Q94" i="1"/>
  <c r="Q76" i="1"/>
  <c r="Q75" i="1"/>
  <c r="Q109" i="1"/>
  <c r="Q175" i="1"/>
  <c r="Q142" i="1"/>
  <c r="Q68" i="1"/>
  <c r="Q121" i="1"/>
  <c r="Q182" i="1"/>
  <c r="Q18" i="1"/>
  <c r="Q154" i="1"/>
  <c r="Q117" i="1"/>
  <c r="Q23" i="1"/>
  <c r="Q63" i="1"/>
  <c r="Q8" i="1"/>
  <c r="Q149" i="1"/>
  <c r="Q66" i="1"/>
  <c r="Q21" i="1"/>
  <c r="Q7" i="1"/>
  <c r="Q9" i="1"/>
  <c r="Q61" i="1"/>
  <c r="Q49" i="1"/>
  <c r="Q57" i="1"/>
  <c r="Q124" i="1"/>
  <c r="Q16" i="1"/>
  <c r="Q12" i="1"/>
  <c r="Q165" i="1"/>
  <c r="Q29" i="1"/>
  <c r="O39" i="1"/>
  <c r="O108" i="1"/>
  <c r="O28" i="1"/>
  <c r="O41" i="1"/>
  <c r="O172" i="1"/>
  <c r="O129" i="1"/>
  <c r="O46" i="1"/>
  <c r="O10" i="1"/>
  <c r="O140" i="1"/>
  <c r="O190" i="1"/>
  <c r="O17" i="1"/>
  <c r="O15" i="1"/>
  <c r="O36" i="1"/>
  <c r="O19" i="1"/>
  <c r="O164" i="1"/>
  <c r="O22" i="1"/>
  <c r="O71" i="1"/>
  <c r="O105" i="1"/>
  <c r="O147" i="1"/>
  <c r="O89" i="1"/>
  <c r="O143" i="1"/>
  <c r="O159" i="1"/>
  <c r="P54" i="1"/>
  <c r="P138" i="1"/>
  <c r="P106" i="1"/>
  <c r="P158" i="1"/>
  <c r="P56" i="1"/>
  <c r="P185" i="1"/>
  <c r="P65" i="1"/>
  <c r="P171" i="1"/>
  <c r="P137" i="1"/>
  <c r="P169" i="1"/>
  <c r="P148" i="1"/>
  <c r="P32" i="1"/>
  <c r="P100" i="1"/>
  <c r="P31" i="1"/>
  <c r="P130" i="1"/>
  <c r="P114" i="1"/>
  <c r="P96" i="1"/>
  <c r="P77" i="1"/>
  <c r="P85" i="1"/>
  <c r="P136" i="1"/>
  <c r="P173" i="1"/>
  <c r="P94" i="1"/>
  <c r="P76" i="1"/>
  <c r="P75" i="1"/>
  <c r="P109" i="1"/>
  <c r="O101" i="1"/>
  <c r="O90" i="1"/>
  <c r="O25" i="1"/>
  <c r="O145" i="1"/>
  <c r="O55" i="1"/>
  <c r="O79" i="1"/>
  <c r="O163" i="1"/>
  <c r="O150" i="1"/>
  <c r="O120" i="1"/>
  <c r="O93" i="1"/>
  <c r="O161" i="1"/>
  <c r="O113" i="1"/>
  <c r="O115" i="1"/>
  <c r="O119" i="1"/>
  <c r="O155" i="1"/>
  <c r="O87" i="1"/>
  <c r="O160" i="1"/>
  <c r="O73" i="1"/>
  <c r="O141" i="1"/>
  <c r="O98" i="1"/>
  <c r="O181" i="1"/>
  <c r="O97" i="1"/>
  <c r="O30" i="1"/>
  <c r="P175" i="1"/>
  <c r="P142" i="1"/>
  <c r="P68" i="1"/>
  <c r="P121" i="1"/>
  <c r="P182" i="1"/>
  <c r="P18" i="1"/>
  <c r="P154" i="1"/>
  <c r="P117" i="1"/>
  <c r="P23" i="1"/>
  <c r="P63" i="1"/>
  <c r="P8" i="1"/>
  <c r="P149" i="1"/>
  <c r="P66" i="1"/>
  <c r="P21" i="1"/>
  <c r="P7" i="1"/>
  <c r="P9" i="1"/>
  <c r="P61" i="1"/>
  <c r="P49" i="1"/>
  <c r="P57" i="1"/>
  <c r="P124" i="1"/>
  <c r="P16" i="1"/>
  <c r="P12" i="1"/>
  <c r="P165" i="1"/>
  <c r="P29" i="1"/>
  <c r="Q110" i="1"/>
  <c r="Q133" i="1"/>
  <c r="Q62" i="1"/>
  <c r="Q95" i="1"/>
  <c r="Q122" i="1"/>
  <c r="Q83" i="1"/>
  <c r="Q156" i="1"/>
  <c r="Q104" i="1"/>
  <c r="Q144" i="1"/>
  <c r="Q116" i="1"/>
  <c r="Q132" i="1"/>
  <c r="Q81" i="1"/>
  <c r="Q180" i="1"/>
  <c r="Q42" i="1"/>
  <c r="Q45" i="1"/>
  <c r="Q43" i="1"/>
  <c r="Q69" i="1"/>
  <c r="Q48" i="1"/>
  <c r="Q64" i="1"/>
  <c r="Q166" i="1"/>
  <c r="Q58" i="1"/>
  <c r="Q53" i="1"/>
  <c r="Q84" i="1"/>
  <c r="Q39" i="1"/>
  <c r="Q108" i="1"/>
  <c r="Q28" i="1"/>
  <c r="Q41" i="1"/>
  <c r="Q172" i="1"/>
  <c r="Q129" i="1"/>
  <c r="Q46" i="1"/>
  <c r="Q10" i="1"/>
  <c r="Q140" i="1"/>
  <c r="Q190" i="1"/>
  <c r="Q17" i="1"/>
  <c r="Q15" i="1"/>
  <c r="Q36" i="1"/>
  <c r="Q19" i="1"/>
  <c r="Q164" i="1"/>
  <c r="Q22" i="1"/>
  <c r="Q71" i="1"/>
  <c r="Q105" i="1"/>
  <c r="Q147" i="1"/>
  <c r="Q89" i="1"/>
  <c r="Q143" i="1"/>
  <c r="Q159" i="1"/>
  <c r="O110" i="1"/>
  <c r="O54" i="1"/>
  <c r="O138" i="1"/>
  <c r="O106" i="1"/>
  <c r="O158" i="1"/>
  <c r="O56" i="1"/>
  <c r="O185" i="1"/>
  <c r="O65" i="1"/>
  <c r="O171" i="1"/>
  <c r="O137" i="1"/>
  <c r="O169" i="1"/>
  <c r="O148" i="1"/>
  <c r="O32" i="1"/>
  <c r="O100" i="1"/>
  <c r="O31" i="1"/>
  <c r="O130" i="1"/>
  <c r="O114" i="1"/>
  <c r="O96" i="1"/>
  <c r="O77" i="1"/>
  <c r="O85" i="1"/>
  <c r="O136" i="1"/>
  <c r="O173" i="1"/>
  <c r="O94" i="1"/>
  <c r="O76" i="1"/>
  <c r="O75" i="1"/>
  <c r="O109" i="1"/>
  <c r="O126" i="1"/>
  <c r="O47" i="1"/>
  <c r="O44" i="1"/>
  <c r="O14" i="1"/>
  <c r="O152" i="1"/>
  <c r="O112" i="1"/>
  <c r="O2" i="1"/>
  <c r="O38" i="1"/>
  <c r="O128" i="1"/>
  <c r="O107" i="1"/>
  <c r="O103" i="1"/>
  <c r="O176" i="1"/>
  <c r="O82" i="1"/>
  <c r="O33" i="1"/>
  <c r="O179" i="1"/>
  <c r="O59" i="1"/>
  <c r="O35" i="1"/>
  <c r="O127" i="1"/>
  <c r="O11" i="1"/>
  <c r="O131" i="1"/>
  <c r="O188" i="1"/>
  <c r="O3" i="1"/>
  <c r="O139" i="1"/>
  <c r="O52" i="1"/>
  <c r="P70" i="1"/>
  <c r="P186" i="1"/>
  <c r="P91" i="1"/>
  <c r="P92" i="1"/>
  <c r="P168" i="1"/>
  <c r="P111" i="1"/>
  <c r="P26" i="1"/>
  <c r="P184" i="1"/>
  <c r="P86" i="1"/>
  <c r="P167" i="1"/>
  <c r="P24" i="1"/>
  <c r="P178" i="1"/>
  <c r="P72" i="1"/>
  <c r="P162" i="1"/>
  <c r="P67" i="1"/>
  <c r="P151" i="1"/>
  <c r="P177" i="1"/>
  <c r="P40" i="1"/>
  <c r="P51" i="1"/>
  <c r="P88" i="1"/>
  <c r="P125" i="1"/>
  <c r="P34" i="1"/>
  <c r="P134" i="1"/>
  <c r="P170" i="1"/>
  <c r="P78" i="1"/>
  <c r="P80" i="1"/>
  <c r="P37" i="1"/>
  <c r="P6" i="1"/>
  <c r="P146" i="1"/>
  <c r="P20" i="1"/>
  <c r="P74" i="1"/>
  <c r="P135" i="1"/>
  <c r="P157" i="1"/>
  <c r="P118" i="1"/>
  <c r="P123" i="1"/>
  <c r="P99" i="1"/>
  <c r="P153" i="1"/>
  <c r="P50" i="1"/>
  <c r="P189" i="1"/>
  <c r="P187" i="1"/>
  <c r="P183" i="1"/>
  <c r="P60" i="1"/>
  <c r="P102" i="1"/>
  <c r="P13" i="1"/>
  <c r="P5" i="1"/>
  <c r="P174" i="1"/>
  <c r="P27" i="1"/>
  <c r="P4" i="1"/>
  <c r="Q90" i="1"/>
  <c r="Q25" i="1"/>
  <c r="Q145" i="1"/>
  <c r="Q55" i="1"/>
  <c r="Q79" i="1"/>
  <c r="Q163" i="1"/>
  <c r="Q150" i="1"/>
  <c r="Q120" i="1"/>
  <c r="Q93" i="1"/>
  <c r="Q161" i="1"/>
  <c r="Q113" i="1"/>
  <c r="Q115" i="1"/>
  <c r="Q119" i="1"/>
  <c r="Q155" i="1"/>
  <c r="Q87" i="1"/>
  <c r="Q160" i="1"/>
  <c r="Q73" i="1"/>
  <c r="Q141" i="1"/>
  <c r="Q98" i="1"/>
  <c r="Q181" i="1"/>
  <c r="Q97" i="1"/>
  <c r="Q30" i="1"/>
  <c r="Q101" i="1"/>
  <c r="Q126" i="1"/>
  <c r="Q47" i="1"/>
  <c r="Q44" i="1"/>
  <c r="Q14" i="1"/>
  <c r="Q152" i="1"/>
  <c r="Q112" i="1"/>
  <c r="Q2" i="1"/>
  <c r="Q38" i="1"/>
  <c r="Q128" i="1"/>
  <c r="Q107" i="1"/>
  <c r="Q103" i="1"/>
  <c r="Q176" i="1"/>
  <c r="Q82" i="1"/>
  <c r="Q33" i="1"/>
  <c r="Q179" i="1"/>
  <c r="Q59" i="1"/>
  <c r="Q35" i="1"/>
  <c r="Q127" i="1"/>
  <c r="Q11" i="1"/>
  <c r="Q131" i="1"/>
  <c r="Q188" i="1"/>
  <c r="Q3" i="1"/>
  <c r="Q139" i="1"/>
  <c r="Q52" i="1"/>
  <c r="O133" i="1"/>
  <c r="O62" i="1"/>
  <c r="O95" i="1"/>
  <c r="O122" i="1"/>
  <c r="O83" i="1"/>
  <c r="O156" i="1"/>
  <c r="O104" i="1"/>
  <c r="O144" i="1"/>
  <c r="O116" i="1"/>
  <c r="O132" i="1"/>
  <c r="O81" i="1"/>
  <c r="O180" i="1"/>
  <c r="O42" i="1"/>
  <c r="O45" i="1"/>
  <c r="O43" i="1"/>
  <c r="O69" i="1"/>
  <c r="O48" i="1"/>
  <c r="O64" i="1"/>
  <c r="O166" i="1"/>
  <c r="O58" i="1"/>
  <c r="O53" i="1"/>
  <c r="O84" i="1"/>
  <c r="O78" i="1"/>
  <c r="O80" i="1"/>
  <c r="O37" i="1"/>
  <c r="O6" i="1"/>
  <c r="O146" i="1"/>
  <c r="O20" i="1"/>
  <c r="O74" i="1"/>
  <c r="O135" i="1"/>
  <c r="O157" i="1"/>
  <c r="O118" i="1"/>
  <c r="O123" i="1"/>
  <c r="O99" i="1"/>
  <c r="O153" i="1"/>
  <c r="O50" i="1"/>
  <c r="O189" i="1"/>
  <c r="O187" i="1"/>
  <c r="O183" i="1"/>
  <c r="O60" i="1"/>
  <c r="O102" i="1"/>
  <c r="O13" i="1"/>
  <c r="O5" i="1"/>
  <c r="O174" i="1"/>
  <c r="O27" i="1"/>
  <c r="O4" i="1"/>
  <c r="P90" i="1"/>
  <c r="P25" i="1"/>
  <c r="P145" i="1"/>
  <c r="P55" i="1"/>
  <c r="P79" i="1"/>
  <c r="P163" i="1"/>
  <c r="P150" i="1"/>
  <c r="P120" i="1"/>
  <c r="P93" i="1"/>
  <c r="P161" i="1"/>
  <c r="P113" i="1"/>
  <c r="P115" i="1"/>
  <c r="P119" i="1"/>
  <c r="P155" i="1"/>
  <c r="P87" i="1"/>
  <c r="P160" i="1"/>
  <c r="P73" i="1"/>
  <c r="P141" i="1"/>
  <c r="P98" i="1"/>
  <c r="P181" i="1"/>
  <c r="P97" i="1"/>
  <c r="P30" i="1"/>
  <c r="P126" i="1"/>
  <c r="P47" i="1"/>
  <c r="P44" i="1"/>
  <c r="P14" i="1"/>
  <c r="P152" i="1"/>
  <c r="P112" i="1"/>
  <c r="P2" i="1"/>
  <c r="P38" i="1"/>
  <c r="P128" i="1"/>
  <c r="P107" i="1"/>
  <c r="P103" i="1"/>
  <c r="P176" i="1"/>
  <c r="P82" i="1"/>
  <c r="P33" i="1"/>
  <c r="P179" i="1"/>
  <c r="P59" i="1"/>
  <c r="P35" i="1"/>
  <c r="P127" i="1"/>
  <c r="P11" i="1"/>
  <c r="P131" i="1"/>
  <c r="P188" i="1"/>
  <c r="P3" i="1"/>
  <c r="P139" i="1"/>
  <c r="P52" i="1"/>
  <c r="Q70" i="1"/>
  <c r="Q186" i="1"/>
  <c r="Q91" i="1"/>
  <c r="Q92" i="1"/>
  <c r="Q168" i="1"/>
  <c r="Q111" i="1"/>
  <c r="Q26" i="1"/>
  <c r="Q184" i="1"/>
  <c r="Q86" i="1"/>
  <c r="Q167" i="1"/>
  <c r="Q24" i="1"/>
  <c r="Q178" i="1"/>
  <c r="Q72" i="1"/>
  <c r="Q162" i="1"/>
  <c r="Q67" i="1"/>
  <c r="Q151" i="1"/>
  <c r="Q177" i="1"/>
  <c r="Q40" i="1"/>
  <c r="Q51" i="1"/>
  <c r="Q88" i="1"/>
  <c r="Q125" i="1"/>
  <c r="Q34" i="1"/>
  <c r="Q134" i="1"/>
  <c r="Q170" i="1"/>
  <c r="Q78" i="1"/>
  <c r="Q80" i="1"/>
  <c r="Q37" i="1"/>
  <c r="Q6" i="1"/>
  <c r="Q146" i="1"/>
  <c r="Q20" i="1"/>
  <c r="Q74" i="1"/>
  <c r="Q135" i="1"/>
  <c r="Q157" i="1"/>
  <c r="Q118" i="1"/>
  <c r="Q123" i="1"/>
  <c r="Q99" i="1"/>
  <c r="Q153" i="1"/>
  <c r="Q50" i="1"/>
  <c r="Q189" i="1"/>
  <c r="Q187" i="1"/>
  <c r="Q183" i="1"/>
  <c r="Q60" i="1"/>
  <c r="Q102" i="1"/>
  <c r="Q13" i="1"/>
  <c r="Q5" i="1"/>
  <c r="Q174" i="1"/>
  <c r="Q27" i="1"/>
  <c r="Q4" i="1"/>
  <c r="AF185" i="1"/>
  <c r="AH185" i="1"/>
  <c r="AI13" i="1"/>
  <c r="AG13" i="1"/>
  <c r="AI185" i="1"/>
  <c r="AG185" i="1"/>
  <c r="AF13" i="1"/>
  <c r="AH13" i="1"/>
  <c r="AF54" i="1"/>
  <c r="AF138" i="1"/>
  <c r="AF106" i="1"/>
  <c r="AF158" i="1"/>
  <c r="AF56" i="1"/>
  <c r="AF65" i="1"/>
  <c r="AF171" i="1"/>
  <c r="AF110" i="1"/>
  <c r="AF133" i="1"/>
  <c r="AF62" i="1"/>
  <c r="AF95" i="1"/>
  <c r="AF122" i="1"/>
  <c r="AF83" i="1"/>
  <c r="AF156" i="1"/>
  <c r="AG138" i="1"/>
  <c r="AG56" i="1"/>
  <c r="AG65" i="1"/>
  <c r="AG137" i="1"/>
  <c r="AG169" i="1"/>
  <c r="AG100" i="1"/>
  <c r="AG130" i="1"/>
  <c r="AG114" i="1"/>
  <c r="AG96" i="1"/>
  <c r="AG77" i="1"/>
  <c r="AG136" i="1"/>
  <c r="AG173" i="1"/>
  <c r="AG94" i="1"/>
  <c r="AG76" i="1"/>
  <c r="AG75" i="1"/>
  <c r="AG142" i="1"/>
  <c r="AG68" i="1"/>
  <c r="AG121" i="1"/>
  <c r="AG182" i="1"/>
  <c r="AG154" i="1"/>
  <c r="AG149" i="1"/>
  <c r="AG7" i="1"/>
  <c r="AG61" i="1"/>
  <c r="AG49" i="1"/>
  <c r="AG57" i="1"/>
  <c r="AG12" i="1"/>
  <c r="AH95" i="1"/>
  <c r="AH156" i="1"/>
  <c r="AH104" i="1"/>
  <c r="AH144" i="1"/>
  <c r="AH132" i="1"/>
  <c r="AH180" i="1"/>
  <c r="AH42" i="1"/>
  <c r="AH64" i="1"/>
  <c r="AH166" i="1"/>
  <c r="AH58" i="1"/>
  <c r="AH53" i="1"/>
  <c r="AH39" i="1"/>
  <c r="AH108" i="1"/>
  <c r="AH172" i="1"/>
  <c r="AH129" i="1"/>
  <c r="AH10" i="1"/>
  <c r="AH140" i="1"/>
  <c r="AH15" i="1"/>
  <c r="AH19" i="1"/>
  <c r="AH164" i="1"/>
  <c r="AH105" i="1"/>
  <c r="AH159" i="1"/>
  <c r="AI25" i="1"/>
  <c r="AI145" i="1"/>
  <c r="AI55" i="1"/>
  <c r="AI79" i="1"/>
  <c r="AI150" i="1"/>
  <c r="AI161" i="1"/>
  <c r="AI115" i="1"/>
  <c r="AI119" i="1"/>
  <c r="AI155" i="1"/>
  <c r="AI160" i="1"/>
  <c r="AI97" i="1"/>
  <c r="AI101" i="1"/>
  <c r="AI47" i="1"/>
  <c r="AI14" i="1"/>
  <c r="AI152" i="1"/>
  <c r="AI2" i="1"/>
  <c r="AI38" i="1"/>
  <c r="AI128" i="1"/>
  <c r="AI107" i="1"/>
  <c r="AI82" i="1"/>
  <c r="AI33" i="1"/>
  <c r="AI179" i="1"/>
  <c r="AI59" i="1"/>
  <c r="AI127" i="1"/>
  <c r="AI11" i="1"/>
  <c r="AI188" i="1"/>
  <c r="AI139" i="1"/>
  <c r="AI52" i="1"/>
  <c r="AF70" i="1"/>
  <c r="AF186" i="1"/>
  <c r="AF91" i="1"/>
  <c r="AF92" i="1"/>
  <c r="AF168" i="1"/>
  <c r="AF111" i="1"/>
  <c r="AF26" i="1"/>
  <c r="AF184" i="1"/>
  <c r="AF4" i="1"/>
  <c r="AG25" i="1"/>
  <c r="AG145" i="1"/>
  <c r="AG55" i="1"/>
  <c r="AG79" i="1"/>
  <c r="AG150" i="1"/>
  <c r="AG161" i="1"/>
  <c r="AG115" i="1"/>
  <c r="AG119" i="1"/>
  <c r="AG155" i="1"/>
  <c r="AG160" i="1"/>
  <c r="AG97" i="1"/>
  <c r="AG101" i="1"/>
  <c r="AG47" i="1"/>
  <c r="AG14" i="1"/>
  <c r="AG152" i="1"/>
  <c r="AG2" i="1"/>
  <c r="AG38" i="1"/>
  <c r="AG128" i="1"/>
  <c r="AG107" i="1"/>
  <c r="AG82" i="1"/>
  <c r="AG33" i="1"/>
  <c r="AG179" i="1"/>
  <c r="AG59" i="1"/>
  <c r="AG127" i="1"/>
  <c r="AG11" i="1"/>
  <c r="AG188" i="1"/>
  <c r="AG139" i="1"/>
  <c r="AG52" i="1"/>
  <c r="AH91" i="1"/>
  <c r="AH92" i="1"/>
  <c r="AH111" i="1"/>
  <c r="AH184" i="1"/>
  <c r="AH167" i="1"/>
  <c r="AH24" i="1"/>
  <c r="AH178" i="1"/>
  <c r="AH72" i="1"/>
  <c r="AH151" i="1"/>
  <c r="AH177" i="1"/>
  <c r="AH51" i="1"/>
  <c r="AH88" i="1"/>
  <c r="AH134" i="1"/>
  <c r="AH170" i="1"/>
  <c r="AH80" i="1"/>
  <c r="AH6" i="1"/>
  <c r="AH146" i="1"/>
  <c r="AH20" i="1"/>
  <c r="AH74" i="1"/>
  <c r="AH135" i="1"/>
  <c r="AH157" i="1"/>
  <c r="AH118" i="1"/>
  <c r="AH123" i="1"/>
  <c r="AH153" i="1"/>
  <c r="AH183" i="1"/>
  <c r="AH102" i="1"/>
  <c r="AH5" i="1"/>
  <c r="AH4" i="1"/>
  <c r="AF45" i="1"/>
  <c r="AF64" i="1"/>
  <c r="AF39" i="1"/>
  <c r="AF28" i="1"/>
  <c r="AF172" i="1"/>
  <c r="AF164" i="1"/>
  <c r="AF147" i="1"/>
  <c r="AF89" i="1"/>
  <c r="AF81" i="1"/>
  <c r="AF43" i="1"/>
  <c r="AF48" i="1"/>
  <c r="AF58" i="1"/>
  <c r="AF129" i="1"/>
  <c r="AF140" i="1"/>
  <c r="AF17" i="1"/>
  <c r="AF19" i="1"/>
  <c r="AF71" i="1"/>
  <c r="AF143" i="1"/>
  <c r="AF86" i="1"/>
  <c r="AF24" i="1"/>
  <c r="AF72" i="1"/>
  <c r="AF151" i="1"/>
  <c r="AF40" i="1"/>
  <c r="AF51" i="1"/>
  <c r="AF88" i="1"/>
  <c r="AF34" i="1"/>
  <c r="AF80" i="1"/>
  <c r="AF37" i="1"/>
  <c r="AF146" i="1"/>
  <c r="AF74" i="1"/>
  <c r="AF135" i="1"/>
  <c r="AF118" i="1"/>
  <c r="AF99" i="1"/>
  <c r="AF50" i="1"/>
  <c r="AF189" i="1"/>
  <c r="AF60" i="1"/>
  <c r="AF5" i="1"/>
  <c r="AF27" i="1"/>
  <c r="AF144" i="1"/>
  <c r="AF116" i="1"/>
  <c r="AF180" i="1"/>
  <c r="AF166" i="1"/>
  <c r="AF84" i="1"/>
  <c r="AF108" i="1"/>
  <c r="AF10" i="1"/>
  <c r="AF190" i="1"/>
  <c r="AF15" i="1"/>
  <c r="AF22" i="1"/>
  <c r="AF105" i="1"/>
  <c r="AF159" i="1"/>
  <c r="AF132" i="1"/>
  <c r="AF42" i="1"/>
  <c r="AF69" i="1"/>
  <c r="AF53" i="1"/>
  <c r="AF41" i="1"/>
  <c r="AF46" i="1"/>
  <c r="AF36" i="1"/>
  <c r="AF167" i="1"/>
  <c r="AF178" i="1"/>
  <c r="AF162" i="1"/>
  <c r="AF67" i="1"/>
  <c r="AF177" i="1"/>
  <c r="AF125" i="1"/>
  <c r="AF134" i="1"/>
  <c r="AF170" i="1"/>
  <c r="AF78" i="1"/>
  <c r="AF6" i="1"/>
  <c r="AF20" i="1"/>
  <c r="AF157" i="1"/>
  <c r="AF123" i="1"/>
  <c r="AF153" i="1"/>
  <c r="AF187" i="1"/>
  <c r="AF183" i="1"/>
  <c r="AF102" i="1"/>
  <c r="AF174" i="1"/>
  <c r="AI95" i="1"/>
  <c r="AI104" i="1"/>
  <c r="AI180" i="1"/>
  <c r="AI166" i="1"/>
  <c r="AI39" i="1"/>
  <c r="AI10" i="1"/>
  <c r="AI19" i="1"/>
  <c r="AI105" i="1"/>
  <c r="AF137" i="1"/>
  <c r="AF148" i="1"/>
  <c r="AF100" i="1"/>
  <c r="AF130" i="1"/>
  <c r="AF114" i="1"/>
  <c r="AF136" i="1"/>
  <c r="AF173" i="1"/>
  <c r="AF75" i="1"/>
  <c r="AF175" i="1"/>
  <c r="AF121" i="1"/>
  <c r="AF18" i="1"/>
  <c r="AF23" i="1"/>
  <c r="AF8" i="1"/>
  <c r="AF7" i="1"/>
  <c r="AF49" i="1"/>
  <c r="AF57" i="1"/>
  <c r="AF165" i="1"/>
  <c r="AG95" i="1"/>
  <c r="AG156" i="1"/>
  <c r="AG104" i="1"/>
  <c r="AG132" i="1"/>
  <c r="AG180" i="1"/>
  <c r="AG42" i="1"/>
  <c r="AG64" i="1"/>
  <c r="AG53" i="1"/>
  <c r="AG108" i="1"/>
  <c r="AG129" i="1"/>
  <c r="AG140" i="1"/>
  <c r="AG19" i="1"/>
  <c r="AG105" i="1"/>
  <c r="AG159" i="1"/>
  <c r="AH138" i="1"/>
  <c r="AH56" i="1"/>
  <c r="AH65" i="1"/>
  <c r="AH137" i="1"/>
  <c r="AH169" i="1"/>
  <c r="AH100" i="1"/>
  <c r="AH130" i="1"/>
  <c r="AH114" i="1"/>
  <c r="AH96" i="1"/>
  <c r="AH77" i="1"/>
  <c r="AH136" i="1"/>
  <c r="AH173" i="1"/>
  <c r="AH94" i="1"/>
  <c r="AH76" i="1"/>
  <c r="AH75" i="1"/>
  <c r="AH142" i="1"/>
  <c r="AH68" i="1"/>
  <c r="AH121" i="1"/>
  <c r="AH182" i="1"/>
  <c r="AH154" i="1"/>
  <c r="AH149" i="1"/>
  <c r="AH7" i="1"/>
  <c r="AH61" i="1"/>
  <c r="AH49" i="1"/>
  <c r="AH57" i="1"/>
  <c r="AH12" i="1"/>
  <c r="AI91" i="1"/>
  <c r="AI92" i="1"/>
  <c r="AI111" i="1"/>
  <c r="AI184" i="1"/>
  <c r="AI167" i="1"/>
  <c r="AI24" i="1"/>
  <c r="AI178" i="1"/>
  <c r="AI177" i="1"/>
  <c r="AI88" i="1"/>
  <c r="AI170" i="1"/>
  <c r="AI80" i="1"/>
  <c r="AI102" i="1"/>
  <c r="AI144" i="1"/>
  <c r="AI64" i="1"/>
  <c r="AI58" i="1"/>
  <c r="AI108" i="1"/>
  <c r="AI172" i="1"/>
  <c r="AI140" i="1"/>
  <c r="AI159" i="1"/>
  <c r="AF169" i="1"/>
  <c r="AF32" i="1"/>
  <c r="AF31" i="1"/>
  <c r="AF96" i="1"/>
  <c r="AF77" i="1"/>
  <c r="AF85" i="1"/>
  <c r="AF94" i="1"/>
  <c r="AF76" i="1"/>
  <c r="AF109" i="1"/>
  <c r="AF142" i="1"/>
  <c r="AF68" i="1"/>
  <c r="AF182" i="1"/>
  <c r="AF154" i="1"/>
  <c r="AF117" i="1"/>
  <c r="AF63" i="1"/>
  <c r="AF149" i="1"/>
  <c r="AF66" i="1"/>
  <c r="AF21" i="1"/>
  <c r="AF9" i="1"/>
  <c r="AF61" i="1"/>
  <c r="AF124" i="1"/>
  <c r="AF16" i="1"/>
  <c r="AF12" i="1"/>
  <c r="AF29" i="1"/>
  <c r="AG144" i="1"/>
  <c r="AG166" i="1"/>
  <c r="AG58" i="1"/>
  <c r="AG39" i="1"/>
  <c r="AG172" i="1"/>
  <c r="AG10" i="1"/>
  <c r="AG15" i="1"/>
  <c r="AG164" i="1"/>
  <c r="AF90" i="1"/>
  <c r="AF25" i="1"/>
  <c r="AF145" i="1"/>
  <c r="AF55" i="1"/>
  <c r="AF79" i="1"/>
  <c r="AF163" i="1"/>
  <c r="AF150" i="1"/>
  <c r="AF120" i="1"/>
  <c r="AF161" i="1"/>
  <c r="AF115" i="1"/>
  <c r="AF119" i="1"/>
  <c r="AF155" i="1"/>
  <c r="AF87" i="1"/>
  <c r="AF160" i="1"/>
  <c r="AF73" i="1"/>
  <c r="AF141" i="1"/>
  <c r="AF30" i="1"/>
  <c r="AF101" i="1"/>
  <c r="AF47" i="1"/>
  <c r="AF44" i="1"/>
  <c r="AF14" i="1"/>
  <c r="AF152" i="1"/>
  <c r="AF112" i="1"/>
  <c r="AF2" i="1"/>
  <c r="AF38" i="1"/>
  <c r="AF128" i="1"/>
  <c r="AF103" i="1"/>
  <c r="AF176" i="1"/>
  <c r="AF82" i="1"/>
  <c r="AF33" i="1"/>
  <c r="AF179" i="1"/>
  <c r="AF59" i="1"/>
  <c r="AF35" i="1"/>
  <c r="AF127" i="1"/>
  <c r="AF188" i="1"/>
  <c r="AF3" i="1"/>
  <c r="AF139" i="1"/>
  <c r="AF52" i="1"/>
  <c r="AG91" i="1"/>
  <c r="AG184" i="1"/>
  <c r="AG24" i="1"/>
  <c r="AG178" i="1"/>
  <c r="AG88" i="1"/>
  <c r="AG170" i="1"/>
  <c r="AG80" i="1"/>
  <c r="AG74" i="1"/>
  <c r="AG118" i="1"/>
  <c r="AG153" i="1"/>
  <c r="AH25" i="1"/>
  <c r="AH145" i="1"/>
  <c r="AH119" i="1"/>
  <c r="AH160" i="1"/>
  <c r="AH97" i="1"/>
  <c r="AH59" i="1"/>
  <c r="AH11" i="1"/>
  <c r="AI56" i="1"/>
  <c r="AI130" i="1"/>
  <c r="AI114" i="1"/>
  <c r="AI77" i="1"/>
  <c r="AI75" i="1"/>
  <c r="AI182" i="1"/>
  <c r="AI154" i="1"/>
  <c r="AI57" i="1"/>
  <c r="AI156" i="1"/>
  <c r="AI132" i="1"/>
  <c r="AI42" i="1"/>
  <c r="AI53" i="1"/>
  <c r="AI129" i="1"/>
  <c r="AI15" i="1"/>
  <c r="AI164" i="1"/>
  <c r="AI72" i="1"/>
  <c r="AI151" i="1"/>
  <c r="AI51" i="1"/>
  <c r="AI134" i="1"/>
  <c r="AI6" i="1"/>
  <c r="AI146" i="1"/>
  <c r="AI20" i="1"/>
  <c r="AI74" i="1"/>
  <c r="AI135" i="1"/>
  <c r="AI157" i="1"/>
  <c r="AI118" i="1"/>
  <c r="AI123" i="1"/>
  <c r="AI153" i="1"/>
  <c r="AI183" i="1"/>
  <c r="AI5" i="1"/>
  <c r="AI4" i="1"/>
  <c r="AF93" i="1"/>
  <c r="AF113" i="1"/>
  <c r="AF98" i="1"/>
  <c r="AF181" i="1"/>
  <c r="AF97" i="1"/>
  <c r="AF126" i="1"/>
  <c r="AF107" i="1"/>
  <c r="AF11" i="1"/>
  <c r="AF131" i="1"/>
  <c r="AG92" i="1"/>
  <c r="AG111" i="1"/>
  <c r="AG167" i="1"/>
  <c r="AG72" i="1"/>
  <c r="AG151" i="1"/>
  <c r="AG177" i="1"/>
  <c r="AG51" i="1"/>
  <c r="AG134" i="1"/>
  <c r="AG6" i="1"/>
  <c r="AG146" i="1"/>
  <c r="AG20" i="1"/>
  <c r="AG135" i="1"/>
  <c r="AG157" i="1"/>
  <c r="AG123" i="1"/>
  <c r="AG183" i="1"/>
  <c r="AG102" i="1"/>
  <c r="AG5" i="1"/>
  <c r="AG4" i="1"/>
  <c r="AH55" i="1"/>
  <c r="AH79" i="1"/>
  <c r="AH150" i="1"/>
  <c r="AH161" i="1"/>
  <c r="AH115" i="1"/>
  <c r="AH155" i="1"/>
  <c r="AH101" i="1"/>
  <c r="AH47" i="1"/>
  <c r="AH14" i="1"/>
  <c r="AH152" i="1"/>
  <c r="AH2" i="1"/>
  <c r="AH38" i="1"/>
  <c r="AH128" i="1"/>
  <c r="AH107" i="1"/>
  <c r="AH82" i="1"/>
  <c r="AH33" i="1"/>
  <c r="AH179" i="1"/>
  <c r="AH127" i="1"/>
  <c r="AH188" i="1"/>
  <c r="AH139" i="1"/>
  <c r="AH52" i="1"/>
  <c r="AI138" i="1"/>
  <c r="AI65" i="1"/>
  <c r="AI137" i="1"/>
  <c r="AI169" i="1"/>
  <c r="AI100" i="1"/>
  <c r="AI96" i="1"/>
  <c r="AI136" i="1"/>
  <c r="AI173" i="1"/>
  <c r="AI94" i="1"/>
  <c r="AI76" i="1"/>
  <c r="AI142" i="1"/>
  <c r="AI68" i="1"/>
  <c r="AI121" i="1"/>
  <c r="AI149" i="1"/>
  <c r="AI7" i="1"/>
  <c r="AI61" i="1"/>
  <c r="AI49" i="1"/>
  <c r="AI12" i="1"/>
  <c r="S32" i="14"/>
  <c r="R32" i="14"/>
  <c r="S27" i="14"/>
  <c r="R27" i="14"/>
  <c r="O32" i="14"/>
  <c r="N32" i="14"/>
  <c r="O27" i="14"/>
  <c r="N27" i="14"/>
  <c r="K27" i="14"/>
  <c r="J27" i="14"/>
  <c r="G27" i="14"/>
  <c r="F27" i="14"/>
  <c r="C32" i="14"/>
  <c r="B32" i="14"/>
  <c r="C27" i="14"/>
  <c r="B27" i="14"/>
  <c r="D159" i="1"/>
  <c r="D29" i="1"/>
  <c r="D139" i="1"/>
  <c r="D165" i="1"/>
  <c r="D4" i="1"/>
  <c r="D143" i="1"/>
  <c r="D3" i="1"/>
  <c r="D12" i="1"/>
  <c r="D27" i="1"/>
  <c r="D89" i="1"/>
  <c r="D147" i="1"/>
  <c r="D105" i="1"/>
  <c r="D59" i="1"/>
  <c r="D187" i="1"/>
  <c r="E159" i="1"/>
  <c r="N159" i="1" s="1"/>
  <c r="E52" i="1"/>
  <c r="N52" i="1" s="1"/>
  <c r="E29" i="1"/>
  <c r="N29" i="1" s="1"/>
  <c r="E139" i="1"/>
  <c r="J139" i="1" s="1"/>
  <c r="E165" i="1"/>
  <c r="N165" i="1" s="1"/>
  <c r="E4" i="1"/>
  <c r="N4" i="1" s="1"/>
  <c r="E143" i="1"/>
  <c r="N143" i="1" s="1"/>
  <c r="E3" i="1"/>
  <c r="N3" i="1" s="1"/>
  <c r="E12" i="1"/>
  <c r="N12" i="1" s="1"/>
  <c r="E27" i="1"/>
  <c r="N27" i="1" s="1"/>
  <c r="E89" i="1"/>
  <c r="N89" i="1" s="1"/>
  <c r="E188" i="1"/>
  <c r="N188" i="1" s="1"/>
  <c r="E16" i="1"/>
  <c r="N16" i="1" s="1"/>
  <c r="E174" i="1"/>
  <c r="N174" i="1" s="1"/>
  <c r="E124" i="1"/>
  <c r="N124" i="1" s="1"/>
  <c r="E5" i="1"/>
  <c r="N5" i="1" s="1"/>
  <c r="E147" i="1"/>
  <c r="N147" i="1" s="1"/>
  <c r="E131" i="1"/>
  <c r="N131" i="1" s="1"/>
  <c r="E57" i="1"/>
  <c r="N57" i="1" s="1"/>
  <c r="E13" i="1"/>
  <c r="N13" i="1" s="1"/>
  <c r="E105" i="1"/>
  <c r="N105" i="1" s="1"/>
  <c r="E11" i="1"/>
  <c r="N11" i="1" s="1"/>
  <c r="E49" i="1"/>
  <c r="N49" i="1" s="1"/>
  <c r="E102" i="1"/>
  <c r="N102" i="1" s="1"/>
  <c r="E71" i="1"/>
  <c r="N71" i="1" s="1"/>
  <c r="E127" i="1"/>
  <c r="N127" i="1" s="1"/>
  <c r="E61" i="1"/>
  <c r="N61" i="1" s="1"/>
  <c r="E60" i="1"/>
  <c r="N60" i="1" s="1"/>
  <c r="E35" i="1"/>
  <c r="N35" i="1" s="1"/>
  <c r="E183" i="1"/>
  <c r="N183" i="1" s="1"/>
  <c r="E22" i="1"/>
  <c r="N22" i="1" s="1"/>
  <c r="E59" i="1"/>
  <c r="N59" i="1" s="1"/>
  <c r="E9" i="1"/>
  <c r="N9" i="1" s="1"/>
  <c r="E187" i="1"/>
  <c r="N187" i="1" s="1"/>
  <c r="E164" i="1"/>
  <c r="N164" i="1" s="1"/>
  <c r="E179" i="1"/>
  <c r="N179" i="1" s="1"/>
  <c r="E7" i="1"/>
  <c r="N7" i="1" s="1"/>
  <c r="N189" i="1"/>
  <c r="E19" i="1"/>
  <c r="N19" i="1" s="1"/>
  <c r="E33" i="1"/>
  <c r="N33" i="1" s="1"/>
  <c r="E21" i="1"/>
  <c r="N21" i="1" s="1"/>
  <c r="E50" i="1"/>
  <c r="N50" i="1" s="1"/>
  <c r="S16" i="14"/>
  <c r="R16" i="14"/>
  <c r="S11" i="14"/>
  <c r="R11" i="14"/>
  <c r="O16" i="14"/>
  <c r="N16" i="14"/>
  <c r="K16" i="14"/>
  <c r="J16" i="14"/>
  <c r="G16" i="14"/>
  <c r="F16" i="14"/>
  <c r="O11" i="14"/>
  <c r="N11" i="14"/>
  <c r="K11" i="14"/>
  <c r="J11" i="14"/>
  <c r="G11" i="14"/>
  <c r="F11" i="14"/>
  <c r="N139" i="1" l="1"/>
  <c r="BA191" i="1" l="1"/>
  <c r="BC191" i="1"/>
  <c r="BB191" i="1"/>
  <c r="BD191" i="1"/>
  <c r="AZ103" i="1"/>
  <c r="AZ57" i="1"/>
  <c r="AZ166" i="1"/>
  <c r="AX38" i="1"/>
  <c r="AX59" i="1"/>
  <c r="AX123" i="1"/>
  <c r="AX36" i="1"/>
  <c r="AX112" i="1"/>
  <c r="AX124" i="1"/>
  <c r="AY4" i="1"/>
  <c r="AY34" i="1"/>
  <c r="AY20" i="1"/>
  <c r="AY52" i="1"/>
  <c r="AW187" i="1"/>
  <c r="AW161" i="1"/>
  <c r="AW75" i="1"/>
  <c r="AW113" i="1"/>
  <c r="AW94" i="1"/>
  <c r="AW5" i="1"/>
  <c r="AW180" i="1"/>
  <c r="AW185" i="1"/>
  <c r="AW108" i="1"/>
  <c r="AW116" i="1"/>
  <c r="AW188" i="1"/>
  <c r="AW82" i="1"/>
  <c r="AX16" i="1"/>
  <c r="AZ106" i="1"/>
  <c r="AZ105" i="1"/>
  <c r="AZ119" i="1"/>
  <c r="BA38" i="1"/>
  <c r="BA112" i="1"/>
  <c r="BB21" i="1"/>
  <c r="AX58" i="1"/>
  <c r="AX70" i="1"/>
  <c r="AZ177" i="1"/>
  <c r="AW69" i="1"/>
  <c r="AW89" i="1"/>
  <c r="AW74" i="1"/>
  <c r="BA103" i="1"/>
  <c r="AW182" i="1"/>
  <c r="AW87" i="1"/>
  <c r="AW45" i="1"/>
  <c r="AW49" i="1"/>
  <c r="AW63" i="1"/>
  <c r="AW115" i="1"/>
  <c r="AW22" i="1"/>
  <c r="AW56" i="1"/>
  <c r="AW174" i="1"/>
  <c r="AX127" i="1"/>
  <c r="AX43" i="1"/>
  <c r="AX72" i="1"/>
  <c r="AX121" i="1"/>
  <c r="AX154" i="1"/>
  <c r="AX13" i="1"/>
  <c r="AX33" i="1"/>
  <c r="AX90" i="1"/>
  <c r="AX27" i="1"/>
  <c r="AX157" i="1"/>
  <c r="AX6" i="1"/>
  <c r="AX100" i="1"/>
  <c r="AX99" i="1"/>
  <c r="AY21" i="1"/>
  <c r="AY104" i="1"/>
  <c r="AY24" i="1"/>
  <c r="AY50" i="1"/>
  <c r="AW120" i="1"/>
  <c r="AW42" i="1"/>
  <c r="AZ187" i="1"/>
  <c r="AZ161" i="1"/>
  <c r="AZ75" i="1"/>
  <c r="AZ113" i="1"/>
  <c r="AZ94" i="1"/>
  <c r="AZ5" i="1"/>
  <c r="AZ180" i="1"/>
  <c r="AZ185" i="1"/>
  <c r="AZ108" i="1"/>
  <c r="AZ116" i="1"/>
  <c r="AZ188" i="1"/>
  <c r="AZ82" i="1"/>
  <c r="Y69" i="1"/>
  <c r="Y74" i="1"/>
  <c r="Y87" i="1"/>
  <c r="Y63" i="1"/>
  <c r="Y22" i="1"/>
  <c r="BA12" i="1"/>
  <c r="AW12" i="1"/>
  <c r="BA132" i="1"/>
  <c r="AW132" i="1"/>
  <c r="BA165" i="1"/>
  <c r="AW165" i="1"/>
  <c r="BA3" i="1"/>
  <c r="AW3" i="1"/>
  <c r="BA95" i="1"/>
  <c r="AW95" i="1"/>
  <c r="BA93" i="1"/>
  <c r="AW93" i="1"/>
  <c r="BA83" i="1"/>
  <c r="AW83" i="1"/>
  <c r="BA110" i="1"/>
  <c r="AW110" i="1"/>
  <c r="BA97" i="1"/>
  <c r="AW97" i="1"/>
  <c r="BA126" i="1"/>
  <c r="AW126" i="1"/>
  <c r="BA184" i="1"/>
  <c r="AW184" i="1"/>
  <c r="BA101" i="1"/>
  <c r="AW101" i="1"/>
  <c r="BA30" i="1"/>
  <c r="AW30" i="1"/>
  <c r="BA150" i="1"/>
  <c r="AW150" i="1"/>
  <c r="BA143" i="1"/>
  <c r="AW143" i="1"/>
  <c r="BA129" i="1"/>
  <c r="AW129" i="1"/>
  <c r="BA25" i="1"/>
  <c r="AW25" i="1"/>
  <c r="BA117" i="1"/>
  <c r="AW117" i="1"/>
  <c r="BA10" i="1"/>
  <c r="AW10" i="1"/>
  <c r="BA189" i="1"/>
  <c r="AW189" i="1"/>
  <c r="BA134" i="1"/>
  <c r="AW134" i="1"/>
  <c r="BA32" i="1"/>
  <c r="AW32" i="1"/>
  <c r="BA51" i="1"/>
  <c r="AW51" i="1"/>
  <c r="BA156" i="1"/>
  <c r="AW156" i="1"/>
  <c r="BA141" i="1"/>
  <c r="AW141" i="1"/>
  <c r="BA2" i="1"/>
  <c r="AW2" i="1"/>
  <c r="BA181" i="1"/>
  <c r="AW181" i="1"/>
  <c r="AW37" i="1"/>
  <c r="BA37" i="1"/>
  <c r="BA60" i="1"/>
  <c r="AW60" i="1"/>
  <c r="BB64" i="1"/>
  <c r="AX64" i="1"/>
  <c r="BB187" i="1"/>
  <c r="AX187" i="1"/>
  <c r="BB69" i="1"/>
  <c r="AX69" i="1"/>
  <c r="BB15" i="1"/>
  <c r="AX15" i="1"/>
  <c r="BB142" i="1"/>
  <c r="AX142" i="1"/>
  <c r="BB161" i="1"/>
  <c r="AX161" i="1"/>
  <c r="BB89" i="1"/>
  <c r="AX89" i="1"/>
  <c r="BB135" i="1"/>
  <c r="AX135" i="1"/>
  <c r="BB106" i="1"/>
  <c r="AX106" i="1"/>
  <c r="BB193" i="1"/>
  <c r="BB74" i="1"/>
  <c r="AX74" i="1"/>
  <c r="BB162" i="1"/>
  <c r="AX162" i="1"/>
  <c r="BB103" i="1"/>
  <c r="AX103" i="1"/>
  <c r="BB75" i="1"/>
  <c r="AX75" i="1"/>
  <c r="BB182" i="1"/>
  <c r="AX182" i="1"/>
  <c r="BB11" i="1"/>
  <c r="AX11" i="1"/>
  <c r="BB54" i="1"/>
  <c r="AX54" i="1"/>
  <c r="BB113" i="1"/>
  <c r="AX113" i="1"/>
  <c r="BB87" i="1"/>
  <c r="AX87" i="1"/>
  <c r="BB84" i="1"/>
  <c r="AX84" i="1"/>
  <c r="BB172" i="1"/>
  <c r="AX172" i="1"/>
  <c r="BB94" i="1"/>
  <c r="AX94" i="1"/>
  <c r="BB28" i="1"/>
  <c r="AX28" i="1"/>
  <c r="BB105" i="1"/>
  <c r="AX105" i="1"/>
  <c r="BB5" i="1"/>
  <c r="AX5" i="1"/>
  <c r="BB45" i="1"/>
  <c r="AX45" i="1"/>
  <c r="BB68" i="1"/>
  <c r="AX68" i="1"/>
  <c r="BB57" i="1"/>
  <c r="AX57" i="1"/>
  <c r="AX180" i="1"/>
  <c r="BB180" i="1"/>
  <c r="BB49" i="1"/>
  <c r="AX49" i="1"/>
  <c r="AX18" i="1"/>
  <c r="BB18" i="1"/>
  <c r="BB136" i="1"/>
  <c r="AX136" i="1"/>
  <c r="BB185" i="1"/>
  <c r="AX185" i="1"/>
  <c r="BB63" i="1"/>
  <c r="AX63" i="1"/>
  <c r="BB175" i="1"/>
  <c r="AX175" i="1"/>
  <c r="BB66" i="1"/>
  <c r="AX66" i="1"/>
  <c r="AX108" i="1"/>
  <c r="BB108" i="1"/>
  <c r="BB115" i="1"/>
  <c r="AX115" i="1"/>
  <c r="AX163" i="1"/>
  <c r="BB163" i="1"/>
  <c r="BB119" i="1"/>
  <c r="AX119" i="1"/>
  <c r="BB116" i="1"/>
  <c r="AX116" i="1"/>
  <c r="BB22" i="1"/>
  <c r="AX22" i="1"/>
  <c r="BB192" i="1"/>
  <c r="BB166" i="1"/>
  <c r="AX166" i="1"/>
  <c r="AX188" i="1"/>
  <c r="BB188" i="1"/>
  <c r="BB56" i="1"/>
  <c r="AX56" i="1"/>
  <c r="AX80" i="1"/>
  <c r="BB80" i="1"/>
  <c r="BB160" i="1"/>
  <c r="AX160" i="1"/>
  <c r="BB82" i="1"/>
  <c r="AX82" i="1"/>
  <c r="BB174" i="1"/>
  <c r="AX174" i="1"/>
  <c r="BC85" i="1"/>
  <c r="AY85" i="1"/>
  <c r="BC12" i="1"/>
  <c r="AY12" i="1"/>
  <c r="BC169" i="1"/>
  <c r="AY169" i="1"/>
  <c r="BC132" i="1"/>
  <c r="AY132" i="1"/>
  <c r="BC9" i="1"/>
  <c r="AY9" i="1"/>
  <c r="BC165" i="1"/>
  <c r="AY165" i="1"/>
  <c r="BC144" i="1"/>
  <c r="AY144" i="1"/>
  <c r="BC19" i="1"/>
  <c r="AY19" i="1"/>
  <c r="BC3" i="1"/>
  <c r="AY3" i="1"/>
  <c r="BC76" i="1"/>
  <c r="AY76" i="1"/>
  <c r="BC95" i="1"/>
  <c r="AY95" i="1"/>
  <c r="BC93" i="1"/>
  <c r="AY93" i="1"/>
  <c r="BC139" i="1"/>
  <c r="AY139" i="1"/>
  <c r="BC83" i="1"/>
  <c r="AY83" i="1"/>
  <c r="BC81" i="1"/>
  <c r="AY81" i="1"/>
  <c r="BC61" i="1"/>
  <c r="AY61" i="1"/>
  <c r="BC110" i="1"/>
  <c r="AY110" i="1"/>
  <c r="BC122" i="1"/>
  <c r="AY122" i="1"/>
  <c r="BC97" i="1"/>
  <c r="AY97" i="1"/>
  <c r="BA85" i="1"/>
  <c r="AW85" i="1"/>
  <c r="BA169" i="1"/>
  <c r="AW169" i="1"/>
  <c r="BA9" i="1"/>
  <c r="AW9" i="1"/>
  <c r="BA144" i="1"/>
  <c r="AW144" i="1"/>
  <c r="BA19" i="1"/>
  <c r="AW19" i="1"/>
  <c r="BA76" i="1"/>
  <c r="AW76" i="1"/>
  <c r="BA139" i="1"/>
  <c r="AW139" i="1"/>
  <c r="BA81" i="1"/>
  <c r="AW81" i="1"/>
  <c r="BA61" i="1"/>
  <c r="AW61" i="1"/>
  <c r="BA122" i="1"/>
  <c r="AW122" i="1"/>
  <c r="BA41" i="1"/>
  <c r="AW41" i="1"/>
  <c r="BA16" i="1"/>
  <c r="AW16" i="1"/>
  <c r="BA53" i="1"/>
  <c r="AW53" i="1"/>
  <c r="BA127" i="1"/>
  <c r="AW127" i="1"/>
  <c r="AW38" i="1"/>
  <c r="AW43" i="1"/>
  <c r="BA43" i="1"/>
  <c r="AW72" i="1"/>
  <c r="BA72" i="1"/>
  <c r="BA111" i="1"/>
  <c r="AW111" i="1"/>
  <c r="AW59" i="1"/>
  <c r="AW121" i="1"/>
  <c r="BA121" i="1"/>
  <c r="AW154" i="1"/>
  <c r="BA154" i="1"/>
  <c r="BA109" i="1"/>
  <c r="AW109" i="1"/>
  <c r="AW123" i="1"/>
  <c r="BA195" i="1"/>
  <c r="AW13" i="1"/>
  <c r="BA13" i="1"/>
  <c r="BA155" i="1"/>
  <c r="AW155" i="1"/>
  <c r="BA33" i="1"/>
  <c r="AW33" i="1"/>
  <c r="AW90" i="1"/>
  <c r="BA90" i="1"/>
  <c r="BA186" i="1"/>
  <c r="AW186" i="1"/>
  <c r="AW36" i="1"/>
  <c r="BA36" i="1"/>
  <c r="BA27" i="1"/>
  <c r="AW27" i="1"/>
  <c r="BA157" i="1"/>
  <c r="AW157" i="1"/>
  <c r="BA167" i="1"/>
  <c r="AW167" i="1"/>
  <c r="AW112" i="1"/>
  <c r="BA6" i="1"/>
  <c r="AW6" i="1"/>
  <c r="AW100" i="1"/>
  <c r="BA100" i="1"/>
  <c r="BA190" i="1"/>
  <c r="AW190" i="1"/>
  <c r="AW147" i="1"/>
  <c r="BA147" i="1"/>
  <c r="BA125" i="1"/>
  <c r="AW125" i="1"/>
  <c r="BA99" i="1"/>
  <c r="AW99" i="1"/>
  <c r="BA176" i="1"/>
  <c r="AW176" i="1"/>
  <c r="BA146" i="1"/>
  <c r="AW146" i="1"/>
  <c r="BA29" i="1"/>
  <c r="AW29" i="1"/>
  <c r="BA124" i="1"/>
  <c r="AW124" i="1"/>
  <c r="BA14" i="1"/>
  <c r="AW14" i="1"/>
  <c r="BA67" i="1"/>
  <c r="AW67" i="1"/>
  <c r="BA151" i="1"/>
  <c r="AW151" i="1"/>
  <c r="BA114" i="1"/>
  <c r="AW114" i="1"/>
  <c r="BA173" i="1"/>
  <c r="AW173" i="1"/>
  <c r="BA178" i="1"/>
  <c r="AW178" i="1"/>
  <c r="BA107" i="1"/>
  <c r="AW107" i="1"/>
  <c r="BA62" i="1"/>
  <c r="AW62" i="1"/>
  <c r="BA46" i="1"/>
  <c r="AW46" i="1"/>
  <c r="BA137" i="1"/>
  <c r="AW137" i="1"/>
  <c r="BA92" i="1"/>
  <c r="AW92" i="1"/>
  <c r="BA71" i="1"/>
  <c r="AW71" i="1"/>
  <c r="BA152" i="1"/>
  <c r="AW152" i="1"/>
  <c r="BA183" i="1"/>
  <c r="AW183" i="1"/>
  <c r="BA31" i="1"/>
  <c r="AW31" i="1"/>
  <c r="BA44" i="1"/>
  <c r="AW44" i="1"/>
  <c r="BA118" i="1"/>
  <c r="AW118" i="1"/>
  <c r="BA171" i="1"/>
  <c r="AW171" i="1"/>
  <c r="BA78" i="1"/>
  <c r="AW78" i="1"/>
  <c r="BB4" i="1"/>
  <c r="AX4" i="1"/>
  <c r="BB73" i="1"/>
  <c r="AX73" i="1"/>
  <c r="BB26" i="1"/>
  <c r="AX26" i="1"/>
  <c r="BB149" i="1"/>
  <c r="AX149" i="1"/>
  <c r="AX21" i="1"/>
  <c r="BB140" i="1"/>
  <c r="AX140" i="1"/>
  <c r="BB55" i="1"/>
  <c r="AX55" i="1"/>
  <c r="BB47" i="1"/>
  <c r="AX47" i="1"/>
  <c r="AX104" i="1"/>
  <c r="BB104" i="1"/>
  <c r="BB133" i="1"/>
  <c r="AX133" i="1"/>
  <c r="BB168" i="1"/>
  <c r="AX168" i="1"/>
  <c r="BB17" i="1"/>
  <c r="AX17" i="1"/>
  <c r="BB145" i="1"/>
  <c r="AX145" i="1"/>
  <c r="BB194" i="1"/>
  <c r="BB91" i="1"/>
  <c r="AX91" i="1"/>
  <c r="BB8" i="1"/>
  <c r="AX8" i="1"/>
  <c r="BB34" i="1"/>
  <c r="AX34" i="1"/>
  <c r="BB179" i="1"/>
  <c r="AX179" i="1"/>
  <c r="BB130" i="1"/>
  <c r="AX130" i="1"/>
  <c r="BB158" i="1"/>
  <c r="AX158" i="1"/>
  <c r="BB24" i="1"/>
  <c r="AX24" i="1"/>
  <c r="BB23" i="1"/>
  <c r="AX23" i="1"/>
  <c r="BB128" i="1"/>
  <c r="AX128" i="1"/>
  <c r="AX48" i="1"/>
  <c r="BB50" i="1"/>
  <c r="BB153" i="1"/>
  <c r="AX153" i="1"/>
  <c r="BB7" i="1"/>
  <c r="AX7" i="1"/>
  <c r="BB40" i="1"/>
  <c r="AX40" i="1"/>
  <c r="BB131" i="1"/>
  <c r="BB159" i="1"/>
  <c r="AX159" i="1"/>
  <c r="BB170" i="1"/>
  <c r="AX170" i="1"/>
  <c r="BB98" i="1"/>
  <c r="AX98" i="1"/>
  <c r="BB20" i="1"/>
  <c r="BB96" i="1"/>
  <c r="AX96" i="1"/>
  <c r="BB138" i="1"/>
  <c r="AX138" i="1"/>
  <c r="BB102" i="1"/>
  <c r="AX102" i="1"/>
  <c r="BB58" i="1"/>
  <c r="BB86" i="1"/>
  <c r="AX86" i="1"/>
  <c r="BB79" i="1"/>
  <c r="BB148" i="1"/>
  <c r="AX148" i="1"/>
  <c r="BB77" i="1"/>
  <c r="BB164" i="1"/>
  <c r="AX164" i="1"/>
  <c r="BB70" i="1"/>
  <c r="BB88" i="1"/>
  <c r="AX88" i="1"/>
  <c r="BB35" i="1"/>
  <c r="BB39" i="1"/>
  <c r="AX39" i="1"/>
  <c r="BB52" i="1"/>
  <c r="AX52" i="1"/>
  <c r="BB65" i="1"/>
  <c r="AX65" i="1"/>
  <c r="BB177" i="1"/>
  <c r="AX177" i="1"/>
  <c r="AY38" i="1"/>
  <c r="BC38" i="1"/>
  <c r="BC43" i="1"/>
  <c r="AY43" i="1"/>
  <c r="BC72" i="1"/>
  <c r="AY72" i="1"/>
  <c r="BC111" i="1"/>
  <c r="AY111" i="1"/>
  <c r="AY59" i="1"/>
  <c r="BC59" i="1"/>
  <c r="BC121" i="1"/>
  <c r="AY121" i="1"/>
  <c r="BC154" i="1"/>
  <c r="AY154" i="1"/>
  <c r="BC109" i="1"/>
  <c r="AY109" i="1"/>
  <c r="BC123" i="1"/>
  <c r="AY123" i="1"/>
  <c r="BC195" i="1"/>
  <c r="BC13" i="1"/>
  <c r="AY13" i="1"/>
  <c r="BC155" i="1"/>
  <c r="AY155" i="1"/>
  <c r="BC33" i="1"/>
  <c r="AY33" i="1"/>
  <c r="BC90" i="1"/>
  <c r="AY90" i="1"/>
  <c r="BC186" i="1"/>
  <c r="AY186" i="1"/>
  <c r="AY36" i="1"/>
  <c r="BC36" i="1"/>
  <c r="BC27" i="1"/>
  <c r="AY27" i="1"/>
  <c r="BC157" i="1"/>
  <c r="AY157" i="1"/>
  <c r="AX20" i="1"/>
  <c r="AX35" i="1"/>
  <c r="AY58" i="1"/>
  <c r="BA59" i="1"/>
  <c r="BA120" i="1"/>
  <c r="BB48" i="1"/>
  <c r="Y45" i="1"/>
  <c r="BA64" i="1"/>
  <c r="BA187" i="1"/>
  <c r="BA69" i="1"/>
  <c r="BA15" i="1"/>
  <c r="BA142" i="1"/>
  <c r="BA161" i="1"/>
  <c r="BA89" i="1"/>
  <c r="BA135" i="1"/>
  <c r="BA106" i="1"/>
  <c r="BA193" i="1"/>
  <c r="BA74" i="1"/>
  <c r="BA162" i="1"/>
  <c r="BA75" i="1"/>
  <c r="BA182" i="1"/>
  <c r="BA11" i="1"/>
  <c r="BA54" i="1"/>
  <c r="BA113" i="1"/>
  <c r="BA87" i="1"/>
  <c r="BA84" i="1"/>
  <c r="BA172" i="1"/>
  <c r="BA94" i="1"/>
  <c r="BA28" i="1"/>
  <c r="BA105" i="1"/>
  <c r="BA5" i="1"/>
  <c r="BA45" i="1"/>
  <c r="BA68" i="1"/>
  <c r="BA57" i="1"/>
  <c r="BA180" i="1"/>
  <c r="BA49" i="1"/>
  <c r="BA18" i="1"/>
  <c r="BA136" i="1"/>
  <c r="BA185" i="1"/>
  <c r="BA63" i="1"/>
  <c r="BA175" i="1"/>
  <c r="BA66" i="1"/>
  <c r="BA108" i="1"/>
  <c r="BA115" i="1"/>
  <c r="BA163" i="1"/>
  <c r="BA119" i="1"/>
  <c r="BA116" i="1"/>
  <c r="BA22" i="1"/>
  <c r="BA192" i="1"/>
  <c r="BA166" i="1"/>
  <c r="BA188" i="1"/>
  <c r="BA56" i="1"/>
  <c r="BA80" i="1"/>
  <c r="BA160" i="1"/>
  <c r="BA82" i="1"/>
  <c r="BA174" i="1"/>
  <c r="BB85" i="1"/>
  <c r="AX85" i="1"/>
  <c r="BB12" i="1"/>
  <c r="AX12" i="1"/>
  <c r="BB169" i="1"/>
  <c r="AX169" i="1"/>
  <c r="BB132" i="1"/>
  <c r="AX132" i="1"/>
  <c r="BB9" i="1"/>
  <c r="AX9" i="1"/>
  <c r="BB165" i="1"/>
  <c r="AX165" i="1"/>
  <c r="BB144" i="1"/>
  <c r="AX144" i="1"/>
  <c r="BB19" i="1"/>
  <c r="AX19" i="1"/>
  <c r="BB3" i="1"/>
  <c r="AX3" i="1"/>
  <c r="BB76" i="1"/>
  <c r="AX76" i="1"/>
  <c r="AX95" i="1"/>
  <c r="BB95" i="1"/>
  <c r="BB93" i="1"/>
  <c r="AX93" i="1"/>
  <c r="BB139" i="1"/>
  <c r="AX139" i="1"/>
  <c r="BB83" i="1"/>
  <c r="AX83" i="1"/>
  <c r="BB81" i="1"/>
  <c r="AX81" i="1"/>
  <c r="BB61" i="1"/>
  <c r="AX61" i="1"/>
  <c r="BB110" i="1"/>
  <c r="AX110" i="1"/>
  <c r="BB122" i="1"/>
  <c r="AX122" i="1"/>
  <c r="BB97" i="1"/>
  <c r="AX97" i="1"/>
  <c r="BB41" i="1"/>
  <c r="AX41" i="1"/>
  <c r="BB126" i="1"/>
  <c r="AX126" i="1"/>
  <c r="BB184" i="1"/>
  <c r="AX184" i="1"/>
  <c r="BB16" i="1"/>
  <c r="BB53" i="1"/>
  <c r="AX53" i="1"/>
  <c r="BB101" i="1"/>
  <c r="AX101" i="1"/>
  <c r="BB120" i="1"/>
  <c r="BB30" i="1"/>
  <c r="AX30" i="1"/>
  <c r="BB150" i="1"/>
  <c r="AX150" i="1"/>
  <c r="BB143" i="1"/>
  <c r="AX143" i="1"/>
  <c r="BB129" i="1"/>
  <c r="AX129" i="1"/>
  <c r="BB25" i="1"/>
  <c r="AX25" i="1"/>
  <c r="BB127" i="1"/>
  <c r="BB117" i="1"/>
  <c r="AX117" i="1"/>
  <c r="BB10" i="1"/>
  <c r="AX10" i="1"/>
  <c r="BB189" i="1"/>
  <c r="AX189" i="1"/>
  <c r="BB134" i="1"/>
  <c r="AX134" i="1"/>
  <c r="BB32" i="1"/>
  <c r="AX32" i="1"/>
  <c r="BB51" i="1"/>
  <c r="AX51" i="1"/>
  <c r="BB156" i="1"/>
  <c r="AX156" i="1"/>
  <c r="BB42" i="1"/>
  <c r="AX42" i="1"/>
  <c r="BB141" i="1"/>
  <c r="AX141" i="1"/>
  <c r="BB2" i="1"/>
  <c r="AX2" i="1"/>
  <c r="BB181" i="1"/>
  <c r="BB37" i="1"/>
  <c r="AX37" i="1"/>
  <c r="BB60" i="1"/>
  <c r="AX60" i="1"/>
  <c r="BC64" i="1"/>
  <c r="AY64" i="1"/>
  <c r="BC187" i="1"/>
  <c r="AY187" i="1"/>
  <c r="BC69" i="1"/>
  <c r="AY69" i="1"/>
  <c r="BC15" i="1"/>
  <c r="AY15" i="1"/>
  <c r="BC142" i="1"/>
  <c r="AY142" i="1"/>
  <c r="BC161" i="1"/>
  <c r="AY161" i="1"/>
  <c r="BC89" i="1"/>
  <c r="AY89" i="1"/>
  <c r="BC135" i="1"/>
  <c r="AY135" i="1"/>
  <c r="BC106" i="1"/>
  <c r="AY106" i="1"/>
  <c r="BC193" i="1"/>
  <c r="BC74" i="1"/>
  <c r="AY74" i="1"/>
  <c r="BC162" i="1"/>
  <c r="AY162" i="1"/>
  <c r="BC103" i="1"/>
  <c r="AY103" i="1"/>
  <c r="BC75" i="1"/>
  <c r="AY75" i="1"/>
  <c r="BC182" i="1"/>
  <c r="AY182" i="1"/>
  <c r="BC11" i="1"/>
  <c r="AY11" i="1"/>
  <c r="BC54" i="1"/>
  <c r="AY54" i="1"/>
  <c r="BC113" i="1"/>
  <c r="AY113" i="1"/>
  <c r="BC87" i="1"/>
  <c r="AY87" i="1"/>
  <c r="BC84" i="1"/>
  <c r="AY84" i="1"/>
  <c r="BC172" i="1"/>
  <c r="AY172" i="1"/>
  <c r="AY94" i="1"/>
  <c r="BC94" i="1"/>
  <c r="BC28" i="1"/>
  <c r="AY28" i="1"/>
  <c r="BC105" i="1"/>
  <c r="AY105" i="1"/>
  <c r="BC5" i="1"/>
  <c r="AY5" i="1"/>
  <c r="BC45" i="1"/>
  <c r="AY45" i="1"/>
  <c r="BC68" i="1"/>
  <c r="AY68" i="1"/>
  <c r="BC57" i="1"/>
  <c r="AY57" i="1"/>
  <c r="BC180" i="1"/>
  <c r="AY180" i="1"/>
  <c r="BC49" i="1"/>
  <c r="AY49" i="1"/>
  <c r="BC18" i="1"/>
  <c r="AY18" i="1"/>
  <c r="BC136" i="1"/>
  <c r="AY136" i="1"/>
  <c r="BC185" i="1"/>
  <c r="AY185" i="1"/>
  <c r="BC63" i="1"/>
  <c r="AY63" i="1"/>
  <c r="BC175" i="1"/>
  <c r="AY175" i="1"/>
  <c r="BC66" i="1"/>
  <c r="AY66" i="1"/>
  <c r="BC108" i="1"/>
  <c r="AY108" i="1"/>
  <c r="BC115" i="1"/>
  <c r="AY115" i="1"/>
  <c r="BC163" i="1"/>
  <c r="AY163" i="1"/>
  <c r="BC119" i="1"/>
  <c r="AY119" i="1"/>
  <c r="BC116" i="1"/>
  <c r="AY116" i="1"/>
  <c r="BC22" i="1"/>
  <c r="AY22" i="1"/>
  <c r="BC192" i="1"/>
  <c r="BC166" i="1"/>
  <c r="AY166" i="1"/>
  <c r="BC188" i="1"/>
  <c r="AY188" i="1"/>
  <c r="BC56" i="1"/>
  <c r="AY56" i="1"/>
  <c r="BC80" i="1"/>
  <c r="AY80" i="1"/>
  <c r="BC160" i="1"/>
  <c r="AY160" i="1"/>
  <c r="BC82" i="1"/>
  <c r="AY82" i="1"/>
  <c r="BC174" i="1"/>
  <c r="AY174" i="1"/>
  <c r="BD85" i="1"/>
  <c r="AZ85" i="1"/>
  <c r="BD12" i="1"/>
  <c r="AZ12" i="1"/>
  <c r="BD169" i="1"/>
  <c r="AZ169" i="1"/>
  <c r="BD132" i="1"/>
  <c r="AZ132" i="1"/>
  <c r="BD9" i="1"/>
  <c r="AZ9" i="1"/>
  <c r="BD165" i="1"/>
  <c r="AZ165" i="1"/>
  <c r="BD144" i="1"/>
  <c r="AZ144" i="1"/>
  <c r="BD19" i="1"/>
  <c r="AZ19" i="1"/>
  <c r="BD3" i="1"/>
  <c r="AZ3" i="1"/>
  <c r="BD76" i="1"/>
  <c r="AZ76" i="1"/>
  <c r="BD95" i="1"/>
  <c r="AZ95" i="1"/>
  <c r="BD93" i="1"/>
  <c r="AZ93" i="1"/>
  <c r="BD139" i="1"/>
  <c r="AZ139" i="1"/>
  <c r="BD83" i="1"/>
  <c r="AZ83" i="1"/>
  <c r="BD81" i="1"/>
  <c r="AZ81" i="1"/>
  <c r="BD61" i="1"/>
  <c r="AZ61" i="1"/>
  <c r="BD110" i="1"/>
  <c r="AZ110" i="1"/>
  <c r="BD122" i="1"/>
  <c r="AZ122" i="1"/>
  <c r="BD97" i="1"/>
  <c r="AZ97" i="1"/>
  <c r="BD41" i="1"/>
  <c r="AZ41" i="1"/>
  <c r="BD126" i="1"/>
  <c r="AZ126" i="1"/>
  <c r="BD184" i="1"/>
  <c r="AZ184" i="1"/>
  <c r="BD16" i="1"/>
  <c r="AZ16" i="1"/>
  <c r="BD53" i="1"/>
  <c r="AZ53" i="1"/>
  <c r="BD101" i="1"/>
  <c r="AZ101" i="1"/>
  <c r="BD120" i="1"/>
  <c r="AZ120" i="1"/>
  <c r="BD30" i="1"/>
  <c r="AZ30" i="1"/>
  <c r="BD150" i="1"/>
  <c r="AZ150" i="1"/>
  <c r="BD143" i="1"/>
  <c r="AZ143" i="1"/>
  <c r="BD129" i="1"/>
  <c r="AZ129" i="1"/>
  <c r="BD25" i="1"/>
  <c r="AZ25" i="1"/>
  <c r="BD127" i="1"/>
  <c r="AZ127" i="1"/>
  <c r="BD117" i="1"/>
  <c r="AZ117" i="1"/>
  <c r="BD10" i="1"/>
  <c r="AZ10" i="1"/>
  <c r="BD189" i="1"/>
  <c r="AZ189" i="1"/>
  <c r="BD134" i="1"/>
  <c r="AZ134" i="1"/>
  <c r="BD32" i="1"/>
  <c r="AZ32" i="1"/>
  <c r="BD51" i="1"/>
  <c r="AZ51" i="1"/>
  <c r="BD156" i="1"/>
  <c r="AZ156" i="1"/>
  <c r="BD42" i="1"/>
  <c r="AZ42" i="1"/>
  <c r="BD141" i="1"/>
  <c r="AZ141" i="1"/>
  <c r="BD2" i="1"/>
  <c r="AZ2" i="1"/>
  <c r="BD181" i="1"/>
  <c r="AZ181" i="1"/>
  <c r="BD37" i="1"/>
  <c r="AZ37" i="1"/>
  <c r="BD60" i="1"/>
  <c r="AZ60" i="1"/>
  <c r="AW15" i="1"/>
  <c r="AW135" i="1"/>
  <c r="AW162" i="1"/>
  <c r="AW11" i="1"/>
  <c r="AW84" i="1"/>
  <c r="AW28" i="1"/>
  <c r="AW68" i="1"/>
  <c r="AW18" i="1"/>
  <c r="AW175" i="1"/>
  <c r="AW163" i="1"/>
  <c r="AW80" i="1"/>
  <c r="AX131" i="1"/>
  <c r="AX79" i="1"/>
  <c r="AX181" i="1"/>
  <c r="AY148" i="1"/>
  <c r="AZ64" i="1"/>
  <c r="AZ54" i="1"/>
  <c r="AZ136" i="1"/>
  <c r="AZ160" i="1"/>
  <c r="BA123" i="1"/>
  <c r="BA42" i="1"/>
  <c r="BA4" i="1"/>
  <c r="AW4" i="1"/>
  <c r="BA73" i="1"/>
  <c r="AW73" i="1"/>
  <c r="BA26" i="1"/>
  <c r="AW26" i="1"/>
  <c r="BA149" i="1"/>
  <c r="AW149" i="1"/>
  <c r="BA21" i="1"/>
  <c r="AW21" i="1"/>
  <c r="BA140" i="1"/>
  <c r="AW140" i="1"/>
  <c r="BA55" i="1"/>
  <c r="AW55" i="1"/>
  <c r="BA47" i="1"/>
  <c r="AW47" i="1"/>
  <c r="BA104" i="1"/>
  <c r="AW104" i="1"/>
  <c r="BA133" i="1"/>
  <c r="AW133" i="1"/>
  <c r="BA168" i="1"/>
  <c r="AW168" i="1"/>
  <c r="BA17" i="1"/>
  <c r="AW17" i="1"/>
  <c r="BA145" i="1"/>
  <c r="AW145" i="1"/>
  <c r="BA194" i="1"/>
  <c r="BA91" i="1"/>
  <c r="AW91" i="1"/>
  <c r="BA8" i="1"/>
  <c r="AW8" i="1"/>
  <c r="BA34" i="1"/>
  <c r="AW34" i="1"/>
  <c r="BA179" i="1"/>
  <c r="AW179" i="1"/>
  <c r="BA130" i="1"/>
  <c r="AW130" i="1"/>
  <c r="BA158" i="1"/>
  <c r="AW158" i="1"/>
  <c r="BA24" i="1"/>
  <c r="AW24" i="1"/>
  <c r="BA23" i="1"/>
  <c r="AW23" i="1"/>
  <c r="BA128" i="1"/>
  <c r="AW128" i="1"/>
  <c r="BA48" i="1"/>
  <c r="AW48" i="1"/>
  <c r="BA50" i="1"/>
  <c r="AW50" i="1"/>
  <c r="BA153" i="1"/>
  <c r="AW153" i="1"/>
  <c r="BA7" i="1"/>
  <c r="AW7" i="1"/>
  <c r="BA40" i="1"/>
  <c r="AW40" i="1"/>
  <c r="BA131" i="1"/>
  <c r="AW131" i="1"/>
  <c r="BA159" i="1"/>
  <c r="AW159" i="1"/>
  <c r="BA170" i="1"/>
  <c r="AW170" i="1"/>
  <c r="BA98" i="1"/>
  <c r="AW98" i="1"/>
  <c r="BA20" i="1"/>
  <c r="AW20" i="1"/>
  <c r="BA96" i="1"/>
  <c r="AW96" i="1"/>
  <c r="BA138" i="1"/>
  <c r="AW138" i="1"/>
  <c r="BA102" i="1"/>
  <c r="AW102" i="1"/>
  <c r="BA58" i="1"/>
  <c r="AW58" i="1"/>
  <c r="BA86" i="1"/>
  <c r="AW86" i="1"/>
  <c r="BA79" i="1"/>
  <c r="AW79" i="1"/>
  <c r="BA148" i="1"/>
  <c r="AW148" i="1"/>
  <c r="BA77" i="1"/>
  <c r="AW77" i="1"/>
  <c r="BA164" i="1"/>
  <c r="AW164" i="1"/>
  <c r="BA70" i="1"/>
  <c r="AW70" i="1"/>
  <c r="BA88" i="1"/>
  <c r="AW88" i="1"/>
  <c r="BA35" i="1"/>
  <c r="AW35" i="1"/>
  <c r="BA39" i="1"/>
  <c r="AW39" i="1"/>
  <c r="BA52" i="1"/>
  <c r="AW52" i="1"/>
  <c r="BA65" i="1"/>
  <c r="AW65" i="1"/>
  <c r="BA177" i="1"/>
  <c r="AW177" i="1"/>
  <c r="BB38" i="1"/>
  <c r="BB43" i="1"/>
  <c r="BB72" i="1"/>
  <c r="BB111" i="1"/>
  <c r="BB59" i="1"/>
  <c r="BB121" i="1"/>
  <c r="BB154" i="1"/>
  <c r="BB109" i="1"/>
  <c r="BB123" i="1"/>
  <c r="BB195" i="1"/>
  <c r="BB13" i="1"/>
  <c r="BB155" i="1"/>
  <c r="BB33" i="1"/>
  <c r="BB90" i="1"/>
  <c r="BB186" i="1"/>
  <c r="BB36" i="1"/>
  <c r="BB27" i="1"/>
  <c r="BB157" i="1"/>
  <c r="BB167" i="1"/>
  <c r="BB112" i="1"/>
  <c r="BB6" i="1"/>
  <c r="BB100" i="1"/>
  <c r="BB190" i="1"/>
  <c r="AX190" i="1"/>
  <c r="BB147" i="1"/>
  <c r="AX147" i="1"/>
  <c r="BB125" i="1"/>
  <c r="AX125" i="1"/>
  <c r="BB99" i="1"/>
  <c r="BB176" i="1"/>
  <c r="AX176" i="1"/>
  <c r="BB146" i="1"/>
  <c r="AX146" i="1"/>
  <c r="BB29" i="1"/>
  <c r="AX29" i="1"/>
  <c r="BB124" i="1"/>
  <c r="BB14" i="1"/>
  <c r="AX14" i="1"/>
  <c r="BB67" i="1"/>
  <c r="AX67" i="1"/>
  <c r="BB151" i="1"/>
  <c r="AX151" i="1"/>
  <c r="BB114" i="1"/>
  <c r="BB173" i="1"/>
  <c r="AX173" i="1"/>
  <c r="BB178" i="1"/>
  <c r="AX178" i="1"/>
  <c r="BB107" i="1"/>
  <c r="AX107" i="1"/>
  <c r="BB62" i="1"/>
  <c r="AX62" i="1"/>
  <c r="BB46" i="1"/>
  <c r="AX46" i="1"/>
  <c r="BB137" i="1"/>
  <c r="AX137" i="1"/>
  <c r="BB92" i="1"/>
  <c r="AX92" i="1"/>
  <c r="BB71" i="1"/>
  <c r="AX71" i="1"/>
  <c r="BB152" i="1"/>
  <c r="AX152" i="1"/>
  <c r="BB183" i="1"/>
  <c r="AX183" i="1"/>
  <c r="BB31" i="1"/>
  <c r="AX31" i="1"/>
  <c r="BB44" i="1"/>
  <c r="AX44" i="1"/>
  <c r="BB118" i="1"/>
  <c r="AX118" i="1"/>
  <c r="BB171" i="1"/>
  <c r="AX171" i="1"/>
  <c r="BB78" i="1"/>
  <c r="AX78" i="1"/>
  <c r="BC4" i="1"/>
  <c r="BC73" i="1"/>
  <c r="AY73" i="1"/>
  <c r="BC26" i="1"/>
  <c r="AY26" i="1"/>
  <c r="BC149" i="1"/>
  <c r="AY149" i="1"/>
  <c r="BC21" i="1"/>
  <c r="BC140" i="1"/>
  <c r="AY140" i="1"/>
  <c r="BC55" i="1"/>
  <c r="AY55" i="1"/>
  <c r="BC47" i="1"/>
  <c r="AY47" i="1"/>
  <c r="BC104" i="1"/>
  <c r="BC133" i="1"/>
  <c r="AY133" i="1"/>
  <c r="BC168" i="1"/>
  <c r="AY168" i="1"/>
  <c r="BC17" i="1"/>
  <c r="AY17" i="1"/>
  <c r="BC145" i="1"/>
  <c r="BC194" i="1"/>
  <c r="BC91" i="1"/>
  <c r="AY91" i="1"/>
  <c r="BC8" i="1"/>
  <c r="AY8" i="1"/>
  <c r="BC34" i="1"/>
  <c r="BC179" i="1"/>
  <c r="AY179" i="1"/>
  <c r="BC130" i="1"/>
  <c r="AY130" i="1"/>
  <c r="BC158" i="1"/>
  <c r="AY158" i="1"/>
  <c r="BC24" i="1"/>
  <c r="BC23" i="1"/>
  <c r="AY23" i="1"/>
  <c r="BC128" i="1"/>
  <c r="AY128" i="1"/>
  <c r="BC48" i="1"/>
  <c r="AY48" i="1"/>
  <c r="BC50" i="1"/>
  <c r="BC153" i="1"/>
  <c r="AY153" i="1"/>
  <c r="AW64" i="1"/>
  <c r="AW142" i="1"/>
  <c r="AW106" i="1"/>
  <c r="AW103" i="1"/>
  <c r="AW54" i="1"/>
  <c r="AW172" i="1"/>
  <c r="AW105" i="1"/>
  <c r="AW57" i="1"/>
  <c r="AW136" i="1"/>
  <c r="AW66" i="1"/>
  <c r="AW119" i="1"/>
  <c r="AW166" i="1"/>
  <c r="AW160" i="1"/>
  <c r="AX111" i="1"/>
  <c r="AX109" i="1"/>
  <c r="AX155" i="1"/>
  <c r="AX186" i="1"/>
  <c r="AX167" i="1"/>
  <c r="AX50" i="1"/>
  <c r="AX120" i="1"/>
  <c r="AX114" i="1"/>
  <c r="AX77" i="1"/>
  <c r="AY145" i="1"/>
  <c r="AY131" i="1"/>
  <c r="AY88" i="1"/>
  <c r="AZ142" i="1"/>
  <c r="AZ172" i="1"/>
  <c r="AZ66" i="1"/>
  <c r="BC7" i="1"/>
  <c r="BC40" i="1"/>
  <c r="BC131" i="1"/>
  <c r="BC159" i="1"/>
  <c r="BC170" i="1"/>
  <c r="BC98" i="1"/>
  <c r="BC20" i="1"/>
  <c r="BC96" i="1"/>
  <c r="BC138" i="1"/>
  <c r="BC102" i="1"/>
  <c r="BC58" i="1"/>
  <c r="BC86" i="1"/>
  <c r="BC79" i="1"/>
  <c r="BC148" i="1"/>
  <c r="BC77" i="1"/>
  <c r="BC164" i="1"/>
  <c r="BC70" i="1"/>
  <c r="BC88" i="1"/>
  <c r="BC35" i="1"/>
  <c r="BC39" i="1"/>
  <c r="BC52" i="1"/>
  <c r="BC65" i="1"/>
  <c r="BC177" i="1"/>
  <c r="BD38" i="1"/>
  <c r="AZ38" i="1"/>
  <c r="BD43" i="1"/>
  <c r="AZ43" i="1"/>
  <c r="BD72" i="1"/>
  <c r="AZ72" i="1"/>
  <c r="BD111" i="1"/>
  <c r="AZ111" i="1"/>
  <c r="BD59" i="1"/>
  <c r="AZ59" i="1"/>
  <c r="BD121" i="1"/>
  <c r="AZ121" i="1"/>
  <c r="BD154" i="1"/>
  <c r="AZ154" i="1"/>
  <c r="BD109" i="1"/>
  <c r="AZ109" i="1"/>
  <c r="BD123" i="1"/>
  <c r="AZ123" i="1"/>
  <c r="BD195" i="1"/>
  <c r="BD13" i="1"/>
  <c r="AZ13" i="1"/>
  <c r="BD155" i="1"/>
  <c r="AZ155" i="1"/>
  <c r="BD33" i="1"/>
  <c r="AZ33" i="1"/>
  <c r="BD90" i="1"/>
  <c r="AZ90" i="1"/>
  <c r="BD186" i="1"/>
  <c r="AZ186" i="1"/>
  <c r="BD36" i="1"/>
  <c r="AZ36" i="1"/>
  <c r="BD27" i="1"/>
  <c r="AZ27" i="1"/>
  <c r="BD157" i="1"/>
  <c r="AZ157" i="1"/>
  <c r="BD167" i="1"/>
  <c r="AZ167" i="1"/>
  <c r="BD112" i="1"/>
  <c r="AZ112" i="1"/>
  <c r="BD6" i="1"/>
  <c r="AZ6" i="1"/>
  <c r="BD100" i="1"/>
  <c r="AZ100" i="1"/>
  <c r="BD190" i="1"/>
  <c r="AZ190" i="1"/>
  <c r="BD147" i="1"/>
  <c r="AZ147" i="1"/>
  <c r="BD125" i="1"/>
  <c r="AZ125" i="1"/>
  <c r="BD99" i="1"/>
  <c r="AZ99" i="1"/>
  <c r="BD176" i="1"/>
  <c r="AZ176" i="1"/>
  <c r="BD146" i="1"/>
  <c r="AZ146" i="1"/>
  <c r="BD29" i="1"/>
  <c r="AZ29" i="1"/>
  <c r="BD124" i="1"/>
  <c r="AZ124" i="1"/>
  <c r="BD14" i="1"/>
  <c r="AZ14" i="1"/>
  <c r="BD67" i="1"/>
  <c r="AZ67" i="1"/>
  <c r="BD151" i="1"/>
  <c r="AZ151" i="1"/>
  <c r="BD114" i="1"/>
  <c r="AZ114" i="1"/>
  <c r="BD173" i="1"/>
  <c r="AZ173" i="1"/>
  <c r="BD178" i="1"/>
  <c r="AZ178" i="1"/>
  <c r="BD107" i="1"/>
  <c r="AZ107" i="1"/>
  <c r="BD62" i="1"/>
  <c r="AZ62" i="1"/>
  <c r="BD46" i="1"/>
  <c r="AZ46" i="1"/>
  <c r="BD137" i="1"/>
  <c r="AZ137" i="1"/>
  <c r="BD92" i="1"/>
  <c r="AZ92" i="1"/>
  <c r="BD71" i="1"/>
  <c r="AZ71" i="1"/>
  <c r="BD152" i="1"/>
  <c r="AZ152" i="1"/>
  <c r="BD183" i="1"/>
  <c r="AZ183" i="1"/>
  <c r="BD31" i="1"/>
  <c r="AZ31" i="1"/>
  <c r="BD44" i="1"/>
  <c r="AZ44" i="1"/>
  <c r="BD118" i="1"/>
  <c r="AZ118" i="1"/>
  <c r="BD171" i="1"/>
  <c r="AZ171" i="1"/>
  <c r="BD78" i="1"/>
  <c r="AZ78" i="1"/>
  <c r="AY159" i="1"/>
  <c r="AY96" i="1"/>
  <c r="AY86" i="1"/>
  <c r="AY77" i="1"/>
  <c r="AY35" i="1"/>
  <c r="BC41" i="1"/>
  <c r="AY41" i="1"/>
  <c r="BC126" i="1"/>
  <c r="AY126" i="1"/>
  <c r="BC184" i="1"/>
  <c r="AY184" i="1"/>
  <c r="BC16" i="1"/>
  <c r="AY16" i="1"/>
  <c r="BC53" i="1"/>
  <c r="AY53" i="1"/>
  <c r="BC101" i="1"/>
  <c r="AY101" i="1"/>
  <c r="BC120" i="1"/>
  <c r="AY120" i="1"/>
  <c r="BC30" i="1"/>
  <c r="AY30" i="1"/>
  <c r="BC150" i="1"/>
  <c r="AY150" i="1"/>
  <c r="BC143" i="1"/>
  <c r="AY143" i="1"/>
  <c r="BC129" i="1"/>
  <c r="AY129" i="1"/>
  <c r="BC25" i="1"/>
  <c r="AY25" i="1"/>
  <c r="BC127" i="1"/>
  <c r="AY127" i="1"/>
  <c r="BC117" i="1"/>
  <c r="AY117" i="1"/>
  <c r="BC10" i="1"/>
  <c r="AY10" i="1"/>
  <c r="BC189" i="1"/>
  <c r="AY189" i="1"/>
  <c r="BC134" i="1"/>
  <c r="AY134" i="1"/>
  <c r="BC32" i="1"/>
  <c r="AY32" i="1"/>
  <c r="BC51" i="1"/>
  <c r="AY51" i="1"/>
  <c r="BC156" i="1"/>
  <c r="AY156" i="1"/>
  <c r="BC42" i="1"/>
  <c r="AY42" i="1"/>
  <c r="BC141" i="1"/>
  <c r="AY141" i="1"/>
  <c r="BC2" i="1"/>
  <c r="AY2" i="1"/>
  <c r="BC181" i="1"/>
  <c r="AY181" i="1"/>
  <c r="BC37" i="1"/>
  <c r="AY37" i="1"/>
  <c r="BC60" i="1"/>
  <c r="AY60" i="1"/>
  <c r="BD64" i="1"/>
  <c r="BD187" i="1"/>
  <c r="BD69" i="1"/>
  <c r="BD15" i="1"/>
  <c r="BD142" i="1"/>
  <c r="BD161" i="1"/>
  <c r="BD89" i="1"/>
  <c r="BD135" i="1"/>
  <c r="BD106" i="1"/>
  <c r="BD193" i="1"/>
  <c r="BD74" i="1"/>
  <c r="BD162" i="1"/>
  <c r="BD103" i="1"/>
  <c r="BD75" i="1"/>
  <c r="BD182" i="1"/>
  <c r="BD11" i="1"/>
  <c r="BD54" i="1"/>
  <c r="BD113" i="1"/>
  <c r="BD87" i="1"/>
  <c r="BD84" i="1"/>
  <c r="BD172" i="1"/>
  <c r="BD94" i="1"/>
  <c r="BD28" i="1"/>
  <c r="BD105" i="1"/>
  <c r="BD5" i="1"/>
  <c r="BD45" i="1"/>
  <c r="BD68" i="1"/>
  <c r="BD57" i="1"/>
  <c r="BD180" i="1"/>
  <c r="BD49" i="1"/>
  <c r="BD18" i="1"/>
  <c r="BD136" i="1"/>
  <c r="BD185" i="1"/>
  <c r="BD63" i="1"/>
  <c r="BD175" i="1"/>
  <c r="BD66" i="1"/>
  <c r="BD108" i="1"/>
  <c r="BD115" i="1"/>
  <c r="BD163" i="1"/>
  <c r="BD119" i="1"/>
  <c r="BD116" i="1"/>
  <c r="BD22" i="1"/>
  <c r="BD192" i="1"/>
  <c r="BD166" i="1"/>
  <c r="BD188" i="1"/>
  <c r="BD56" i="1"/>
  <c r="BD80" i="1"/>
  <c r="BD160" i="1"/>
  <c r="BD82" i="1"/>
  <c r="BD174" i="1"/>
  <c r="AY7" i="1"/>
  <c r="AY170" i="1"/>
  <c r="AY138" i="1"/>
  <c r="AY164" i="1"/>
  <c r="AY65" i="1"/>
  <c r="AZ69" i="1"/>
  <c r="AZ89" i="1"/>
  <c r="AZ74" i="1"/>
  <c r="AZ182" i="1"/>
  <c r="AZ87" i="1"/>
  <c r="AZ45" i="1"/>
  <c r="AZ49" i="1"/>
  <c r="AZ63" i="1"/>
  <c r="AZ115" i="1"/>
  <c r="AZ22" i="1"/>
  <c r="AZ56" i="1"/>
  <c r="AZ174" i="1"/>
  <c r="BC167" i="1"/>
  <c r="AY167" i="1"/>
  <c r="BC112" i="1"/>
  <c r="AY112" i="1"/>
  <c r="BC6" i="1"/>
  <c r="AY6" i="1"/>
  <c r="BC100" i="1"/>
  <c r="AY100" i="1"/>
  <c r="BC190" i="1"/>
  <c r="AY190" i="1"/>
  <c r="BC147" i="1"/>
  <c r="AY147" i="1"/>
  <c r="BC125" i="1"/>
  <c r="AY125" i="1"/>
  <c r="BC99" i="1"/>
  <c r="AY99" i="1"/>
  <c r="BC176" i="1"/>
  <c r="AY176" i="1"/>
  <c r="BC146" i="1"/>
  <c r="AY146" i="1"/>
  <c r="BC29" i="1"/>
  <c r="AY29" i="1"/>
  <c r="BC124" i="1"/>
  <c r="AY124" i="1"/>
  <c r="BC14" i="1"/>
  <c r="AY14" i="1"/>
  <c r="BC67" i="1"/>
  <c r="AY67" i="1"/>
  <c r="BC151" i="1"/>
  <c r="AY151" i="1"/>
  <c r="BC114" i="1"/>
  <c r="AY114" i="1"/>
  <c r="BC173" i="1"/>
  <c r="AY173" i="1"/>
  <c r="BC178" i="1"/>
  <c r="AY178" i="1"/>
  <c r="BC107" i="1"/>
  <c r="AY107" i="1"/>
  <c r="BC62" i="1"/>
  <c r="AY62" i="1"/>
  <c r="BC46" i="1"/>
  <c r="AY46" i="1"/>
  <c r="BC137" i="1"/>
  <c r="AY137" i="1"/>
  <c r="BC92" i="1"/>
  <c r="AY92" i="1"/>
  <c r="BC71" i="1"/>
  <c r="AY71" i="1"/>
  <c r="BC152" i="1"/>
  <c r="AY152" i="1"/>
  <c r="BC183" i="1"/>
  <c r="AY183" i="1"/>
  <c r="BC31" i="1"/>
  <c r="AY31" i="1"/>
  <c r="BC44" i="1"/>
  <c r="AY44" i="1"/>
  <c r="BC118" i="1"/>
  <c r="AY118" i="1"/>
  <c r="BC171" i="1"/>
  <c r="AY171" i="1"/>
  <c r="BC78" i="1"/>
  <c r="AY78" i="1"/>
  <c r="BD4" i="1"/>
  <c r="AZ4" i="1"/>
  <c r="BD73" i="1"/>
  <c r="AZ73" i="1"/>
  <c r="BD26" i="1"/>
  <c r="AZ26" i="1"/>
  <c r="BD149" i="1"/>
  <c r="AZ149" i="1"/>
  <c r="BD21" i="1"/>
  <c r="AZ21" i="1"/>
  <c r="BD140" i="1"/>
  <c r="AZ140" i="1"/>
  <c r="BD55" i="1"/>
  <c r="AZ55" i="1"/>
  <c r="BD47" i="1"/>
  <c r="AZ47" i="1"/>
  <c r="BD104" i="1"/>
  <c r="AZ104" i="1"/>
  <c r="BD133" i="1"/>
  <c r="AZ133" i="1"/>
  <c r="BD168" i="1"/>
  <c r="AZ168" i="1"/>
  <c r="BD17" i="1"/>
  <c r="AZ17" i="1"/>
  <c r="BD145" i="1"/>
  <c r="AZ145" i="1"/>
  <c r="BD194" i="1"/>
  <c r="BD91" i="1"/>
  <c r="AZ91" i="1"/>
  <c r="BD8" i="1"/>
  <c r="AZ8" i="1"/>
  <c r="BD34" i="1"/>
  <c r="AZ34" i="1"/>
  <c r="BD179" i="1"/>
  <c r="AZ179" i="1"/>
  <c r="BD130" i="1"/>
  <c r="AZ130" i="1"/>
  <c r="BD158" i="1"/>
  <c r="AZ158" i="1"/>
  <c r="BD24" i="1"/>
  <c r="AZ24" i="1"/>
  <c r="BD23" i="1"/>
  <c r="AZ23" i="1"/>
  <c r="BD128" i="1"/>
  <c r="AZ128" i="1"/>
  <c r="BD48" i="1"/>
  <c r="AZ48" i="1"/>
  <c r="BD50" i="1"/>
  <c r="AZ50" i="1"/>
  <c r="BD153" i="1"/>
  <c r="AZ153" i="1"/>
  <c r="BD7" i="1"/>
  <c r="AZ7" i="1"/>
  <c r="BD40" i="1"/>
  <c r="AZ40" i="1"/>
  <c r="BD131" i="1"/>
  <c r="AZ131" i="1"/>
  <c r="BD159" i="1"/>
  <c r="AZ159" i="1"/>
  <c r="BD170" i="1"/>
  <c r="AZ170" i="1"/>
  <c r="BD98" i="1"/>
  <c r="AZ98" i="1"/>
  <c r="BD20" i="1"/>
  <c r="AZ20" i="1"/>
  <c r="BD96" i="1"/>
  <c r="AZ96" i="1"/>
  <c r="BD138" i="1"/>
  <c r="AZ138" i="1"/>
  <c r="BD102" i="1"/>
  <c r="AZ102" i="1"/>
  <c r="BD58" i="1"/>
  <c r="AZ58" i="1"/>
  <c r="BD86" i="1"/>
  <c r="AZ86" i="1"/>
  <c r="BD79" i="1"/>
  <c r="AZ79" i="1"/>
  <c r="BD148" i="1"/>
  <c r="AZ148" i="1"/>
  <c r="BD77" i="1"/>
  <c r="AZ77" i="1"/>
  <c r="BD164" i="1"/>
  <c r="AZ164" i="1"/>
  <c r="BD70" i="1"/>
  <c r="AZ70" i="1"/>
  <c r="BD88" i="1"/>
  <c r="AZ88" i="1"/>
  <c r="BD35" i="1"/>
  <c r="AZ35" i="1"/>
  <c r="BD39" i="1"/>
  <c r="AZ39" i="1"/>
  <c r="BD52" i="1"/>
  <c r="AZ52" i="1"/>
  <c r="BD65" i="1"/>
  <c r="AZ65" i="1"/>
  <c r="BD177" i="1"/>
  <c r="AY177" i="1"/>
  <c r="AY40" i="1"/>
  <c r="AY98" i="1"/>
  <c r="AY102" i="1"/>
  <c r="AY79" i="1"/>
  <c r="AY70" i="1"/>
  <c r="AY39" i="1"/>
  <c r="AZ15" i="1"/>
  <c r="AZ135" i="1"/>
  <c r="AZ162" i="1"/>
  <c r="AZ11" i="1"/>
  <c r="AZ84" i="1"/>
  <c r="AZ28" i="1"/>
  <c r="AZ68" i="1"/>
  <c r="AZ18" i="1"/>
  <c r="AZ175" i="1"/>
  <c r="AZ163" i="1"/>
  <c r="AZ80" i="1"/>
  <c r="AN177" i="1"/>
  <c r="AN44" i="1"/>
  <c r="AN73" i="1"/>
  <c r="X110" i="1"/>
  <c r="X60" i="1"/>
  <c r="AP64" i="1"/>
  <c r="AP69" i="1"/>
  <c r="AP142" i="1"/>
  <c r="AP89" i="1"/>
  <c r="AN72" i="1"/>
  <c r="W72" i="1"/>
  <c r="AN111" i="1"/>
  <c r="X111" i="1"/>
  <c r="W111" i="1"/>
  <c r="AN154" i="1"/>
  <c r="W154" i="1"/>
  <c r="AN123" i="1"/>
  <c r="W123" i="1"/>
  <c r="AN155" i="1"/>
  <c r="W155" i="1"/>
  <c r="AN33" i="1"/>
  <c r="W33" i="1"/>
  <c r="AN90" i="1"/>
  <c r="W90" i="1"/>
  <c r="AN36" i="1"/>
  <c r="W36" i="1"/>
  <c r="AN167" i="1"/>
  <c r="X167" i="1"/>
  <c r="W167" i="1"/>
  <c r="AN112" i="1"/>
  <c r="W112" i="1"/>
  <c r="AN190" i="1"/>
  <c r="X190" i="1"/>
  <c r="W190" i="1"/>
  <c r="W125" i="1"/>
  <c r="AN125" i="1"/>
  <c r="AN176" i="1"/>
  <c r="W176" i="1"/>
  <c r="AN29" i="1"/>
  <c r="W29" i="1"/>
  <c r="AN14" i="1"/>
  <c r="X14" i="1"/>
  <c r="AN151" i="1"/>
  <c r="W151" i="1"/>
  <c r="AN173" i="1"/>
  <c r="W173" i="1"/>
  <c r="AN137" i="1"/>
  <c r="W137" i="1"/>
  <c r="AN92" i="1"/>
  <c r="W92" i="1"/>
  <c r="AN183" i="1"/>
  <c r="W183" i="1"/>
  <c r="AN118" i="1"/>
  <c r="W118" i="1"/>
  <c r="W171" i="1"/>
  <c r="AN171" i="1"/>
  <c r="AO73" i="1"/>
  <c r="X73" i="1"/>
  <c r="AO21" i="1"/>
  <c r="X21" i="1"/>
  <c r="AO104" i="1"/>
  <c r="X104" i="1"/>
  <c r="AO133" i="1"/>
  <c r="X133" i="1"/>
  <c r="AO145" i="1"/>
  <c r="X145" i="1"/>
  <c r="AO8" i="1"/>
  <c r="X8" i="1"/>
  <c r="AO158" i="1"/>
  <c r="X158" i="1"/>
  <c r="AO24" i="1"/>
  <c r="X24" i="1"/>
  <c r="AO48" i="1"/>
  <c r="X48" i="1"/>
  <c r="AO153" i="1"/>
  <c r="X153" i="1"/>
  <c r="AO159" i="1"/>
  <c r="X159" i="1"/>
  <c r="AO98" i="1"/>
  <c r="X98" i="1"/>
  <c r="AO138" i="1"/>
  <c r="X138" i="1"/>
  <c r="AO164" i="1"/>
  <c r="X164" i="1"/>
  <c r="AO88" i="1"/>
  <c r="X88" i="1"/>
  <c r="AO39" i="1"/>
  <c r="X39" i="1"/>
  <c r="AP38" i="1"/>
  <c r="Y38" i="1"/>
  <c r="AP59" i="1"/>
  <c r="Y59" i="1"/>
  <c r="Z59" i="1"/>
  <c r="AP109" i="1"/>
  <c r="Y109" i="1"/>
  <c r="AP13" i="1"/>
  <c r="Y13" i="1"/>
  <c r="AP155" i="1"/>
  <c r="Y155" i="1"/>
  <c r="AP90" i="1"/>
  <c r="Y90" i="1"/>
  <c r="AP157" i="1"/>
  <c r="Y157" i="1"/>
  <c r="AN43" i="1"/>
  <c r="W43" i="1"/>
  <c r="AN59" i="1"/>
  <c r="W59" i="1"/>
  <c r="AN109" i="1"/>
  <c r="X109" i="1"/>
  <c r="W109" i="1"/>
  <c r="AN13" i="1"/>
  <c r="W13" i="1"/>
  <c r="AN186" i="1"/>
  <c r="X186" i="1"/>
  <c r="W27" i="1"/>
  <c r="AN27" i="1"/>
  <c r="AN157" i="1"/>
  <c r="W157" i="1"/>
  <c r="AN6" i="1"/>
  <c r="W6" i="1"/>
  <c r="AN100" i="1"/>
  <c r="W100" i="1"/>
  <c r="AN147" i="1"/>
  <c r="W147" i="1"/>
  <c r="AN99" i="1"/>
  <c r="W99" i="1"/>
  <c r="AN146" i="1"/>
  <c r="W146" i="1"/>
  <c r="AN124" i="1"/>
  <c r="W124" i="1"/>
  <c r="AN67" i="1"/>
  <c r="W67" i="1"/>
  <c r="AN107" i="1"/>
  <c r="W107" i="1"/>
  <c r="AN62" i="1"/>
  <c r="W62" i="1"/>
  <c r="AN152" i="1"/>
  <c r="W152" i="1"/>
  <c r="AO4" i="1"/>
  <c r="X4" i="1"/>
  <c r="AO26" i="1"/>
  <c r="X26" i="1"/>
  <c r="AO140" i="1"/>
  <c r="X140" i="1"/>
  <c r="AO47" i="1"/>
  <c r="X47" i="1"/>
  <c r="AO168" i="1"/>
  <c r="X168" i="1"/>
  <c r="AO91" i="1"/>
  <c r="X91" i="1"/>
  <c r="AO130" i="1"/>
  <c r="X130" i="1"/>
  <c r="AO23" i="1"/>
  <c r="X23" i="1"/>
  <c r="AO50" i="1"/>
  <c r="X50" i="1"/>
  <c r="AO7" i="1"/>
  <c r="X7" i="1"/>
  <c r="AO131" i="1"/>
  <c r="X131" i="1"/>
  <c r="AO170" i="1"/>
  <c r="X170" i="1"/>
  <c r="AO20" i="1"/>
  <c r="X20" i="1"/>
  <c r="AO58" i="1"/>
  <c r="X58" i="1"/>
  <c r="AO79" i="1"/>
  <c r="X79" i="1"/>
  <c r="AO77" i="1"/>
  <c r="X77" i="1"/>
  <c r="AO35" i="1"/>
  <c r="X35" i="1"/>
  <c r="AO52" i="1"/>
  <c r="X52" i="1"/>
  <c r="AO65" i="1"/>
  <c r="X65" i="1"/>
  <c r="AP72" i="1"/>
  <c r="Y72" i="1"/>
  <c r="AP111" i="1"/>
  <c r="Y111" i="1"/>
  <c r="AP154" i="1"/>
  <c r="Y154" i="1"/>
  <c r="AP123" i="1"/>
  <c r="Y123" i="1"/>
  <c r="AP33" i="1"/>
  <c r="Y33" i="1"/>
  <c r="AP186" i="1"/>
  <c r="Y186" i="1"/>
  <c r="AP27" i="1"/>
  <c r="Y27" i="1"/>
  <c r="AP6" i="1"/>
  <c r="Y6" i="1"/>
  <c r="AP100" i="1"/>
  <c r="Y100" i="1"/>
  <c r="AP125" i="1"/>
  <c r="Y125" i="1"/>
  <c r="AP176" i="1"/>
  <c r="Y176" i="1"/>
  <c r="AP124" i="1"/>
  <c r="Y124" i="1"/>
  <c r="W186" i="1"/>
  <c r="X176" i="1"/>
  <c r="W14" i="1"/>
  <c r="W44" i="1"/>
  <c r="AN38" i="1"/>
  <c r="W38" i="1"/>
  <c r="AN121" i="1"/>
  <c r="W121" i="1"/>
  <c r="AN114" i="1"/>
  <c r="W114" i="1"/>
  <c r="AN178" i="1"/>
  <c r="W178" i="1"/>
  <c r="AN46" i="1"/>
  <c r="W46" i="1"/>
  <c r="AN71" i="1"/>
  <c r="W71" i="1"/>
  <c r="AN31" i="1"/>
  <c r="W31" i="1"/>
  <c r="AN78" i="1"/>
  <c r="W78" i="1"/>
  <c r="AO149" i="1"/>
  <c r="X149" i="1"/>
  <c r="AO55" i="1"/>
  <c r="X55" i="1"/>
  <c r="AO17" i="1"/>
  <c r="X17" i="1"/>
  <c r="AO34" i="1"/>
  <c r="X34" i="1"/>
  <c r="AO179" i="1"/>
  <c r="X179" i="1"/>
  <c r="AO128" i="1"/>
  <c r="X128" i="1"/>
  <c r="AO40" i="1"/>
  <c r="X40" i="1"/>
  <c r="AO96" i="1"/>
  <c r="X96" i="1"/>
  <c r="AO102" i="1"/>
  <c r="X102" i="1"/>
  <c r="AO86" i="1"/>
  <c r="X86" i="1"/>
  <c r="AO148" i="1"/>
  <c r="X148" i="1"/>
  <c r="AO70" i="1"/>
  <c r="X70" i="1"/>
  <c r="AP177" i="1"/>
  <c r="Y177" i="1"/>
  <c r="Z177" i="1"/>
  <c r="AP43" i="1"/>
  <c r="Y43" i="1"/>
  <c r="AP121" i="1"/>
  <c r="Y121" i="1"/>
  <c r="AP36" i="1"/>
  <c r="Y36" i="1"/>
  <c r="AP167" i="1"/>
  <c r="Y167" i="1"/>
  <c r="AP112" i="1"/>
  <c r="Y112" i="1"/>
  <c r="Z112" i="1"/>
  <c r="AP190" i="1"/>
  <c r="Y190" i="1"/>
  <c r="AP147" i="1"/>
  <c r="Y147" i="1"/>
  <c r="AP99" i="1"/>
  <c r="Y99" i="1"/>
  <c r="AP146" i="1"/>
  <c r="Y146" i="1"/>
  <c r="Z146" i="1"/>
  <c r="AP29" i="1"/>
  <c r="Y29" i="1"/>
  <c r="AP14" i="1"/>
  <c r="Y14" i="1"/>
  <c r="AP67" i="1"/>
  <c r="Y67" i="1"/>
  <c r="Z67" i="1"/>
  <c r="AP151" i="1"/>
  <c r="Y151" i="1"/>
  <c r="AP114" i="1"/>
  <c r="Y114" i="1"/>
  <c r="AP173" i="1"/>
  <c r="Y173" i="1"/>
  <c r="AP178" i="1"/>
  <c r="Y178" i="1"/>
  <c r="AP107" i="1"/>
  <c r="Y107" i="1"/>
  <c r="AP62" i="1"/>
  <c r="Y62" i="1"/>
  <c r="AP46" i="1"/>
  <c r="Y46" i="1"/>
  <c r="AP137" i="1"/>
  <c r="Y137" i="1"/>
  <c r="Z137" i="1"/>
  <c r="AP92" i="1"/>
  <c r="Y92" i="1"/>
  <c r="AP71" i="1"/>
  <c r="Y71" i="1"/>
  <c r="AP152" i="1"/>
  <c r="Y152" i="1"/>
  <c r="Z152" i="1"/>
  <c r="AP183" i="1"/>
  <c r="Y183" i="1"/>
  <c r="AP31" i="1"/>
  <c r="Y31" i="1"/>
  <c r="AP44" i="1"/>
  <c r="Y44" i="1"/>
  <c r="AP118" i="1"/>
  <c r="Y118" i="1"/>
  <c r="Z118" i="1"/>
  <c r="AP171" i="1"/>
  <c r="Y171" i="1"/>
  <c r="AP78" i="1"/>
  <c r="Y78" i="1"/>
  <c r="AQ4" i="1"/>
  <c r="Z4" i="1"/>
  <c r="AQ73" i="1"/>
  <c r="Z73" i="1"/>
  <c r="AQ26" i="1"/>
  <c r="Z26" i="1"/>
  <c r="AQ149" i="1"/>
  <c r="Z149" i="1"/>
  <c r="AQ21" i="1"/>
  <c r="Z21" i="1"/>
  <c r="AQ140" i="1"/>
  <c r="Z140" i="1"/>
  <c r="AQ55" i="1"/>
  <c r="Z55" i="1"/>
  <c r="Z47" i="1"/>
  <c r="AQ47" i="1"/>
  <c r="AQ104" i="1"/>
  <c r="Z104" i="1"/>
  <c r="AQ133" i="1"/>
  <c r="Z133" i="1"/>
  <c r="AQ168" i="1"/>
  <c r="Z168" i="1"/>
  <c r="AQ17" i="1"/>
  <c r="Z17" i="1"/>
  <c r="AQ145" i="1"/>
  <c r="Z145" i="1"/>
  <c r="AQ91" i="1"/>
  <c r="Z91" i="1"/>
  <c r="W177" i="1"/>
  <c r="X155" i="1"/>
  <c r="Z178" i="1"/>
  <c r="AN187" i="1"/>
  <c r="W187" i="1"/>
  <c r="AN142" i="1"/>
  <c r="W142" i="1"/>
  <c r="AN161" i="1"/>
  <c r="W161" i="1"/>
  <c r="AN135" i="1"/>
  <c r="W135" i="1"/>
  <c r="AN162" i="1"/>
  <c r="W162" i="1"/>
  <c r="AN75" i="1"/>
  <c r="W75" i="1"/>
  <c r="AN182" i="1"/>
  <c r="W182" i="1"/>
  <c r="AN54" i="1"/>
  <c r="W54" i="1"/>
  <c r="AN87" i="1"/>
  <c r="W87" i="1"/>
  <c r="AN84" i="1"/>
  <c r="W84" i="1"/>
  <c r="AN94" i="1"/>
  <c r="W94" i="1"/>
  <c r="AN28" i="1"/>
  <c r="W28" i="1"/>
  <c r="AN5" i="1"/>
  <c r="W5" i="1"/>
  <c r="AN45" i="1"/>
  <c r="W45" i="1"/>
  <c r="AN68" i="1"/>
  <c r="W68" i="1"/>
  <c r="AN49" i="1"/>
  <c r="W49" i="1"/>
  <c r="AN136" i="1"/>
  <c r="W136" i="1"/>
  <c r="AN63" i="1"/>
  <c r="W63" i="1"/>
  <c r="AN175" i="1"/>
  <c r="W175" i="1"/>
  <c r="AN108" i="1"/>
  <c r="W108" i="1"/>
  <c r="AN115" i="1"/>
  <c r="W115" i="1"/>
  <c r="AN119" i="1"/>
  <c r="W119" i="1"/>
  <c r="AN116" i="1"/>
  <c r="W116" i="1"/>
  <c r="AN22" i="1"/>
  <c r="W22" i="1"/>
  <c r="AN166" i="1"/>
  <c r="W166" i="1"/>
  <c r="AN188" i="1"/>
  <c r="W188" i="1"/>
  <c r="AN56" i="1"/>
  <c r="W56" i="1"/>
  <c r="AN80" i="1"/>
  <c r="W80" i="1"/>
  <c r="AN160" i="1"/>
  <c r="W160" i="1"/>
  <c r="AN82" i="1"/>
  <c r="W82" i="1"/>
  <c r="AN174" i="1"/>
  <c r="W174" i="1"/>
  <c r="AO85" i="1"/>
  <c r="X85" i="1"/>
  <c r="AO12" i="1"/>
  <c r="X12" i="1"/>
  <c r="AO169" i="1"/>
  <c r="X169" i="1"/>
  <c r="AO132" i="1"/>
  <c r="X132" i="1"/>
  <c r="AO9" i="1"/>
  <c r="X9" i="1"/>
  <c r="AO165" i="1"/>
  <c r="X165" i="1"/>
  <c r="AO144" i="1"/>
  <c r="X144" i="1"/>
  <c r="AN64" i="1"/>
  <c r="W64" i="1"/>
  <c r="AN69" i="1"/>
  <c r="W69" i="1"/>
  <c r="AN15" i="1"/>
  <c r="W15" i="1"/>
  <c r="AN89" i="1"/>
  <c r="W89" i="1"/>
  <c r="AN106" i="1"/>
  <c r="W106" i="1"/>
  <c r="AN74" i="1"/>
  <c r="W74" i="1"/>
  <c r="AN103" i="1"/>
  <c r="W103" i="1"/>
  <c r="AN11" i="1"/>
  <c r="W11" i="1"/>
  <c r="AN113" i="1"/>
  <c r="W113" i="1"/>
  <c r="AN172" i="1"/>
  <c r="W172" i="1"/>
  <c r="AN105" i="1"/>
  <c r="W105" i="1"/>
  <c r="AN57" i="1"/>
  <c r="W57" i="1"/>
  <c r="AN180" i="1"/>
  <c r="W180" i="1"/>
  <c r="AN18" i="1"/>
  <c r="W18" i="1"/>
  <c r="AN185" i="1"/>
  <c r="W185" i="1"/>
  <c r="AN66" i="1"/>
  <c r="W66" i="1"/>
  <c r="AN163" i="1"/>
  <c r="W163" i="1"/>
  <c r="AN140" i="1"/>
  <c r="X38" i="1"/>
  <c r="X59" i="1"/>
  <c r="X121" i="1"/>
  <c r="X123" i="1"/>
  <c r="X36" i="1"/>
  <c r="X112" i="1"/>
  <c r="X147" i="1"/>
  <c r="X146" i="1"/>
  <c r="X67" i="1"/>
  <c r="Z123" i="1"/>
  <c r="Z147" i="1"/>
  <c r="AO19" i="1"/>
  <c r="X19" i="1"/>
  <c r="AO3" i="1"/>
  <c r="X3" i="1"/>
  <c r="AO76" i="1"/>
  <c r="X76" i="1"/>
  <c r="AO95" i="1"/>
  <c r="X95" i="1"/>
  <c r="AO93" i="1"/>
  <c r="X93" i="1"/>
  <c r="AO139" i="1"/>
  <c r="X139" i="1"/>
  <c r="AO83" i="1"/>
  <c r="X83" i="1"/>
  <c r="AO81" i="1"/>
  <c r="X81" i="1"/>
  <c r="AO61" i="1"/>
  <c r="X61" i="1"/>
  <c r="AO122" i="1"/>
  <c r="X122" i="1"/>
  <c r="AO97" i="1"/>
  <c r="X97" i="1"/>
  <c r="AO41" i="1"/>
  <c r="X41" i="1"/>
  <c r="AO126" i="1"/>
  <c r="X126" i="1"/>
  <c r="AO184" i="1"/>
  <c r="X184" i="1"/>
  <c r="AO16" i="1"/>
  <c r="X16" i="1"/>
  <c r="X53" i="1"/>
  <c r="AO53" i="1"/>
  <c r="AO101" i="1"/>
  <c r="X101" i="1"/>
  <c r="AO120" i="1"/>
  <c r="X120" i="1"/>
  <c r="AO30" i="1"/>
  <c r="X30" i="1"/>
  <c r="AO150" i="1"/>
  <c r="X150" i="1"/>
  <c r="X143" i="1"/>
  <c r="AO143" i="1"/>
  <c r="AO129" i="1"/>
  <c r="X129" i="1"/>
  <c r="AO25" i="1"/>
  <c r="X25" i="1"/>
  <c r="AO127" i="1"/>
  <c r="X127" i="1"/>
  <c r="AO117" i="1"/>
  <c r="X117" i="1"/>
  <c r="AO10" i="1"/>
  <c r="X10" i="1"/>
  <c r="AO189" i="1"/>
  <c r="X189" i="1"/>
  <c r="AO134" i="1"/>
  <c r="X134" i="1"/>
  <c r="X32" i="1"/>
  <c r="AO32" i="1"/>
  <c r="AO51" i="1"/>
  <c r="X51" i="1"/>
  <c r="AO156" i="1"/>
  <c r="X156" i="1"/>
  <c r="AO42" i="1"/>
  <c r="X42" i="1"/>
  <c r="AO141" i="1"/>
  <c r="X141" i="1"/>
  <c r="AO2" i="1"/>
  <c r="X2" i="1"/>
  <c r="AO181" i="1"/>
  <c r="X181" i="1"/>
  <c r="AO37" i="1"/>
  <c r="X37" i="1"/>
  <c r="AP187" i="1"/>
  <c r="Y187" i="1"/>
  <c r="AP15" i="1"/>
  <c r="Y15" i="1"/>
  <c r="AP161" i="1"/>
  <c r="Y161" i="1"/>
  <c r="AP135" i="1"/>
  <c r="Y135" i="1"/>
  <c r="AP106" i="1"/>
  <c r="AP74" i="1"/>
  <c r="AP162" i="1"/>
  <c r="Y162" i="1"/>
  <c r="AP103" i="1"/>
  <c r="AP75" i="1"/>
  <c r="Y75" i="1"/>
  <c r="AP182" i="1"/>
  <c r="AP11" i="1"/>
  <c r="Y11" i="1"/>
  <c r="AP54" i="1"/>
  <c r="AP113" i="1"/>
  <c r="Y113" i="1"/>
  <c r="AP87" i="1"/>
  <c r="AP84" i="1"/>
  <c r="Y84" i="1"/>
  <c r="AP172" i="1"/>
  <c r="AP94" i="1"/>
  <c r="Y94" i="1"/>
  <c r="AP28" i="1"/>
  <c r="Y28" i="1"/>
  <c r="AP105" i="1"/>
  <c r="AP5" i="1"/>
  <c r="Y5" i="1"/>
  <c r="AP45" i="1"/>
  <c r="AP68" i="1"/>
  <c r="Y68" i="1"/>
  <c r="AP57" i="1"/>
  <c r="AP180" i="1"/>
  <c r="Y180" i="1"/>
  <c r="AP49" i="1"/>
  <c r="AP18" i="1"/>
  <c r="Y18" i="1"/>
  <c r="AP136" i="1"/>
  <c r="AP185" i="1"/>
  <c r="Y185" i="1"/>
  <c r="AP63" i="1"/>
  <c r="AP175" i="1"/>
  <c r="Y175" i="1"/>
  <c r="AP66" i="1"/>
  <c r="AP108" i="1"/>
  <c r="Y108" i="1"/>
  <c r="AP115" i="1"/>
  <c r="AP163" i="1"/>
  <c r="Y163" i="1"/>
  <c r="AP119" i="1"/>
  <c r="AP116" i="1"/>
  <c r="Y116" i="1"/>
  <c r="AP22" i="1"/>
  <c r="AP166" i="1"/>
  <c r="AP188" i="1"/>
  <c r="Y188" i="1"/>
  <c r="AP56" i="1"/>
  <c r="Y56" i="1"/>
  <c r="AP80" i="1"/>
  <c r="AP160" i="1"/>
  <c r="Y160" i="1"/>
  <c r="AP82" i="1"/>
  <c r="Y82" i="1"/>
  <c r="AP174" i="1"/>
  <c r="Y174" i="1"/>
  <c r="AQ85" i="1"/>
  <c r="Z85" i="1"/>
  <c r="AQ12" i="1"/>
  <c r="Z12" i="1"/>
  <c r="AQ169" i="1"/>
  <c r="Z169" i="1"/>
  <c r="AQ132" i="1"/>
  <c r="Z132" i="1"/>
  <c r="AQ9" i="1"/>
  <c r="Z9" i="1"/>
  <c r="AQ165" i="1"/>
  <c r="Z165" i="1"/>
  <c r="AQ144" i="1"/>
  <c r="Z144" i="1"/>
  <c r="AQ19" i="1"/>
  <c r="Z19" i="1"/>
  <c r="AQ3" i="1"/>
  <c r="Z3" i="1"/>
  <c r="AQ76" i="1"/>
  <c r="Z76" i="1"/>
  <c r="AQ95" i="1"/>
  <c r="Z95" i="1"/>
  <c r="AQ93" i="1"/>
  <c r="Z93" i="1"/>
  <c r="AQ139" i="1"/>
  <c r="Z139" i="1"/>
  <c r="AQ83" i="1"/>
  <c r="Z83" i="1"/>
  <c r="AQ81" i="1"/>
  <c r="Z81" i="1"/>
  <c r="AQ61" i="1"/>
  <c r="Z61" i="1"/>
  <c r="AQ110" i="1"/>
  <c r="Z110" i="1"/>
  <c r="AQ122" i="1"/>
  <c r="Z122" i="1"/>
  <c r="AQ97" i="1"/>
  <c r="Z97" i="1"/>
  <c r="AQ41" i="1"/>
  <c r="Z41" i="1"/>
  <c r="AQ126" i="1"/>
  <c r="Z126" i="1"/>
  <c r="AQ184" i="1"/>
  <c r="Z184" i="1"/>
  <c r="AQ16" i="1"/>
  <c r="Z16" i="1"/>
  <c r="AQ53" i="1"/>
  <c r="Z53" i="1"/>
  <c r="AQ101" i="1"/>
  <c r="Z101" i="1"/>
  <c r="AQ120" i="1"/>
  <c r="Z120" i="1"/>
  <c r="AQ30" i="1"/>
  <c r="Z30" i="1"/>
  <c r="AQ150" i="1"/>
  <c r="Z150" i="1"/>
  <c r="AQ143" i="1"/>
  <c r="Z143" i="1"/>
  <c r="AQ129" i="1"/>
  <c r="Z129" i="1"/>
  <c r="AQ25" i="1"/>
  <c r="Z25" i="1"/>
  <c r="AQ127" i="1"/>
  <c r="Z127" i="1"/>
  <c r="AQ117" i="1"/>
  <c r="Z117" i="1"/>
  <c r="AQ10" i="1"/>
  <c r="Z10" i="1"/>
  <c r="AQ189" i="1"/>
  <c r="Z189" i="1"/>
  <c r="AQ134" i="1"/>
  <c r="Z134" i="1"/>
  <c r="AQ32" i="1"/>
  <c r="Z32" i="1"/>
  <c r="AQ51" i="1"/>
  <c r="Z51" i="1"/>
  <c r="AQ156" i="1"/>
  <c r="Z156" i="1"/>
  <c r="AQ42" i="1"/>
  <c r="Z42" i="1"/>
  <c r="AQ141" i="1"/>
  <c r="Z141" i="1"/>
  <c r="AQ2" i="1"/>
  <c r="Z2" i="1"/>
  <c r="AQ181" i="1"/>
  <c r="Z181" i="1"/>
  <c r="AQ37" i="1"/>
  <c r="Z37" i="1"/>
  <c r="AQ60" i="1"/>
  <c r="Z60" i="1"/>
  <c r="Y142" i="1"/>
  <c r="Y103" i="1"/>
  <c r="Y172" i="1"/>
  <c r="Y57" i="1"/>
  <c r="Y66" i="1"/>
  <c r="Y166" i="1"/>
  <c r="AO121" i="1"/>
  <c r="AN4" i="1"/>
  <c r="W4" i="1"/>
  <c r="W73" i="1"/>
  <c r="W26" i="1"/>
  <c r="AN26" i="1"/>
  <c r="AN149" i="1"/>
  <c r="W149" i="1"/>
  <c r="AN21" i="1"/>
  <c r="W21" i="1"/>
  <c r="W140" i="1"/>
  <c r="W55" i="1"/>
  <c r="AN55" i="1"/>
  <c r="AN47" i="1"/>
  <c r="W47" i="1"/>
  <c r="AN104" i="1"/>
  <c r="W104" i="1"/>
  <c r="W133" i="1"/>
  <c r="W168" i="1"/>
  <c r="AN168" i="1"/>
  <c r="AN17" i="1"/>
  <c r="W17" i="1"/>
  <c r="AN145" i="1"/>
  <c r="W145" i="1"/>
  <c r="W91" i="1"/>
  <c r="AN91" i="1"/>
  <c r="AN8" i="1"/>
  <c r="W8" i="1"/>
  <c r="AN34" i="1"/>
  <c r="W34" i="1"/>
  <c r="AN179" i="1"/>
  <c r="W179" i="1"/>
  <c r="AN130" i="1"/>
  <c r="W130" i="1"/>
  <c r="AN158" i="1"/>
  <c r="W158" i="1"/>
  <c r="AN24" i="1"/>
  <c r="W24" i="1"/>
  <c r="AN23" i="1"/>
  <c r="W23" i="1"/>
  <c r="AN128" i="1"/>
  <c r="W128" i="1"/>
  <c r="AN48" i="1"/>
  <c r="W48" i="1"/>
  <c r="AN50" i="1"/>
  <c r="W50" i="1"/>
  <c r="AN153" i="1"/>
  <c r="W153" i="1"/>
  <c r="AN7" i="1"/>
  <c r="W7" i="1"/>
  <c r="AN40" i="1"/>
  <c r="W40" i="1"/>
  <c r="AN131" i="1"/>
  <c r="W131" i="1"/>
  <c r="AN159" i="1"/>
  <c r="W159" i="1"/>
  <c r="AN170" i="1"/>
  <c r="W170" i="1"/>
  <c r="AN98" i="1"/>
  <c r="W98" i="1"/>
  <c r="AN20" i="1"/>
  <c r="W20" i="1"/>
  <c r="AN96" i="1"/>
  <c r="W96" i="1"/>
  <c r="AN138" i="1"/>
  <c r="W138" i="1"/>
  <c r="AN102" i="1"/>
  <c r="W102" i="1"/>
  <c r="AN58" i="1"/>
  <c r="W58" i="1"/>
  <c r="AN86" i="1"/>
  <c r="W86" i="1"/>
  <c r="AN79" i="1"/>
  <c r="W79" i="1"/>
  <c r="AN148" i="1"/>
  <c r="W148" i="1"/>
  <c r="AN77" i="1"/>
  <c r="W77" i="1"/>
  <c r="AN164" i="1"/>
  <c r="W164" i="1"/>
  <c r="AN70" i="1"/>
  <c r="W70" i="1"/>
  <c r="AN88" i="1"/>
  <c r="W88" i="1"/>
  <c r="AN35" i="1"/>
  <c r="W35" i="1"/>
  <c r="AN39" i="1"/>
  <c r="W39" i="1"/>
  <c r="AN52" i="1"/>
  <c r="W52" i="1"/>
  <c r="AN65" i="1"/>
  <c r="W65" i="1"/>
  <c r="AO177" i="1"/>
  <c r="X177" i="1"/>
  <c r="AO38" i="1"/>
  <c r="AO43" i="1"/>
  <c r="AO72" i="1"/>
  <c r="AO111" i="1"/>
  <c r="AO59" i="1"/>
  <c r="AO154" i="1"/>
  <c r="AO109" i="1"/>
  <c r="AO123" i="1"/>
  <c r="AO13" i="1"/>
  <c r="AO155" i="1"/>
  <c r="AO33" i="1"/>
  <c r="AO90" i="1"/>
  <c r="AO186" i="1"/>
  <c r="AO36" i="1"/>
  <c r="AO27" i="1"/>
  <c r="AO157" i="1"/>
  <c r="AO167" i="1"/>
  <c r="AO112" i="1"/>
  <c r="AO6" i="1"/>
  <c r="AO100" i="1"/>
  <c r="AO190" i="1"/>
  <c r="AO147" i="1"/>
  <c r="AO125" i="1"/>
  <c r="AO99" i="1"/>
  <c r="AO176" i="1"/>
  <c r="AO146" i="1"/>
  <c r="AO29" i="1"/>
  <c r="AO124" i="1"/>
  <c r="AO14" i="1"/>
  <c r="AO67" i="1"/>
  <c r="AO151" i="1"/>
  <c r="X151" i="1"/>
  <c r="AO114" i="1"/>
  <c r="X114" i="1"/>
  <c r="AO173" i="1"/>
  <c r="X173" i="1"/>
  <c r="AO178" i="1"/>
  <c r="X178" i="1"/>
  <c r="AO107" i="1"/>
  <c r="X107" i="1"/>
  <c r="AO62" i="1"/>
  <c r="X62" i="1"/>
  <c r="AO46" i="1"/>
  <c r="X46" i="1"/>
  <c r="AO137" i="1"/>
  <c r="X137" i="1"/>
  <c r="AO92" i="1"/>
  <c r="X92" i="1"/>
  <c r="AO71" i="1"/>
  <c r="X71" i="1"/>
  <c r="AO152" i="1"/>
  <c r="X152" i="1"/>
  <c r="AO183" i="1"/>
  <c r="X183" i="1"/>
  <c r="AO31" i="1"/>
  <c r="X31" i="1"/>
  <c r="AO44" i="1"/>
  <c r="X44" i="1"/>
  <c r="AO118" i="1"/>
  <c r="X118" i="1"/>
  <c r="AO171" i="1"/>
  <c r="X171" i="1"/>
  <c r="AO78" i="1"/>
  <c r="X78" i="1"/>
  <c r="AP4" i="1"/>
  <c r="Y4" i="1"/>
  <c r="AP73" i="1"/>
  <c r="Y73" i="1"/>
  <c r="AP26" i="1"/>
  <c r="Y26" i="1"/>
  <c r="AP149" i="1"/>
  <c r="Y149" i="1"/>
  <c r="AP21" i="1"/>
  <c r="Y21" i="1"/>
  <c r="AP140" i="1"/>
  <c r="Y140" i="1"/>
  <c r="AP55" i="1"/>
  <c r="Y55" i="1"/>
  <c r="Y47" i="1"/>
  <c r="AP47" i="1"/>
  <c r="AP104" i="1"/>
  <c r="Y104" i="1"/>
  <c r="AP133" i="1"/>
  <c r="Y133" i="1"/>
  <c r="AP168" i="1"/>
  <c r="Y168" i="1"/>
  <c r="AP17" i="1"/>
  <c r="Y17" i="1"/>
  <c r="AP145" i="1"/>
  <c r="Y145" i="1"/>
  <c r="AP91" i="1"/>
  <c r="Y91" i="1"/>
  <c r="AP8" i="1"/>
  <c r="Y8" i="1"/>
  <c r="AP34" i="1"/>
  <c r="Y34" i="1"/>
  <c r="AP179" i="1"/>
  <c r="Y179" i="1"/>
  <c r="AP130" i="1"/>
  <c r="Y130" i="1"/>
  <c r="AP158" i="1"/>
  <c r="Y158" i="1"/>
  <c r="Y24" i="1"/>
  <c r="AP24" i="1"/>
  <c r="AP23" i="1"/>
  <c r="Y23" i="1"/>
  <c r="AP128" i="1"/>
  <c r="Y128" i="1"/>
  <c r="AP48" i="1"/>
  <c r="Y48" i="1"/>
  <c r="AP50" i="1"/>
  <c r="Y50" i="1"/>
  <c r="AP153" i="1"/>
  <c r="Y153" i="1"/>
  <c r="AP7" i="1"/>
  <c r="Y7" i="1"/>
  <c r="AP40" i="1"/>
  <c r="Y40" i="1"/>
  <c r="AP131" i="1"/>
  <c r="Y131" i="1"/>
  <c r="AP159" i="1"/>
  <c r="Y159" i="1"/>
  <c r="AP170" i="1"/>
  <c r="Y170" i="1"/>
  <c r="AP98" i="1"/>
  <c r="Y98" i="1"/>
  <c r="AP20" i="1"/>
  <c r="Y20" i="1"/>
  <c r="AP96" i="1"/>
  <c r="Y96" i="1"/>
  <c r="AP138" i="1"/>
  <c r="Y138" i="1"/>
  <c r="AP102" i="1"/>
  <c r="Y102" i="1"/>
  <c r="AP58" i="1"/>
  <c r="Y58" i="1"/>
  <c r="AP86" i="1"/>
  <c r="Y86" i="1"/>
  <c r="AP79" i="1"/>
  <c r="Y79" i="1"/>
  <c r="AP148" i="1"/>
  <c r="Y148" i="1"/>
  <c r="AP77" i="1"/>
  <c r="Y77" i="1"/>
  <c r="AP164" i="1"/>
  <c r="Y164" i="1"/>
  <c r="AP70" i="1"/>
  <c r="Y70" i="1"/>
  <c r="AP88" i="1"/>
  <c r="Y88" i="1"/>
  <c r="AP35" i="1"/>
  <c r="Y35" i="1"/>
  <c r="AP39" i="1"/>
  <c r="Y39" i="1"/>
  <c r="AP52" i="1"/>
  <c r="Y52" i="1"/>
  <c r="AP65" i="1"/>
  <c r="Y65" i="1"/>
  <c r="AQ177" i="1"/>
  <c r="AQ38" i="1"/>
  <c r="AQ43" i="1"/>
  <c r="Z43" i="1"/>
  <c r="AQ72" i="1"/>
  <c r="Z72" i="1"/>
  <c r="AQ111" i="1"/>
  <c r="Z111" i="1"/>
  <c r="AQ59" i="1"/>
  <c r="AQ121" i="1"/>
  <c r="Z121" i="1"/>
  <c r="AQ154" i="1"/>
  <c r="Z154" i="1"/>
  <c r="AQ109" i="1"/>
  <c r="Z109" i="1"/>
  <c r="AQ123" i="1"/>
  <c r="AQ13" i="1"/>
  <c r="Z13" i="1"/>
  <c r="AQ155" i="1"/>
  <c r="Z155" i="1"/>
  <c r="AQ33" i="1"/>
  <c r="Z33" i="1"/>
  <c r="AQ90" i="1"/>
  <c r="Z90" i="1"/>
  <c r="AQ186" i="1"/>
  <c r="Z186" i="1"/>
  <c r="AQ36" i="1"/>
  <c r="AQ27" i="1"/>
  <c r="Z27" i="1"/>
  <c r="AQ157" i="1"/>
  <c r="Z157" i="1"/>
  <c r="AQ167" i="1"/>
  <c r="Z167" i="1"/>
  <c r="AQ112" i="1"/>
  <c r="AQ6" i="1"/>
  <c r="Z6" i="1"/>
  <c r="AQ100" i="1"/>
  <c r="Z100" i="1"/>
  <c r="AQ190" i="1"/>
  <c r="Z190" i="1"/>
  <c r="AQ147" i="1"/>
  <c r="X43" i="1"/>
  <c r="X33" i="1"/>
  <c r="X27" i="1"/>
  <c r="X6" i="1"/>
  <c r="X125" i="1"/>
  <c r="X29" i="1"/>
  <c r="Y89" i="1"/>
  <c r="Y182" i="1"/>
  <c r="Y49" i="1"/>
  <c r="Y115" i="1"/>
  <c r="Y80" i="1"/>
  <c r="AN133" i="1"/>
  <c r="AO110" i="1"/>
  <c r="AN85" i="1"/>
  <c r="W85" i="1"/>
  <c r="AN12" i="1"/>
  <c r="W12" i="1"/>
  <c r="AN169" i="1"/>
  <c r="W169" i="1"/>
  <c r="AN132" i="1"/>
  <c r="W132" i="1"/>
  <c r="AN9" i="1"/>
  <c r="W9" i="1"/>
  <c r="AN165" i="1"/>
  <c r="W165" i="1"/>
  <c r="AN144" i="1"/>
  <c r="W144" i="1"/>
  <c r="AN19" i="1"/>
  <c r="W19" i="1"/>
  <c r="AN3" i="1"/>
  <c r="W3" i="1"/>
  <c r="AN76" i="1"/>
  <c r="W76" i="1"/>
  <c r="AN95" i="1"/>
  <c r="W95" i="1"/>
  <c r="AN93" i="1"/>
  <c r="W93" i="1"/>
  <c r="AN139" i="1"/>
  <c r="W139" i="1"/>
  <c r="AN83" i="1"/>
  <c r="W83" i="1"/>
  <c r="AN81" i="1"/>
  <c r="W81" i="1"/>
  <c r="AN61" i="1"/>
  <c r="W61" i="1"/>
  <c r="AN110" i="1"/>
  <c r="W110" i="1"/>
  <c r="AN122" i="1"/>
  <c r="W122" i="1"/>
  <c r="AN97" i="1"/>
  <c r="W97" i="1"/>
  <c r="AN41" i="1"/>
  <c r="W41" i="1"/>
  <c r="AN126" i="1"/>
  <c r="W126" i="1"/>
  <c r="AN184" i="1"/>
  <c r="W184" i="1"/>
  <c r="AN16" i="1"/>
  <c r="W16" i="1"/>
  <c r="AN53" i="1"/>
  <c r="W53" i="1"/>
  <c r="AN101" i="1"/>
  <c r="W101" i="1"/>
  <c r="AN120" i="1"/>
  <c r="W120" i="1"/>
  <c r="AN30" i="1"/>
  <c r="W30" i="1"/>
  <c r="AN150" i="1"/>
  <c r="W150" i="1"/>
  <c r="AN143" i="1"/>
  <c r="W143" i="1"/>
  <c r="AN129" i="1"/>
  <c r="W129" i="1"/>
  <c r="AN25" i="1"/>
  <c r="W25" i="1"/>
  <c r="AN127" i="1"/>
  <c r="W127" i="1"/>
  <c r="AN117" i="1"/>
  <c r="W117" i="1"/>
  <c r="AN10" i="1"/>
  <c r="W10" i="1"/>
  <c r="AN189" i="1"/>
  <c r="W189" i="1"/>
  <c r="AN134" i="1"/>
  <c r="W134" i="1"/>
  <c r="AN32" i="1"/>
  <c r="W32" i="1"/>
  <c r="AN51" i="1"/>
  <c r="W51" i="1"/>
  <c r="AN156" i="1"/>
  <c r="W156" i="1"/>
  <c r="AN42" i="1"/>
  <c r="W42" i="1"/>
  <c r="AN141" i="1"/>
  <c r="W141" i="1"/>
  <c r="AN2" i="1"/>
  <c r="W2" i="1"/>
  <c r="AN181" i="1"/>
  <c r="W181" i="1"/>
  <c r="AN37" i="1"/>
  <c r="W37" i="1"/>
  <c r="AN60" i="1"/>
  <c r="W60" i="1"/>
  <c r="AO64" i="1"/>
  <c r="X64" i="1"/>
  <c r="AO187" i="1"/>
  <c r="X187" i="1"/>
  <c r="AO69" i="1"/>
  <c r="X69" i="1"/>
  <c r="AO15" i="1"/>
  <c r="X15" i="1"/>
  <c r="AO142" i="1"/>
  <c r="X142" i="1"/>
  <c r="AO161" i="1"/>
  <c r="X161" i="1"/>
  <c r="AO89" i="1"/>
  <c r="X89" i="1"/>
  <c r="AO135" i="1"/>
  <c r="X135" i="1"/>
  <c r="AO106" i="1"/>
  <c r="X106" i="1"/>
  <c r="AO74" i="1"/>
  <c r="X74" i="1"/>
  <c r="AO162" i="1"/>
  <c r="X162" i="1"/>
  <c r="AO103" i="1"/>
  <c r="X103" i="1"/>
  <c r="AO75" i="1"/>
  <c r="X75" i="1"/>
  <c r="AO182" i="1"/>
  <c r="X182" i="1"/>
  <c r="AO11" i="1"/>
  <c r="X11" i="1"/>
  <c r="AO54" i="1"/>
  <c r="X54" i="1"/>
  <c r="AO113" i="1"/>
  <c r="X113" i="1"/>
  <c r="AO87" i="1"/>
  <c r="X87" i="1"/>
  <c r="AO84" i="1"/>
  <c r="X84" i="1"/>
  <c r="AO172" i="1"/>
  <c r="X172" i="1"/>
  <c r="AO94" i="1"/>
  <c r="X94" i="1"/>
  <c r="AO28" i="1"/>
  <c r="X28" i="1"/>
  <c r="AO105" i="1"/>
  <c r="X105" i="1"/>
  <c r="AO5" i="1"/>
  <c r="X5" i="1"/>
  <c r="AO45" i="1"/>
  <c r="X45" i="1"/>
  <c r="AO68" i="1"/>
  <c r="X68" i="1"/>
  <c r="AO57" i="1"/>
  <c r="X57" i="1"/>
  <c r="AO180" i="1"/>
  <c r="X180" i="1"/>
  <c r="AO49" i="1"/>
  <c r="X49" i="1"/>
  <c r="AO18" i="1"/>
  <c r="X18" i="1"/>
  <c r="AO136" i="1"/>
  <c r="X136" i="1"/>
  <c r="AO185" i="1"/>
  <c r="X185" i="1"/>
  <c r="AO63" i="1"/>
  <c r="X63" i="1"/>
  <c r="AO175" i="1"/>
  <c r="X175" i="1"/>
  <c r="AO66" i="1"/>
  <c r="X66" i="1"/>
  <c r="AO108" i="1"/>
  <c r="X108" i="1"/>
  <c r="AO115" i="1"/>
  <c r="X115" i="1"/>
  <c r="AO163" i="1"/>
  <c r="X163" i="1"/>
  <c r="AO119" i="1"/>
  <c r="X119" i="1"/>
  <c r="AO116" i="1"/>
  <c r="X116" i="1"/>
  <c r="AO22" i="1"/>
  <c r="X22" i="1"/>
  <c r="AO166" i="1"/>
  <c r="X166" i="1"/>
  <c r="AO188" i="1"/>
  <c r="X188" i="1"/>
  <c r="AO56" i="1"/>
  <c r="X56" i="1"/>
  <c r="AO80" i="1"/>
  <c r="X80" i="1"/>
  <c r="AO160" i="1"/>
  <c r="X160" i="1"/>
  <c r="AO82" i="1"/>
  <c r="X82" i="1"/>
  <c r="AO174" i="1"/>
  <c r="X174" i="1"/>
  <c r="AP85" i="1"/>
  <c r="Y85" i="1"/>
  <c r="AP12" i="1"/>
  <c r="Y12" i="1"/>
  <c r="AP169" i="1"/>
  <c r="Y169" i="1"/>
  <c r="AP132" i="1"/>
  <c r="Y132" i="1"/>
  <c r="AP9" i="1"/>
  <c r="Y9" i="1"/>
  <c r="AP165" i="1"/>
  <c r="Y165" i="1"/>
  <c r="AP144" i="1"/>
  <c r="Y144" i="1"/>
  <c r="AP19" i="1"/>
  <c r="Y19" i="1"/>
  <c r="AP3" i="1"/>
  <c r="Y3" i="1"/>
  <c r="AP76" i="1"/>
  <c r="Y76" i="1"/>
  <c r="AP95" i="1"/>
  <c r="Y95" i="1"/>
  <c r="AP93" i="1"/>
  <c r="Y93" i="1"/>
  <c r="AP139" i="1"/>
  <c r="Y139" i="1"/>
  <c r="AP83" i="1"/>
  <c r="Y83" i="1"/>
  <c r="AP81" i="1"/>
  <c r="Y81" i="1"/>
  <c r="AP61" i="1"/>
  <c r="Y61" i="1"/>
  <c r="AP110" i="1"/>
  <c r="Y110" i="1"/>
  <c r="AP122" i="1"/>
  <c r="Y122" i="1"/>
  <c r="AP97" i="1"/>
  <c r="Y97" i="1"/>
  <c r="AP41" i="1"/>
  <c r="Y41" i="1"/>
  <c r="AP126" i="1"/>
  <c r="Y126" i="1"/>
  <c r="AP184" i="1"/>
  <c r="Y184" i="1"/>
  <c r="AP16" i="1"/>
  <c r="Y16" i="1"/>
  <c r="Y53" i="1"/>
  <c r="AP53" i="1"/>
  <c r="AP101" i="1"/>
  <c r="Y101" i="1"/>
  <c r="AP120" i="1"/>
  <c r="Y120" i="1"/>
  <c r="AP30" i="1"/>
  <c r="Y30" i="1"/>
  <c r="AP150" i="1"/>
  <c r="Y150" i="1"/>
  <c r="AP143" i="1"/>
  <c r="Y143" i="1"/>
  <c r="AP129" i="1"/>
  <c r="Y129" i="1"/>
  <c r="AP25" i="1"/>
  <c r="Y25" i="1"/>
  <c r="AP127" i="1"/>
  <c r="Y127" i="1"/>
  <c r="AP117" i="1"/>
  <c r="Y117" i="1"/>
  <c r="AP10" i="1"/>
  <c r="Y10" i="1"/>
  <c r="AP189" i="1"/>
  <c r="Y189" i="1"/>
  <c r="AP134" i="1"/>
  <c r="Y134" i="1"/>
  <c r="AP32" i="1"/>
  <c r="Y32" i="1"/>
  <c r="AP51" i="1"/>
  <c r="Y51" i="1"/>
  <c r="AP156" i="1"/>
  <c r="Y156" i="1"/>
  <c r="AP42" i="1"/>
  <c r="Y42" i="1"/>
  <c r="AP141" i="1"/>
  <c r="Y141" i="1"/>
  <c r="AP2" i="1"/>
  <c r="Y2" i="1"/>
  <c r="AP181" i="1"/>
  <c r="Y181" i="1"/>
  <c r="AP37" i="1"/>
  <c r="Y37" i="1"/>
  <c r="Y60" i="1"/>
  <c r="AP60" i="1"/>
  <c r="AQ64" i="1"/>
  <c r="Z64" i="1"/>
  <c r="AQ187" i="1"/>
  <c r="Z187" i="1"/>
  <c r="AQ69" i="1"/>
  <c r="Z69" i="1"/>
  <c r="AQ15" i="1"/>
  <c r="Z15" i="1"/>
  <c r="AQ142" i="1"/>
  <c r="Z142" i="1"/>
  <c r="AQ161" i="1"/>
  <c r="Z161" i="1"/>
  <c r="AQ89" i="1"/>
  <c r="Z89" i="1"/>
  <c r="AQ135" i="1"/>
  <c r="Z135" i="1"/>
  <c r="AQ106" i="1"/>
  <c r="Z106" i="1"/>
  <c r="AQ74" i="1"/>
  <c r="Z74" i="1"/>
  <c r="AQ162" i="1"/>
  <c r="Z162" i="1"/>
  <c r="AQ103" i="1"/>
  <c r="Z103" i="1"/>
  <c r="AQ75" i="1"/>
  <c r="Z75" i="1"/>
  <c r="AQ182" i="1"/>
  <c r="Z182" i="1"/>
  <c r="AQ11" i="1"/>
  <c r="Z11" i="1"/>
  <c r="AQ54" i="1"/>
  <c r="Z54" i="1"/>
  <c r="AQ113" i="1"/>
  <c r="Z113" i="1"/>
  <c r="AQ87" i="1"/>
  <c r="Z87" i="1"/>
  <c r="AQ84" i="1"/>
  <c r="Z84" i="1"/>
  <c r="AQ172" i="1"/>
  <c r="Z172" i="1"/>
  <c r="AQ94" i="1"/>
  <c r="Z94" i="1"/>
  <c r="AQ28" i="1"/>
  <c r="Z28" i="1"/>
  <c r="X72" i="1"/>
  <c r="X154" i="1"/>
  <c r="X13" i="1"/>
  <c r="X90" i="1"/>
  <c r="X157" i="1"/>
  <c r="X100" i="1"/>
  <c r="X99" i="1"/>
  <c r="X124" i="1"/>
  <c r="Y64" i="1"/>
  <c r="Y106" i="1"/>
  <c r="Y54" i="1"/>
  <c r="Y105" i="1"/>
  <c r="Y136" i="1"/>
  <c r="Y119" i="1"/>
  <c r="Z38" i="1"/>
  <c r="Z36" i="1"/>
  <c r="AO60" i="1"/>
  <c r="AQ125" i="1"/>
  <c r="AQ99" i="1"/>
  <c r="AQ176" i="1"/>
  <c r="AQ146" i="1"/>
  <c r="AQ29" i="1"/>
  <c r="AQ124" i="1"/>
  <c r="AQ14" i="1"/>
  <c r="AQ67" i="1"/>
  <c r="AQ151" i="1"/>
  <c r="AQ114" i="1"/>
  <c r="AQ173" i="1"/>
  <c r="AQ178" i="1"/>
  <c r="AQ107" i="1"/>
  <c r="AQ62" i="1"/>
  <c r="AQ46" i="1"/>
  <c r="AQ137" i="1"/>
  <c r="AQ92" i="1"/>
  <c r="AQ71" i="1"/>
  <c r="AQ152" i="1"/>
  <c r="AQ183" i="1"/>
  <c r="AQ31" i="1"/>
  <c r="AQ44" i="1"/>
  <c r="AQ118" i="1"/>
  <c r="AQ171" i="1"/>
  <c r="AQ78" i="1"/>
  <c r="Z125" i="1"/>
  <c r="Z29" i="1"/>
  <c r="Z151" i="1"/>
  <c r="Z107" i="1"/>
  <c r="Z183" i="1"/>
  <c r="Z171" i="1"/>
  <c r="AQ105" i="1"/>
  <c r="Z105" i="1"/>
  <c r="AQ5" i="1"/>
  <c r="Z5" i="1"/>
  <c r="AQ45" i="1"/>
  <c r="Z45" i="1"/>
  <c r="AQ68" i="1"/>
  <c r="Z68" i="1"/>
  <c r="AQ57" i="1"/>
  <c r="Z57" i="1"/>
  <c r="AQ180" i="1"/>
  <c r="Z180" i="1"/>
  <c r="AQ49" i="1"/>
  <c r="Z49" i="1"/>
  <c r="AQ18" i="1"/>
  <c r="Z18" i="1"/>
  <c r="AQ136" i="1"/>
  <c r="Z136" i="1"/>
  <c r="AQ185" i="1"/>
  <c r="Z185" i="1"/>
  <c r="AQ63" i="1"/>
  <c r="Z63" i="1"/>
  <c r="AQ175" i="1"/>
  <c r="Z175" i="1"/>
  <c r="AQ66" i="1"/>
  <c r="Z66" i="1"/>
  <c r="AQ108" i="1"/>
  <c r="Z108" i="1"/>
  <c r="AQ115" i="1"/>
  <c r="Z115" i="1"/>
  <c r="AQ163" i="1"/>
  <c r="Z163" i="1"/>
  <c r="AQ119" i="1"/>
  <c r="Z119" i="1"/>
  <c r="AQ116" i="1"/>
  <c r="Z116" i="1"/>
  <c r="AQ22" i="1"/>
  <c r="Z22" i="1"/>
  <c r="AQ166" i="1"/>
  <c r="Z166" i="1"/>
  <c r="AQ188" i="1"/>
  <c r="Z188" i="1"/>
  <c r="AQ56" i="1"/>
  <c r="Z56" i="1"/>
  <c r="AQ80" i="1"/>
  <c r="Z80" i="1"/>
  <c r="AQ160" i="1"/>
  <c r="Z160" i="1"/>
  <c r="AQ82" i="1"/>
  <c r="Z82" i="1"/>
  <c r="AQ174" i="1"/>
  <c r="Z174" i="1"/>
  <c r="Z99" i="1"/>
  <c r="Z124" i="1"/>
  <c r="Z114" i="1"/>
  <c r="Z62" i="1"/>
  <c r="Z92" i="1"/>
  <c r="Z31" i="1"/>
  <c r="Z78" i="1"/>
  <c r="AQ8" i="1"/>
  <c r="Z8" i="1"/>
  <c r="AQ34" i="1"/>
  <c r="Z34" i="1"/>
  <c r="AQ179" i="1"/>
  <c r="Z179" i="1"/>
  <c r="AQ130" i="1"/>
  <c r="Z130" i="1"/>
  <c r="AQ158" i="1"/>
  <c r="Z158" i="1"/>
  <c r="AQ24" i="1"/>
  <c r="Z24" i="1"/>
  <c r="AQ23" i="1"/>
  <c r="Z23" i="1"/>
  <c r="AQ128" i="1"/>
  <c r="Z128" i="1"/>
  <c r="AQ48" i="1"/>
  <c r="Z48" i="1"/>
  <c r="AQ50" i="1"/>
  <c r="Z50" i="1"/>
  <c r="AQ153" i="1"/>
  <c r="Z153" i="1"/>
  <c r="AQ7" i="1"/>
  <c r="Z7" i="1"/>
  <c r="AQ40" i="1"/>
  <c r="Z40" i="1"/>
  <c r="AQ131" i="1"/>
  <c r="Z131" i="1"/>
  <c r="AQ159" i="1"/>
  <c r="Z159" i="1"/>
  <c r="AQ170" i="1"/>
  <c r="Z170" i="1"/>
  <c r="AQ98" i="1"/>
  <c r="Z98" i="1"/>
  <c r="AQ20" i="1"/>
  <c r="Z20" i="1"/>
  <c r="AQ96" i="1"/>
  <c r="Z96" i="1"/>
  <c r="AQ138" i="1"/>
  <c r="Z138" i="1"/>
  <c r="AQ102" i="1"/>
  <c r="Z102" i="1"/>
  <c r="AQ58" i="1"/>
  <c r="Z58" i="1"/>
  <c r="AQ86" i="1"/>
  <c r="Z86" i="1"/>
  <c r="AQ79" i="1"/>
  <c r="Z79" i="1"/>
  <c r="AQ148" i="1"/>
  <c r="Z148" i="1"/>
  <c r="AQ77" i="1"/>
  <c r="Z77" i="1"/>
  <c r="AQ164" i="1"/>
  <c r="Z164" i="1"/>
  <c r="AQ70" i="1"/>
  <c r="Z70" i="1"/>
  <c r="AQ88" i="1"/>
  <c r="Z88" i="1"/>
  <c r="AQ35" i="1"/>
  <c r="Z35" i="1"/>
  <c r="AQ39" i="1"/>
  <c r="Z39" i="1"/>
  <c r="AQ52" i="1"/>
  <c r="Z52" i="1"/>
  <c r="AQ65" i="1"/>
  <c r="Z65" i="1"/>
  <c r="Z176" i="1"/>
  <c r="Z14" i="1"/>
  <c r="Z173" i="1"/>
  <c r="Z46" i="1"/>
  <c r="Z71" i="1"/>
  <c r="Z44" i="1"/>
  <c r="AJ143" i="1"/>
  <c r="E177" i="1"/>
  <c r="N177" i="1" s="1"/>
  <c r="E78" i="1"/>
  <c r="N78" i="1" s="1"/>
  <c r="E65" i="1"/>
  <c r="N65" i="1" s="1"/>
  <c r="E82" i="1"/>
  <c r="N82" i="1" s="1"/>
  <c r="E171" i="1"/>
  <c r="N171" i="1" s="1"/>
  <c r="E37" i="1"/>
  <c r="N37" i="1" s="1"/>
  <c r="E160" i="1"/>
  <c r="N160" i="1" s="1"/>
  <c r="E118" i="1"/>
  <c r="N118" i="1" s="1"/>
  <c r="E181" i="1"/>
  <c r="N181" i="1" s="1"/>
  <c r="E80" i="1"/>
  <c r="N80" i="1" s="1"/>
  <c r="E44" i="1"/>
  <c r="N44" i="1" s="1"/>
  <c r="E2" i="1"/>
  <c r="N2" i="1" s="1"/>
  <c r="E39" i="1"/>
  <c r="N39" i="1" s="1"/>
  <c r="E56" i="1"/>
  <c r="N56" i="1" s="1"/>
  <c r="E31" i="1"/>
  <c r="N31" i="1" s="1"/>
  <c r="E141" i="1"/>
  <c r="N141" i="1" s="1"/>
  <c r="E42" i="1"/>
  <c r="N42" i="1" s="1"/>
  <c r="E166" i="1"/>
  <c r="N166" i="1" s="1"/>
  <c r="E152" i="1"/>
  <c r="N152" i="1" s="1"/>
  <c r="E156" i="1"/>
  <c r="N156" i="1" s="1"/>
  <c r="E88" i="1"/>
  <c r="N88" i="1" s="1"/>
  <c r="E51" i="1"/>
  <c r="N51" i="1" s="1"/>
  <c r="E70" i="1"/>
  <c r="N70" i="1" s="1"/>
  <c r="E92" i="1"/>
  <c r="N92" i="1" s="1"/>
  <c r="E32" i="1"/>
  <c r="N32" i="1" s="1"/>
  <c r="E116" i="1"/>
  <c r="N116" i="1" s="1"/>
  <c r="E134" i="1"/>
  <c r="N134" i="1" s="1"/>
  <c r="E77" i="1"/>
  <c r="N77" i="1" s="1"/>
  <c r="E119" i="1"/>
  <c r="N119" i="1" s="1"/>
  <c r="E137" i="1"/>
  <c r="N137" i="1" s="1"/>
  <c r="E148" i="1"/>
  <c r="N148" i="1" s="1"/>
  <c r="E163" i="1"/>
  <c r="N163" i="1" s="1"/>
  <c r="E46" i="1"/>
  <c r="N46" i="1" s="1"/>
  <c r="E10" i="1"/>
  <c r="N10" i="1" s="1"/>
  <c r="E79" i="1"/>
  <c r="N79" i="1" s="1"/>
  <c r="E115" i="1"/>
  <c r="N115" i="1" s="1"/>
  <c r="E62" i="1"/>
  <c r="N62" i="1" s="1"/>
  <c r="E117" i="1"/>
  <c r="N117" i="1" s="1"/>
  <c r="E108" i="1"/>
  <c r="N108" i="1" s="1"/>
  <c r="E107" i="1"/>
  <c r="N107" i="1" s="1"/>
  <c r="E86" i="1"/>
  <c r="N86" i="1" s="1"/>
  <c r="E66" i="1"/>
  <c r="N66" i="1" s="1"/>
  <c r="E178" i="1"/>
  <c r="N178" i="1" s="1"/>
  <c r="E25" i="1"/>
  <c r="N25" i="1" s="1"/>
  <c r="N58" i="1"/>
  <c r="E175" i="1"/>
  <c r="N175" i="1" s="1"/>
  <c r="E173" i="1"/>
  <c r="N173" i="1" s="1"/>
  <c r="E129" i="1"/>
  <c r="N129" i="1" s="1"/>
  <c r="E63" i="1"/>
  <c r="N63" i="1" s="1"/>
  <c r="E114" i="1"/>
  <c r="N114" i="1" s="1"/>
  <c r="E138" i="1"/>
  <c r="N138" i="1" s="1"/>
  <c r="E185" i="1"/>
  <c r="N185" i="1" s="1"/>
  <c r="E151" i="1"/>
  <c r="N151" i="1" s="1"/>
  <c r="E96" i="1"/>
  <c r="N96" i="1" s="1"/>
  <c r="E136" i="1"/>
  <c r="N136" i="1" s="1"/>
  <c r="E67" i="1"/>
  <c r="N67" i="1" s="1"/>
  <c r="E20" i="1"/>
  <c r="N20" i="1" s="1"/>
  <c r="E18" i="1"/>
  <c r="N18" i="1" s="1"/>
  <c r="E14" i="1"/>
  <c r="N14" i="1" s="1"/>
  <c r="E150" i="1"/>
  <c r="N150" i="1" s="1"/>
  <c r="E98" i="1"/>
  <c r="N98" i="1" s="1"/>
  <c r="E30" i="1"/>
  <c r="N30" i="1" s="1"/>
  <c r="E170" i="1"/>
  <c r="N170" i="1" s="1"/>
  <c r="E180" i="1"/>
  <c r="N180" i="1" s="1"/>
  <c r="E120" i="1"/>
  <c r="N120" i="1" s="1"/>
  <c r="E146" i="1"/>
  <c r="N146" i="1" s="1"/>
  <c r="E68" i="1"/>
  <c r="N68" i="1" s="1"/>
  <c r="E176" i="1"/>
  <c r="N176" i="1" s="1"/>
  <c r="E101" i="1"/>
  <c r="N101" i="1" s="1"/>
  <c r="E40" i="1"/>
  <c r="N40" i="1" s="1"/>
  <c r="E45" i="1"/>
  <c r="N45" i="1" s="1"/>
  <c r="E99" i="1"/>
  <c r="N99" i="1" s="1"/>
  <c r="E53" i="1"/>
  <c r="N53" i="1" s="1"/>
  <c r="E125" i="1"/>
  <c r="N125" i="1" s="1"/>
  <c r="E153" i="1"/>
  <c r="N153" i="1" s="1"/>
  <c r="E28" i="1"/>
  <c r="N28" i="1" s="1"/>
  <c r="E190" i="1"/>
  <c r="N190" i="1" s="1"/>
  <c r="E184" i="1"/>
  <c r="N184" i="1" s="1"/>
  <c r="E48" i="1"/>
  <c r="N48" i="1" s="1"/>
  <c r="E100" i="1"/>
  <c r="N100" i="1" s="1"/>
  <c r="E126" i="1"/>
  <c r="N126" i="1" s="1"/>
  <c r="E128" i="1"/>
  <c r="N128" i="1" s="1"/>
  <c r="E94" i="1"/>
  <c r="N94" i="1" s="1"/>
  <c r="E6" i="1"/>
  <c r="N6" i="1" s="1"/>
  <c r="E41" i="1"/>
  <c r="N41" i="1" s="1"/>
  <c r="E23" i="1"/>
  <c r="N23" i="1" s="1"/>
  <c r="E172" i="1"/>
  <c r="N172" i="1" s="1"/>
  <c r="E112" i="1"/>
  <c r="N112" i="1" s="1"/>
  <c r="E97" i="1"/>
  <c r="N97" i="1" s="1"/>
  <c r="E24" i="1"/>
  <c r="N24" i="1" s="1"/>
  <c r="E84" i="1"/>
  <c r="N84" i="1" s="1"/>
  <c r="E167" i="1"/>
  <c r="N167" i="1" s="1"/>
  <c r="E122" i="1"/>
  <c r="N122" i="1" s="1"/>
  <c r="E158" i="1"/>
  <c r="N158" i="1" s="1"/>
  <c r="E87" i="1"/>
  <c r="N87" i="1" s="1"/>
  <c r="E157" i="1"/>
  <c r="N157" i="1" s="1"/>
  <c r="E110" i="1"/>
  <c r="N110" i="1" s="1"/>
  <c r="E130" i="1"/>
  <c r="N130" i="1" s="1"/>
  <c r="E113" i="1"/>
  <c r="N113" i="1" s="1"/>
  <c r="E54" i="1"/>
  <c r="N54" i="1" s="1"/>
  <c r="E36" i="1"/>
  <c r="N36" i="1" s="1"/>
  <c r="E81" i="1"/>
  <c r="N81" i="1" s="1"/>
  <c r="E34" i="1"/>
  <c r="N34" i="1" s="1"/>
  <c r="E186" i="1"/>
  <c r="N186" i="1" s="1"/>
  <c r="E83" i="1"/>
  <c r="N83" i="1" s="1"/>
  <c r="E8" i="1"/>
  <c r="N8" i="1" s="1"/>
  <c r="E182" i="1"/>
  <c r="N182" i="1" s="1"/>
  <c r="E90" i="1"/>
  <c r="N90" i="1" s="1"/>
  <c r="E91" i="1"/>
  <c r="N91" i="1" s="1"/>
  <c r="E75" i="1"/>
  <c r="N75" i="1" s="1"/>
  <c r="E93" i="1"/>
  <c r="N93" i="1" s="1"/>
  <c r="E103" i="1"/>
  <c r="N103" i="1" s="1"/>
  <c r="E95" i="1"/>
  <c r="N95" i="1" s="1"/>
  <c r="E145" i="1"/>
  <c r="N145" i="1" s="1"/>
  <c r="E162" i="1"/>
  <c r="N162" i="1" s="1"/>
  <c r="E155" i="1"/>
  <c r="N155" i="1" s="1"/>
  <c r="E17" i="1"/>
  <c r="N17" i="1" s="1"/>
  <c r="E74" i="1"/>
  <c r="N74" i="1" s="1"/>
  <c r="E76" i="1"/>
  <c r="N76" i="1" s="1"/>
  <c r="E168" i="1"/>
  <c r="N168" i="1" s="1"/>
  <c r="E133" i="1"/>
  <c r="N133" i="1" s="1"/>
  <c r="E106" i="1"/>
  <c r="N106" i="1" s="1"/>
  <c r="E123" i="1"/>
  <c r="N123" i="1" s="1"/>
  <c r="E104" i="1"/>
  <c r="N104" i="1" s="1"/>
  <c r="E135" i="1"/>
  <c r="N135" i="1" s="1"/>
  <c r="E109" i="1"/>
  <c r="N109" i="1" s="1"/>
  <c r="E47" i="1"/>
  <c r="N47" i="1" s="1"/>
  <c r="E154" i="1"/>
  <c r="N154" i="1" s="1"/>
  <c r="E144" i="1"/>
  <c r="N144" i="1" s="1"/>
  <c r="E55" i="1"/>
  <c r="N55" i="1" s="1"/>
  <c r="E161" i="1"/>
  <c r="N161" i="1" s="1"/>
  <c r="E121" i="1"/>
  <c r="N121" i="1" s="1"/>
  <c r="E140" i="1"/>
  <c r="N140" i="1" s="1"/>
  <c r="E142" i="1"/>
  <c r="N142" i="1" s="1"/>
  <c r="E15" i="1"/>
  <c r="N15" i="1" s="1"/>
  <c r="E111" i="1"/>
  <c r="N111" i="1" s="1"/>
  <c r="E132" i="1"/>
  <c r="N132" i="1" s="1"/>
  <c r="E149" i="1"/>
  <c r="N149" i="1" s="1"/>
  <c r="E69" i="1"/>
  <c r="N69" i="1" s="1"/>
  <c r="E72" i="1"/>
  <c r="N72" i="1" s="1"/>
  <c r="E169" i="1"/>
  <c r="N169" i="1" s="1"/>
  <c r="E26" i="1"/>
  <c r="N26" i="1" s="1"/>
  <c r="E43" i="1"/>
  <c r="N43" i="1" s="1"/>
  <c r="E73" i="1"/>
  <c r="N73" i="1" s="1"/>
  <c r="E64" i="1"/>
  <c r="N64" i="1" s="1"/>
  <c r="E38" i="1"/>
  <c r="N38" i="1" s="1"/>
  <c r="E85" i="1"/>
  <c r="N85" i="1" s="1"/>
  <c r="AK85" i="1" l="1"/>
  <c r="AK12" i="1"/>
  <c r="AK169" i="1"/>
  <c r="AM4" i="1"/>
  <c r="AM73" i="1"/>
  <c r="AM26" i="1"/>
  <c r="AM149" i="1"/>
  <c r="AM21" i="1"/>
  <c r="AM140" i="1"/>
  <c r="AM55" i="1"/>
  <c r="AM47" i="1"/>
  <c r="AM104" i="1"/>
  <c r="AM133" i="1"/>
  <c r="AM168" i="1"/>
  <c r="AM17" i="1"/>
  <c r="AM145" i="1"/>
  <c r="AM91" i="1"/>
  <c r="AM8" i="1"/>
  <c r="AM34" i="1"/>
  <c r="AM179" i="1"/>
  <c r="AM130" i="1"/>
  <c r="AM158" i="1"/>
  <c r="AM24" i="1"/>
  <c r="AM23" i="1"/>
  <c r="AM128" i="1"/>
  <c r="AM48" i="1"/>
  <c r="AM50" i="1"/>
  <c r="AM153" i="1"/>
  <c r="AM7" i="1"/>
  <c r="AM40" i="1"/>
  <c r="AM131" i="1"/>
  <c r="AM159" i="1"/>
  <c r="AM170" i="1"/>
  <c r="AM98" i="1"/>
  <c r="AM20" i="1"/>
  <c r="AM96" i="1"/>
  <c r="AM138" i="1"/>
  <c r="AM102" i="1"/>
  <c r="AM58" i="1"/>
  <c r="AM86" i="1"/>
  <c r="AM79" i="1"/>
  <c r="AM148" i="1"/>
  <c r="AL177" i="1"/>
  <c r="AM77" i="1"/>
  <c r="AM164" i="1"/>
  <c r="AM70" i="1"/>
  <c r="AM88" i="1"/>
  <c r="AM35" i="1"/>
  <c r="AM39" i="1"/>
  <c r="AM52" i="1"/>
  <c r="AM65" i="1"/>
  <c r="AM85" i="1"/>
  <c r="AM12" i="1"/>
  <c r="AM169" i="1"/>
  <c r="AM132" i="1"/>
  <c r="AM9" i="1"/>
  <c r="AM165" i="1"/>
  <c r="AM144" i="1"/>
  <c r="AM19" i="1"/>
  <c r="AM3" i="1"/>
  <c r="AM76" i="1"/>
  <c r="AM95" i="1"/>
  <c r="AM93" i="1"/>
  <c r="AM139" i="1"/>
  <c r="AM83" i="1"/>
  <c r="AM81" i="1"/>
  <c r="AM61" i="1"/>
  <c r="AM110" i="1"/>
  <c r="AM122" i="1"/>
  <c r="AM97" i="1"/>
  <c r="AM41" i="1"/>
  <c r="AM126" i="1"/>
  <c r="AM184" i="1"/>
  <c r="AM16" i="1"/>
  <c r="AM53" i="1"/>
  <c r="AM101" i="1"/>
  <c r="AM120" i="1"/>
  <c r="AM30" i="1"/>
  <c r="AM150" i="1"/>
  <c r="AM143" i="1"/>
  <c r="AM129" i="1"/>
  <c r="AM25" i="1"/>
  <c r="AM127" i="1"/>
  <c r="AM117" i="1"/>
  <c r="AM10" i="1"/>
  <c r="AM189" i="1"/>
  <c r="AM134" i="1"/>
  <c r="AM32" i="1"/>
  <c r="AM51" i="1"/>
  <c r="AM156" i="1"/>
  <c r="AM42" i="1"/>
  <c r="AM141" i="1"/>
  <c r="AM2" i="1"/>
  <c r="AM181" i="1"/>
  <c r="AM37" i="1"/>
  <c r="AM60" i="1"/>
  <c r="AM177" i="1"/>
  <c r="AM38" i="1"/>
  <c r="AM43" i="1"/>
  <c r="AM72" i="1"/>
  <c r="AM111" i="1"/>
  <c r="AM59" i="1"/>
  <c r="AM121" i="1"/>
  <c r="AM154" i="1"/>
  <c r="AM109" i="1"/>
  <c r="AM123" i="1"/>
  <c r="AM13" i="1"/>
  <c r="AM155" i="1"/>
  <c r="AM33" i="1"/>
  <c r="AM90" i="1"/>
  <c r="AM186" i="1"/>
  <c r="AM36" i="1"/>
  <c r="AM27" i="1"/>
  <c r="AM157" i="1"/>
  <c r="AM167" i="1"/>
  <c r="AM112" i="1"/>
  <c r="AM6" i="1"/>
  <c r="AM100" i="1"/>
  <c r="AM190" i="1"/>
  <c r="AM147" i="1"/>
  <c r="AM125" i="1"/>
  <c r="AM99" i="1"/>
  <c r="AM176" i="1"/>
  <c r="AM146" i="1"/>
  <c r="AM29" i="1"/>
  <c r="AM124" i="1"/>
  <c r="AM14" i="1"/>
  <c r="AM67" i="1"/>
  <c r="AM151" i="1"/>
  <c r="AM114" i="1"/>
  <c r="AM173" i="1"/>
  <c r="AM178" i="1"/>
  <c r="AM107" i="1"/>
  <c r="AM62" i="1"/>
  <c r="AM46" i="1"/>
  <c r="AM137" i="1"/>
  <c r="AM92" i="1"/>
  <c r="AM71" i="1"/>
  <c r="AM152" i="1"/>
  <c r="AM183" i="1"/>
  <c r="AM31" i="1"/>
  <c r="AM44" i="1"/>
  <c r="AM118" i="1"/>
  <c r="AM171" i="1"/>
  <c r="AM78" i="1"/>
  <c r="AM64" i="1"/>
  <c r="AM187" i="1"/>
  <c r="AM69" i="1"/>
  <c r="AM15" i="1"/>
  <c r="AM142" i="1"/>
  <c r="AM161" i="1"/>
  <c r="AM89" i="1"/>
  <c r="AM135" i="1"/>
  <c r="AM106" i="1"/>
  <c r="AM74" i="1"/>
  <c r="AM162" i="1"/>
  <c r="AM103" i="1"/>
  <c r="AM75" i="1"/>
  <c r="AM182" i="1"/>
  <c r="AM11" i="1"/>
  <c r="AM54" i="1"/>
  <c r="AM113" i="1"/>
  <c r="AM87" i="1"/>
  <c r="AM84" i="1"/>
  <c r="AM172" i="1"/>
  <c r="AM94" i="1"/>
  <c r="AM28" i="1"/>
  <c r="AM105" i="1"/>
  <c r="AM5" i="1"/>
  <c r="AM45" i="1"/>
  <c r="AM68" i="1"/>
  <c r="AM57" i="1"/>
  <c r="AM180" i="1"/>
  <c r="AM49" i="1"/>
  <c r="AM18" i="1"/>
  <c r="AM136" i="1"/>
  <c r="AM185" i="1"/>
  <c r="AM63" i="1"/>
  <c r="AM175" i="1"/>
  <c r="AM66" i="1"/>
  <c r="AM108" i="1"/>
  <c r="AM115" i="1"/>
  <c r="AM163" i="1"/>
  <c r="AM119" i="1"/>
  <c r="AM116" i="1"/>
  <c r="AM22" i="1"/>
  <c r="AM166" i="1"/>
  <c r="AM188" i="1"/>
  <c r="AM56" i="1"/>
  <c r="AM80" i="1"/>
  <c r="AM160" i="1"/>
  <c r="AM82" i="1"/>
  <c r="AM174" i="1"/>
  <c r="AK132" i="1"/>
  <c r="AK9" i="1"/>
  <c r="AK165" i="1"/>
  <c r="AK144" i="1"/>
  <c r="AK19" i="1"/>
  <c r="AK3" i="1"/>
  <c r="AK76" i="1"/>
  <c r="AK95" i="1"/>
  <c r="AK93" i="1"/>
  <c r="AK139" i="1"/>
  <c r="AK83" i="1"/>
  <c r="AK81" i="1"/>
  <c r="AK61" i="1"/>
  <c r="AK110" i="1"/>
  <c r="AK122" i="1"/>
  <c r="AK97" i="1"/>
  <c r="AK41" i="1"/>
  <c r="AK126" i="1"/>
  <c r="AK184" i="1"/>
  <c r="AK16" i="1"/>
  <c r="AK53" i="1"/>
  <c r="AK101" i="1"/>
  <c r="AK120" i="1"/>
  <c r="AK30" i="1"/>
  <c r="AK150" i="1"/>
  <c r="AK143" i="1"/>
  <c r="AK129" i="1"/>
  <c r="AK25" i="1"/>
  <c r="AK127" i="1"/>
  <c r="AK117" i="1"/>
  <c r="AK10" i="1"/>
  <c r="AK189" i="1"/>
  <c r="AK134" i="1"/>
  <c r="AK32" i="1"/>
  <c r="AK51" i="1"/>
  <c r="AK38" i="1"/>
  <c r="AK43" i="1"/>
  <c r="AK72" i="1"/>
  <c r="AK111" i="1"/>
  <c r="AK59" i="1"/>
  <c r="AK121" i="1"/>
  <c r="AK154" i="1"/>
  <c r="AK109" i="1"/>
  <c r="AK123" i="1"/>
  <c r="AK13" i="1"/>
  <c r="AK155" i="1"/>
  <c r="AK33" i="1"/>
  <c r="AK90" i="1"/>
  <c r="AK186" i="1"/>
  <c r="AK36" i="1"/>
  <c r="AK27" i="1"/>
  <c r="AK157" i="1"/>
  <c r="AK167" i="1"/>
  <c r="AK112" i="1"/>
  <c r="AK6" i="1"/>
  <c r="AK100" i="1"/>
  <c r="AK190" i="1"/>
  <c r="AK147" i="1"/>
  <c r="AK125" i="1"/>
  <c r="AK99" i="1"/>
  <c r="AK176" i="1"/>
  <c r="AK146" i="1"/>
  <c r="AK29" i="1"/>
  <c r="AK124" i="1"/>
  <c r="AK14" i="1"/>
  <c r="AK67" i="1"/>
  <c r="AK151" i="1"/>
  <c r="AK114" i="1"/>
  <c r="AK173" i="1"/>
  <c r="AK178" i="1"/>
  <c r="AK107" i="1"/>
  <c r="AK62" i="1"/>
  <c r="AK46" i="1"/>
  <c r="AK137" i="1"/>
  <c r="AK64" i="1"/>
  <c r="AK187" i="1"/>
  <c r="AK69" i="1"/>
  <c r="AK15" i="1"/>
  <c r="AK142" i="1"/>
  <c r="AK161" i="1"/>
  <c r="AK89" i="1"/>
  <c r="AK135" i="1"/>
  <c r="AK106" i="1"/>
  <c r="AK74" i="1"/>
  <c r="AK162" i="1"/>
  <c r="AK103" i="1"/>
  <c r="AK75" i="1"/>
  <c r="AK182" i="1"/>
  <c r="AK11" i="1"/>
  <c r="AK54" i="1"/>
  <c r="AK113" i="1"/>
  <c r="AK4" i="1"/>
  <c r="AK73" i="1"/>
  <c r="AK26" i="1"/>
  <c r="AK149" i="1"/>
  <c r="AK21" i="1"/>
  <c r="AK140" i="1"/>
  <c r="AK55" i="1"/>
  <c r="AK47" i="1"/>
  <c r="AK104" i="1"/>
  <c r="AK133" i="1"/>
  <c r="AK168" i="1"/>
  <c r="AK17" i="1"/>
  <c r="AK145" i="1"/>
  <c r="AK91" i="1"/>
  <c r="AK8" i="1"/>
  <c r="AK34" i="1"/>
  <c r="AK179" i="1"/>
  <c r="AK156" i="1"/>
  <c r="AK42" i="1"/>
  <c r="AK141" i="1"/>
  <c r="AK2" i="1"/>
  <c r="AK181" i="1"/>
  <c r="AK37" i="1"/>
  <c r="AK60" i="1"/>
  <c r="AL38" i="1"/>
  <c r="AL43" i="1"/>
  <c r="AL72" i="1"/>
  <c r="AL111" i="1"/>
  <c r="AL59" i="1"/>
  <c r="AL121" i="1"/>
  <c r="AL154" i="1"/>
  <c r="AL109" i="1"/>
  <c r="AL123" i="1"/>
  <c r="AL13" i="1"/>
  <c r="AL155" i="1"/>
  <c r="AL33" i="1"/>
  <c r="AL90" i="1"/>
  <c r="AL186" i="1"/>
  <c r="AL36" i="1"/>
  <c r="AL27" i="1"/>
  <c r="AL157" i="1"/>
  <c r="AL167" i="1"/>
  <c r="AL112" i="1"/>
  <c r="AL6" i="1"/>
  <c r="AL100" i="1"/>
  <c r="AL190" i="1"/>
  <c r="AL147" i="1"/>
  <c r="AL125" i="1"/>
  <c r="AL99" i="1"/>
  <c r="AL176" i="1"/>
  <c r="AL146" i="1"/>
  <c r="AL29" i="1"/>
  <c r="AL124" i="1"/>
  <c r="AL14" i="1"/>
  <c r="AL67" i="1"/>
  <c r="AL151" i="1"/>
  <c r="AL114" i="1"/>
  <c r="AL173" i="1"/>
  <c r="AL178" i="1"/>
  <c r="AL107" i="1"/>
  <c r="AL62" i="1"/>
  <c r="AL46" i="1"/>
  <c r="AL137" i="1"/>
  <c r="AL92" i="1"/>
  <c r="AL71" i="1"/>
  <c r="AL152" i="1"/>
  <c r="AL183" i="1"/>
  <c r="AL31" i="1"/>
  <c r="AL44" i="1"/>
  <c r="AL118" i="1"/>
  <c r="AL171" i="1"/>
  <c r="AL78" i="1"/>
  <c r="AK92" i="1"/>
  <c r="AK71" i="1"/>
  <c r="AK152" i="1"/>
  <c r="AK183" i="1"/>
  <c r="AK31" i="1"/>
  <c r="AK44" i="1"/>
  <c r="AK118" i="1"/>
  <c r="AK171" i="1"/>
  <c r="AK78" i="1"/>
  <c r="AL64" i="1"/>
  <c r="AL187" i="1"/>
  <c r="AL69" i="1"/>
  <c r="AL15" i="1"/>
  <c r="AL142" i="1"/>
  <c r="AL161" i="1"/>
  <c r="AL89" i="1"/>
  <c r="AL135" i="1"/>
  <c r="AL106" i="1"/>
  <c r="AL74" i="1"/>
  <c r="AL162" i="1"/>
  <c r="AL103" i="1"/>
  <c r="AL75" i="1"/>
  <c r="AL182" i="1"/>
  <c r="AL11" i="1"/>
  <c r="AL54" i="1"/>
  <c r="AL113" i="1"/>
  <c r="AL87" i="1"/>
  <c r="AL84" i="1"/>
  <c r="AL172" i="1"/>
  <c r="AL94" i="1"/>
  <c r="AL28" i="1"/>
  <c r="AL105" i="1"/>
  <c r="AL5" i="1"/>
  <c r="AL45" i="1"/>
  <c r="AL68" i="1"/>
  <c r="AL57" i="1"/>
  <c r="AL180" i="1"/>
  <c r="AL49" i="1"/>
  <c r="AL18" i="1"/>
  <c r="AL136" i="1"/>
  <c r="AL185" i="1"/>
  <c r="AL63" i="1"/>
  <c r="AL175" i="1"/>
  <c r="AL66" i="1"/>
  <c r="AL108" i="1"/>
  <c r="AL115" i="1"/>
  <c r="AL163" i="1"/>
  <c r="AL119" i="1"/>
  <c r="AL116" i="1"/>
  <c r="AL22" i="1"/>
  <c r="AL166" i="1"/>
  <c r="AL188" i="1"/>
  <c r="AL56" i="1"/>
  <c r="AL80" i="1"/>
  <c r="AL160" i="1"/>
  <c r="AL82" i="1"/>
  <c r="AL174" i="1"/>
  <c r="AK87" i="1"/>
  <c r="AK84" i="1"/>
  <c r="AK172" i="1"/>
  <c r="AK94" i="1"/>
  <c r="AK28" i="1"/>
  <c r="AK105" i="1"/>
  <c r="AK5" i="1"/>
  <c r="AK45" i="1"/>
  <c r="AK68" i="1"/>
  <c r="AK57" i="1"/>
  <c r="AK180" i="1"/>
  <c r="AK49" i="1"/>
  <c r="AK18" i="1"/>
  <c r="AK136" i="1"/>
  <c r="AK185" i="1"/>
  <c r="AK63" i="1"/>
  <c r="AK175" i="1"/>
  <c r="AK66" i="1"/>
  <c r="AK108" i="1"/>
  <c r="AK115" i="1"/>
  <c r="AK163" i="1"/>
  <c r="AK119" i="1"/>
  <c r="AK116" i="1"/>
  <c r="AK22" i="1"/>
  <c r="AK166" i="1"/>
  <c r="AK188" i="1"/>
  <c r="AK56" i="1"/>
  <c r="AK80" i="1"/>
  <c r="AK160" i="1"/>
  <c r="AK82" i="1"/>
  <c r="AK174" i="1"/>
  <c r="AL4" i="1"/>
  <c r="AL73" i="1"/>
  <c r="AL26" i="1"/>
  <c r="AL149" i="1"/>
  <c r="AL21" i="1"/>
  <c r="AL140" i="1"/>
  <c r="AL55" i="1"/>
  <c r="AL47" i="1"/>
  <c r="AL104" i="1"/>
  <c r="AL133" i="1"/>
  <c r="AL168" i="1"/>
  <c r="AL17" i="1"/>
  <c r="AL145" i="1"/>
  <c r="AL91" i="1"/>
  <c r="AL8" i="1"/>
  <c r="AL34" i="1"/>
  <c r="AL179" i="1"/>
  <c r="AL130" i="1"/>
  <c r="AL158" i="1"/>
  <c r="AL24" i="1"/>
  <c r="AL23" i="1"/>
  <c r="AL128" i="1"/>
  <c r="AL48" i="1"/>
  <c r="AL50" i="1"/>
  <c r="AL153" i="1"/>
  <c r="AL7" i="1"/>
  <c r="AL40" i="1"/>
  <c r="AL131" i="1"/>
  <c r="AL159" i="1"/>
  <c r="AL170" i="1"/>
  <c r="AL98" i="1"/>
  <c r="AL20" i="1"/>
  <c r="AL96" i="1"/>
  <c r="AL138" i="1"/>
  <c r="AL102" i="1"/>
  <c r="AL58" i="1"/>
  <c r="AL86" i="1"/>
  <c r="AL79" i="1"/>
  <c r="AL148" i="1"/>
  <c r="AL77" i="1"/>
  <c r="AL164" i="1"/>
  <c r="AL70" i="1"/>
  <c r="AL88" i="1"/>
  <c r="AL35" i="1"/>
  <c r="AL39" i="1"/>
  <c r="AL52" i="1"/>
  <c r="AL65" i="1"/>
  <c r="AK130" i="1"/>
  <c r="AK158" i="1"/>
  <c r="AK24" i="1"/>
  <c r="AK23" i="1"/>
  <c r="AK128" i="1"/>
  <c r="AK48" i="1"/>
  <c r="AK50" i="1"/>
  <c r="AK153" i="1"/>
  <c r="AK7" i="1"/>
  <c r="AK40" i="1"/>
  <c r="AK131" i="1"/>
  <c r="AK159" i="1"/>
  <c r="AK170" i="1"/>
  <c r="AK98" i="1"/>
  <c r="AK20" i="1"/>
  <c r="AK96" i="1"/>
  <c r="AK138" i="1"/>
  <c r="AK102" i="1"/>
  <c r="AK58" i="1"/>
  <c r="AK86" i="1"/>
  <c r="AK79" i="1"/>
  <c r="AK148" i="1"/>
  <c r="AK77" i="1"/>
  <c r="AK164" i="1"/>
  <c r="AK70" i="1"/>
  <c r="AK88" i="1"/>
  <c r="AK35" i="1"/>
  <c r="AK39" i="1"/>
  <c r="AK52" i="1"/>
  <c r="AK65" i="1"/>
  <c r="AK177" i="1"/>
  <c r="AL85" i="1"/>
  <c r="AL12" i="1"/>
  <c r="AL169" i="1"/>
  <c r="AL132" i="1"/>
  <c r="AL9" i="1"/>
  <c r="AL165" i="1"/>
  <c r="AL144" i="1"/>
  <c r="AL19" i="1"/>
  <c r="AL3" i="1"/>
  <c r="AL76" i="1"/>
  <c r="AL95" i="1"/>
  <c r="AL93" i="1"/>
  <c r="AL139" i="1"/>
  <c r="AL83" i="1"/>
  <c r="AL81" i="1"/>
  <c r="AL61" i="1"/>
  <c r="AL110" i="1"/>
  <c r="AL122" i="1"/>
  <c r="AL97" i="1"/>
  <c r="AL41" i="1"/>
  <c r="AL126" i="1"/>
  <c r="AL184" i="1"/>
  <c r="AL16" i="1"/>
  <c r="AL53" i="1"/>
  <c r="AL101" i="1"/>
  <c r="AL120" i="1"/>
  <c r="AL30" i="1"/>
  <c r="AL150" i="1"/>
  <c r="AL143" i="1"/>
  <c r="AL129" i="1"/>
  <c r="AL25" i="1"/>
  <c r="AL127" i="1"/>
  <c r="AL117" i="1"/>
  <c r="AL10" i="1"/>
  <c r="AL189" i="1"/>
  <c r="AL134" i="1"/>
  <c r="AL32" i="1"/>
  <c r="AL51" i="1"/>
  <c r="AL156" i="1"/>
  <c r="AL42" i="1"/>
  <c r="AL141" i="1"/>
  <c r="AL2" i="1"/>
  <c r="AL181" i="1"/>
  <c r="AL37" i="1"/>
  <c r="AL60" i="1"/>
  <c r="AJ177" i="1"/>
  <c r="AJ59" i="1"/>
  <c r="AJ13" i="1"/>
  <c r="AJ33" i="1"/>
  <c r="AJ27" i="1"/>
  <c r="AJ147" i="1"/>
  <c r="AJ29" i="1"/>
  <c r="AJ124" i="1"/>
  <c r="AJ71" i="1"/>
  <c r="AJ183" i="1"/>
  <c r="AJ187" i="1"/>
  <c r="AJ89" i="1"/>
  <c r="AJ11" i="1"/>
  <c r="AJ105" i="1"/>
  <c r="AJ5" i="1"/>
  <c r="AJ57" i="1"/>
  <c r="AJ49" i="1"/>
  <c r="AJ22" i="1"/>
  <c r="AJ188" i="1"/>
  <c r="AJ174" i="1"/>
  <c r="AJ4" i="1"/>
  <c r="AJ21" i="1"/>
  <c r="AJ179" i="1"/>
  <c r="AJ50" i="1"/>
  <c r="AJ7" i="1"/>
  <c r="AJ131" i="1"/>
  <c r="AJ159" i="1"/>
  <c r="AJ102" i="1"/>
  <c r="AJ164" i="1"/>
  <c r="AJ35" i="1"/>
  <c r="AJ52" i="1"/>
  <c r="AJ12" i="1"/>
  <c r="AJ9" i="1"/>
  <c r="AJ165" i="1"/>
  <c r="AJ19" i="1"/>
  <c r="AJ3" i="1"/>
  <c r="AJ139" i="1"/>
  <c r="AJ61" i="1"/>
  <c r="AJ16" i="1"/>
  <c r="AJ127" i="1"/>
  <c r="AJ189" i="1"/>
  <c r="AJ60" i="1"/>
  <c r="AJ38" i="1"/>
  <c r="AJ109" i="1"/>
  <c r="AJ123" i="1"/>
  <c r="AJ155" i="1"/>
  <c r="AJ36" i="1"/>
  <c r="AJ125" i="1"/>
  <c r="AJ146" i="1"/>
  <c r="AJ173" i="1"/>
  <c r="AJ178" i="1"/>
  <c r="AJ72" i="1"/>
  <c r="AJ154" i="1"/>
  <c r="AJ90" i="1"/>
  <c r="AJ157" i="1"/>
  <c r="AJ167" i="1"/>
  <c r="AJ112" i="1"/>
  <c r="AJ6" i="1"/>
  <c r="AJ111" i="1"/>
  <c r="AJ121" i="1"/>
  <c r="AJ186" i="1"/>
  <c r="AJ100" i="1"/>
  <c r="AJ190" i="1"/>
  <c r="AJ99" i="1"/>
  <c r="AJ176" i="1"/>
  <c r="AJ67" i="1"/>
  <c r="AJ151" i="1"/>
  <c r="AJ114" i="1"/>
  <c r="AJ137" i="1"/>
  <c r="AJ92" i="1"/>
  <c r="AJ152" i="1"/>
  <c r="AJ118" i="1"/>
  <c r="AJ171" i="1"/>
  <c r="AJ78" i="1"/>
  <c r="AJ64" i="1"/>
  <c r="AJ135" i="1"/>
  <c r="AJ106" i="1"/>
  <c r="AJ74" i="1"/>
  <c r="AJ162" i="1"/>
  <c r="AJ103" i="1"/>
  <c r="AJ182" i="1"/>
  <c r="AJ54" i="1"/>
  <c r="AJ113" i="1"/>
  <c r="AJ87" i="1"/>
  <c r="AJ84" i="1"/>
  <c r="AJ172" i="1"/>
  <c r="AJ94" i="1"/>
  <c r="AJ28" i="1"/>
  <c r="AJ180" i="1"/>
  <c r="AJ63" i="1"/>
  <c r="AJ175" i="1"/>
  <c r="AJ66" i="1"/>
  <c r="AJ43" i="1"/>
  <c r="AJ62" i="1"/>
  <c r="AJ107" i="1"/>
  <c r="AJ14" i="1"/>
  <c r="AJ46" i="1"/>
  <c r="AJ31" i="1"/>
  <c r="AJ44" i="1"/>
  <c r="AJ69" i="1"/>
  <c r="AJ15" i="1"/>
  <c r="AJ142" i="1"/>
  <c r="AJ161" i="1"/>
  <c r="AJ75" i="1"/>
  <c r="AJ45" i="1"/>
  <c r="AJ68" i="1"/>
  <c r="AJ18" i="1"/>
  <c r="AJ136" i="1"/>
  <c r="AJ185" i="1"/>
  <c r="AJ108" i="1"/>
  <c r="AJ115" i="1"/>
  <c r="AJ163" i="1"/>
  <c r="AJ119" i="1"/>
  <c r="AJ116" i="1"/>
  <c r="AJ166" i="1"/>
  <c r="AJ56" i="1"/>
  <c r="AJ80" i="1"/>
  <c r="AJ160" i="1"/>
  <c r="AJ82" i="1"/>
  <c r="AJ73" i="1"/>
  <c r="AJ26" i="1"/>
  <c r="AJ149" i="1"/>
  <c r="AJ140" i="1"/>
  <c r="AJ55" i="1"/>
  <c r="AJ47" i="1"/>
  <c r="AJ104" i="1"/>
  <c r="AJ133" i="1"/>
  <c r="AJ168" i="1"/>
  <c r="AJ17" i="1"/>
  <c r="AJ145" i="1"/>
  <c r="AJ91" i="1"/>
  <c r="AJ8" i="1"/>
  <c r="AJ34" i="1"/>
  <c r="AJ130" i="1"/>
  <c r="AJ158" i="1"/>
  <c r="AJ24" i="1"/>
  <c r="AJ23" i="1"/>
  <c r="AJ128" i="1"/>
  <c r="AJ48" i="1"/>
  <c r="AJ153" i="1"/>
  <c r="AJ40" i="1"/>
  <c r="AJ170" i="1"/>
  <c r="AJ98" i="1"/>
  <c r="AJ20" i="1"/>
  <c r="AJ96" i="1"/>
  <c r="AJ138" i="1"/>
  <c r="AJ58" i="1"/>
  <c r="AJ86" i="1"/>
  <c r="AJ79" i="1"/>
  <c r="AJ148" i="1"/>
  <c r="AJ77" i="1"/>
  <c r="AJ70" i="1"/>
  <c r="AJ88" i="1"/>
  <c r="AJ39" i="1"/>
  <c r="AJ65" i="1"/>
  <c r="AJ85" i="1"/>
  <c r="AJ169" i="1"/>
  <c r="AJ132" i="1"/>
  <c r="AJ144" i="1"/>
  <c r="AJ76" i="1"/>
  <c r="AJ95" i="1"/>
  <c r="AJ93" i="1"/>
  <c r="AJ83" i="1"/>
  <c r="AJ81" i="1"/>
  <c r="AJ110" i="1"/>
  <c r="AJ122" i="1"/>
  <c r="AJ97" i="1"/>
  <c r="AJ41" i="1"/>
  <c r="AJ126" i="1"/>
  <c r="AJ184" i="1"/>
  <c r="AJ53" i="1"/>
  <c r="AJ101" i="1"/>
  <c r="AJ120" i="1"/>
  <c r="AJ30" i="1"/>
  <c r="AJ150" i="1"/>
  <c r="AJ129" i="1"/>
  <c r="AJ25" i="1"/>
  <c r="AJ117" i="1"/>
  <c r="AJ10" i="1"/>
  <c r="AJ134" i="1"/>
  <c r="AJ32" i="1"/>
  <c r="AJ51" i="1"/>
  <c r="AJ156" i="1"/>
  <c r="AJ42" i="1"/>
  <c r="AJ141" i="1"/>
  <c r="AJ2" i="1"/>
  <c r="AJ181" i="1"/>
  <c r="AJ37" i="1"/>
  <c r="L169" i="1"/>
  <c r="Y197" i="1"/>
  <c r="J149" i="1"/>
  <c r="J55" i="1"/>
  <c r="J17" i="1"/>
  <c r="J8" i="1"/>
  <c r="J158" i="1"/>
  <c r="J24" i="1"/>
  <c r="J50" i="1"/>
  <c r="J7" i="1"/>
  <c r="J96" i="1"/>
  <c r="J102" i="1"/>
  <c r="J86" i="1"/>
  <c r="J148" i="1"/>
  <c r="J70" i="1"/>
  <c r="K142" i="1"/>
  <c r="K135" i="1"/>
  <c r="K74" i="1"/>
  <c r="K11" i="1"/>
  <c r="K172" i="1"/>
  <c r="K28" i="1"/>
  <c r="K45" i="1"/>
  <c r="K180" i="1"/>
  <c r="K136" i="1"/>
  <c r="K175" i="1"/>
  <c r="K115" i="1"/>
  <c r="K22" i="1"/>
  <c r="K56" i="1"/>
  <c r="K160" i="1"/>
  <c r="K82" i="1"/>
  <c r="L73" i="1"/>
  <c r="L21" i="1"/>
  <c r="L47" i="1"/>
  <c r="L17" i="1"/>
  <c r="L8" i="1"/>
  <c r="L158" i="1"/>
  <c r="L24" i="1"/>
  <c r="L48" i="1"/>
  <c r="L153" i="1"/>
  <c r="L159" i="1"/>
  <c r="L98" i="1"/>
  <c r="L138" i="1"/>
  <c r="L77" i="1"/>
  <c r="L35" i="1"/>
  <c r="M72" i="1"/>
  <c r="M111" i="1"/>
  <c r="M109" i="1"/>
  <c r="M13" i="1"/>
  <c r="M155" i="1"/>
  <c r="M186" i="1"/>
  <c r="M167" i="1"/>
  <c r="M6" i="1"/>
  <c r="M125" i="1"/>
  <c r="M146" i="1"/>
  <c r="M124" i="1"/>
  <c r="M114" i="1"/>
  <c r="M178" i="1"/>
  <c r="M46" i="1"/>
  <c r="M71" i="1"/>
  <c r="M31" i="1"/>
  <c r="M118" i="1"/>
  <c r="J85" i="1"/>
  <c r="J12" i="1"/>
  <c r="J169" i="1"/>
  <c r="J132" i="1"/>
  <c r="J9" i="1"/>
  <c r="J165" i="1"/>
  <c r="J144" i="1"/>
  <c r="J19" i="1"/>
  <c r="J3" i="1"/>
  <c r="J76" i="1"/>
  <c r="J95" i="1"/>
  <c r="J93" i="1"/>
  <c r="J83" i="1"/>
  <c r="J81" i="1"/>
  <c r="J61" i="1"/>
  <c r="J110" i="1"/>
  <c r="J122" i="1"/>
  <c r="J97" i="1"/>
  <c r="J41" i="1"/>
  <c r="J126" i="1"/>
  <c r="J184" i="1"/>
  <c r="J16" i="1"/>
  <c r="J53" i="1"/>
  <c r="J101" i="1"/>
  <c r="J120" i="1"/>
  <c r="J30" i="1"/>
  <c r="J150" i="1"/>
  <c r="J143" i="1"/>
  <c r="J129" i="1"/>
  <c r="J25" i="1"/>
  <c r="J127" i="1"/>
  <c r="J117" i="1"/>
  <c r="J10" i="1"/>
  <c r="J189" i="1"/>
  <c r="J134" i="1"/>
  <c r="J32" i="1"/>
  <c r="J51" i="1"/>
  <c r="J156" i="1"/>
  <c r="J42" i="1"/>
  <c r="J141" i="1"/>
  <c r="J2" i="1"/>
  <c r="J181" i="1"/>
  <c r="J37" i="1"/>
  <c r="J60" i="1"/>
  <c r="K4" i="1"/>
  <c r="K73" i="1"/>
  <c r="K26" i="1"/>
  <c r="K149" i="1"/>
  <c r="K21" i="1"/>
  <c r="K140" i="1"/>
  <c r="K55" i="1"/>
  <c r="K47" i="1"/>
  <c r="K104" i="1"/>
  <c r="K133" i="1"/>
  <c r="K168" i="1"/>
  <c r="K17" i="1"/>
  <c r="K145" i="1"/>
  <c r="K91" i="1"/>
  <c r="K8" i="1"/>
  <c r="K34" i="1"/>
  <c r="K179" i="1"/>
  <c r="K130" i="1"/>
  <c r="K158" i="1"/>
  <c r="K24" i="1"/>
  <c r="K23" i="1"/>
  <c r="K128" i="1"/>
  <c r="K48" i="1"/>
  <c r="K50" i="1"/>
  <c r="K153" i="1"/>
  <c r="K7" i="1"/>
  <c r="K40" i="1"/>
  <c r="K131" i="1"/>
  <c r="K159" i="1"/>
  <c r="K170" i="1"/>
  <c r="K98" i="1"/>
  <c r="K20" i="1"/>
  <c r="K96" i="1"/>
  <c r="K138" i="1"/>
  <c r="K102" i="1"/>
  <c r="K58" i="1"/>
  <c r="K86" i="1"/>
  <c r="K79" i="1"/>
  <c r="K148" i="1"/>
  <c r="K77" i="1"/>
  <c r="K164" i="1"/>
  <c r="K70" i="1"/>
  <c r="K88" i="1"/>
  <c r="K35" i="1"/>
  <c r="K39" i="1"/>
  <c r="K52" i="1"/>
  <c r="K65" i="1"/>
  <c r="K177" i="1"/>
  <c r="L85" i="1"/>
  <c r="L12" i="1"/>
  <c r="L132" i="1"/>
  <c r="L9" i="1"/>
  <c r="L165" i="1"/>
  <c r="L144" i="1"/>
  <c r="L19" i="1"/>
  <c r="L3" i="1"/>
  <c r="L76" i="1"/>
  <c r="L95" i="1"/>
  <c r="L93" i="1"/>
  <c r="L139" i="1"/>
  <c r="L83" i="1"/>
  <c r="L81" i="1"/>
  <c r="L61" i="1"/>
  <c r="L110" i="1"/>
  <c r="L122" i="1"/>
  <c r="L97" i="1"/>
  <c r="L41" i="1"/>
  <c r="L126" i="1"/>
  <c r="L184" i="1"/>
  <c r="L16" i="1"/>
  <c r="L53" i="1"/>
  <c r="L101" i="1"/>
  <c r="L120" i="1"/>
  <c r="L30" i="1"/>
  <c r="L150" i="1"/>
  <c r="L143" i="1"/>
  <c r="L129" i="1"/>
  <c r="L25" i="1"/>
  <c r="L127" i="1"/>
  <c r="L117" i="1"/>
  <c r="L10" i="1"/>
  <c r="L189" i="1"/>
  <c r="L134" i="1"/>
  <c r="L32" i="1"/>
  <c r="L51" i="1"/>
  <c r="L156" i="1"/>
  <c r="L42" i="1"/>
  <c r="L141" i="1"/>
  <c r="L2" i="1"/>
  <c r="L181" i="1"/>
  <c r="L37" i="1"/>
  <c r="L60" i="1"/>
  <c r="M64" i="1"/>
  <c r="M187" i="1"/>
  <c r="M69" i="1"/>
  <c r="M15" i="1"/>
  <c r="M142" i="1"/>
  <c r="M161" i="1"/>
  <c r="M89" i="1"/>
  <c r="M135" i="1"/>
  <c r="M106" i="1"/>
  <c r="M74" i="1"/>
  <c r="M162" i="1"/>
  <c r="M103" i="1"/>
  <c r="M75" i="1"/>
  <c r="M182" i="1"/>
  <c r="M11" i="1"/>
  <c r="M54" i="1"/>
  <c r="M113" i="1"/>
  <c r="M87" i="1"/>
  <c r="M84" i="1"/>
  <c r="M172" i="1"/>
  <c r="M94" i="1"/>
  <c r="M28" i="1"/>
  <c r="M105" i="1"/>
  <c r="M5" i="1"/>
  <c r="M45" i="1"/>
  <c r="M68" i="1"/>
  <c r="M180" i="1"/>
  <c r="M49" i="1"/>
  <c r="M18" i="1"/>
  <c r="M136" i="1"/>
  <c r="M185" i="1"/>
  <c r="M63" i="1"/>
  <c r="M175" i="1"/>
  <c r="M66" i="1"/>
  <c r="M108" i="1"/>
  <c r="M115" i="1"/>
  <c r="M163" i="1"/>
  <c r="M119" i="1"/>
  <c r="M116" i="1"/>
  <c r="M22" i="1"/>
  <c r="M166" i="1"/>
  <c r="M188" i="1"/>
  <c r="M56" i="1"/>
  <c r="M80" i="1"/>
  <c r="M160" i="1"/>
  <c r="M82" i="1"/>
  <c r="M174" i="1"/>
  <c r="J4" i="1"/>
  <c r="J26" i="1"/>
  <c r="J140" i="1"/>
  <c r="J47" i="1"/>
  <c r="J168" i="1"/>
  <c r="J145" i="1"/>
  <c r="J34" i="1"/>
  <c r="J179" i="1"/>
  <c r="J128" i="1"/>
  <c r="J40" i="1"/>
  <c r="J159" i="1"/>
  <c r="J20" i="1"/>
  <c r="J58" i="1"/>
  <c r="J79" i="1"/>
  <c r="J164" i="1"/>
  <c r="J88" i="1"/>
  <c r="J39" i="1"/>
  <c r="J52" i="1"/>
  <c r="J65" i="1"/>
  <c r="K187" i="1"/>
  <c r="K15" i="1"/>
  <c r="K161" i="1"/>
  <c r="K106" i="1"/>
  <c r="K162" i="1"/>
  <c r="K75" i="1"/>
  <c r="K182" i="1"/>
  <c r="K84" i="1"/>
  <c r="K94" i="1"/>
  <c r="K5" i="1"/>
  <c r="K68" i="1"/>
  <c r="K49" i="1"/>
  <c r="K185" i="1"/>
  <c r="K63" i="1"/>
  <c r="K108" i="1"/>
  <c r="K163" i="1"/>
  <c r="K116" i="1"/>
  <c r="K166" i="1"/>
  <c r="K188" i="1"/>
  <c r="K80" i="1"/>
  <c r="L4" i="1"/>
  <c r="L26" i="1"/>
  <c r="L140" i="1"/>
  <c r="L104" i="1"/>
  <c r="L133" i="1"/>
  <c r="L91" i="1"/>
  <c r="L130" i="1"/>
  <c r="L128" i="1"/>
  <c r="L40" i="1"/>
  <c r="L96" i="1"/>
  <c r="L102" i="1"/>
  <c r="L79" i="1"/>
  <c r="L164" i="1"/>
  <c r="L52" i="1"/>
  <c r="L65" i="1"/>
  <c r="M38" i="1"/>
  <c r="M43" i="1"/>
  <c r="M121" i="1"/>
  <c r="M36" i="1"/>
  <c r="M157" i="1"/>
  <c r="M100" i="1"/>
  <c r="M147" i="1"/>
  <c r="M176" i="1"/>
  <c r="M14" i="1"/>
  <c r="M151" i="1"/>
  <c r="M173" i="1"/>
  <c r="M137" i="1"/>
  <c r="M92" i="1"/>
  <c r="M183" i="1"/>
  <c r="M44" i="1"/>
  <c r="M171" i="1"/>
  <c r="J177" i="1"/>
  <c r="J38" i="1"/>
  <c r="J43" i="1"/>
  <c r="J72" i="1"/>
  <c r="J111" i="1"/>
  <c r="J59" i="1"/>
  <c r="J121" i="1"/>
  <c r="J154" i="1"/>
  <c r="J109" i="1"/>
  <c r="J123" i="1"/>
  <c r="J13" i="1"/>
  <c r="J155" i="1"/>
  <c r="J33" i="1"/>
  <c r="J90" i="1"/>
  <c r="J186" i="1"/>
  <c r="J36" i="1"/>
  <c r="J27" i="1"/>
  <c r="J157" i="1"/>
  <c r="J167" i="1"/>
  <c r="J112" i="1"/>
  <c r="J6" i="1"/>
  <c r="J100" i="1"/>
  <c r="J190" i="1"/>
  <c r="J147" i="1"/>
  <c r="J125" i="1"/>
  <c r="J99" i="1"/>
  <c r="J176" i="1"/>
  <c r="J146" i="1"/>
  <c r="J29" i="1"/>
  <c r="J124" i="1"/>
  <c r="J14" i="1"/>
  <c r="J67" i="1"/>
  <c r="J151" i="1"/>
  <c r="J114" i="1"/>
  <c r="J173" i="1"/>
  <c r="J178" i="1"/>
  <c r="J107" i="1"/>
  <c r="J62" i="1"/>
  <c r="J46" i="1"/>
  <c r="J137" i="1"/>
  <c r="J92" i="1"/>
  <c r="J71" i="1"/>
  <c r="J152" i="1"/>
  <c r="J183" i="1"/>
  <c r="J31" i="1"/>
  <c r="J44" i="1"/>
  <c r="J118" i="1"/>
  <c r="J171" i="1"/>
  <c r="J78" i="1"/>
  <c r="K85" i="1"/>
  <c r="K12" i="1"/>
  <c r="K169" i="1"/>
  <c r="K132" i="1"/>
  <c r="K9" i="1"/>
  <c r="K165" i="1"/>
  <c r="K144" i="1"/>
  <c r="K19" i="1"/>
  <c r="K3" i="1"/>
  <c r="K76" i="1"/>
  <c r="K95" i="1"/>
  <c r="K93" i="1"/>
  <c r="K139" i="1"/>
  <c r="K83" i="1"/>
  <c r="K81" i="1"/>
  <c r="K61" i="1"/>
  <c r="K110" i="1"/>
  <c r="K122" i="1"/>
  <c r="K97" i="1"/>
  <c r="K41" i="1"/>
  <c r="K126" i="1"/>
  <c r="K184" i="1"/>
  <c r="K16" i="1"/>
  <c r="K53" i="1"/>
  <c r="K101" i="1"/>
  <c r="K120" i="1"/>
  <c r="K30" i="1"/>
  <c r="K150" i="1"/>
  <c r="K143" i="1"/>
  <c r="K129" i="1"/>
  <c r="K25" i="1"/>
  <c r="K127" i="1"/>
  <c r="K117" i="1"/>
  <c r="K10" i="1"/>
  <c r="K189" i="1"/>
  <c r="K134" i="1"/>
  <c r="K32" i="1"/>
  <c r="K51" i="1"/>
  <c r="K156" i="1"/>
  <c r="K42" i="1"/>
  <c r="K141" i="1"/>
  <c r="K2" i="1"/>
  <c r="K181" i="1"/>
  <c r="K37" i="1"/>
  <c r="K60" i="1"/>
  <c r="L177" i="1"/>
  <c r="L38" i="1"/>
  <c r="L43" i="1"/>
  <c r="L72" i="1"/>
  <c r="L111" i="1"/>
  <c r="L59" i="1"/>
  <c r="L121" i="1"/>
  <c r="L154" i="1"/>
  <c r="L109" i="1"/>
  <c r="L123" i="1"/>
  <c r="L13" i="1"/>
  <c r="L155" i="1"/>
  <c r="L33" i="1"/>
  <c r="L90" i="1"/>
  <c r="L186" i="1"/>
  <c r="L36" i="1"/>
  <c r="L27" i="1"/>
  <c r="L157" i="1"/>
  <c r="L167" i="1"/>
  <c r="L112" i="1"/>
  <c r="L6" i="1"/>
  <c r="L100" i="1"/>
  <c r="L190" i="1"/>
  <c r="L147" i="1"/>
  <c r="L125" i="1"/>
  <c r="L99" i="1"/>
  <c r="L176" i="1"/>
  <c r="L146" i="1"/>
  <c r="L29" i="1"/>
  <c r="L124" i="1"/>
  <c r="L14" i="1"/>
  <c r="L67" i="1"/>
  <c r="L151" i="1"/>
  <c r="L114" i="1"/>
  <c r="L173" i="1"/>
  <c r="L178" i="1"/>
  <c r="L107" i="1"/>
  <c r="L62" i="1"/>
  <c r="L46" i="1"/>
  <c r="L137" i="1"/>
  <c r="L92" i="1"/>
  <c r="L71" i="1"/>
  <c r="L152" i="1"/>
  <c r="L183" i="1"/>
  <c r="L31" i="1"/>
  <c r="L44" i="1"/>
  <c r="L118" i="1"/>
  <c r="L171" i="1"/>
  <c r="L78" i="1"/>
  <c r="M4" i="1"/>
  <c r="M73" i="1"/>
  <c r="M26" i="1"/>
  <c r="M149" i="1"/>
  <c r="M21" i="1"/>
  <c r="M140" i="1"/>
  <c r="M55" i="1"/>
  <c r="M47" i="1"/>
  <c r="M104" i="1"/>
  <c r="M133" i="1"/>
  <c r="M168" i="1"/>
  <c r="M17" i="1"/>
  <c r="M145" i="1"/>
  <c r="M91" i="1"/>
  <c r="M8" i="1"/>
  <c r="M34" i="1"/>
  <c r="M179" i="1"/>
  <c r="M130" i="1"/>
  <c r="M158" i="1"/>
  <c r="M24" i="1"/>
  <c r="M23" i="1"/>
  <c r="M128" i="1"/>
  <c r="M48" i="1"/>
  <c r="M50" i="1"/>
  <c r="M153" i="1"/>
  <c r="M7" i="1"/>
  <c r="M40" i="1"/>
  <c r="M131" i="1"/>
  <c r="M159" i="1"/>
  <c r="M170" i="1"/>
  <c r="M98" i="1"/>
  <c r="M20" i="1"/>
  <c r="M96" i="1"/>
  <c r="M138" i="1"/>
  <c r="M102" i="1"/>
  <c r="M58" i="1"/>
  <c r="M86" i="1"/>
  <c r="M79" i="1"/>
  <c r="M148" i="1"/>
  <c r="M77" i="1"/>
  <c r="M164" i="1"/>
  <c r="M70" i="1"/>
  <c r="M88" i="1"/>
  <c r="M35" i="1"/>
  <c r="M39" i="1"/>
  <c r="M52" i="1"/>
  <c r="M65" i="1"/>
  <c r="J73" i="1"/>
  <c r="J21" i="1"/>
  <c r="J104" i="1"/>
  <c r="J133" i="1"/>
  <c r="J91" i="1"/>
  <c r="J130" i="1"/>
  <c r="J23" i="1"/>
  <c r="J48" i="1"/>
  <c r="J153" i="1"/>
  <c r="J131" i="1"/>
  <c r="J170" i="1"/>
  <c r="J98" i="1"/>
  <c r="J138" i="1"/>
  <c r="J77" i="1"/>
  <c r="J35" i="1"/>
  <c r="K64" i="1"/>
  <c r="K69" i="1"/>
  <c r="K89" i="1"/>
  <c r="K103" i="1"/>
  <c r="K54" i="1"/>
  <c r="K113" i="1"/>
  <c r="K87" i="1"/>
  <c r="K105" i="1"/>
  <c r="K57" i="1"/>
  <c r="K18" i="1"/>
  <c r="K66" i="1"/>
  <c r="K119" i="1"/>
  <c r="K174" i="1"/>
  <c r="L149" i="1"/>
  <c r="L55" i="1"/>
  <c r="L168" i="1"/>
  <c r="L145" i="1"/>
  <c r="L34" i="1"/>
  <c r="L179" i="1"/>
  <c r="L23" i="1"/>
  <c r="L50" i="1"/>
  <c r="L7" i="1"/>
  <c r="L131" i="1"/>
  <c r="L170" i="1"/>
  <c r="L20" i="1"/>
  <c r="L58" i="1"/>
  <c r="L86" i="1"/>
  <c r="L148" i="1"/>
  <c r="L70" i="1"/>
  <c r="L88" i="1"/>
  <c r="L39" i="1"/>
  <c r="M177" i="1"/>
  <c r="M59" i="1"/>
  <c r="M154" i="1"/>
  <c r="M123" i="1"/>
  <c r="M33" i="1"/>
  <c r="M90" i="1"/>
  <c r="M27" i="1"/>
  <c r="M112" i="1"/>
  <c r="M190" i="1"/>
  <c r="M99" i="1"/>
  <c r="M29" i="1"/>
  <c r="M67" i="1"/>
  <c r="M107" i="1"/>
  <c r="M62" i="1"/>
  <c r="M152" i="1"/>
  <c r="M78" i="1"/>
  <c r="J64" i="1"/>
  <c r="J187" i="1"/>
  <c r="J69" i="1"/>
  <c r="J15" i="1"/>
  <c r="J142" i="1"/>
  <c r="J161" i="1"/>
  <c r="J89" i="1"/>
  <c r="J135" i="1"/>
  <c r="J106" i="1"/>
  <c r="J74" i="1"/>
  <c r="J162" i="1"/>
  <c r="J103" i="1"/>
  <c r="J75" i="1"/>
  <c r="J182" i="1"/>
  <c r="J11" i="1"/>
  <c r="J54" i="1"/>
  <c r="J113" i="1"/>
  <c r="J87" i="1"/>
  <c r="J84" i="1"/>
  <c r="J172" i="1"/>
  <c r="J94" i="1"/>
  <c r="J28" i="1"/>
  <c r="J105" i="1"/>
  <c r="J5" i="1"/>
  <c r="J45" i="1"/>
  <c r="J68" i="1"/>
  <c r="J57" i="1"/>
  <c r="J180" i="1"/>
  <c r="J49" i="1"/>
  <c r="J18" i="1"/>
  <c r="J136" i="1"/>
  <c r="J185" i="1"/>
  <c r="J63" i="1"/>
  <c r="J175" i="1"/>
  <c r="J66" i="1"/>
  <c r="J108" i="1"/>
  <c r="J115" i="1"/>
  <c r="J163" i="1"/>
  <c r="J119" i="1"/>
  <c r="J116" i="1"/>
  <c r="J22" i="1"/>
  <c r="J166" i="1"/>
  <c r="J188" i="1"/>
  <c r="J56" i="1"/>
  <c r="J80" i="1"/>
  <c r="J160" i="1"/>
  <c r="J82" i="1"/>
  <c r="J174" i="1"/>
  <c r="K38" i="1"/>
  <c r="K43" i="1"/>
  <c r="K72" i="1"/>
  <c r="K111" i="1"/>
  <c r="K59" i="1"/>
  <c r="K121" i="1"/>
  <c r="K154" i="1"/>
  <c r="K109" i="1"/>
  <c r="K123" i="1"/>
  <c r="K13" i="1"/>
  <c r="K155" i="1"/>
  <c r="K33" i="1"/>
  <c r="K90" i="1"/>
  <c r="K186" i="1"/>
  <c r="K36" i="1"/>
  <c r="K27" i="1"/>
  <c r="K157" i="1"/>
  <c r="K167" i="1"/>
  <c r="K112" i="1"/>
  <c r="K6" i="1"/>
  <c r="K100" i="1"/>
  <c r="K190" i="1"/>
  <c r="K147" i="1"/>
  <c r="K125" i="1"/>
  <c r="K99" i="1"/>
  <c r="K176" i="1"/>
  <c r="K146" i="1"/>
  <c r="K29" i="1"/>
  <c r="K124" i="1"/>
  <c r="K14" i="1"/>
  <c r="K67" i="1"/>
  <c r="K151" i="1"/>
  <c r="K114" i="1"/>
  <c r="K173" i="1"/>
  <c r="K178" i="1"/>
  <c r="K107" i="1"/>
  <c r="K62" i="1"/>
  <c r="K46" i="1"/>
  <c r="K137" i="1"/>
  <c r="K92" i="1"/>
  <c r="K71" i="1"/>
  <c r="K152" i="1"/>
  <c r="K183" i="1"/>
  <c r="K31" i="1"/>
  <c r="K44" i="1"/>
  <c r="K118" i="1"/>
  <c r="K171" i="1"/>
  <c r="K78" i="1"/>
  <c r="L64" i="1"/>
  <c r="L187" i="1"/>
  <c r="L69" i="1"/>
  <c r="L15" i="1"/>
  <c r="L142" i="1"/>
  <c r="L161" i="1"/>
  <c r="L89" i="1"/>
  <c r="L135" i="1"/>
  <c r="L106" i="1"/>
  <c r="L74" i="1"/>
  <c r="L162" i="1"/>
  <c r="L103" i="1"/>
  <c r="L75" i="1"/>
  <c r="L182" i="1"/>
  <c r="L11" i="1"/>
  <c r="L54" i="1"/>
  <c r="L113" i="1"/>
  <c r="L87" i="1"/>
  <c r="L84" i="1"/>
  <c r="L172" i="1"/>
  <c r="L94" i="1"/>
  <c r="L28" i="1"/>
  <c r="L105" i="1"/>
  <c r="L5" i="1"/>
  <c r="L45" i="1"/>
  <c r="L68" i="1"/>
  <c r="L57" i="1"/>
  <c r="L180" i="1"/>
  <c r="L49" i="1"/>
  <c r="L18" i="1"/>
  <c r="L136" i="1"/>
  <c r="L185" i="1"/>
  <c r="L63" i="1"/>
  <c r="L175" i="1"/>
  <c r="L66" i="1"/>
  <c r="L108" i="1"/>
  <c r="L115" i="1"/>
  <c r="L163" i="1"/>
  <c r="L119" i="1"/>
  <c r="L116" i="1"/>
  <c r="L22" i="1"/>
  <c r="L166" i="1"/>
  <c r="L188" i="1"/>
  <c r="L56" i="1"/>
  <c r="L80" i="1"/>
  <c r="L160" i="1"/>
  <c r="L82" i="1"/>
  <c r="L174" i="1"/>
  <c r="M85" i="1"/>
  <c r="M12" i="1"/>
  <c r="M169" i="1"/>
  <c r="M132" i="1"/>
  <c r="M9" i="1"/>
  <c r="M165" i="1"/>
  <c r="M144" i="1"/>
  <c r="M19" i="1"/>
  <c r="M3" i="1"/>
  <c r="M76" i="1"/>
  <c r="M95" i="1"/>
  <c r="M93" i="1"/>
  <c r="M139" i="1"/>
  <c r="M83" i="1"/>
  <c r="M81" i="1"/>
  <c r="M61" i="1"/>
  <c r="M110" i="1"/>
  <c r="M122" i="1"/>
  <c r="M97" i="1"/>
  <c r="M41" i="1"/>
  <c r="M126" i="1"/>
  <c r="M184" i="1"/>
  <c r="M16" i="1"/>
  <c r="M53" i="1"/>
  <c r="M101" i="1"/>
  <c r="M120" i="1"/>
  <c r="M30" i="1"/>
  <c r="M150" i="1"/>
  <c r="M143" i="1"/>
  <c r="M129" i="1"/>
  <c r="M25" i="1"/>
  <c r="M127" i="1"/>
  <c r="M117" i="1"/>
  <c r="M10" i="1"/>
  <c r="M189" i="1"/>
  <c r="M134" i="1"/>
  <c r="M32" i="1"/>
  <c r="M51" i="1"/>
  <c r="M156" i="1"/>
  <c r="M42" i="1"/>
  <c r="M141" i="1"/>
  <c r="M2" i="1"/>
  <c r="M181" i="1"/>
  <c r="M37" i="1"/>
  <c r="M60" i="1"/>
  <c r="C16" i="14" l="1"/>
  <c r="B16" i="14"/>
  <c r="C11" i="14"/>
  <c r="B11" i="14"/>
  <c r="G19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Singh Rajawat, Ajay</author>
  </authors>
  <commentList>
    <comment ref="G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No of trades previous Day</t>
        </r>
      </text>
    </comment>
    <comment ref="A16" authorId="0" shapeId="0" xr:uid="{228727EE-0873-4EC3-A6F9-38A3E358E79A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Divergence on day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2E2E3B-5F4F-4D8A-BFAD-ACE4F5E0FC50}" keepAlive="1" name="Query - DynamicsLevelData" description="Connection to the 'DynamicsLevelData' query in the workbook." type="5" refreshedVersion="6" background="1" saveData="1">
    <dbPr connection="Provider=Microsoft.Mashup.OleDb.1;Data Source=$Workbook$;Location=DynamicsLevelData;Extended Properties=&quot;&quot;" command="SELECT * FROM [DynamicsLevelData]"/>
  </connection>
  <connection id="2" xr16:uid="{00000000-0015-0000-FFFF-FFFF00000000}" keepAlive="1" name="Query - foSecStockWatch" description="Connection to the 'foSecStockWatch' query in the workbook." type="5" refreshedVersion="6" background="1" saveData="1">
    <dbPr connection="Provider=Microsoft.Mashup.OleDb.1;Data Source=$Workbook$;Location=foSecStockWatch;Extended Properties=&quot;&quot;" command="SELECT * FROM [foSecStockWatch]"/>
  </connection>
  <connection id="3" xr16:uid="{00000000-0015-0000-FFFF-FFFF01000000}" keepAlive="1" name="Query - FromDate" description="Connection to the 'FromDate' query in the workbook." type="5" refreshedVersion="0" background="1">
    <dbPr connection="Provider=Microsoft.Mashup.OleDb.1;Data Source=$Workbook$;Location=FromDate;Extended Properties=&quot;&quot;" command="SELECT * FROM [FromDate]"/>
  </connection>
  <connection id="4" xr16:uid="{00000000-0015-0000-FFFF-FFFF02000000}" keepAlive="1" name="Query - symbol" description="Connection to the 'symbol' query in the workbook." type="5" refreshedVersion="6" saveData="1">
    <dbPr connection="Provider=Microsoft.Mashup.OleDb.1;Data Source=$Workbook$;Location=symbol;Extended Properties=&quot;&quot;" command="SELECT * FROM [symbol]"/>
  </connection>
  <connection id="5" xr16:uid="{00000000-0015-0000-FFFF-FFFF03000000}" keepAlive="1" name="Query - ToDate" description="Connection to the 'ToDate' query in the workbook." type="5" refreshedVersion="0" background="1">
    <dbPr connection="Provider=Microsoft.Mashup.OleDb.1;Data Source=$Workbook$;Location=ToDate;Extended Properties=&quot;&quot;" command="SELECT * FROM [ToDate]"/>
  </connection>
  <connection id="6" xr16:uid="{00000000-0015-0000-FFFF-FFFF04000000}" keepAlive="1" name="Query - TradedQtyData" description="Connection to the 'TradedQtyData' query in the workbook." type="5" refreshedVersion="0" background="1">
    <dbPr connection="Provider=Microsoft.Mashup.OleDb.1;Data Source=$Workbook$;Location=TradedQtyData;Extended Properties=&quot;&quot;" command="SELECT * FROM [TradedQtyData]"/>
  </connection>
  <connection id="7" xr16:uid="{00000000-0015-0000-FFFF-FFFF05000000}" keepAlive="1" name="Query - TradedQtyWeekly" description="Connection to the 'TradedQtyWeekly' query in the workbook." type="5" refreshedVersion="0" background="1">
    <dbPr connection="Provider=Microsoft.Mashup.OleDb.1;Data Source=$Workbook$;Location=TradedQtyWeekly;Extended Properties=&quot;&quot;" command="SELECT * FROM [TradedQtyWeekly]"/>
  </connection>
</connections>
</file>

<file path=xl/sharedStrings.xml><?xml version="1.0" encoding="utf-8"?>
<sst xmlns="http://schemas.openxmlformats.org/spreadsheetml/2006/main" count="2291" uniqueCount="1028">
  <si>
    <t>SYMBOL</t>
  </si>
  <si>
    <t>ACC</t>
  </si>
  <si>
    <t>ADANIPORTS</t>
  </si>
  <si>
    <t>AMBUJACEM</t>
  </si>
  <si>
    <t>ASIANPAINT</t>
  </si>
  <si>
    <t>AUROPHARMA</t>
  </si>
  <si>
    <t>AXISBANK</t>
  </si>
  <si>
    <t>BAJAJ-AUTO</t>
  </si>
  <si>
    <t>BANKBARODA</t>
  </si>
  <si>
    <t>BHARTIARTL</t>
  </si>
  <si>
    <t>BOSCHLTD</t>
  </si>
  <si>
    <t>BPCL</t>
  </si>
  <si>
    <t>CIPLA</t>
  </si>
  <si>
    <t>COALINDIA</t>
  </si>
  <si>
    <t>DRREDDY</t>
  </si>
  <si>
    <t>EICHERMOT</t>
  </si>
  <si>
    <t>GAIL</t>
  </si>
  <si>
    <t>HCLTECH</t>
  </si>
  <si>
    <t>HDFC</t>
  </si>
  <si>
    <t>HDFCBANK</t>
  </si>
  <si>
    <t>HEROMOTOCO</t>
  </si>
  <si>
    <t>HINDALCO</t>
  </si>
  <si>
    <t>HINDUNILVR</t>
  </si>
  <si>
    <t>IBULHSGFIN</t>
  </si>
  <si>
    <t>ICICIBANK</t>
  </si>
  <si>
    <t>INDUSINDBK</t>
  </si>
  <si>
    <t>INFRATEL</t>
  </si>
  <si>
    <t>INFY</t>
  </si>
  <si>
    <t>IOC</t>
  </si>
  <si>
    <t>ITC</t>
  </si>
  <si>
    <t>KOTAKBANK</t>
  </si>
  <si>
    <t>LT</t>
  </si>
  <si>
    <t>LUPIN</t>
  </si>
  <si>
    <t>M&amp;M</t>
  </si>
  <si>
    <t>MARUTI</t>
  </si>
  <si>
    <t>NTPC</t>
  </si>
  <si>
    <t>ONGC</t>
  </si>
  <si>
    <t>POWERGRID</t>
  </si>
  <si>
    <t>RELIANCE</t>
  </si>
  <si>
    <t>SBIN</t>
  </si>
  <si>
    <t>SUNPHARMA</t>
  </si>
  <si>
    <t>TATAMOTORS</t>
  </si>
  <si>
    <t>TATAPOWER</t>
  </si>
  <si>
    <t>TATASTEEL</t>
  </si>
  <si>
    <t>TCS</t>
  </si>
  <si>
    <t>TECHM</t>
  </si>
  <si>
    <t>ULTRACEMCO</t>
  </si>
  <si>
    <t>UPL</t>
  </si>
  <si>
    <t>VEDL</t>
  </si>
  <si>
    <t>WIPRO</t>
  </si>
  <si>
    <t>YESBANK</t>
  </si>
  <si>
    <t>ZEEL</t>
  </si>
  <si>
    <t>Y</t>
  </si>
  <si>
    <t>BAJFINANCE</t>
  </si>
  <si>
    <t>HINDPETRO</t>
  </si>
  <si>
    <t>FO</t>
  </si>
  <si>
    <t>ADANIENT</t>
  </si>
  <si>
    <t>ADANIPOWER</t>
  </si>
  <si>
    <t>AJANTPHARM</t>
  </si>
  <si>
    <t>ALBK</t>
  </si>
  <si>
    <t>AMARAJABAT</t>
  </si>
  <si>
    <t>APOLLOHOSP</t>
  </si>
  <si>
    <t>APOLLOTYRE</t>
  </si>
  <si>
    <t>ARVIND</t>
  </si>
  <si>
    <t>ASHOKLEY</t>
  </si>
  <si>
    <t>BAJAJFINSV</t>
  </si>
  <si>
    <t>BALKRISIND</t>
  </si>
  <si>
    <t>BANKINDIA</t>
  </si>
  <si>
    <t>BATAINDIA</t>
  </si>
  <si>
    <t>BEL</t>
  </si>
  <si>
    <t>BEML</t>
  </si>
  <si>
    <t>BERGEPAINT</t>
  </si>
  <si>
    <t>BHARATFIN</t>
  </si>
  <si>
    <t>BHARATFORG</t>
  </si>
  <si>
    <t>BHEL</t>
  </si>
  <si>
    <t>BIOCON</t>
  </si>
  <si>
    <t>BRITANNIA</t>
  </si>
  <si>
    <t>CADILAHC</t>
  </si>
  <si>
    <t>CANBK</t>
  </si>
  <si>
    <t>CANFINHOME</t>
  </si>
  <si>
    <t>CAPF</t>
  </si>
  <si>
    <t>CASTROLIND</t>
  </si>
  <si>
    <t>CEATLTD</t>
  </si>
  <si>
    <t>CENTURYTEX</t>
  </si>
  <si>
    <t>CESC</t>
  </si>
  <si>
    <t>CGPOWER</t>
  </si>
  <si>
    <t>CHENNPETRO</t>
  </si>
  <si>
    <t>CHOLAFIN</t>
  </si>
  <si>
    <t>COLPAL</t>
  </si>
  <si>
    <t>CONCOR</t>
  </si>
  <si>
    <t>CUMMINSIND</t>
  </si>
  <si>
    <t>DABUR</t>
  </si>
  <si>
    <t>DCBBANK</t>
  </si>
  <si>
    <t>DHFL</t>
  </si>
  <si>
    <t>DISHTV</t>
  </si>
  <si>
    <t>DIVISLAB</t>
  </si>
  <si>
    <t>DLF</t>
  </si>
  <si>
    <t>ENGINERSIN</t>
  </si>
  <si>
    <t>EQUITAS</t>
  </si>
  <si>
    <t>ESCORTS</t>
  </si>
  <si>
    <t>EXIDEIND</t>
  </si>
  <si>
    <t>FEDERALBNK</t>
  </si>
  <si>
    <t>GLENMARK</t>
  </si>
  <si>
    <t>GMRINFRA</t>
  </si>
  <si>
    <t>GODFRYPHLP</t>
  </si>
  <si>
    <t>GODREJCP</t>
  </si>
  <si>
    <t>GODREJIND</t>
  </si>
  <si>
    <t>GRASIM</t>
  </si>
  <si>
    <t>GSFC</t>
  </si>
  <si>
    <t>HAVELLS</t>
  </si>
  <si>
    <t>HEXAWARE</t>
  </si>
  <si>
    <t>HINDZINC</t>
  </si>
  <si>
    <t>ICICIPRULI</t>
  </si>
  <si>
    <t>IDBI</t>
  </si>
  <si>
    <t>IDEA</t>
  </si>
  <si>
    <t>IDFC</t>
  </si>
  <si>
    <t>IFCI</t>
  </si>
  <si>
    <t>IGL</t>
  </si>
  <si>
    <t>INDIACEM</t>
  </si>
  <si>
    <t>INDIANB</t>
  </si>
  <si>
    <t>INDIGO</t>
  </si>
  <si>
    <t>INFIBEAM</t>
  </si>
  <si>
    <t>IRB</t>
  </si>
  <si>
    <t>JETAIRWAYS</t>
  </si>
  <si>
    <t>JINDALSTEL</t>
  </si>
  <si>
    <t>JISLJALEQS</t>
  </si>
  <si>
    <t>JPASSOCIAT</t>
  </si>
  <si>
    <t>JSWSTEEL</t>
  </si>
  <si>
    <t>JUBLFOOD</t>
  </si>
  <si>
    <t>JUSTDIAL</t>
  </si>
  <si>
    <t>KAJARIACER</t>
  </si>
  <si>
    <t>KSCL</t>
  </si>
  <si>
    <t>KTKBANK</t>
  </si>
  <si>
    <t>L&amp;TFH</t>
  </si>
  <si>
    <t>LICHSGFIN</t>
  </si>
  <si>
    <t>M&amp;MFIN</t>
  </si>
  <si>
    <t>MANAPPURAM</t>
  </si>
  <si>
    <t>MARICO</t>
  </si>
  <si>
    <t>MCDOWELL-N</t>
  </si>
  <si>
    <t>MCX</t>
  </si>
  <si>
    <t>MFSL</t>
  </si>
  <si>
    <t>MGL</t>
  </si>
  <si>
    <t>MINDTREE</t>
  </si>
  <si>
    <t>MOTHERSUMI</t>
  </si>
  <si>
    <t>MRF</t>
  </si>
  <si>
    <t>MRPL</t>
  </si>
  <si>
    <t>MUTHOOTFIN</t>
  </si>
  <si>
    <t>NATIONALUM</t>
  </si>
  <si>
    <t>NBCC</t>
  </si>
  <si>
    <t>NCC</t>
  </si>
  <si>
    <t>NESTLEIND</t>
  </si>
  <si>
    <t>NHPC</t>
  </si>
  <si>
    <t>NIITTECH</t>
  </si>
  <si>
    <t>NMDC</t>
  </si>
  <si>
    <t>OFSS</t>
  </si>
  <si>
    <t>OIL</t>
  </si>
  <si>
    <t>ORIENTBANK</t>
  </si>
  <si>
    <t>PAGEIND</t>
  </si>
  <si>
    <t>PCJEWELLER</t>
  </si>
  <si>
    <t>PEL</t>
  </si>
  <si>
    <t>PETRONET</t>
  </si>
  <si>
    <t>PFC</t>
  </si>
  <si>
    <t>PIDILITIND</t>
  </si>
  <si>
    <t>PNB</t>
  </si>
  <si>
    <t>PVR</t>
  </si>
  <si>
    <t>RAMCOCEM</t>
  </si>
  <si>
    <t>RAYMOND</t>
  </si>
  <si>
    <t>RBLBANK</t>
  </si>
  <si>
    <t>RECLTD</t>
  </si>
  <si>
    <t>RELCAPITAL</t>
  </si>
  <si>
    <t>RELINFRA</t>
  </si>
  <si>
    <t>REPCOHOME</t>
  </si>
  <si>
    <t>RPOWER</t>
  </si>
  <si>
    <t>SAIL</t>
  </si>
  <si>
    <t>SHREECEM</t>
  </si>
  <si>
    <t>SIEMENS</t>
  </si>
  <si>
    <t>SOUTHBANK</t>
  </si>
  <si>
    <t>SRF</t>
  </si>
  <si>
    <t>SRTRANSFIN</t>
  </si>
  <si>
    <t>STAR</t>
  </si>
  <si>
    <t>SUNTV</t>
  </si>
  <si>
    <t>SUZLON</t>
  </si>
  <si>
    <t>SYNDIBANK</t>
  </si>
  <si>
    <t>TATACHEM</t>
  </si>
  <si>
    <t>TATACOMM</t>
  </si>
  <si>
    <t>TATAELXSI</t>
  </si>
  <si>
    <t>TATAGLOBAL</t>
  </si>
  <si>
    <t>TATAMTRDVR</t>
  </si>
  <si>
    <t>TITAN</t>
  </si>
  <si>
    <t>TORNTPHARM</t>
  </si>
  <si>
    <t>TORNTPOWER</t>
  </si>
  <si>
    <t>TV18BRDCST</t>
  </si>
  <si>
    <t>TVSMOTOR</t>
  </si>
  <si>
    <t>UBL</t>
  </si>
  <si>
    <t>UJJIVAN</t>
  </si>
  <si>
    <t>UNIONBANK</t>
  </si>
  <si>
    <t>VGUARD</t>
  </si>
  <si>
    <t>VOLTAS</t>
  </si>
  <si>
    <t>WOCKPHARMA</t>
  </si>
  <si>
    <t>N</t>
  </si>
  <si>
    <t>P1</t>
  </si>
  <si>
    <t>TV3</t>
  </si>
  <si>
    <t>P2</t>
  </si>
  <si>
    <t>symbol</t>
  </si>
  <si>
    <t>TV1</t>
  </si>
  <si>
    <t>TV2</t>
  </si>
  <si>
    <t>P3</t>
  </si>
  <si>
    <t>P4</t>
  </si>
  <si>
    <t>TV4</t>
  </si>
  <si>
    <t>P5</t>
  </si>
  <si>
    <t>TV5</t>
  </si>
  <si>
    <t>ToTal</t>
  </si>
  <si>
    <t>Parameters</t>
  </si>
  <si>
    <t>Current Stock Price</t>
  </si>
  <si>
    <t>Call Implied Volatility</t>
  </si>
  <si>
    <t>Put Implied Volatility</t>
  </si>
  <si>
    <t>Days to Expiration</t>
  </si>
  <si>
    <t>Strike Price &lt; CMP</t>
  </si>
  <si>
    <t xml:space="preserve">Target </t>
  </si>
  <si>
    <t>Winning</t>
  </si>
  <si>
    <t>Close Above</t>
  </si>
  <si>
    <t>Stock Price</t>
  </si>
  <si>
    <t xml:space="preserve">Probability </t>
  </si>
  <si>
    <t>Target</t>
  </si>
  <si>
    <t>Strike Price &gt; CMP</t>
  </si>
  <si>
    <t>Close Below</t>
  </si>
  <si>
    <t xml:space="preserve">Scrip </t>
  </si>
  <si>
    <t>Close</t>
  </si>
  <si>
    <t>Price</t>
  </si>
  <si>
    <t>Decrease</t>
  </si>
  <si>
    <t>Del%</t>
  </si>
  <si>
    <t>Increase</t>
  </si>
  <si>
    <t>Bearish</t>
  </si>
  <si>
    <t>No Impact of Volume</t>
  </si>
  <si>
    <t>Delivery%</t>
  </si>
  <si>
    <t>Trap</t>
  </si>
  <si>
    <t>Volatlity Increase</t>
  </si>
  <si>
    <t>Offloading</t>
  </si>
  <si>
    <t>Positive Indrectly</t>
  </si>
  <si>
    <t>Del%Should be &gt;60</t>
  </si>
  <si>
    <t>Price1</t>
  </si>
  <si>
    <t>DelPer1</t>
  </si>
  <si>
    <t>Price2</t>
  </si>
  <si>
    <t>DelPer2</t>
  </si>
  <si>
    <t>Price3</t>
  </si>
  <si>
    <t>DelPer3</t>
  </si>
  <si>
    <t>Price4</t>
  </si>
  <si>
    <t>DelPer4</t>
  </si>
  <si>
    <t>Price5</t>
  </si>
  <si>
    <t>DelPer5</t>
  </si>
  <si>
    <t>IncreaseP1</t>
  </si>
  <si>
    <t>IncreaseP2</t>
  </si>
  <si>
    <t>IncreaseP3</t>
  </si>
  <si>
    <t>IncreaseP4</t>
  </si>
  <si>
    <t>P2-P1</t>
  </si>
  <si>
    <t>P3-P2</t>
  </si>
  <si>
    <t>P4-P3</t>
  </si>
  <si>
    <t>P5-P4</t>
  </si>
  <si>
    <t>IncreaseTV1</t>
  </si>
  <si>
    <t>IncreaseTV2</t>
  </si>
  <si>
    <t>IncreaseTV3</t>
  </si>
  <si>
    <t>IncreaseTV4</t>
  </si>
  <si>
    <t>TV2-TV1</t>
  </si>
  <si>
    <t>TV3-TV2</t>
  </si>
  <si>
    <t>TV4-TV3</t>
  </si>
  <si>
    <t>TV5-TV4</t>
  </si>
  <si>
    <t>IncreaseDelPer1</t>
  </si>
  <si>
    <t>IncreaseDelPer2</t>
  </si>
  <si>
    <t>IncreaseDelPer3</t>
  </si>
  <si>
    <t>IncreaseDelPer4</t>
  </si>
  <si>
    <t>DelPer2-DelPer1</t>
  </si>
  <si>
    <t>DelPer3-DelPer2</t>
  </si>
  <si>
    <t>DelPer4-DelPer3</t>
  </si>
  <si>
    <t>DelPer5-DelPer4</t>
  </si>
  <si>
    <t>Adaniports</t>
  </si>
  <si>
    <t>Nifty</t>
  </si>
  <si>
    <t xml:space="preserve">EXIDEIND </t>
  </si>
  <si>
    <t>Marico</t>
  </si>
  <si>
    <t>ADANITRANS</t>
  </si>
  <si>
    <t>DELTACORP</t>
  </si>
  <si>
    <t>EDELWEISS</t>
  </si>
  <si>
    <t>GNFC</t>
  </si>
  <si>
    <t>IBREALEST</t>
  </si>
  <si>
    <t>IBVENTURES</t>
  </si>
  <si>
    <t>JSWENERGY</t>
  </si>
  <si>
    <t>RADICO</t>
  </si>
  <si>
    <t>High Beta</t>
  </si>
  <si>
    <t>TradedValue1</t>
  </si>
  <si>
    <t>TradedValue2</t>
  </si>
  <si>
    <t>TradedValue3</t>
  </si>
  <si>
    <t>TradedValue4</t>
  </si>
  <si>
    <t>TradedValue5</t>
  </si>
  <si>
    <t>TradedValue42</t>
  </si>
  <si>
    <t>TradedValue43</t>
  </si>
  <si>
    <t>TradedValue44</t>
  </si>
  <si>
    <t>TradedValue52</t>
  </si>
  <si>
    <t>TradedValue6</t>
  </si>
  <si>
    <t>TradedValue53</t>
  </si>
  <si>
    <t>TradedValue54</t>
  </si>
  <si>
    <t>TradedValue55</t>
  </si>
  <si>
    <t>Will go high if close above 182</t>
  </si>
  <si>
    <t>BharatForge</t>
  </si>
  <si>
    <t>CastrolInd</t>
  </si>
  <si>
    <t>CeatLtd</t>
  </si>
  <si>
    <t>Dabur</t>
  </si>
  <si>
    <t>GodrejInd</t>
  </si>
  <si>
    <t>HEXAwaRe</t>
  </si>
  <si>
    <t>Maruti</t>
  </si>
  <si>
    <t>Mindtree</t>
  </si>
  <si>
    <t>NIITTech</t>
  </si>
  <si>
    <t>TORANTPHARMA</t>
  </si>
  <si>
    <t>TVSMOTORS</t>
  </si>
  <si>
    <t>Yesbank</t>
  </si>
  <si>
    <t>at near its 38.2%  which is 392</t>
  </si>
  <si>
    <t>at near its61.1%  which is 36</t>
  </si>
  <si>
    <t>NIFTY</t>
  </si>
  <si>
    <t>FromDate</t>
  </si>
  <si>
    <t>ToDate</t>
  </si>
  <si>
    <t>IDFCFIRSTB</t>
  </si>
  <si>
    <t>FII</t>
  </si>
  <si>
    <t>PRO</t>
  </si>
  <si>
    <t>CLIENT</t>
  </si>
  <si>
    <t>DII</t>
  </si>
  <si>
    <t>Nifty Index</t>
  </si>
  <si>
    <t>BankNifty Index</t>
  </si>
  <si>
    <t>Date</t>
  </si>
  <si>
    <t>Net OI Index Futures</t>
  </si>
  <si>
    <t>Change today</t>
  </si>
  <si>
    <t>20-02-19</t>
  </si>
  <si>
    <t>19-02-19</t>
  </si>
  <si>
    <t>18-02-19</t>
  </si>
  <si>
    <t>15-02-19</t>
  </si>
  <si>
    <t>14-02-19</t>
  </si>
  <si>
    <t>13-02-19</t>
  </si>
  <si>
    <t>31-01-19</t>
  </si>
  <si>
    <t>30-01-19</t>
  </si>
  <si>
    <t>29-01-19</t>
  </si>
  <si>
    <t>28-01-19</t>
  </si>
  <si>
    <t>25-01-19</t>
  </si>
  <si>
    <t>24-01-19</t>
  </si>
  <si>
    <t>23-01-19</t>
  </si>
  <si>
    <t>22-01-19</t>
  </si>
  <si>
    <t>21-01-19</t>
  </si>
  <si>
    <t>18-01-19</t>
  </si>
  <si>
    <t>17-01-19</t>
  </si>
  <si>
    <t>16-01-19</t>
  </si>
  <si>
    <t>15-01-19</t>
  </si>
  <si>
    <t>14-01-19</t>
  </si>
  <si>
    <t>31-12-18</t>
  </si>
  <si>
    <t>28-12-18</t>
  </si>
  <si>
    <t>27-12-18</t>
  </si>
  <si>
    <t>26-12-18</t>
  </si>
  <si>
    <t>24-12-18</t>
  </si>
  <si>
    <t>21-12-18</t>
  </si>
  <si>
    <t>20-12-18</t>
  </si>
  <si>
    <t>19-12-18</t>
  </si>
  <si>
    <t>18-12-18</t>
  </si>
  <si>
    <t>17-12-18</t>
  </si>
  <si>
    <t>14-12-18</t>
  </si>
  <si>
    <t>13-12-18</t>
  </si>
  <si>
    <t>30-11-18</t>
  </si>
  <si>
    <t>29-11-18</t>
  </si>
  <si>
    <t>28-11-18</t>
  </si>
  <si>
    <t>27-11-18</t>
  </si>
  <si>
    <t>26-11-18</t>
  </si>
  <si>
    <t>Net OI Index Call</t>
  </si>
  <si>
    <t>Net OI Index Put</t>
  </si>
  <si>
    <t>Net OI Index Options</t>
  </si>
  <si>
    <t>Adjusted Net 2 lacs Options OI</t>
  </si>
  <si>
    <t>BANKNIFTY</t>
  </si>
  <si>
    <t>21-02-19</t>
  </si>
  <si>
    <t>BSOFT</t>
  </si>
  <si>
    <t>28-02-19</t>
  </si>
  <si>
    <t>27-02-19</t>
  </si>
  <si>
    <t>26-02-19</t>
  </si>
  <si>
    <t>25-02-19</t>
  </si>
  <si>
    <t>22-02-19</t>
  </si>
  <si>
    <t>Column10</t>
  </si>
  <si>
    <t>25-02-2029</t>
  </si>
  <si>
    <t>26-02-2019</t>
  </si>
  <si>
    <t>27-02-2019</t>
  </si>
  <si>
    <t>28-02-2019</t>
  </si>
  <si>
    <t>Net OI Stock Futures</t>
  </si>
  <si>
    <t>Net OI Stock Calls</t>
  </si>
  <si>
    <t>Net OI Stock Puts</t>
  </si>
  <si>
    <t>Clients</t>
  </si>
  <si>
    <t>Net Of Index Futures</t>
  </si>
  <si>
    <t>Net Of 
Index Options</t>
  </si>
  <si>
    <t>Net Of Index Futures Pro</t>
  </si>
  <si>
    <t>Net Of 
Index Options Pro</t>
  </si>
  <si>
    <t>Net OI Stock Futures Pro</t>
  </si>
  <si>
    <t>Net OI Stock Calls Pro</t>
  </si>
  <si>
    <t>Net OI Stock Puts Pro</t>
  </si>
  <si>
    <t>Net Of Index Futures Client</t>
  </si>
  <si>
    <t>Net Of 
Index Options Client</t>
  </si>
  <si>
    <t>Net OI Stock Futures Client</t>
  </si>
  <si>
    <t>Net OI Stock Calls Client</t>
  </si>
  <si>
    <t>Net OI Stock Puts Client</t>
  </si>
  <si>
    <t>Net Of Index Futures DII</t>
  </si>
  <si>
    <t>Net Of 
Index Options DII</t>
  </si>
  <si>
    <t>Net OI Stock Futures DII</t>
  </si>
  <si>
    <t>Net OI Stock Calls DII</t>
  </si>
  <si>
    <t>Net OI Stock Puts DII</t>
  </si>
  <si>
    <t>19-02-2019</t>
  </si>
  <si>
    <t>13-03-19</t>
  </si>
  <si>
    <t>Increase in price</t>
  </si>
  <si>
    <t>FII Net OI Index Options (FII)</t>
  </si>
  <si>
    <t>PRO Net OI Index Options (PRO)</t>
  </si>
  <si>
    <t>FII+PRO Combined Position</t>
  </si>
  <si>
    <t>CLIENT Net OI Index Options (CLI)</t>
  </si>
  <si>
    <t>DII Net OI Index Options (DII)</t>
  </si>
  <si>
    <t>Nifty Close</t>
  </si>
  <si>
    <t>Bank Nifty Close</t>
  </si>
  <si>
    <t>FII+PRO in combined have bought 80024 contracts in the index options in the current expiry.</t>
  </si>
  <si>
    <t>-12552 (Net OI Till Date)</t>
  </si>
  <si>
    <t>116627</t>
  </si>
  <si>
    <t>51916</t>
  </si>
  <si>
    <t>7563</t>
  </si>
  <si>
    <t>-4280</t>
  </si>
  <si>
    <t>-103300</t>
  </si>
  <si>
    <t>51388</t>
  </si>
  <si>
    <t>-50290</t>
  </si>
  <si>
    <t>63749</t>
  </si>
  <si>
    <t>27168</t>
  </si>
  <si>
    <t>-45604</t>
  </si>
  <si>
    <t>56429</t>
  </si>
  <si>
    <t>3768</t>
  </si>
  <si>
    <t>44438</t>
  </si>
  <si>
    <t>67472 (Open OI)</t>
  </si>
  <si>
    <t>73632</t>
  </si>
  <si>
    <t>160925</t>
  </si>
  <si>
    <t>59626</t>
  </si>
  <si>
    <t>72505</t>
  </si>
  <si>
    <t>184813</t>
  </si>
  <si>
    <t>245478</t>
  </si>
  <si>
    <t>199785</t>
  </si>
  <si>
    <t>262518</t>
  </si>
  <si>
    <t>222139</t>
  </si>
  <si>
    <t>314207</t>
  </si>
  <si>
    <t>277125</t>
  </si>
  <si>
    <t>161261</t>
  </si>
  <si>
    <t>115039</t>
  </si>
  <si>
    <t>118612</t>
  </si>
  <si>
    <t>138551</t>
  </si>
  <si>
    <t>113852</t>
  </si>
  <si>
    <t>19186</t>
  </si>
  <si>
    <t>3432(Open Net OI)</t>
  </si>
  <si>
    <t>-81138</t>
  </si>
  <si>
    <t>-35738</t>
  </si>
  <si>
    <t>-7691</t>
  </si>
  <si>
    <t>-112949</t>
  </si>
  <si>
    <t>-67866</t>
  </si>
  <si>
    <t>-102652</t>
  </si>
  <si>
    <t>-227304</t>
  </si>
  <si>
    <t>-216185</t>
  </si>
  <si>
    <t>-154359</t>
  </si>
  <si>
    <t>-107139</t>
  </si>
  <si>
    <t>-178038</t>
  </si>
  <si>
    <t>-111894</t>
  </si>
  <si>
    <t>-5175</t>
  </si>
  <si>
    <t>22646</t>
  </si>
  <si>
    <t>86922</t>
  </si>
  <si>
    <t>76949</t>
  </si>
  <si>
    <t>-2718</t>
  </si>
  <si>
    <t>-8698</t>
  </si>
  <si>
    <t>-24266</t>
  </si>
  <si>
    <t>2089(Open Net OI)</t>
  </si>
  <si>
    <t>-269137</t>
  </si>
  <si>
    <t>-295476</t>
  </si>
  <si>
    <t>-287597</t>
  </si>
  <si>
    <t>-172432</t>
  </si>
  <si>
    <t>-126196</t>
  </si>
  <si>
    <t>-180620</t>
  </si>
  <si>
    <t>-76934</t>
  </si>
  <si>
    <t>-17201</t>
  </si>
  <si>
    <t>-58934</t>
  </si>
  <si>
    <t>-54479</t>
  </si>
  <si>
    <t>-96645</t>
  </si>
  <si>
    <t>-82316</t>
  </si>
  <si>
    <t>-209793</t>
  </si>
  <si>
    <t>-181035</t>
  </si>
  <si>
    <t>-123502</t>
  </si>
  <si>
    <t>-70678</t>
  </si>
  <si>
    <t>-94923</t>
  </si>
  <si>
    <t>-157851</t>
  </si>
  <si>
    <t>-154271</t>
  </si>
  <si>
    <t>-193097</t>
  </si>
  <si>
    <t>-178163</t>
  </si>
  <si>
    <t>-48331</t>
  </si>
  <si>
    <t>-70717</t>
  </si>
  <si>
    <t>-67716</t>
  </si>
  <si>
    <t>-80047(Open Net OI)</t>
  </si>
  <si>
    <t>-155874</t>
  </si>
  <si>
    <t>-279275(Low Net OI)</t>
  </si>
  <si>
    <t>-215960</t>
  </si>
  <si>
    <t>-23243</t>
  </si>
  <si>
    <t>3489</t>
  </si>
  <si>
    <t>-14663</t>
  </si>
  <si>
    <t>11228</t>
  </si>
  <si>
    <t>-30454</t>
  </si>
  <si>
    <t>-44942</t>
  </si>
  <si>
    <t>31699 (High Net OI)</t>
  </si>
  <si>
    <t>-23455</t>
  </si>
  <si>
    <t>-84251</t>
  </si>
  <si>
    <t>-17912</t>
  </si>
  <si>
    <t>-57169</t>
  </si>
  <si>
    <t>-102921</t>
  </si>
  <si>
    <t>-42398</t>
  </si>
  <si>
    <t>-22116</t>
  </si>
  <si>
    <t>-17289</t>
  </si>
  <si>
    <t>34573 (Open Net OI)</t>
  </si>
  <si>
    <t>-18204</t>
  </si>
  <si>
    <t>18658</t>
  </si>
  <si>
    <t>-3094</t>
  </si>
  <si>
    <t>-119749</t>
  </si>
  <si>
    <t>-93842</t>
  </si>
  <si>
    <t>-57036</t>
  </si>
  <si>
    <t>43540(High Net OI)</t>
  </si>
  <si>
    <t>-14880</t>
  </si>
  <si>
    <t>-30777</t>
  </si>
  <si>
    <t>-47963</t>
  </si>
  <si>
    <t>-26456</t>
  </si>
  <si>
    <t>-98183</t>
  </si>
  <si>
    <t>1281</t>
  </si>
  <si>
    <t>-30911</t>
  </si>
  <si>
    <t>-40416</t>
  </si>
  <si>
    <t>-22677</t>
  </si>
  <si>
    <t>3419</t>
  </si>
  <si>
    <t>-71607</t>
  </si>
  <si>
    <t>-52345</t>
  </si>
  <si>
    <t>-195613</t>
  </si>
  <si>
    <t>-111034</t>
  </si>
  <si>
    <t>-238232</t>
  </si>
  <si>
    <t>-102827(Open Net OI)</t>
  </si>
  <si>
    <t>-299333</t>
  </si>
  <si>
    <t>-328931</t>
  </si>
  <si>
    <t>-296747</t>
  </si>
  <si>
    <t>-279345</t>
  </si>
  <si>
    <t>-215157</t>
  </si>
  <si>
    <t>-142334</t>
  </si>
  <si>
    <t>-155010</t>
  </si>
  <si>
    <t>-161867</t>
  </si>
  <si>
    <t>-218741</t>
  </si>
  <si>
    <t>-183197</t>
  </si>
  <si>
    <t>-270037</t>
  </si>
  <si>
    <t>-265863</t>
  </si>
  <si>
    <t>-332542(Low Net OI)</t>
  </si>
  <si>
    <t>-258500</t>
  </si>
  <si>
    <t>-201982</t>
  </si>
  <si>
    <t>-98632</t>
  </si>
  <si>
    <t>-154983</t>
  </si>
  <si>
    <t>-96758 (Open Net OI)</t>
  </si>
  <si>
    <t>-314762</t>
  </si>
  <si>
    <t>-283544</t>
  </si>
  <si>
    <t>-336958</t>
  </si>
  <si>
    <t>-253667</t>
  </si>
  <si>
    <t>-227510</t>
  </si>
  <si>
    <t>-262719</t>
  </si>
  <si>
    <t>-166203</t>
  </si>
  <si>
    <t>-101010</t>
  </si>
  <si>
    <t>-175931</t>
  </si>
  <si>
    <t>-290574</t>
  </si>
  <si>
    <t>-191247</t>
  </si>
  <si>
    <t>-52562</t>
  </si>
  <si>
    <t>-97386</t>
  </si>
  <si>
    <t>-182017</t>
  </si>
  <si>
    <t>-146669</t>
  </si>
  <si>
    <t>-49251</t>
  </si>
  <si>
    <t>20208</t>
  </si>
  <si>
    <t>39440(Open Net OI)</t>
  </si>
  <si>
    <t>125623</t>
  </si>
  <si>
    <t>200816</t>
  </si>
  <si>
    <t>197435</t>
  </si>
  <si>
    <t>111051</t>
  </si>
  <si>
    <t>155807</t>
  </si>
  <si>
    <t>199222</t>
  </si>
  <si>
    <t>210352</t>
  </si>
  <si>
    <t>172409</t>
  </si>
  <si>
    <t>104954</t>
  </si>
  <si>
    <t>149137</t>
  </si>
  <si>
    <t>108151</t>
  </si>
  <si>
    <t>164230</t>
  </si>
  <si>
    <t>208261</t>
  </si>
  <si>
    <t>225544(High Net OI)</t>
  </si>
  <si>
    <t>166730</t>
  </si>
  <si>
    <t>145843</t>
  </si>
  <si>
    <t>119696</t>
  </si>
  <si>
    <t>52742</t>
  </si>
  <si>
    <t>69193</t>
  </si>
  <si>
    <t>114641</t>
  </si>
  <si>
    <t>110416</t>
  </si>
  <si>
    <t>73425</t>
  </si>
  <si>
    <t>24052(Open Net OI)</t>
  </si>
  <si>
    <t>-12823</t>
  </si>
  <si>
    <t>-32962</t>
  </si>
  <si>
    <t>-38078</t>
  </si>
  <si>
    <t>-101438</t>
  </si>
  <si>
    <t>-104876</t>
  </si>
  <si>
    <t>-113904</t>
  </si>
  <si>
    <t>-20873</t>
  </si>
  <si>
    <t>-60341</t>
  </si>
  <si>
    <t>17199</t>
  </si>
  <si>
    <t>40582(High Net OI)</t>
  </si>
  <si>
    <t>22309</t>
  </si>
  <si>
    <t>32171</t>
  </si>
  <si>
    <t>-25023</t>
  </si>
  <si>
    <t>-82440</t>
  </si>
  <si>
    <t>-92372</t>
  </si>
  <si>
    <t>-75418</t>
  </si>
  <si>
    <t>-153322</t>
  </si>
  <si>
    <t>-183325(Low Net OI)</t>
  </si>
  <si>
    <t>-148942</t>
  </si>
  <si>
    <t>-183682(Open Net OI)</t>
  </si>
  <si>
    <t>-379853</t>
  </si>
  <si>
    <t>-219614</t>
  </si>
  <si>
    <t>-216374</t>
  </si>
  <si>
    <t>-118642</t>
  </si>
  <si>
    <t>-193918</t>
  </si>
  <si>
    <t>-153453</t>
  </si>
  <si>
    <t>-219678</t>
  </si>
  <si>
    <t>-144429</t>
  </si>
  <si>
    <t>-129459</t>
  </si>
  <si>
    <t>-82671</t>
  </si>
  <si>
    <t>-41880(High Net OI)</t>
  </si>
  <si>
    <t>-49035</t>
  </si>
  <si>
    <t>-104043</t>
  </si>
  <si>
    <t>-119621</t>
  </si>
  <si>
    <t>-87928</t>
  </si>
  <si>
    <t>-216584</t>
  </si>
  <si>
    <t>-252264</t>
  </si>
  <si>
    <t>-222444</t>
  </si>
  <si>
    <t>-136797</t>
  </si>
  <si>
    <t>-69734(Open Net OI)</t>
  </si>
  <si>
    <t>-196287</t>
  </si>
  <si>
    <t>-202664</t>
  </si>
  <si>
    <t>-132966</t>
  </si>
  <si>
    <t>-159523</t>
  </si>
  <si>
    <t>-209901</t>
  </si>
  <si>
    <t>-290032(Low Net OI)</t>
  </si>
  <si>
    <t>-239438</t>
  </si>
  <si>
    <t>-226607</t>
  </si>
  <si>
    <t>-171542</t>
  </si>
  <si>
    <t>-132610</t>
  </si>
  <si>
    <t>-120148</t>
  </si>
  <si>
    <t>-35940</t>
  </si>
  <si>
    <t>-8131</t>
  </si>
  <si>
    <t>6297</t>
  </si>
  <si>
    <t>-71145</t>
  </si>
  <si>
    <t>-37580</t>
  </si>
  <si>
    <t>-67505</t>
  </si>
  <si>
    <t>-67082</t>
  </si>
  <si>
    <t>-93188</t>
  </si>
  <si>
    <t>-51968</t>
  </si>
  <si>
    <t>-16100</t>
  </si>
  <si>
    <t>15031</t>
  </si>
  <si>
    <t>28690 (High Net OI)</t>
  </si>
  <si>
    <t>-14342(Open Net OI)</t>
  </si>
  <si>
    <t>-121951</t>
  </si>
  <si>
    <t>-38321</t>
  </si>
  <si>
    <t>-31422</t>
  </si>
  <si>
    <t>-15699</t>
  </si>
  <si>
    <t>17243 (High Net OI)</t>
  </si>
  <si>
    <t>-34093.3333</t>
  </si>
  <si>
    <t>-4214</t>
  </si>
  <si>
    <t>8088</t>
  </si>
  <si>
    <t>-6177</t>
  </si>
  <si>
    <t>11752</t>
  </si>
  <si>
    <t>-64453</t>
  </si>
  <si>
    <t>-54365</t>
  </si>
  <si>
    <t>-77479</t>
  </si>
  <si>
    <t>-89319</t>
  </si>
  <si>
    <t>-102352</t>
  </si>
  <si>
    <t>-244514 (Low Net OI)</t>
  </si>
  <si>
    <t>-149344</t>
  </si>
  <si>
    <t>-156418</t>
  </si>
  <si>
    <t>-173480 (Open Net OI)</t>
  </si>
  <si>
    <t>-297945</t>
  </si>
  <si>
    <t>-277014</t>
  </si>
  <si>
    <t>-365692</t>
  </si>
  <si>
    <t>-349041</t>
  </si>
  <si>
    <t>-340460</t>
  </si>
  <si>
    <t>-361813</t>
  </si>
  <si>
    <t>-379673</t>
  </si>
  <si>
    <t>-296680</t>
  </si>
  <si>
    <t>-199019</t>
  </si>
  <si>
    <t>-130368</t>
  </si>
  <si>
    <t>-132502</t>
  </si>
  <si>
    <t>-104800</t>
  </si>
  <si>
    <t>-235811</t>
  </si>
  <si>
    <t>-230703</t>
  </si>
  <si>
    <t>-306225</t>
  </si>
  <si>
    <t>-267163</t>
  </si>
  <si>
    <t>-209193</t>
  </si>
  <si>
    <t>-180693</t>
  </si>
  <si>
    <t>-160175</t>
  </si>
  <si>
    <t>-133945</t>
  </si>
  <si>
    <t>-80292</t>
  </si>
  <si>
    <t>-92129</t>
  </si>
  <si>
    <t>-126572</t>
  </si>
  <si>
    <t>-360290</t>
  </si>
  <si>
    <t>-389755</t>
  </si>
  <si>
    <t>-416110</t>
  </si>
  <si>
    <t>-375349</t>
  </si>
  <si>
    <t>-306033</t>
  </si>
  <si>
    <t>-400579</t>
  </si>
  <si>
    <t>-372041</t>
  </si>
  <si>
    <t>-400867</t>
  </si>
  <si>
    <t>-342515</t>
  </si>
  <si>
    <t>-462779</t>
  </si>
  <si>
    <t>-334069</t>
  </si>
  <si>
    <t>-304373</t>
  </si>
  <si>
    <t>-253874</t>
  </si>
  <si>
    <t>-95957</t>
  </si>
  <si>
    <t>-39719</t>
  </si>
  <si>
    <t>4895</t>
  </si>
  <si>
    <t>57806</t>
  </si>
  <si>
    <t>82269</t>
  </si>
  <si>
    <t>276900</t>
  </si>
  <si>
    <t>325817</t>
  </si>
  <si>
    <t>335623</t>
  </si>
  <si>
    <t>334608</t>
  </si>
  <si>
    <t>241318</t>
  </si>
  <si>
    <t>287554</t>
  </si>
  <si>
    <t>175124</t>
  </si>
  <si>
    <t>217077</t>
  </si>
  <si>
    <t>149854</t>
  </si>
  <si>
    <t>146540</t>
  </si>
  <si>
    <t>79445</t>
  </si>
  <si>
    <t>96016</t>
  </si>
  <si>
    <t>64420</t>
  </si>
  <si>
    <t>4124</t>
  </si>
  <si>
    <t>-43437</t>
  </si>
  <si>
    <t>-139527</t>
  </si>
  <si>
    <t>-106425</t>
  </si>
  <si>
    <t>-65074</t>
  </si>
  <si>
    <t>-15671</t>
  </si>
  <si>
    <t>-35964</t>
  </si>
  <si>
    <t>-161082</t>
  </si>
  <si>
    <t>-98484</t>
  </si>
  <si>
    <t>-89317</t>
  </si>
  <si>
    <t>-170165</t>
  </si>
  <si>
    <t>-171518</t>
  </si>
  <si>
    <t>-174238</t>
  </si>
  <si>
    <t>-274602</t>
  </si>
  <si>
    <t>-301437</t>
  </si>
  <si>
    <t>-294723</t>
  </si>
  <si>
    <t>-357076</t>
  </si>
  <si>
    <t>-314483</t>
  </si>
  <si>
    <t>-266058</t>
  </si>
  <si>
    <t>-286216</t>
  </si>
  <si>
    <t>-375564</t>
  </si>
  <si>
    <t>-514756</t>
  </si>
  <si>
    <t>-400536</t>
  </si>
  <si>
    <t>-388113</t>
  </si>
  <si>
    <t>-362202</t>
  </si>
  <si>
    <t>-248669</t>
  </si>
  <si>
    <t>-270703</t>
  </si>
  <si>
    <t>-270625</t>
  </si>
  <si>
    <t>-179280</t>
  </si>
  <si>
    <t>-124824.3332</t>
  </si>
  <si>
    <t>-181997</t>
  </si>
  <si>
    <t>-216691</t>
  </si>
  <si>
    <t>-236811</t>
  </si>
  <si>
    <t>-259762</t>
  </si>
  <si>
    <t>-263287</t>
  </si>
  <si>
    <t>-279990</t>
  </si>
  <si>
    <t>-331944</t>
  </si>
  <si>
    <t>-262437</t>
  </si>
  <si>
    <t>-200028</t>
  </si>
  <si>
    <t>-115138</t>
  </si>
  <si>
    <t>-102677</t>
  </si>
  <si>
    <t>-119852</t>
  </si>
  <si>
    <t>-73874</t>
  </si>
  <si>
    <t>75568</t>
  </si>
  <si>
    <t>90815</t>
  </si>
  <si>
    <t>67941</t>
  </si>
  <si>
    <t>97192</t>
  </si>
  <si>
    <t>10310</t>
  </si>
  <si>
    <t>36053</t>
  </si>
  <si>
    <t>29182</t>
  </si>
  <si>
    <t>37010</t>
  </si>
  <si>
    <t>179358</t>
  </si>
  <si>
    <t>100215</t>
  </si>
  <si>
    <t>54739</t>
  </si>
  <si>
    <t>18651</t>
  </si>
  <si>
    <t>67194</t>
  </si>
  <si>
    <t>63225</t>
  </si>
  <si>
    <t>91379</t>
  </si>
  <si>
    <t>64590</t>
  </si>
  <si>
    <t>-876</t>
  </si>
  <si>
    <t>-156566</t>
  </si>
  <si>
    <t>-104294</t>
  </si>
  <si>
    <t>-129580</t>
  </si>
  <si>
    <t>-117433</t>
  </si>
  <si>
    <t>-156679</t>
  </si>
  <si>
    <t>-171608</t>
  </si>
  <si>
    <t>-216084</t>
  </si>
  <si>
    <t>-230044</t>
  </si>
  <si>
    <t>-229034</t>
  </si>
  <si>
    <t>-507583</t>
  </si>
  <si>
    <t>-395680</t>
  </si>
  <si>
    <t>-383081</t>
  </si>
  <si>
    <t>-268091</t>
  </si>
  <si>
    <t>-66916</t>
  </si>
  <si>
    <t>-54058</t>
  </si>
  <si>
    <t>-30615</t>
  </si>
  <si>
    <t>-17488</t>
  </si>
  <si>
    <t>-37856</t>
  </si>
  <si>
    <t>-15833</t>
  </si>
  <si>
    <t>-34684</t>
  </si>
  <si>
    <t>-2318</t>
  </si>
  <si>
    <t>-58797</t>
  </si>
  <si>
    <t>-118548</t>
  </si>
  <si>
    <t>-121323</t>
  </si>
  <si>
    <t>-141402</t>
  </si>
  <si>
    <t>-128996</t>
  </si>
  <si>
    <t>-138739</t>
  </si>
  <si>
    <t>-89931</t>
  </si>
  <si>
    <t>-100850</t>
  </si>
  <si>
    <t>-279308</t>
  </si>
  <si>
    <t>-323441</t>
  </si>
  <si>
    <t>-216114</t>
  </si>
  <si>
    <t>-263535</t>
  </si>
  <si>
    <t>-300170</t>
  </si>
  <si>
    <t>-385101</t>
  </si>
  <si>
    <t>-373118</t>
  </si>
  <si>
    <t>-298528</t>
  </si>
  <si>
    <t>-262420</t>
  </si>
  <si>
    <t>-279358</t>
  </si>
  <si>
    <t>-342498</t>
  </si>
  <si>
    <t>-360601</t>
  </si>
  <si>
    <t>-294967</t>
  </si>
  <si>
    <t>-312630</t>
  </si>
  <si>
    <t>-227296</t>
  </si>
  <si>
    <t>-122349</t>
  </si>
  <si>
    <t>-108728</t>
  </si>
  <si>
    <t>-128307</t>
  </si>
  <si>
    <t>-106085</t>
  </si>
  <si>
    <t>-46137</t>
  </si>
  <si>
    <t>-36506</t>
  </si>
  <si>
    <t>-55093</t>
  </si>
  <si>
    <t>19655</t>
  </si>
  <si>
    <t>168814</t>
  </si>
  <si>
    <t>146752</t>
  </si>
  <si>
    <t>132180</t>
  </si>
  <si>
    <t>76411</t>
  </si>
  <si>
    <t>38455</t>
  </si>
  <si>
    <t>91874</t>
  </si>
  <si>
    <t>59859</t>
  </si>
  <si>
    <t>158166</t>
  </si>
  <si>
    <t>157329</t>
  </si>
  <si>
    <t>144427</t>
  </si>
  <si>
    <t>84365</t>
  </si>
  <si>
    <t>23294</t>
  </si>
  <si>
    <t>-9283</t>
  </si>
  <si>
    <t>-50866</t>
  </si>
  <si>
    <t>-28415</t>
  </si>
  <si>
    <t>-90739</t>
  </si>
  <si>
    <t>-132580</t>
  </si>
  <si>
    <t>-131913</t>
  </si>
  <si>
    <t>-180336</t>
  </si>
  <si>
    <t>-172633</t>
  </si>
  <si>
    <t>-419405</t>
  </si>
  <si>
    <t>-414049</t>
  </si>
  <si>
    <t>-298335</t>
  </si>
  <si>
    <t>-174382</t>
  </si>
  <si>
    <t>-182682</t>
  </si>
  <si>
    <t>-158631</t>
  </si>
  <si>
    <t>-152776</t>
  </si>
  <si>
    <t>-207757</t>
  </si>
  <si>
    <t>-179326</t>
  </si>
  <si>
    <t>-126422</t>
  </si>
  <si>
    <t>-135291</t>
  </si>
  <si>
    <t>-117049</t>
  </si>
  <si>
    <t>-36427</t>
  </si>
  <si>
    <t>-33648</t>
  </si>
  <si>
    <t>-12280</t>
  </si>
  <si>
    <t>-19385</t>
  </si>
  <si>
    <t>23673</t>
  </si>
  <si>
    <t>-18917</t>
  </si>
  <si>
    <t>-34819</t>
  </si>
  <si>
    <t>-19226</t>
  </si>
  <si>
    <t>-25352</t>
  </si>
  <si>
    <t>-34338</t>
  </si>
  <si>
    <t>-17559</t>
  </si>
  <si>
    <t>-81530</t>
  </si>
  <si>
    <t>-200506</t>
  </si>
  <si>
    <t>-132271</t>
  </si>
  <si>
    <t>-48196</t>
  </si>
  <si>
    <t>-2948</t>
  </si>
  <si>
    <t>63111</t>
  </si>
  <si>
    <t>208970</t>
  </si>
  <si>
    <t>181270</t>
  </si>
  <si>
    <t>100635</t>
  </si>
  <si>
    <t>38313</t>
  </si>
  <si>
    <t>100529</t>
  </si>
  <si>
    <t>56588</t>
  </si>
  <si>
    <t>-33463</t>
  </si>
  <si>
    <t>-23585</t>
  </si>
  <si>
    <t>-61952</t>
  </si>
  <si>
    <t>19008</t>
  </si>
  <si>
    <t>-37306</t>
  </si>
  <si>
    <t>-32668</t>
  </si>
  <si>
    <t>-45479</t>
  </si>
  <si>
    <t>-17910</t>
  </si>
  <si>
    <t>-23609</t>
  </si>
  <si>
    <t>-75705</t>
  </si>
  <si>
    <t>-117432</t>
  </si>
  <si>
    <t>-258714</t>
  </si>
  <si>
    <t>-201756</t>
  </si>
  <si>
    <t>-247116</t>
  </si>
  <si>
    <t>-191722</t>
  </si>
  <si>
    <t>-142401</t>
  </si>
  <si>
    <t>-149608</t>
  </si>
  <si>
    <t>-118111</t>
  </si>
  <si>
    <t>-82090</t>
  </si>
  <si>
    <t>-109537</t>
  </si>
  <si>
    <t>-113406</t>
  </si>
  <si>
    <t>-45288</t>
  </si>
  <si>
    <t>-44334</t>
  </si>
  <si>
    <t>-57559</t>
  </si>
  <si>
    <t>-117540</t>
  </si>
  <si>
    <t>-120723</t>
  </si>
  <si>
    <t>-88363</t>
  </si>
  <si>
    <t>-109083</t>
  </si>
  <si>
    <t>-164833</t>
  </si>
  <si>
    <t>-144676</t>
  </si>
  <si>
    <t>-133740</t>
  </si>
  <si>
    <t>-207649</t>
  </si>
  <si>
    <t>-91142</t>
  </si>
  <si>
    <t>-33995</t>
  </si>
  <si>
    <t>-3564</t>
  </si>
  <si>
    <t>-28428</t>
  </si>
  <si>
    <t>-125793</t>
  </si>
  <si>
    <t>-144246</t>
  </si>
  <si>
    <t>-249652</t>
  </si>
  <si>
    <t>-195466</t>
  </si>
  <si>
    <t>-194501</t>
  </si>
  <si>
    <t>-156985</t>
  </si>
  <si>
    <t>-133539</t>
  </si>
  <si>
    <t>-152694</t>
  </si>
  <si>
    <t>-123468</t>
  </si>
  <si>
    <t>-98015</t>
  </si>
  <si>
    <t>-113507</t>
  </si>
  <si>
    <t>-95793</t>
  </si>
  <si>
    <t>-63023</t>
  </si>
  <si>
    <t>-40692</t>
  </si>
  <si>
    <t>-47558</t>
  </si>
  <si>
    <t>-105390</t>
  </si>
  <si>
    <t>-128490</t>
  </si>
  <si>
    <t>-148446</t>
  </si>
  <si>
    <t>-202821</t>
  </si>
  <si>
    <t>-114305</t>
  </si>
  <si>
    <t>-122477</t>
  </si>
  <si>
    <t>-135195</t>
  </si>
  <si>
    <t>-135800</t>
  </si>
  <si>
    <t>-137522</t>
  </si>
  <si>
    <t>-119985</t>
  </si>
  <si>
    <t>-94696</t>
  </si>
  <si>
    <t>-125786</t>
  </si>
  <si>
    <t>-155598</t>
  </si>
  <si>
    <t>-194774</t>
  </si>
  <si>
    <t>-233183</t>
  </si>
  <si>
    <t>-140969</t>
  </si>
  <si>
    <t>-111589</t>
  </si>
  <si>
    <t>-135056</t>
  </si>
  <si>
    <t>-60881</t>
  </si>
  <si>
    <t>-111608</t>
  </si>
  <si>
    <t>-105515</t>
  </si>
  <si>
    <t>12320</t>
  </si>
  <si>
    <t>13791</t>
  </si>
  <si>
    <t>21072</t>
  </si>
  <si>
    <t>41659</t>
  </si>
  <si>
    <t>4966</t>
  </si>
  <si>
    <t>10409</t>
  </si>
  <si>
    <t>-27324</t>
  </si>
  <si>
    <t>-110402</t>
  </si>
  <si>
    <t>-148809</t>
  </si>
  <si>
    <t>-135197</t>
  </si>
  <si>
    <t>-122595</t>
  </si>
  <si>
    <t>-263350</t>
  </si>
  <si>
    <t>-248500</t>
  </si>
  <si>
    <t>-258551</t>
  </si>
  <si>
    <t>-217045</t>
  </si>
  <si>
    <t>-232362</t>
  </si>
  <si>
    <t>-439435</t>
  </si>
  <si>
    <t>-448613</t>
  </si>
  <si>
    <t>-553065</t>
  </si>
  <si>
    <t>-515725</t>
  </si>
  <si>
    <t>-491570</t>
  </si>
  <si>
    <t>-443918</t>
  </si>
  <si>
    <t>-418022</t>
  </si>
  <si>
    <t>-381267</t>
  </si>
  <si>
    <t>-357410</t>
  </si>
  <si>
    <t>-316466</t>
  </si>
  <si>
    <t>-294233</t>
  </si>
  <si>
    <t>-265926</t>
  </si>
  <si>
    <t>-279584</t>
  </si>
  <si>
    <t>-213448</t>
  </si>
  <si>
    <t>-244649</t>
  </si>
  <si>
    <t>-352668</t>
  </si>
  <si>
    <t>-327908</t>
  </si>
  <si>
    <t>-320744</t>
  </si>
  <si>
    <t>-321692</t>
  </si>
  <si>
    <t>-284804</t>
  </si>
  <si>
    <t>Sector</t>
  </si>
  <si>
    <t>Banking &amp; Financial Services</t>
  </si>
  <si>
    <t>Oil &amp; Gas</t>
  </si>
  <si>
    <t>Cement &amp; Construction</t>
  </si>
  <si>
    <t>Pharmaceuticals</t>
  </si>
  <si>
    <t>Information Technology</t>
  </si>
  <si>
    <t>Food &amp; Beverages</t>
  </si>
  <si>
    <t>Real Estate</t>
  </si>
  <si>
    <t>Telecommunication</t>
  </si>
  <si>
    <t>Automobiles</t>
  </si>
  <si>
    <t>Conglomerates</t>
  </si>
  <si>
    <t>Chemicals</t>
  </si>
  <si>
    <t>FMCG</t>
  </si>
  <si>
    <t>Engineering &amp; Capital Goods</t>
  </si>
  <si>
    <t>Media &amp; Entertainment</t>
  </si>
  <si>
    <t>Manufacturing</t>
  </si>
  <si>
    <t>Metals &amp; Mining</t>
  </si>
  <si>
    <t>Miscellaneous</t>
  </si>
  <si>
    <t>Services</t>
  </si>
  <si>
    <t>Tobacco</t>
  </si>
  <si>
    <t>Energy &amp; Utilities</t>
  </si>
  <si>
    <t>24-05-2019</t>
  </si>
  <si>
    <t>20-05-2019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</si>
</sst>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₹&quot;\ #,##0"/>
    <numFmt numFmtId="165" formatCode="0.0%"/>
    <numFmt numFmtId="166" formatCode="&quot;$&quot;#,##0.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9"/>
      <color rgb="FFFFFFFF"/>
      <name val="Arial"/>
      <family val="2"/>
    </font>
    <font>
      <sz val="9"/>
      <color rgb="FF333333"/>
      <name val="Arial"/>
      <family val="2"/>
    </font>
    <font>
      <sz val="9"/>
      <color rgb="FFFFFFFF"/>
      <name val="Arial"/>
      <family val="2"/>
    </font>
    <font>
      <b/>
      <sz val="9"/>
      <color rgb="FF191919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39EDE"/>
        <bgColor indexed="64"/>
      </patternFill>
    </fill>
    <fill>
      <patternFill patternType="solid">
        <fgColor rgb="FFFF363A"/>
        <bgColor indexed="64"/>
      </patternFill>
    </fill>
    <fill>
      <patternFill patternType="solid">
        <fgColor rgb="FF56B3FF"/>
        <bgColor indexed="64"/>
      </patternFill>
    </fill>
    <fill>
      <patternFill patternType="solid">
        <fgColor theme="8"/>
        <bgColor theme="8"/>
      </patternFill>
    </fill>
  </fills>
  <borders count="5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2060"/>
      </top>
      <bottom/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002060"/>
      </left>
      <right/>
      <top style="medium">
        <color rgb="FF002060"/>
      </top>
      <bottom style="medium">
        <color rgb="FFDDDDDD"/>
      </bottom>
      <diagonal/>
    </border>
    <border>
      <left/>
      <right/>
      <top style="medium">
        <color rgb="FF002060"/>
      </top>
      <bottom style="medium">
        <color rgb="FFDDDDDD"/>
      </bottom>
      <diagonal/>
    </border>
    <border>
      <left/>
      <right style="medium">
        <color rgb="FF002060"/>
      </right>
      <top style="medium">
        <color rgb="FF002060"/>
      </top>
      <bottom style="medium">
        <color rgb="FFDDDDDD"/>
      </bottom>
      <diagonal/>
    </border>
    <border>
      <left style="medium">
        <color rgb="FF00206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2060"/>
      </right>
      <top style="thin">
        <color indexed="64"/>
      </top>
      <bottom style="thin">
        <color indexed="64"/>
      </bottom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2060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rgb="FF00206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29">
    <xf numFmtId="0" fontId="0" fillId="0" borderId="0" xfId="0"/>
    <xf numFmtId="0" fontId="0" fillId="0" borderId="0" xfId="0" applyFill="1"/>
    <xf numFmtId="0" fontId="18" fillId="0" borderId="0" xfId="0" applyFont="1" applyFill="1"/>
    <xf numFmtId="0" fontId="0" fillId="0" borderId="10" xfId="0" applyFill="1" applyBorder="1"/>
    <xf numFmtId="0" fontId="0" fillId="0" borderId="0" xfId="0" applyNumberFormat="1"/>
    <xf numFmtId="0" fontId="0" fillId="0" borderId="11" xfId="0" applyFill="1" applyBorder="1"/>
    <xf numFmtId="0" fontId="18" fillId="0" borderId="0" xfId="0" applyFont="1" applyFill="1" applyBorder="1" applyProtection="1">
      <protection locked="0"/>
    </xf>
    <xf numFmtId="0" fontId="18" fillId="0" borderId="0" xfId="0" applyFont="1" applyFill="1" applyBorder="1" applyAlignment="1" applyProtection="1">
      <alignment horizontal="center"/>
      <protection locked="0"/>
    </xf>
    <xf numFmtId="0" fontId="21" fillId="33" borderId="12" xfId="0" applyFont="1" applyFill="1" applyBorder="1" applyProtection="1">
      <protection locked="0"/>
    </xf>
    <xf numFmtId="0" fontId="18" fillId="33" borderId="13" xfId="0" applyFont="1" applyFill="1" applyBorder="1" applyAlignment="1" applyProtection="1">
      <alignment horizontal="center"/>
      <protection locked="0"/>
    </xf>
    <xf numFmtId="0" fontId="18" fillId="33" borderId="14" xfId="0" applyFont="1" applyFill="1" applyBorder="1" applyProtection="1">
      <protection locked="0"/>
    </xf>
    <xf numFmtId="0" fontId="18" fillId="33" borderId="15" xfId="0" applyFont="1" applyFill="1" applyBorder="1" applyProtection="1">
      <protection locked="0"/>
    </xf>
    <xf numFmtId="0" fontId="18" fillId="33" borderId="0" xfId="0" applyFont="1" applyFill="1" applyBorder="1" applyAlignment="1" applyProtection="1">
      <alignment horizontal="center"/>
      <protection locked="0"/>
    </xf>
    <xf numFmtId="164" fontId="18" fillId="33" borderId="16" xfId="0" applyNumberFormat="1" applyFont="1" applyFill="1" applyBorder="1" applyAlignment="1" applyProtection="1">
      <alignment horizontal="center"/>
      <protection locked="0"/>
    </xf>
    <xf numFmtId="165" fontId="18" fillId="33" borderId="16" xfId="0" applyNumberFormat="1" applyFont="1" applyFill="1" applyBorder="1" applyAlignment="1" applyProtection="1">
      <alignment horizontal="center"/>
      <protection locked="0"/>
    </xf>
    <xf numFmtId="0" fontId="18" fillId="33" borderId="17" xfId="0" applyFont="1" applyFill="1" applyBorder="1" applyProtection="1">
      <protection locked="0"/>
    </xf>
    <xf numFmtId="0" fontId="18" fillId="33" borderId="18" xfId="0" applyFont="1" applyFill="1" applyBorder="1" applyAlignment="1" applyProtection="1">
      <alignment horizontal="center"/>
      <protection locked="0"/>
    </xf>
    <xf numFmtId="0" fontId="18" fillId="33" borderId="19" xfId="0" applyNumberFormat="1" applyFont="1" applyFill="1" applyBorder="1" applyAlignment="1" applyProtection="1">
      <alignment horizontal="center"/>
      <protection locked="0"/>
    </xf>
    <xf numFmtId="1" fontId="18" fillId="0" borderId="0" xfId="0" applyNumberFormat="1" applyFont="1" applyFill="1" applyBorder="1" applyAlignment="1" applyProtection="1">
      <alignment horizontal="center"/>
      <protection locked="0"/>
    </xf>
    <xf numFmtId="0" fontId="21" fillId="0" borderId="15" xfId="0" applyFont="1" applyFill="1" applyBorder="1" applyAlignment="1" applyProtection="1">
      <protection locked="0"/>
    </xf>
    <xf numFmtId="0" fontId="21" fillId="34" borderId="20" xfId="0" applyFont="1" applyFill="1" applyBorder="1" applyAlignment="1" applyProtection="1">
      <alignment horizontal="center"/>
      <protection locked="0"/>
    </xf>
    <xf numFmtId="0" fontId="21" fillId="35" borderId="13" xfId="0" applyFont="1" applyFill="1" applyBorder="1" applyAlignment="1" applyProtection="1">
      <alignment horizontal="center"/>
      <protection locked="0"/>
    </xf>
    <xf numFmtId="0" fontId="21" fillId="35" borderId="14" xfId="0" applyFont="1" applyFill="1" applyBorder="1" applyAlignment="1" applyProtection="1">
      <alignment horizontal="center"/>
      <protection locked="0"/>
    </xf>
    <xf numFmtId="0" fontId="21" fillId="34" borderId="21" xfId="0" applyFont="1" applyFill="1" applyBorder="1" applyAlignment="1" applyProtection="1">
      <alignment horizontal="center"/>
      <protection locked="0"/>
    </xf>
    <xf numFmtId="0" fontId="21" fillId="35" borderId="0" xfId="0" applyFont="1" applyFill="1" applyBorder="1" applyAlignment="1" applyProtection="1">
      <alignment horizontal="center"/>
      <protection locked="0"/>
    </xf>
    <xf numFmtId="0" fontId="21" fillId="35" borderId="16" xfId="0" applyFont="1" applyFill="1" applyBorder="1" applyAlignment="1" applyProtection="1">
      <alignment horizontal="center"/>
      <protection locked="0"/>
    </xf>
    <xf numFmtId="164" fontId="18" fillId="34" borderId="22" xfId="0" applyNumberFormat="1" applyFont="1" applyFill="1" applyBorder="1" applyAlignment="1" applyProtection="1">
      <alignment horizontal="center"/>
      <protection locked="0"/>
    </xf>
    <xf numFmtId="10" fontId="18" fillId="35" borderId="18" xfId="0" applyNumberFormat="1" applyFont="1" applyFill="1" applyBorder="1" applyAlignment="1" applyProtection="1">
      <alignment horizontal="center"/>
    </xf>
    <xf numFmtId="10" fontId="18" fillId="35" borderId="19" xfId="0" applyNumberFormat="1" applyFont="1" applyFill="1" applyBorder="1" applyAlignment="1" applyProtection="1">
      <alignment horizontal="center"/>
    </xf>
    <xf numFmtId="166" fontId="18" fillId="0" borderId="0" xfId="0" applyNumberFormat="1" applyFont="1" applyFill="1" applyBorder="1" applyAlignment="1" applyProtection="1">
      <alignment horizontal="center"/>
    </xf>
    <xf numFmtId="0" fontId="21" fillId="36" borderId="12" xfId="0" applyFont="1" applyFill="1" applyBorder="1" applyAlignment="1" applyProtection="1">
      <alignment horizontal="center"/>
      <protection locked="0"/>
    </xf>
    <xf numFmtId="0" fontId="21" fillId="36" borderId="14" xfId="0" applyFont="1" applyFill="1" applyBorder="1" applyAlignment="1" applyProtection="1">
      <alignment horizontal="center"/>
      <protection locked="0"/>
    </xf>
    <xf numFmtId="0" fontId="21" fillId="36" borderId="15" xfId="0" applyFont="1" applyFill="1" applyBorder="1" applyAlignment="1" applyProtection="1">
      <alignment horizontal="center"/>
      <protection locked="0"/>
    </xf>
    <xf numFmtId="0" fontId="21" fillId="36" borderId="16" xfId="0" applyFont="1" applyFill="1" applyBorder="1" applyAlignment="1" applyProtection="1">
      <alignment horizontal="center"/>
      <protection locked="0"/>
    </xf>
    <xf numFmtId="10" fontId="18" fillId="36" borderId="17" xfId="0" applyNumberFormat="1" applyFont="1" applyFill="1" applyBorder="1" applyAlignment="1" applyProtection="1">
      <alignment horizontal="center"/>
    </xf>
    <xf numFmtId="10" fontId="18" fillId="36" borderId="19" xfId="0" applyNumberFormat="1" applyFont="1" applyFill="1" applyBorder="1" applyAlignment="1" applyProtection="1">
      <alignment horizontal="center"/>
    </xf>
    <xf numFmtId="0" fontId="18" fillId="0" borderId="0" xfId="0" applyFont="1" applyFill="1" applyBorder="1" applyAlignment="1" applyProtection="1">
      <alignment vertical="center" wrapText="1"/>
      <protection locked="0"/>
    </xf>
    <xf numFmtId="0" fontId="18" fillId="0" borderId="0" xfId="0" applyFont="1" applyFill="1" applyBorder="1" applyAlignment="1"/>
    <xf numFmtId="0" fontId="16" fillId="0" borderId="0" xfId="0" applyFont="1" applyFill="1"/>
    <xf numFmtId="0" fontId="0" fillId="0" borderId="10" xfId="0" applyBorder="1"/>
    <xf numFmtId="0" fontId="0" fillId="37" borderId="0" xfId="0" applyFill="1"/>
    <xf numFmtId="0" fontId="16" fillId="33" borderId="10" xfId="0" applyFont="1" applyFill="1" applyBorder="1"/>
    <xf numFmtId="0" fontId="0" fillId="36" borderId="0" xfId="0" applyFill="1"/>
    <xf numFmtId="0" fontId="21" fillId="33" borderId="14" xfId="0" applyFont="1" applyFill="1" applyBorder="1" applyProtection="1">
      <protection locked="0"/>
    </xf>
    <xf numFmtId="0" fontId="18" fillId="38" borderId="0" xfId="0" applyFont="1" applyFill="1" applyBorder="1" applyProtection="1">
      <protection locked="0"/>
    </xf>
    <xf numFmtId="0" fontId="18" fillId="38" borderId="0" xfId="0" applyFont="1" applyFill="1" applyBorder="1" applyAlignment="1" applyProtection="1">
      <alignment horizontal="center"/>
      <protection locked="0"/>
    </xf>
    <xf numFmtId="9" fontId="18" fillId="38" borderId="0" xfId="0" applyNumberFormat="1" applyFont="1" applyFill="1" applyBorder="1" applyAlignment="1" applyProtection="1">
      <alignment horizontal="center"/>
    </xf>
    <xf numFmtId="166" fontId="18" fillId="38" borderId="0" xfId="0" applyNumberFormat="1" applyFont="1" applyFill="1" applyBorder="1" applyAlignment="1" applyProtection="1">
      <alignment horizontal="center"/>
    </xf>
    <xf numFmtId="0" fontId="0" fillId="40" borderId="11" xfId="0" applyFill="1" applyBorder="1"/>
    <xf numFmtId="0" fontId="0" fillId="0" borderId="0" xfId="0" applyFill="1" applyAlignment="1">
      <alignment horizontal="center"/>
    </xf>
    <xf numFmtId="0" fontId="0" fillId="34" borderId="11" xfId="0" applyFill="1" applyBorder="1"/>
    <xf numFmtId="14" fontId="0" fillId="0" borderId="0" xfId="0" applyNumberFormat="1"/>
    <xf numFmtId="2" fontId="0" fillId="0" borderId="0" xfId="0" applyNumberFormat="1" applyFill="1"/>
    <xf numFmtId="164" fontId="18" fillId="33" borderId="16" xfId="0" applyNumberFormat="1" applyFont="1" applyFill="1" applyBorder="1" applyAlignment="1" applyProtection="1">
      <alignment horizontal="center" wrapText="1"/>
      <protection locked="0"/>
    </xf>
    <xf numFmtId="49" fontId="0" fillId="0" borderId="0" xfId="0" applyNumberFormat="1"/>
    <xf numFmtId="0" fontId="16" fillId="33" borderId="26" xfId="0" applyFont="1" applyFill="1" applyBorder="1"/>
    <xf numFmtId="0" fontId="22" fillId="42" borderId="10" xfId="0" applyFont="1" applyFill="1" applyBorder="1" applyAlignment="1">
      <alignment horizontal="center" vertical="top" wrapText="1"/>
    </xf>
    <xf numFmtId="0" fontId="23" fillId="41" borderId="10" xfId="0" applyFont="1" applyFill="1" applyBorder="1" applyAlignment="1">
      <alignment horizontal="left" vertical="top"/>
    </xf>
    <xf numFmtId="0" fontId="23" fillId="41" borderId="10" xfId="0" applyFont="1" applyFill="1" applyBorder="1" applyAlignment="1">
      <alignment horizontal="right" vertical="top" wrapText="1"/>
    </xf>
    <xf numFmtId="0" fontId="24" fillId="44" borderId="10" xfId="0" applyFont="1" applyFill="1" applyBorder="1" applyAlignment="1">
      <alignment horizontal="right" vertical="top" wrapText="1"/>
    </xf>
    <xf numFmtId="0" fontId="24" fillId="43" borderId="10" xfId="0" applyFont="1" applyFill="1" applyBorder="1" applyAlignment="1">
      <alignment horizontal="right" vertical="top" wrapText="1"/>
    </xf>
    <xf numFmtId="14" fontId="23" fillId="41" borderId="10" xfId="0" applyNumberFormat="1" applyFont="1" applyFill="1" applyBorder="1" applyAlignment="1">
      <alignment horizontal="left" vertical="top"/>
    </xf>
    <xf numFmtId="0" fontId="25" fillId="33" borderId="23" xfId="0" applyFont="1" applyFill="1" applyBorder="1" applyAlignment="1">
      <alignment horizontal="center" vertical="top" wrapText="1"/>
    </xf>
    <xf numFmtId="0" fontId="23" fillId="41" borderId="10" xfId="0" applyFont="1" applyFill="1" applyBorder="1" applyAlignment="1">
      <alignment horizontal="right" vertical="top"/>
    </xf>
    <xf numFmtId="0" fontId="22" fillId="42" borderId="10" xfId="0" applyFont="1" applyFill="1" applyBorder="1" applyAlignment="1">
      <alignment horizontal="right" vertical="top" wrapText="1"/>
    </xf>
    <xf numFmtId="0" fontId="0" fillId="38" borderId="0" xfId="0" applyFill="1"/>
    <xf numFmtId="14" fontId="0" fillId="0" borderId="10" xfId="0" applyNumberFormat="1" applyBorder="1"/>
    <xf numFmtId="0" fontId="16" fillId="33" borderId="26" xfId="0" applyFont="1" applyFill="1" applyBorder="1" applyAlignment="1"/>
    <xf numFmtId="0" fontId="0" fillId="38" borderId="0" xfId="0" applyFill="1" applyBorder="1" applyAlignment="1">
      <alignment wrapText="1"/>
    </xf>
    <xf numFmtId="0" fontId="0" fillId="0" borderId="15" xfId="0" applyBorder="1"/>
    <xf numFmtId="0" fontId="0" fillId="0" borderId="0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25" fillId="33" borderId="49" xfId="0" applyFont="1" applyFill="1" applyBorder="1" applyAlignment="1">
      <alignment horizontal="center" vertical="top" wrapText="1"/>
    </xf>
    <xf numFmtId="0" fontId="0" fillId="38" borderId="0" xfId="0" applyFill="1" applyBorder="1" applyAlignment="1">
      <alignment vertical="top" wrapText="1"/>
    </xf>
    <xf numFmtId="0" fontId="0" fillId="38" borderId="37" xfId="0" applyFill="1" applyBorder="1" applyAlignment="1">
      <alignment vertical="top" wrapText="1"/>
    </xf>
    <xf numFmtId="0" fontId="0" fillId="0" borderId="0" xfId="0" applyBorder="1" applyAlignment="1">
      <alignment vertical="top"/>
    </xf>
    <xf numFmtId="0" fontId="0" fillId="0" borderId="36" xfId="0" applyBorder="1" applyAlignment="1">
      <alignment vertical="top"/>
    </xf>
    <xf numFmtId="0" fontId="0" fillId="0" borderId="47" xfId="0" applyBorder="1" applyAlignment="1">
      <alignment vertical="top"/>
    </xf>
    <xf numFmtId="0" fontId="22" fillId="42" borderId="32" xfId="0" applyFont="1" applyFill="1" applyBorder="1" applyAlignment="1">
      <alignment vertical="top" wrapText="1"/>
    </xf>
    <xf numFmtId="0" fontId="22" fillId="42" borderId="27" xfId="0" applyFont="1" applyFill="1" applyBorder="1" applyAlignment="1">
      <alignment vertical="top" wrapText="1"/>
    </xf>
    <xf numFmtId="0" fontId="22" fillId="42" borderId="33" xfId="0" applyFont="1" applyFill="1" applyBorder="1" applyAlignment="1">
      <alignment vertical="top" wrapText="1"/>
    </xf>
    <xf numFmtId="0" fontId="22" fillId="42" borderId="34" xfId="0" applyFont="1" applyFill="1" applyBorder="1" applyAlignment="1">
      <alignment vertical="top" wrapText="1"/>
    </xf>
    <xf numFmtId="0" fontId="22" fillId="42" borderId="10" xfId="0" applyFont="1" applyFill="1" applyBorder="1" applyAlignment="1">
      <alignment vertical="top" wrapText="1"/>
    </xf>
    <xf numFmtId="0" fontId="22" fillId="42" borderId="38" xfId="0" applyFont="1" applyFill="1" applyBorder="1" applyAlignment="1">
      <alignment vertical="top" wrapText="1"/>
    </xf>
    <xf numFmtId="0" fontId="22" fillId="42" borderId="51" xfId="0" applyFont="1" applyFill="1" applyBorder="1" applyAlignment="1">
      <alignment vertical="top" wrapText="1"/>
    </xf>
    <xf numFmtId="0" fontId="22" fillId="42" borderId="31" xfId="0" applyFont="1" applyFill="1" applyBorder="1" applyAlignment="1">
      <alignment vertical="top" wrapText="1"/>
    </xf>
    <xf numFmtId="0" fontId="22" fillId="42" borderId="43" xfId="0" applyFont="1" applyFill="1" applyBorder="1" applyAlignment="1">
      <alignment vertical="top" wrapText="1"/>
    </xf>
    <xf numFmtId="0" fontId="22" fillId="42" borderId="42" xfId="0" applyFont="1" applyFill="1" applyBorder="1" applyAlignment="1">
      <alignment vertical="top" wrapText="1"/>
    </xf>
    <xf numFmtId="0" fontId="22" fillId="42" borderId="50" xfId="0" applyFont="1" applyFill="1" applyBorder="1" applyAlignment="1">
      <alignment vertical="top" wrapText="1"/>
    </xf>
    <xf numFmtId="0" fontId="22" fillId="42" borderId="35" xfId="0" applyFont="1" applyFill="1" applyBorder="1" applyAlignment="1">
      <alignment vertical="top" wrapText="1"/>
    </xf>
    <xf numFmtId="14" fontId="0" fillId="0" borderId="0" xfId="0" applyNumberFormat="1" applyAlignment="1"/>
    <xf numFmtId="0" fontId="0" fillId="0" borderId="53" xfId="0" applyFill="1" applyBorder="1"/>
    <xf numFmtId="0" fontId="0" fillId="34" borderId="53" xfId="0" applyFill="1" applyBorder="1"/>
    <xf numFmtId="0" fontId="0" fillId="0" borderId="31" xfId="0" applyFill="1" applyBorder="1"/>
    <xf numFmtId="0" fontId="0" fillId="0" borderId="54" xfId="0" applyFill="1" applyBorder="1"/>
    <xf numFmtId="0" fontId="0" fillId="0" borderId="10" xfId="0" applyFill="1" applyBorder="1" applyAlignment="1">
      <alignment horizontal="center"/>
    </xf>
    <xf numFmtId="0" fontId="0" fillId="40" borderId="10" xfId="0" applyFill="1" applyBorder="1" applyAlignment="1">
      <alignment horizontal="center"/>
    </xf>
    <xf numFmtId="0" fontId="0" fillId="39" borderId="10" xfId="0" applyFont="1" applyFill="1" applyBorder="1"/>
    <xf numFmtId="0" fontId="0" fillId="0" borderId="10" xfId="0" applyFont="1" applyBorder="1"/>
    <xf numFmtId="0" fontId="0" fillId="36" borderId="10" xfId="0" applyFont="1" applyFill="1" applyBorder="1"/>
    <xf numFmtId="0" fontId="16" fillId="0" borderId="10" xfId="0" applyFont="1" applyFill="1" applyBorder="1"/>
    <xf numFmtId="0" fontId="16" fillId="0" borderId="10" xfId="0" applyFont="1" applyFill="1" applyBorder="1" applyAlignment="1">
      <alignment horizontal="center"/>
    </xf>
    <xf numFmtId="2" fontId="16" fillId="0" borderId="10" xfId="0" applyNumberFormat="1" applyFont="1" applyFill="1" applyBorder="1"/>
    <xf numFmtId="0" fontId="16" fillId="39" borderId="10" xfId="0" applyFont="1" applyFill="1" applyBorder="1"/>
    <xf numFmtId="0" fontId="16" fillId="0" borderId="10" xfId="0" applyFont="1" applyBorder="1"/>
    <xf numFmtId="0" fontId="0" fillId="39" borderId="55" xfId="0" applyFont="1" applyFill="1" applyBorder="1"/>
    <xf numFmtId="0" fontId="0" fillId="0" borderId="55" xfId="0" applyFont="1" applyBorder="1"/>
    <xf numFmtId="0" fontId="0" fillId="0" borderId="10" xfId="0" applyFont="1" applyFill="1" applyBorder="1"/>
    <xf numFmtId="0" fontId="0" fillId="0" borderId="0" xfId="0" applyFont="1" applyFill="1"/>
    <xf numFmtId="0" fontId="25" fillId="33" borderId="24" xfId="0" applyFont="1" applyFill="1" applyBorder="1" applyAlignment="1">
      <alignment horizontal="center" vertical="top" wrapText="1"/>
    </xf>
    <xf numFmtId="0" fontId="25" fillId="33" borderId="25" xfId="0" applyFont="1" applyFill="1" applyBorder="1" applyAlignment="1">
      <alignment horizontal="center" vertical="top" wrapText="1"/>
    </xf>
    <xf numFmtId="0" fontId="16" fillId="33" borderId="26" xfId="0" applyFont="1" applyFill="1" applyBorder="1" applyAlignment="1">
      <alignment horizontal="center"/>
    </xf>
    <xf numFmtId="0" fontId="25" fillId="33" borderId="28" xfId="0" applyFont="1" applyFill="1" applyBorder="1" applyAlignment="1">
      <alignment horizontal="center" vertical="top" wrapText="1"/>
    </xf>
    <xf numFmtId="0" fontId="25" fillId="33" borderId="29" xfId="0" applyFont="1" applyFill="1" applyBorder="1" applyAlignment="1">
      <alignment horizontal="center" vertical="top" wrapText="1"/>
    </xf>
    <xf numFmtId="0" fontId="25" fillId="33" borderId="30" xfId="0" applyFont="1" applyFill="1" applyBorder="1" applyAlignment="1">
      <alignment horizontal="center" vertical="top" wrapText="1"/>
    </xf>
    <xf numFmtId="0" fontId="25" fillId="33" borderId="39" xfId="0" applyFont="1" applyFill="1" applyBorder="1" applyAlignment="1">
      <alignment horizontal="center" vertical="top" wrapText="1"/>
    </xf>
    <xf numFmtId="0" fontId="25" fillId="33" borderId="52" xfId="0" applyFont="1" applyFill="1" applyBorder="1" applyAlignment="1">
      <alignment horizontal="center" vertical="top" wrapText="1"/>
    </xf>
    <xf numFmtId="0" fontId="25" fillId="33" borderId="40" xfId="0" applyFont="1" applyFill="1" applyBorder="1" applyAlignment="1">
      <alignment horizontal="center" vertical="top" wrapText="1"/>
    </xf>
    <xf numFmtId="0" fontId="25" fillId="33" borderId="41" xfId="0" applyFont="1" applyFill="1" applyBorder="1" applyAlignment="1">
      <alignment horizontal="center" vertical="top" wrapText="1"/>
    </xf>
    <xf numFmtId="0" fontId="18" fillId="0" borderId="0" xfId="0" applyFont="1" applyFill="1" applyBorder="1" applyAlignment="1">
      <alignment horizontal="center" wrapText="1" shrinkToFit="1"/>
    </xf>
    <xf numFmtId="0" fontId="13" fillId="45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9"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numFmt numFmtId="0" formatCode="General"/>
    </dxf>
    <dxf>
      <numFmt numFmtId="0" formatCode="General"/>
    </dxf>
    <dxf>
      <border diagonalUp="0" diagonalDown="0">
        <left/>
        <right style="medium">
          <color rgb="FF002060"/>
        </right>
        <top/>
        <bottom/>
        <vertical/>
        <horizontal/>
      </border>
    </dxf>
    <dxf>
      <alignment horizontal="general" vertical="top" textRotation="0" wrapText="0" indent="0" justifyLastLine="0" shrinkToFit="0" readingOrder="0"/>
    </dxf>
    <dxf>
      <border diagonalUp="0" diagonalDown="0">
        <left style="medium">
          <color rgb="FF002060"/>
        </left>
        <right/>
        <top/>
        <bottom/>
        <vertical/>
        <horizontal/>
      </border>
    </dxf>
    <dxf>
      <border diagonalUp="0" diagonalDown="0"/>
    </dxf>
    <dxf>
      <border diagonalUp="0" diagonalDown="0">
        <left style="medium">
          <color rgb="FF002060"/>
        </left>
      </border>
    </dxf>
    <dxf>
      <border diagonalUp="0" diagonalDown="0"/>
    </dxf>
    <dxf>
      <border diagonalUp="0" diagonalDown="0">
        <left style="medium">
          <color indexed="64"/>
        </left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5AA9D"/>
        </patternFill>
      </fill>
    </dxf>
    <dxf>
      <fill>
        <patternFill>
          <bgColor rgb="FF92D050"/>
        </patternFill>
      </fill>
    </dxf>
    <dxf>
      <fill>
        <patternFill>
          <bgColor rgb="FFF5AA9D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numFmt numFmtId="0" formatCode="General"/>
    </dxf>
    <dxf>
      <numFmt numFmtId="19" formatCode="m/d/yyyy"/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</dxfs>
  <tableStyles count="0" defaultTableStyle="TableStyleMedium9" defaultPivotStyle="PivotStyleLight16"/>
  <colors>
    <mruColors>
      <color rgb="FFF5AA9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ExcelSheets/IDXOPTDATALIVE_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iftyOI"/>
      <sheetName val="OIAnalysisNifty"/>
      <sheetName val="OI Data"/>
      <sheetName val="OIAnalysis"/>
      <sheetName val="Greeks"/>
      <sheetName val="Data Nifty"/>
      <sheetName val="OptionChainAnalysis"/>
      <sheetName val="StockList"/>
      <sheetName val="Strategy"/>
      <sheetName val="F&amp;OLiveData"/>
      <sheetName val="HistricDataAll"/>
      <sheetName val="HistoricDataFut"/>
      <sheetName val="HistoricData"/>
      <sheetName val="Nifty Options"/>
      <sheetName val="Nifty Futures "/>
      <sheetName val="NiftyStocks"/>
      <sheetName val="Consolidated"/>
    </sheetNames>
    <sheetDataSet>
      <sheetData sheetId="0"/>
      <sheetData sheetId="1"/>
      <sheetData sheetId="2"/>
      <sheetData sheetId="3">
        <row r="2">
          <cell r="F2" t="str">
            <v>NIFTY 50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">
          <cell r="Q4">
            <v>-81201</v>
          </cell>
        </row>
        <row r="5">
          <cell r="I5">
            <v>45957</v>
          </cell>
          <cell r="M5">
            <v>77151</v>
          </cell>
          <cell r="Q5">
            <v>-80583</v>
          </cell>
        </row>
        <row r="6">
          <cell r="I6">
            <v>-51343</v>
          </cell>
          <cell r="M6">
            <v>161793</v>
          </cell>
          <cell r="Q6">
            <v>-80655</v>
          </cell>
        </row>
        <row r="7">
          <cell r="I7">
            <v>-9707</v>
          </cell>
          <cell r="M7">
            <v>110727</v>
          </cell>
          <cell r="Q7">
            <v>-74989</v>
          </cell>
        </row>
        <row r="8">
          <cell r="I8">
            <v>22619</v>
          </cell>
          <cell r="M8">
            <v>73213</v>
          </cell>
          <cell r="Q8">
            <v>-65522</v>
          </cell>
        </row>
        <row r="9">
          <cell r="I9">
            <v>-45562</v>
          </cell>
          <cell r="M9">
            <v>179599</v>
          </cell>
          <cell r="Q9">
            <v>-66650</v>
          </cell>
        </row>
        <row r="10">
          <cell r="I10">
            <v>-19868</v>
          </cell>
          <cell r="M10">
            <v>134514</v>
          </cell>
          <cell r="Q10">
            <v>-66648</v>
          </cell>
        </row>
        <row r="11">
          <cell r="I11">
            <v>-41692</v>
          </cell>
          <cell r="M11">
            <v>168890</v>
          </cell>
          <cell r="Q11">
            <v>-66238</v>
          </cell>
        </row>
        <row r="12">
          <cell r="I12">
            <v>-148155</v>
          </cell>
          <cell r="M12">
            <v>295632</v>
          </cell>
          <cell r="Q12">
            <v>-68328</v>
          </cell>
        </row>
        <row r="13">
          <cell r="I13">
            <v>-137205</v>
          </cell>
          <cell r="M13">
            <v>288074</v>
          </cell>
          <cell r="Q13">
            <v>-71889</v>
          </cell>
        </row>
        <row r="14">
          <cell r="I14">
            <v>-84853</v>
          </cell>
          <cell r="M14">
            <v>231884</v>
          </cell>
          <cell r="Q14">
            <v>-77525</v>
          </cell>
        </row>
        <row r="15">
          <cell r="I15">
            <v>-53332</v>
          </cell>
          <cell r="M15">
            <v>186892</v>
          </cell>
          <cell r="Q15">
            <v>-79753</v>
          </cell>
        </row>
        <row r="16">
          <cell r="I16">
            <v>-155601</v>
          </cell>
          <cell r="M16">
            <v>259801</v>
          </cell>
          <cell r="Q16">
            <v>-81763</v>
          </cell>
        </row>
        <row r="17">
          <cell r="I17">
            <v>-92786</v>
          </cell>
          <cell r="M17">
            <v>193625</v>
          </cell>
          <cell r="Q17">
            <v>-81731</v>
          </cell>
        </row>
        <row r="18">
          <cell r="I18">
            <v>-12827</v>
          </cell>
          <cell r="M18">
            <v>86320</v>
          </cell>
          <cell r="Q18">
            <v>-81145</v>
          </cell>
        </row>
        <row r="19">
          <cell r="I19">
            <v>271</v>
          </cell>
          <cell r="M19">
            <v>57885</v>
          </cell>
          <cell r="Q19">
            <v>-80531</v>
          </cell>
        </row>
        <row r="20">
          <cell r="I20">
            <v>75280</v>
          </cell>
          <cell r="M20">
            <v>-8661</v>
          </cell>
          <cell r="Q20">
            <v>-78261</v>
          </cell>
        </row>
        <row r="21">
          <cell r="I21">
            <v>88624</v>
          </cell>
          <cell r="M21">
            <v>-6146</v>
          </cell>
          <cell r="Q21">
            <v>-70803</v>
          </cell>
        </row>
        <row r="22">
          <cell r="I22">
            <v>18246</v>
          </cell>
          <cell r="M22">
            <v>68586</v>
          </cell>
          <cell r="Q22">
            <v>-65868</v>
          </cell>
        </row>
        <row r="23">
          <cell r="I23">
            <v>22757</v>
          </cell>
          <cell r="M23">
            <v>74536</v>
          </cell>
          <cell r="Q23">
            <v>-65838</v>
          </cell>
        </row>
        <row r="24">
          <cell r="I24">
            <v>-10828</v>
          </cell>
          <cell r="M24">
            <v>90094</v>
          </cell>
          <cell r="Q24">
            <v>-65828</v>
          </cell>
        </row>
        <row r="25">
          <cell r="I25">
            <v>19199</v>
          </cell>
          <cell r="M25">
            <v>62436</v>
          </cell>
          <cell r="Q25">
            <v>-64525</v>
          </cell>
        </row>
        <row r="26">
          <cell r="I26">
            <v>-119494</v>
          </cell>
          <cell r="M26">
            <v>333592</v>
          </cell>
          <cell r="Q26">
            <v>-64455</v>
          </cell>
        </row>
        <row r="27">
          <cell r="I27">
            <v>-157154</v>
          </cell>
          <cell r="M27">
            <v>361855</v>
          </cell>
          <cell r="Q27">
            <v>-66379</v>
          </cell>
        </row>
        <row r="28">
          <cell r="I28">
            <v>-145731</v>
          </cell>
          <cell r="M28">
            <v>353976</v>
          </cell>
          <cell r="Q28">
            <v>-66379</v>
          </cell>
        </row>
        <row r="29">
          <cell r="I29">
            <v>-77307</v>
          </cell>
          <cell r="M29">
            <v>238811</v>
          </cell>
          <cell r="Q29">
            <v>-66379</v>
          </cell>
        </row>
        <row r="30">
          <cell r="I30">
            <v>-37608</v>
          </cell>
          <cell r="M30">
            <v>192545</v>
          </cell>
          <cell r="Q30">
            <v>-66349</v>
          </cell>
        </row>
        <row r="31">
          <cell r="I31">
            <v>-86951</v>
          </cell>
          <cell r="M31">
            <v>246989</v>
          </cell>
          <cell r="Q31">
            <v>-66369</v>
          </cell>
        </row>
        <row r="32">
          <cell r="I32">
            <v>4383</v>
          </cell>
          <cell r="M32">
            <v>143950</v>
          </cell>
          <cell r="Q32">
            <v>-67016</v>
          </cell>
        </row>
        <row r="33">
          <cell r="I33">
            <v>32484</v>
          </cell>
          <cell r="M33">
            <v>84304</v>
          </cell>
          <cell r="Q33">
            <v>-67103</v>
          </cell>
        </row>
        <row r="34">
          <cell r="I34">
            <v>10929</v>
          </cell>
          <cell r="M34">
            <v>124362</v>
          </cell>
          <cell r="Q34">
            <v>-65428</v>
          </cell>
        </row>
        <row r="35">
          <cell r="I35">
            <v>27589</v>
          </cell>
          <cell r="M35">
            <v>119907</v>
          </cell>
          <cell r="Q35">
            <v>-65428</v>
          </cell>
        </row>
        <row r="36">
          <cell r="I36">
            <v>-2472</v>
          </cell>
          <cell r="M36">
            <v>161406</v>
          </cell>
          <cell r="Q36">
            <v>-64761</v>
          </cell>
        </row>
        <row r="37">
          <cell r="I37">
            <v>15371</v>
          </cell>
          <cell r="M37">
            <v>147077</v>
          </cell>
          <cell r="Q37">
            <v>-64761</v>
          </cell>
        </row>
        <row r="38">
          <cell r="I38">
            <v>-106932</v>
          </cell>
          <cell r="M38">
            <v>276514</v>
          </cell>
          <cell r="Q38">
            <v>-66721</v>
          </cell>
        </row>
        <row r="39">
          <cell r="I39">
            <v>-82307</v>
          </cell>
          <cell r="M39">
            <v>247756</v>
          </cell>
          <cell r="Q39">
            <v>-66721</v>
          </cell>
        </row>
        <row r="40">
          <cell r="I40">
            <v>-28211</v>
          </cell>
          <cell r="M40">
            <v>190223</v>
          </cell>
          <cell r="Q40">
            <v>-66721</v>
          </cell>
        </row>
        <row r="41">
          <cell r="I41">
            <v>28048</v>
          </cell>
          <cell r="M41">
            <v>137399</v>
          </cell>
          <cell r="Q41">
            <v>-66721</v>
          </cell>
        </row>
        <row r="42">
          <cell r="I42">
            <v>-4559</v>
          </cell>
          <cell r="M42">
            <v>161644</v>
          </cell>
          <cell r="Q42">
            <v>-66721</v>
          </cell>
        </row>
        <row r="43">
          <cell r="I43">
            <v>-58003</v>
          </cell>
          <cell r="M43">
            <v>224572</v>
          </cell>
          <cell r="Q43">
            <v>-66721</v>
          </cell>
        </row>
        <row r="44">
          <cell r="I44">
            <v>-53654</v>
          </cell>
          <cell r="M44">
            <v>220992</v>
          </cell>
          <cell r="Q44">
            <v>-66721</v>
          </cell>
        </row>
        <row r="45">
          <cell r="I45">
            <v>-93263</v>
          </cell>
          <cell r="M45">
            <v>259818</v>
          </cell>
          <cell r="Q45">
            <v>-66721</v>
          </cell>
        </row>
        <row r="46">
          <cell r="I46">
            <v>-91732</v>
          </cell>
          <cell r="M46">
            <v>242244</v>
          </cell>
          <cell r="Q46">
            <v>-64081</v>
          </cell>
        </row>
        <row r="47">
          <cell r="I47">
            <v>37728</v>
          </cell>
          <cell r="M47">
            <v>111752</v>
          </cell>
          <cell r="Q47">
            <v>-63421</v>
          </cell>
        </row>
        <row r="48">
          <cell r="I48">
            <v>15922</v>
          </cell>
          <cell r="M48">
            <v>135089</v>
          </cell>
          <cell r="Q48">
            <v>-64372</v>
          </cell>
        </row>
        <row r="49">
          <cell r="I49">
            <v>3528</v>
          </cell>
          <cell r="M49">
            <v>131088</v>
          </cell>
          <cell r="Q49">
            <v>-63372</v>
          </cell>
        </row>
        <row r="50">
          <cell r="I50">
            <v>-16418</v>
          </cell>
          <cell r="M50">
            <v>144959</v>
          </cell>
          <cell r="Q50">
            <v>-64912</v>
          </cell>
        </row>
        <row r="51">
          <cell r="I51">
            <v>-33298</v>
          </cell>
          <cell r="M51">
            <v>214605</v>
          </cell>
          <cell r="Q51">
            <v>-58731</v>
          </cell>
        </row>
        <row r="52">
          <cell r="I52">
            <v>-169203</v>
          </cell>
          <cell r="M52">
            <v>337976</v>
          </cell>
          <cell r="Q52">
            <v>-58701</v>
          </cell>
        </row>
        <row r="53">
          <cell r="I53">
            <v>-122357</v>
          </cell>
          <cell r="M53">
            <v>274661</v>
          </cell>
          <cell r="Q53">
            <v>-58701</v>
          </cell>
        </row>
        <row r="54">
          <cell r="I54">
            <v>40893</v>
          </cell>
        </row>
        <row r="55">
          <cell r="I55">
            <v>72433</v>
          </cell>
          <cell r="M55">
            <v>48816</v>
          </cell>
          <cell r="Q55">
            <v>-52305</v>
          </cell>
        </row>
        <row r="56">
          <cell r="I56">
            <v>53160</v>
          </cell>
          <cell r="M56">
            <v>70640</v>
          </cell>
          <cell r="Q56">
            <v>-55977</v>
          </cell>
        </row>
        <row r="57">
          <cell r="I57">
            <v>78078</v>
          </cell>
          <cell r="M57">
            <v>44249</v>
          </cell>
          <cell r="Q57">
            <v>-55477</v>
          </cell>
        </row>
        <row r="58">
          <cell r="I58">
            <v>42092</v>
          </cell>
          <cell r="M58">
            <v>85032</v>
          </cell>
          <cell r="Q58">
            <v>-54578</v>
          </cell>
        </row>
        <row r="59">
          <cell r="I59">
            <v>14857</v>
          </cell>
          <cell r="M59">
            <v>110772</v>
          </cell>
          <cell r="Q59">
            <v>-65830</v>
          </cell>
        </row>
        <row r="60">
          <cell r="I60">
            <v>44392</v>
          </cell>
          <cell r="M60">
            <v>50358</v>
          </cell>
          <cell r="Q60">
            <v>-82057</v>
          </cell>
        </row>
        <row r="61">
          <cell r="I61">
            <v>-15581</v>
          </cell>
          <cell r="M61">
            <v>107277</v>
          </cell>
          <cell r="Q61">
            <v>-83822</v>
          </cell>
        </row>
        <row r="62">
          <cell r="I62">
            <v>-59174</v>
          </cell>
          <cell r="M62">
            <v>171164</v>
          </cell>
          <cell r="Q62">
            <v>-86913</v>
          </cell>
        </row>
        <row r="63">
          <cell r="I63">
            <v>5191</v>
          </cell>
          <cell r="M63">
            <v>108834</v>
          </cell>
          <cell r="Q63">
            <v>-90922</v>
          </cell>
        </row>
        <row r="64">
          <cell r="I64">
            <v>-24020</v>
          </cell>
          <cell r="M64">
            <v>148092</v>
          </cell>
          <cell r="Q64">
            <v>-90923</v>
          </cell>
        </row>
        <row r="65">
          <cell r="I65">
            <v>-87959</v>
          </cell>
          <cell r="M65">
            <v>194328</v>
          </cell>
          <cell r="Q65">
            <v>-91407</v>
          </cell>
        </row>
        <row r="66">
          <cell r="I66">
            <v>1229</v>
          </cell>
          <cell r="M66">
            <v>133673</v>
          </cell>
          <cell r="Q66">
            <v>-91275</v>
          </cell>
        </row>
        <row r="67">
          <cell r="I67">
            <v>26723</v>
          </cell>
          <cell r="M67">
            <v>112388</v>
          </cell>
          <cell r="Q67">
            <v>-90272</v>
          </cell>
        </row>
        <row r="68">
          <cell r="I68">
            <v>39705</v>
          </cell>
          <cell r="M68">
            <v>103781</v>
          </cell>
          <cell r="Q68">
            <v>-86492</v>
          </cell>
        </row>
        <row r="69">
          <cell r="I69">
            <v>57246</v>
          </cell>
          <cell r="M69">
            <v>52069</v>
          </cell>
          <cell r="Q69">
            <v>-86642</v>
          </cell>
        </row>
        <row r="70">
          <cell r="I70">
            <v>50952</v>
          </cell>
          <cell r="M70">
            <v>134238</v>
          </cell>
          <cell r="Q70">
            <v>-116034</v>
          </cell>
        </row>
        <row r="71">
          <cell r="I71">
            <v>59097</v>
          </cell>
          <cell r="M71">
            <v>98314</v>
          </cell>
          <cell r="Q71">
            <v>-116972</v>
          </cell>
        </row>
        <row r="72">
          <cell r="I72">
            <v>37129</v>
          </cell>
          <cell r="M72">
            <v>120000</v>
          </cell>
          <cell r="Q72">
            <v>-116906</v>
          </cell>
        </row>
      </sheetData>
      <sheetData sheetId="14"/>
      <sheetData sheetId="15"/>
      <sheetData sheetId="1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D542393-F65E-4FE1-87CB-4FCADAF8401C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FII Net OI Index Options (FII)" tableColumnId="2"/>
      <queryTableField id="3" name="PRO Net OI Index Options (PRO)" tableColumnId="3"/>
      <queryTableField id="4" name="FII+PRO Combined Position" tableColumnId="4"/>
      <queryTableField id="5" name="CLIENT Net OI Index Options (CLI)" tableColumnId="5"/>
      <queryTableField id="6" name="DII Net OI Index Options (DII)" tableColumnId="6"/>
      <queryTableField id="7" name="Nifty Close" tableColumnId="7"/>
      <queryTableField id="8" name="Bank Nifty Close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00000000-0016-0000-0100-000000000000}" autoFormatId="16" applyNumberFormats="0" applyBorderFormats="0" applyFontFormats="0" applyPatternFormats="0" applyAlignmentFormats="0" applyWidthHeightFormats="0">
  <queryTableRefresh nextId="66">
    <queryTableFields count="21">
      <queryTableField id="1" name="symbol" tableColumnId="1"/>
      <queryTableField id="37" name="Price1" tableColumnId="2"/>
      <queryTableField id="18" name="TV1" tableColumnId="18"/>
      <queryTableField id="56" name="TradedValue1" tableColumnId="12"/>
      <queryTableField id="38" name="DelPer1" tableColumnId="3"/>
      <queryTableField id="39" name="Price2" tableColumnId="4"/>
      <queryTableField id="20" name="TV2" tableColumnId="20"/>
      <queryTableField id="57" name="TradedValue2" tableColumnId="13"/>
      <queryTableField id="40" name="DelPer2" tableColumnId="5"/>
      <queryTableField id="41" name="Price3" tableColumnId="6"/>
      <queryTableField id="22" name="TV3" tableColumnId="22"/>
      <queryTableField id="58" name="TradedValue3" tableColumnId="14"/>
      <queryTableField id="42" name="DelPer3" tableColumnId="7"/>
      <queryTableField id="43" name="Price4" tableColumnId="8"/>
      <queryTableField id="24" name="TV4" tableColumnId="24"/>
      <queryTableField id="59" name="TradedValue4" tableColumnId="15"/>
      <queryTableField id="44" name="DelPer4" tableColumnId="9"/>
      <queryTableField id="45" name="Price5" tableColumnId="10"/>
      <queryTableField id="26" name="TV5" tableColumnId="26"/>
      <queryTableField id="60" name="TradedValue5" tableColumnId="16"/>
      <queryTableField id="46" name="DelPer5" tableColumnId="1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BD195" totalsRowShown="0">
  <autoFilter ref="A1:BD195" xr:uid="{00000000-0009-0000-0100-000002000000}">
    <filterColumn colId="11">
      <filters>
        <filter val="Y"/>
      </filters>
    </filterColumn>
    <filterColumn colId="12">
      <filters>
        <filter val="Y"/>
      </filters>
    </filterColumn>
    <filterColumn colId="37">
      <filters>
        <filter val="Y"/>
      </filters>
    </filterColumn>
    <filterColumn colId="38">
      <filters>
        <filter val="Y"/>
      </filters>
    </filterColumn>
    <filterColumn colId="50">
      <filters>
        <filter val="Y"/>
      </filters>
    </filterColumn>
    <filterColumn colId="51">
      <filters>
        <filter val="Y"/>
      </filters>
    </filterColumn>
  </autoFilter>
  <tableColumns count="56">
    <tableColumn id="1" xr3:uid="{00000000-0010-0000-0000-000001000000}" name="SYMBOL" dataDxfId="116"/>
    <tableColumn id="2" xr3:uid="{00000000-0010-0000-0000-000002000000}" name="Sector" dataDxfId="115"/>
    <tableColumn id="3" xr3:uid="{00000000-0010-0000-0000-000003000000}" name="FO" dataDxfId="114"/>
    <tableColumn id="46" xr3:uid="{C2160897-48B0-4E7F-923A-291DB57FE29F}" name="High Beta" dataDxfId="113">
      <calculatedColumnFormula>VLOOKUP(A2,'High Beta'!A1:B50,2,)</calculatedColumnFormula>
    </tableColumn>
    <tableColumn id="4" xr3:uid="{00000000-0010-0000-0000-000004000000}" name="P1" dataDxfId="112">
      <calculatedColumnFormula>VLOOKUP(A2,symbol_2[[symbol]:[Price1]],2,)</calculatedColumnFormula>
    </tableColumn>
    <tableColumn id="5" xr3:uid="{00000000-0010-0000-0000-000005000000}" name="P2" dataDxfId="111">
      <calculatedColumnFormula>VLOOKUP(A2,symbol_2[[symbol]:[Price2]],6,)</calculatedColumnFormula>
    </tableColumn>
    <tableColumn id="6" xr3:uid="{00000000-0010-0000-0000-000006000000}" name="P3" dataDxfId="110">
      <calculatedColumnFormula>VLOOKUP(A2,symbol_2[[symbol]:[Price3]],10,)</calculatedColumnFormula>
    </tableColumn>
    <tableColumn id="7" xr3:uid="{00000000-0010-0000-0000-000007000000}" name="P4" dataDxfId="109">
      <calculatedColumnFormula>VLOOKUP(A2,symbol_2[[symbol]:[Price4]],14,)</calculatedColumnFormula>
    </tableColumn>
    <tableColumn id="8" xr3:uid="{00000000-0010-0000-0000-000008000000}" name="P5" dataDxfId="108">
      <calculatedColumnFormula>VLOOKUP(A2,symbol_2[[symbol]:[Price5]],18,)</calculatedColumnFormula>
    </tableColumn>
    <tableColumn id="9" xr3:uid="{00000000-0010-0000-0000-000009000000}" name="IncreaseP1" dataDxfId="107">
      <calculatedColumnFormula>IF(F2&gt;E2,"Y","N")</calculatedColumnFormula>
    </tableColumn>
    <tableColumn id="10" xr3:uid="{00000000-0010-0000-0000-00000A000000}" name="IncreaseP2" dataDxfId="106">
      <calculatedColumnFormula>IF(G2&gt;F2,"Y","N")</calculatedColumnFormula>
    </tableColumn>
    <tableColumn id="11" xr3:uid="{00000000-0010-0000-0000-00000B000000}" name="IncreaseP3" dataDxfId="105">
      <calculatedColumnFormula>IF(H2&gt;G2,"Y","N")</calculatedColumnFormula>
    </tableColumn>
    <tableColumn id="12" xr3:uid="{00000000-0010-0000-0000-00000C000000}" name="IncreaseP4" dataDxfId="104">
      <calculatedColumnFormula>IF(I2&gt;H2,"Y","N")</calculatedColumnFormula>
    </tableColumn>
    <tableColumn id="13" xr3:uid="{00000000-0010-0000-0000-00000D000000}" name="P2-P1" dataDxfId="103">
      <calculatedColumnFormula>((F2-E2)/E2)*100</calculatedColumnFormula>
    </tableColumn>
    <tableColumn id="14" xr3:uid="{00000000-0010-0000-0000-00000E000000}" name="P3-P2" dataDxfId="102">
      <calculatedColumnFormula>((G2-F2)/F2)*100</calculatedColumnFormula>
    </tableColumn>
    <tableColumn id="15" xr3:uid="{00000000-0010-0000-0000-00000F000000}" name="P4-P3" dataDxfId="101">
      <calculatedColumnFormula>((H2-G2)/G2)*100</calculatedColumnFormula>
    </tableColumn>
    <tableColumn id="16" xr3:uid="{00000000-0010-0000-0000-000010000000}" name="P5-P4" dataDxfId="100">
      <calculatedColumnFormula>((I2-H2)/H2)*100</calculatedColumnFormula>
    </tableColumn>
    <tableColumn id="17" xr3:uid="{00000000-0010-0000-0000-000011000000}" name="TV1" dataDxfId="99">
      <calculatedColumnFormula>VLOOKUP(A2,symbol_2[[symbol]:[TV1]],3,)</calculatedColumnFormula>
    </tableColumn>
    <tableColumn id="18" xr3:uid="{00000000-0010-0000-0000-000012000000}" name="TV2" dataDxfId="98">
      <calculatedColumnFormula>VLOOKUP(A2,symbol_2[[symbol]:[TV2]],7,)</calculatedColumnFormula>
    </tableColumn>
    <tableColumn id="19" xr3:uid="{00000000-0010-0000-0000-000013000000}" name="TV3" dataDxfId="97">
      <calculatedColumnFormula>VLOOKUP(A2,symbol_2[[symbol]:[TV3]],11,)</calculatedColumnFormula>
    </tableColumn>
    <tableColumn id="20" xr3:uid="{00000000-0010-0000-0000-000014000000}" name="TV4" dataDxfId="96">
      <calculatedColumnFormula>VLOOKUP(A2,symbol_2[[symbol]:[TV4]],15,)</calculatedColumnFormula>
    </tableColumn>
    <tableColumn id="21" xr3:uid="{00000000-0010-0000-0000-000015000000}" name="TV5" dataDxfId="95">
      <calculatedColumnFormula>VLOOKUP(A2,symbol_2[[symbol]:[TV5]],19,)</calculatedColumnFormula>
    </tableColumn>
    <tableColumn id="22" xr3:uid="{00000000-0010-0000-0000-000016000000}" name="IncreaseTV1" dataDxfId="94">
      <calculatedColumnFormula>IF(S2&gt;R2,"Y","N")</calculatedColumnFormula>
    </tableColumn>
    <tableColumn id="23" xr3:uid="{00000000-0010-0000-0000-000017000000}" name="IncreaseTV2" dataDxfId="93">
      <calculatedColumnFormula>IF(T2&gt;S2,"Y","N")</calculatedColumnFormula>
    </tableColumn>
    <tableColumn id="24" xr3:uid="{00000000-0010-0000-0000-000018000000}" name="IncreaseTV3" dataDxfId="92">
      <calculatedColumnFormula>IF(U2&gt;T2,"Y","N")</calculatedColumnFormula>
    </tableColumn>
    <tableColumn id="25" xr3:uid="{00000000-0010-0000-0000-000019000000}" name="IncreaseTV4" dataDxfId="91">
      <calculatedColumnFormula>IF(V2&gt;U2,"Y","N")</calculatedColumnFormula>
    </tableColumn>
    <tableColumn id="49" xr3:uid="{1470A3C0-B2D1-443A-A277-E694F1722361}" name="TradedValue1" dataDxfId="90">
      <calculatedColumnFormula>VLOOKUP(A4,symbol_2[[symbol]:[TradedValue1]],4,)</calculatedColumnFormula>
    </tableColumn>
    <tableColumn id="48" xr3:uid="{75E27555-0569-4190-B93B-CBFEB9456722}" name="TradedValue2" dataDxfId="89">
      <calculatedColumnFormula>VLOOKUP(A2,symbol_2[[symbol]:[TradedValue2]],8,)</calculatedColumnFormula>
    </tableColumn>
    <tableColumn id="47" xr3:uid="{372EA4B2-E2E4-40C6-990C-97B5F952623A}" name="TradedValue3" dataDxfId="88">
      <calculatedColumnFormula>VLOOKUP(A2,symbol_2[[symbol]:[TradedValue3]],12,)</calculatedColumnFormula>
    </tableColumn>
    <tableColumn id="54" xr3:uid="{783939D9-65AF-42F9-BFD8-EFAB8C7AC929}" name="TradedValue4" dataDxfId="87">
      <calculatedColumnFormula>VLOOKUP(A2,symbol_2[[symbol]:[TradedValue4]],16,)</calculatedColumnFormula>
    </tableColumn>
    <tableColumn id="32" xr3:uid="{FDC483D6-FD16-412E-80D4-0131EA200F78}" name="TradedValue5" dataDxfId="86">
      <calculatedColumnFormula>VLOOKUP(A2,symbol_2[[symbol]:[TradedValue5]],20,)</calculatedColumnFormula>
    </tableColumn>
    <tableColumn id="58" xr3:uid="{B520ABF7-EE6C-4C74-8C87-06109E086FD3}" name="TradedValue55" dataDxfId="85">
      <calculatedColumnFormula>Table2[[#This Row],[TradedValue2]]-Table2[[#This Row],[TradedValue1]]</calculatedColumnFormula>
    </tableColumn>
    <tableColumn id="57" xr3:uid="{ED436AD7-5B9B-43D7-819C-D3A50C75182A}" name="TradedValue54" dataDxfId="84"/>
    <tableColumn id="56" xr3:uid="{B64F3E06-7156-4132-8893-0129A236FB7F}" name="TradedValue53" dataDxfId="83"/>
    <tableColumn id="55" xr3:uid="{B5002A7E-6A3B-472C-A138-6A2A8BA56619}" name="TradedValue6" dataDxfId="82"/>
    <tableColumn id="53" xr3:uid="{E11AC029-29E6-4157-876F-88D18FAF3A31}" name="TradedValue44" dataDxfId="81">
      <calculatedColumnFormula>IF(Table2[[#This Row],[TradedValue2]]&gt;Table2[[#This Row],[TradedValue1]],"Y","N")</calculatedColumnFormula>
    </tableColumn>
    <tableColumn id="52" xr3:uid="{890B9796-2D14-4B2F-A44A-DA72280FAD6F}" name="TradedValue43" dataDxfId="80">
      <calculatedColumnFormula>IF(Table2[[#This Row],[TradedValue3]]&gt;Table2[[#This Row],[TradedValue2]],"Y","N")</calculatedColumnFormula>
    </tableColumn>
    <tableColumn id="51" xr3:uid="{C52B4598-0373-4E6B-8D16-649CC7450482}" name="TradedValue42" dataDxfId="79">
      <calculatedColumnFormula>IF(Table2[[#This Row],[TradedValue5]]&gt;Table2[[#This Row],[TradedValue3]],"Y","N")</calculatedColumnFormula>
    </tableColumn>
    <tableColumn id="50" xr3:uid="{3D2B87F7-B361-4113-9BC7-34F125E7E30B}" name="TradedValue52" dataDxfId="78">
      <calculatedColumnFormula>IF(Table2[[#This Row],[TradedValue5]]&gt;Table2[[#This Row],[TradedValue4]],"Y","N")</calculatedColumnFormula>
    </tableColumn>
    <tableColumn id="26" xr3:uid="{00000000-0010-0000-0000-00001A000000}" name="TV2-TV1" dataDxfId="77">
      <calculatedColumnFormula>S2-R2</calculatedColumnFormula>
    </tableColumn>
    <tableColumn id="27" xr3:uid="{00000000-0010-0000-0000-00001B000000}" name="TV3-TV2" dataDxfId="76">
      <calculatedColumnFormula>T2-S2</calculatedColumnFormula>
    </tableColumn>
    <tableColumn id="28" xr3:uid="{00000000-0010-0000-0000-00001C000000}" name="TV4-TV3" dataDxfId="75">
      <calculatedColumnFormula>U2-T2</calculatedColumnFormula>
    </tableColumn>
    <tableColumn id="29" xr3:uid="{00000000-0010-0000-0000-00001D000000}" name="TV5-TV4" dataDxfId="74">
      <calculatedColumnFormula>V2-U2</calculatedColumnFormula>
    </tableColumn>
    <tableColumn id="43" xr3:uid="{00000000-0010-0000-0000-00002B000000}" name="DelPer1" dataDxfId="73">
      <calculatedColumnFormula>VLOOKUP(A2,symbol_2[[symbol]:[DelPer1]],5,)</calculatedColumnFormula>
    </tableColumn>
    <tableColumn id="42" xr3:uid="{00000000-0010-0000-0000-00002A000000}" name="DelPer2" dataDxfId="72">
      <calculatedColumnFormula>VLOOKUP(A2,symbol_2[[symbol]:[DelPer2]],9,)</calculatedColumnFormula>
    </tableColumn>
    <tableColumn id="41" xr3:uid="{00000000-0010-0000-0000-000029000000}" name="DelPer3" dataDxfId="71">
      <calculatedColumnFormula>VLOOKUP(A2,symbol_2[[symbol]:[DelPer3]],13,)</calculatedColumnFormula>
    </tableColumn>
    <tableColumn id="40" xr3:uid="{00000000-0010-0000-0000-000028000000}" name="DelPer4" dataDxfId="70">
      <calculatedColumnFormula>VLOOKUP(A2,symbol_2[[symbol]:[DelPer4]],17,)</calculatedColumnFormula>
    </tableColumn>
    <tableColumn id="39" xr3:uid="{00000000-0010-0000-0000-000027000000}" name="DelPer5" dataDxfId="69">
      <calculatedColumnFormula>VLOOKUP(A2,symbol_2[[symbol]:[DelPer5]],21,)</calculatedColumnFormula>
    </tableColumn>
    <tableColumn id="38" xr3:uid="{00000000-0010-0000-0000-000026000000}" name="IncreaseDelPer1" dataDxfId="68">
      <calculatedColumnFormula>IF(AS2&gt;AR2,"Y","N")</calculatedColumnFormula>
    </tableColumn>
    <tableColumn id="37" xr3:uid="{00000000-0010-0000-0000-000025000000}" name="IncreaseDelPer2" dataDxfId="67">
      <calculatedColumnFormula>IF(AT2&gt;AS2,"Y","N")</calculatedColumnFormula>
    </tableColumn>
    <tableColumn id="36" xr3:uid="{00000000-0010-0000-0000-000024000000}" name="IncreaseDelPer3" dataDxfId="66">
      <calculatedColumnFormula>IF(AU2&gt;AT2,"Y","N")</calculatedColumnFormula>
    </tableColumn>
    <tableColumn id="35" xr3:uid="{00000000-0010-0000-0000-000023000000}" name="IncreaseDelPer4" dataDxfId="65">
      <calculatedColumnFormula>IF(AV2&gt;AU2,"Y","N")</calculatedColumnFormula>
    </tableColumn>
    <tableColumn id="34" xr3:uid="{00000000-0010-0000-0000-000022000000}" name="DelPer2-DelPer1" dataDxfId="64">
      <calculatedColumnFormula>AS2-AR2</calculatedColumnFormula>
    </tableColumn>
    <tableColumn id="44" xr3:uid="{00000000-0010-0000-0000-00002C000000}" name="DelPer3-DelPer2" dataDxfId="63">
      <calculatedColumnFormula>AT2-AS2</calculatedColumnFormula>
    </tableColumn>
    <tableColumn id="33" xr3:uid="{00000000-0010-0000-0000-000021000000}" name="DelPer4-DelPer3" dataDxfId="62">
      <calculatedColumnFormula>AU2-AT2</calculatedColumnFormula>
    </tableColumn>
    <tableColumn id="30" xr3:uid="{00000000-0010-0000-0000-00001E000000}" name="DelPer5-DelPer4" dataDxfId="61">
      <calculatedColumnFormula>AV2-AU2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313D73-C2FF-4079-9B01-B4182F262AFF}" name="DynamicsLevelData" displayName="DynamicsLevelData" ref="A12:H604" tableType="queryTable" totalsRowShown="0">
  <autoFilter ref="A12:H604" xr:uid="{9753E6C1-08CE-4821-888B-8705E931571C}"/>
  <tableColumns count="8">
    <tableColumn id="1" xr3:uid="{7FB76528-CA24-4A45-970B-9CFDB0E7BCD3}" uniqueName="1" name="Date" queryTableFieldId="1" dataDxfId="58"/>
    <tableColumn id="2" xr3:uid="{B1708528-001D-4654-BC5A-B7A56F047E40}" uniqueName="2" name="FII Net OI Index Options (FII)" queryTableFieldId="2"/>
    <tableColumn id="3" xr3:uid="{F65CAB04-61B7-490E-9DA7-C981AFA74600}" uniqueName="3" name="PRO Net OI Index Options (PRO)" queryTableFieldId="3"/>
    <tableColumn id="4" xr3:uid="{8D0184E6-E270-44DD-8EB1-ED64DE832A99}" uniqueName="4" name="FII+PRO Combined Position" queryTableFieldId="4" dataDxfId="57"/>
    <tableColumn id="5" xr3:uid="{14FD3EDB-237A-496D-B64C-C2D3E0B443F1}" uniqueName="5" name="CLIENT Net OI Index Options (CLI)" queryTableFieldId="5"/>
    <tableColumn id="6" xr3:uid="{A8C5BCD3-5D3F-4CCD-909D-614364464BD3}" uniqueName="6" name="DII Net OI Index Options (DII)" queryTableFieldId="6"/>
    <tableColumn id="7" xr3:uid="{963F775E-6461-4503-97D1-333ABADB2359}" uniqueName="7" name="Nifty Close" queryTableFieldId="7"/>
    <tableColumn id="8" xr3:uid="{C51BFDA1-C04B-4DD0-8B5A-C26EFAD79EB5}" uniqueName="8" name="Bank Nifty Close" queryTableField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symbol_2" displayName="symbol_2" ref="A4:U200" tableType="queryTable" totalsRowShown="0">
  <autoFilter ref="A4:U200" xr:uid="{B329B3DD-0DC0-4AEC-9B72-E02DB25A3352}"/>
  <sortState ref="A5:U200">
    <sortCondition descending="1" ref="T4:T200"/>
  </sortState>
  <tableColumns count="21">
    <tableColumn id="1" xr3:uid="{00000000-0010-0000-0100-000001000000}" uniqueName="1" name="symbol" queryTableFieldId="1" dataDxfId="2"/>
    <tableColumn id="2" xr3:uid="{00000000-0010-0000-0100-000002000000}" uniqueName="2" name="Price1" queryTableFieldId="37"/>
    <tableColumn id="18" xr3:uid="{00000000-0010-0000-0100-000012000000}" uniqueName="18" name="TV1" queryTableFieldId="18"/>
    <tableColumn id="12" xr3:uid="{22D48FE0-9E43-4C83-9807-3D39BBA959D5}" uniqueName="12" name="TradedValue1" queryTableFieldId="56"/>
    <tableColumn id="3" xr3:uid="{00000000-0010-0000-0100-000003000000}" uniqueName="3" name="DelPer1" queryTableFieldId="38"/>
    <tableColumn id="4" xr3:uid="{00000000-0010-0000-0100-000004000000}" uniqueName="4" name="Price2" queryTableFieldId="39"/>
    <tableColumn id="20" xr3:uid="{00000000-0010-0000-0100-000014000000}" uniqueName="20" name="TV2" queryTableFieldId="20"/>
    <tableColumn id="13" xr3:uid="{5D0913CD-935E-41CD-8652-97FFF7A591F1}" uniqueName="13" name="TradedValue2" queryTableFieldId="57"/>
    <tableColumn id="5" xr3:uid="{00000000-0010-0000-0100-000005000000}" uniqueName="5" name="DelPer2" queryTableFieldId="40"/>
    <tableColumn id="6" xr3:uid="{00000000-0010-0000-0100-000006000000}" uniqueName="6" name="Price3" queryTableFieldId="41"/>
    <tableColumn id="22" xr3:uid="{00000000-0010-0000-0100-000016000000}" uniqueName="22" name="TV3" queryTableFieldId="22"/>
    <tableColumn id="14" xr3:uid="{A391A8E6-BDD6-4425-990A-0C353FFC2177}" uniqueName="14" name="TradedValue3" queryTableFieldId="58"/>
    <tableColumn id="7" xr3:uid="{00000000-0010-0000-0100-000007000000}" uniqueName="7" name="DelPer3" queryTableFieldId="42"/>
    <tableColumn id="8" xr3:uid="{00000000-0010-0000-0100-000008000000}" uniqueName="8" name="Price4" queryTableFieldId="43"/>
    <tableColumn id="24" xr3:uid="{00000000-0010-0000-0100-000018000000}" uniqueName="24" name="TV4" queryTableFieldId="24"/>
    <tableColumn id="15" xr3:uid="{6ABDA7BF-71F2-4053-8710-37D537153A46}" uniqueName="15" name="TradedValue4" queryTableFieldId="59"/>
    <tableColumn id="9" xr3:uid="{00000000-0010-0000-0100-000009000000}" uniqueName="9" name="DelPer4" queryTableFieldId="44"/>
    <tableColumn id="10" xr3:uid="{00000000-0010-0000-0100-00000A000000}" uniqueName="10" name="Price5" queryTableFieldId="45"/>
    <tableColumn id="26" xr3:uid="{00000000-0010-0000-0100-00001A000000}" uniqueName="26" name="TV5" queryTableFieldId="26"/>
    <tableColumn id="16" xr3:uid="{4FCB2058-EBAB-4DB5-9B85-67C501646C1C}" uniqueName="16" name="TradedValue5" queryTableFieldId="60"/>
    <tableColumn id="11" xr3:uid="{00000000-0010-0000-0100-00000B000000}" uniqueName="11" name="DelPer5" queryTableFieldId="4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7EDA247-33E9-4F70-9C25-C50F2559AF36}" name="Table4" displayName="Table4" ref="A2:X75" totalsRowShown="0" headerRowDxfId="15">
  <autoFilter ref="A2:X75" xr:uid="{79A87563-7B44-4580-94BC-884400C0BDB9}"/>
  <tableColumns count="24">
    <tableColumn id="1" xr3:uid="{1BC146D9-D94F-4D53-8CE2-5C31B2E3636D}" name="Date" dataDxfId="14"/>
    <tableColumn id="2" xr3:uid="{C39194EA-AB88-4263-9BF2-8B96E8EF07AC}" name="Net Of Index Futures"/>
    <tableColumn id="3" xr3:uid="{6DB22EEF-F0D2-4A1C-9B6F-88C22CC1748E}" name="Net Of _x000a_Index Options"/>
    <tableColumn id="16" xr3:uid="{13D79D25-056A-4EFE-B28A-33F84028D7B6}" name="Net OI Stock Futures" dataDxfId="13"/>
    <tableColumn id="15" xr3:uid="{4236C71F-8C00-4895-83DC-871900A81B9F}" name="Net OI Stock Calls" dataDxfId="12"/>
    <tableColumn id="14" xr3:uid="{5C838CF5-7129-4797-B8F1-243A8F80C34C}" name="Net OI Stock Puts" dataDxfId="11"/>
    <tableColumn id="4" xr3:uid="{13928E95-DAC1-4877-8593-409522398468}" name="Net Of Index Futures Pro" dataDxfId="10">
      <calculatedColumnFormula>'Nifty Futures '!D6</calculatedColumnFormula>
    </tableColumn>
    <tableColumn id="5" xr3:uid="{7F92593F-D048-4FFE-B06F-29F76C8E9CE3}" name="Net Of _x000a_Index Options Pro">
      <calculatedColumnFormula>'[1]Nifty Options'!I4</calculatedColumnFormula>
    </tableColumn>
    <tableColumn id="19" xr3:uid="{846F06E9-7491-4C77-AEE3-9663B73798AF}" name="Net OI Stock Futures Pro"/>
    <tableColumn id="18" xr3:uid="{776A09AC-B85E-44AB-8D25-6BB3229309B0}" name="Net OI Stock Calls Pro"/>
    <tableColumn id="17" xr3:uid="{DA8A1220-9083-49E0-89E4-16E3BFCC9B4A}" name="Net OI Stock Puts Pro" dataDxfId="9"/>
    <tableColumn id="8" xr3:uid="{635432B5-8B64-4550-82E4-9CAC8A51796B}" name="Net Of Index Futures DII" dataDxfId="8">
      <calculatedColumnFormula>'Nifty Futures '!H6</calculatedColumnFormula>
    </tableColumn>
    <tableColumn id="9" xr3:uid="{9987C134-4258-4224-8CF6-85818B097816}" name="Net Of _x000a_Index Options DII">
      <calculatedColumnFormula>'[1]Nifty Options'!Q4</calculatedColumnFormula>
    </tableColumn>
    <tableColumn id="26" xr3:uid="{23FE4B46-2BEE-44C1-8D9D-ACA5EF5D628F}" name="Net OI Stock Futures DII"/>
    <tableColumn id="25" xr3:uid="{5E933FE4-F09F-46B3-8DD8-7D180FD4B553}" name="Net OI Stock Calls DII"/>
    <tableColumn id="24" xr3:uid="{6A90A952-C3E1-41E0-9490-D6DB33FEAD3C}" name="Net OI Stock Puts DII" dataDxfId="7"/>
    <tableColumn id="6" xr3:uid="{6EA3FC1E-779B-4F78-81E4-87E5FC640F18}" name="Net Of Index Futures Client" dataDxfId="6">
      <calculatedColumnFormula>'Nifty Futures '!F6</calculatedColumnFormula>
    </tableColumn>
    <tableColumn id="7" xr3:uid="{94474BA5-4EA7-4303-9D06-09764EA8245A}" name="Net Of _x000a_Index Options Client" dataDxfId="5">
      <calculatedColumnFormula>'[1]Nifty Options'!M4</calculatedColumnFormula>
    </tableColumn>
    <tableColumn id="22" xr3:uid="{57B218DE-D132-4E4C-AB94-B1AE9C550B4A}" name="Net OI Stock Futures Client"/>
    <tableColumn id="21" xr3:uid="{5F3E30BF-1D4B-4435-B26A-260D8D07D90D}" name="Net OI Stock Calls Client"/>
    <tableColumn id="20" xr3:uid="{6A95EF25-3509-4C13-B50F-A468D061EFAD}" name="Net OI Stock Puts Client" dataDxfId="4"/>
    <tableColumn id="10" xr3:uid="{EF29B93C-BE33-40E3-A188-256686527F71}" name="Nifty Index">
      <calculatedColumnFormula>'Nifty Futures '!J6</calculatedColumnFormula>
    </tableColumn>
    <tableColumn id="11" xr3:uid="{D8D73E45-CAC1-4745-89AA-EA2DFCC9906B}" name="BankNifty Index">
      <calculatedColumnFormula>'Nifty Futures '!K6</calculatedColumnFormula>
    </tableColumn>
    <tableColumn id="12" xr3:uid="{A65D943A-E94D-4AB1-A94A-9B7A21C2CAF3}" name="Column10" dataDxfId="3">
      <calculatedColumnFormula>Table4[[#This Row],[Nifty Index]]-V4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221"/>
  <sheetViews>
    <sheetView showGridLines="0" tabSelected="1" zoomScale="85" zoomScaleNormal="85" workbookViewId="0">
      <pane xSplit="1" topLeftCell="B1" activePane="topRight" state="frozen"/>
      <selection pane="topRight" activeCell="I172" sqref="I172"/>
    </sheetView>
  </sheetViews>
  <sheetFormatPr defaultRowHeight="14.5" x14ac:dyDescent="0.35"/>
  <cols>
    <col min="1" max="1" width="21.54296875" style="116" customWidth="1"/>
    <col min="2" max="2" width="30.453125" style="1" customWidth="1"/>
    <col min="3" max="3" width="5.54296875" style="1" customWidth="1"/>
    <col min="4" max="4" width="11.81640625" style="1" bestFit="1" customWidth="1"/>
    <col min="5" max="5" width="9.6328125" style="1" bestFit="1" customWidth="1"/>
    <col min="6" max="6" width="10.453125" style="1" customWidth="1"/>
    <col min="7" max="7" width="8.1796875" style="1" customWidth="1"/>
    <col min="8" max="9" width="9.54296875" style="1" bestFit="1" customWidth="1"/>
    <col min="10" max="11" width="12.81640625" style="49" customWidth="1"/>
    <col min="12" max="13" width="8.1796875" style="49" customWidth="1"/>
    <col min="14" max="14" width="8.7265625" style="1" bestFit="1" customWidth="1"/>
    <col min="15" max="16" width="10.54296875" style="1" customWidth="1"/>
    <col min="17" max="17" width="8.54296875" style="1" bestFit="1" customWidth="1"/>
    <col min="18" max="18" width="7.36328125" style="1" bestFit="1" customWidth="1"/>
    <col min="19" max="22" width="6.81640625" style="1" bestFit="1" customWidth="1"/>
    <col min="23" max="23" width="14" style="1" bestFit="1" customWidth="1"/>
    <col min="24" max="24" width="18.6328125" style="1" bestFit="1" customWidth="1"/>
    <col min="25" max="26" width="14" style="1" bestFit="1" customWidth="1"/>
    <col min="27" max="31" width="15.36328125" style="1" bestFit="1" customWidth="1"/>
    <col min="32" max="34" width="16.54296875" style="1" bestFit="1" customWidth="1"/>
    <col min="35" max="35" width="15.36328125" style="1" bestFit="1" customWidth="1"/>
    <col min="36" max="38" width="8.54296875" style="49" customWidth="1"/>
    <col min="39" max="39" width="8.81640625" style="49" customWidth="1"/>
    <col min="40" max="40" width="11.54296875" style="1" customWidth="1"/>
    <col min="41" max="43" width="10.6328125" style="1" bestFit="1" customWidth="1"/>
    <col min="44" max="48" width="10.453125" style="1" bestFit="1" customWidth="1"/>
    <col min="49" max="51" width="11.54296875" style="49" customWidth="1"/>
    <col min="52" max="52" width="7.36328125" style="49" customWidth="1"/>
    <col min="53" max="56" width="18.08984375" style="1" bestFit="1" customWidth="1"/>
  </cols>
  <sheetData>
    <row r="1" spans="1:56" x14ac:dyDescent="0.35">
      <c r="A1" s="115" t="s">
        <v>0</v>
      </c>
      <c r="B1" s="101" t="s">
        <v>1005</v>
      </c>
      <c r="C1" s="3" t="s">
        <v>55</v>
      </c>
      <c r="D1" s="3" t="s">
        <v>286</v>
      </c>
      <c r="E1" s="3" t="s">
        <v>200</v>
      </c>
      <c r="F1" s="3" t="s">
        <v>202</v>
      </c>
      <c r="G1" s="3" t="s">
        <v>206</v>
      </c>
      <c r="H1" s="5" t="s">
        <v>207</v>
      </c>
      <c r="I1" s="99" t="s">
        <v>209</v>
      </c>
      <c r="J1" s="103" t="s">
        <v>250</v>
      </c>
      <c r="K1" s="103" t="s">
        <v>251</v>
      </c>
      <c r="L1" s="103" t="s">
        <v>252</v>
      </c>
      <c r="M1" s="103" t="s">
        <v>253</v>
      </c>
      <c r="N1" s="3" t="s">
        <v>254</v>
      </c>
      <c r="O1" s="3" t="s">
        <v>255</v>
      </c>
      <c r="P1" s="3" t="s">
        <v>256</v>
      </c>
      <c r="Q1" s="3" t="s">
        <v>257</v>
      </c>
      <c r="R1" s="102" t="s">
        <v>204</v>
      </c>
      <c r="S1" s="5" t="s">
        <v>205</v>
      </c>
      <c r="T1" s="5" t="s">
        <v>201</v>
      </c>
      <c r="U1" s="5" t="s">
        <v>208</v>
      </c>
      <c r="V1" s="5" t="s">
        <v>210</v>
      </c>
      <c r="W1" s="5" t="s">
        <v>258</v>
      </c>
      <c r="X1" s="5" t="s">
        <v>259</v>
      </c>
      <c r="Y1" s="5" t="s">
        <v>260</v>
      </c>
      <c r="Z1" s="5" t="s">
        <v>261</v>
      </c>
      <c r="AA1" s="48" t="s">
        <v>287</v>
      </c>
      <c r="AB1" s="48" t="s">
        <v>288</v>
      </c>
      <c r="AC1" s="48" t="s">
        <v>289</v>
      </c>
      <c r="AD1" s="48" t="s">
        <v>290</v>
      </c>
      <c r="AE1" s="48" t="s">
        <v>291</v>
      </c>
      <c r="AF1" s="50" t="s">
        <v>299</v>
      </c>
      <c r="AG1" s="50" t="s">
        <v>298</v>
      </c>
      <c r="AH1" s="50" t="s">
        <v>297</v>
      </c>
      <c r="AI1" s="100" t="s">
        <v>296</v>
      </c>
      <c r="AJ1" s="104" t="s">
        <v>294</v>
      </c>
      <c r="AK1" s="104" t="s">
        <v>293</v>
      </c>
      <c r="AL1" s="104" t="s">
        <v>292</v>
      </c>
      <c r="AM1" s="104" t="s">
        <v>295</v>
      </c>
      <c r="AN1" s="102" t="s">
        <v>262</v>
      </c>
      <c r="AO1" s="5" t="s">
        <v>263</v>
      </c>
      <c r="AP1" s="5" t="s">
        <v>264</v>
      </c>
      <c r="AQ1" s="5" t="s">
        <v>265</v>
      </c>
      <c r="AR1" s="5" t="s">
        <v>241</v>
      </c>
      <c r="AS1" s="5" t="s">
        <v>243</v>
      </c>
      <c r="AT1" s="5" t="s">
        <v>245</v>
      </c>
      <c r="AU1" s="5" t="s">
        <v>247</v>
      </c>
      <c r="AV1" s="99" t="s">
        <v>249</v>
      </c>
      <c r="AW1" s="103" t="s">
        <v>266</v>
      </c>
      <c r="AX1" s="103" t="s">
        <v>267</v>
      </c>
      <c r="AY1" s="103" t="s">
        <v>268</v>
      </c>
      <c r="AZ1" s="103" t="s">
        <v>269</v>
      </c>
      <c r="BA1" s="102" t="s">
        <v>270</v>
      </c>
      <c r="BB1" s="5" t="s">
        <v>271</v>
      </c>
      <c r="BC1" s="5" t="s">
        <v>272</v>
      </c>
      <c r="BD1" s="5" t="s">
        <v>273</v>
      </c>
    </row>
    <row r="2" spans="1:56" hidden="1" x14ac:dyDescent="0.35">
      <c r="A2" s="1" t="s">
        <v>6</v>
      </c>
      <c r="B2" s="1" t="s">
        <v>1006</v>
      </c>
      <c r="C2" s="1" t="s">
        <v>52</v>
      </c>
      <c r="D2" s="1" t="s">
        <v>199</v>
      </c>
      <c r="E2" s="1">
        <f>VLOOKUP(A2,symbol_2[[symbol]:[Price1]],2,)</f>
        <v>782.4</v>
      </c>
      <c r="F2" s="1">
        <f>VLOOKUP(A2,symbol_2[[symbol]:[Price2]],6,)</f>
        <v>772.95</v>
      </c>
      <c r="G2" s="1">
        <f>VLOOKUP(A2,symbol_2[[symbol]:[Price3]],10,)</f>
        <v>779.15</v>
      </c>
      <c r="H2" s="1">
        <f>VLOOKUP(A2,symbol_2[[symbol]:[Price4]],14,)</f>
        <v>776.4</v>
      </c>
      <c r="I2" s="1">
        <f>VLOOKUP(A2,symbol_2[[symbol]:[Price5]],18,)</f>
        <v>793.2</v>
      </c>
      <c r="J2" s="49" t="str">
        <f t="shared" ref="J2" si="0">IF(F2&gt;E2,"Y","N")</f>
        <v>N</v>
      </c>
      <c r="K2" s="49" t="str">
        <f t="shared" ref="K2" si="1">IF(G2&gt;F2,"Y","N")</f>
        <v>Y</v>
      </c>
      <c r="L2" s="49" t="str">
        <f t="shared" ref="L2" si="2">IF(H2&gt;G2,"Y","N")</f>
        <v>N</v>
      </c>
      <c r="M2" s="49" t="str">
        <f t="shared" ref="M2" si="3">IF(I2&gt;H2,"Y","N")</f>
        <v>Y</v>
      </c>
      <c r="N2" s="52">
        <f t="shared" ref="N2" si="4">((F2-E2)/E2)*100</f>
        <v>-1.2078220858895619</v>
      </c>
      <c r="O2" s="52">
        <f t="shared" ref="O2" si="5">((G2-F2)/F2)*100</f>
        <v>0.8021217413804167</v>
      </c>
      <c r="P2" s="52">
        <f t="shared" ref="P2" si="6">((H2-G2)/G2)*100</f>
        <v>-0.35294872617596101</v>
      </c>
      <c r="Q2" s="52">
        <f t="shared" ref="Q2" si="7">((I2-H2)/H2)*100</f>
        <v>2.1638330757341664</v>
      </c>
      <c r="R2" s="1">
        <f>VLOOKUP(A2,symbol_2[[symbol]:[TV1]],3,)</f>
        <v>15.87</v>
      </c>
      <c r="S2" s="1">
        <f>VLOOKUP(A2,symbol_2[[symbol]:[TV2]],7,)</f>
        <v>9.25</v>
      </c>
      <c r="T2" s="1">
        <f>VLOOKUP(A2,symbol_2[[symbol]:[TV3]],11,)</f>
        <v>5.93</v>
      </c>
      <c r="U2" s="1">
        <f>VLOOKUP(A2,symbol_2[[symbol]:[TV4]],15,)</f>
        <v>14.78</v>
      </c>
      <c r="V2" s="1">
        <f>VLOOKUP(A2,symbol_2[[symbol]:[TV5]],19,)</f>
        <v>9.32</v>
      </c>
      <c r="W2" s="1" t="str">
        <f t="shared" ref="W2" si="8">IF(S2&gt;R2,"Y","N")</f>
        <v>N</v>
      </c>
      <c r="X2" s="1" t="str">
        <f t="shared" ref="X2" si="9">IF(T2&gt;S2,"Y","N")</f>
        <v>N</v>
      </c>
      <c r="Y2" s="1" t="str">
        <f t="shared" ref="Y2" si="10">IF(U2&gt;T2,"Y","N")</f>
        <v>Y</v>
      </c>
      <c r="Z2" s="1" t="str">
        <f t="shared" ref="Z2" si="11">IF(V2&gt;U2,"Y","N")</f>
        <v>N</v>
      </c>
      <c r="AA2" s="1">
        <f>VLOOKUP(A4,symbol_2[[symbol]:[TradedValue1]],4,)</f>
        <v>11626.79</v>
      </c>
      <c r="AB2" s="1">
        <f>VLOOKUP(A2,symbol_2[[symbol]:[TradedValue2]],8,)</f>
        <v>7229.9</v>
      </c>
      <c r="AC2" s="1">
        <f>VLOOKUP(A2,symbol_2[[symbol]:[TradedValue3]],12,)</f>
        <v>4621.24</v>
      </c>
      <c r="AD2" s="1">
        <f>VLOOKUP(A2,symbol_2[[symbol]:[TradedValue4]],16,)</f>
        <v>11679.88</v>
      </c>
      <c r="AE2" s="1">
        <f>VLOOKUP(A2,symbol_2[[symbol]:[TradedValue5]],20,)</f>
        <v>7348.88</v>
      </c>
      <c r="AF2" s="1">
        <f>Table2[[#This Row],[TradedValue2]]-Table2[[#This Row],[TradedValue1]]</f>
        <v>-4396.8900000000012</v>
      </c>
      <c r="AG2" s="1">
        <f>Table2[[#This Row],[TradedValue3]]-Table2[[#This Row],[TradedValue2]]</f>
        <v>-2608.66</v>
      </c>
      <c r="AH2" s="1">
        <f>Table2[[#This Row],[TradedValue4]]-Table2[[#This Row],[TradedValue3]]</f>
        <v>7058.6399999999994</v>
      </c>
      <c r="AI2" s="1">
        <f>Table2[[#This Row],[TradedValue5]]-Table2[[#This Row],[TradedValue4]]</f>
        <v>-4330.9999999999991</v>
      </c>
      <c r="AJ2" s="49" t="str">
        <f>IF(Table2[[#This Row],[TradedValue2]]&gt;Table2[[#This Row],[TradedValue1]],"Y","N")</f>
        <v>N</v>
      </c>
      <c r="AK2" s="49" t="str">
        <f>IF(Table2[[#This Row],[TradedValue3]]&gt;Table2[[#This Row],[TradedValue2]],"Y","N")</f>
        <v>N</v>
      </c>
      <c r="AL2" s="49" t="str">
        <f>IF(Table2[[#This Row],[TradedValue5]]&gt;Table2[[#This Row],[TradedValue3]],"Y","N")</f>
        <v>Y</v>
      </c>
      <c r="AM2" s="49" t="str">
        <f>IF(Table2[[#This Row],[TradedValue5]]&gt;Table2[[#This Row],[TradedValue4]],"Y","N")</f>
        <v>N</v>
      </c>
      <c r="AN2" s="1">
        <f t="shared" ref="AN2" si="12">S2-R2</f>
        <v>-6.6199999999999992</v>
      </c>
      <c r="AO2" s="1">
        <f t="shared" ref="AO2" si="13">T2-S2</f>
        <v>-3.3200000000000003</v>
      </c>
      <c r="AP2" s="1">
        <f t="shared" ref="AP2" si="14">U2-T2</f>
        <v>8.85</v>
      </c>
      <c r="AQ2" s="1">
        <f t="shared" ref="AQ2" si="15">V2-U2</f>
        <v>-5.4599999999999991</v>
      </c>
      <c r="AR2" s="1">
        <f>VLOOKUP(A2,symbol_2[[symbol]:[DelPer1]],5,)</f>
        <v>57.4</v>
      </c>
      <c r="AS2" s="1">
        <f>VLOOKUP(A2,symbol_2[[symbol]:[DelPer2]],9,)</f>
        <v>53.58</v>
      </c>
      <c r="AT2" s="1">
        <f>VLOOKUP(A2,symbol_2[[symbol]:[DelPer3]],13,)</f>
        <v>46.42</v>
      </c>
      <c r="AU2" s="1">
        <f>VLOOKUP(A2,symbol_2[[symbol]:[DelPer4]],17,)</f>
        <v>45.18</v>
      </c>
      <c r="AV2" s="1">
        <f>VLOOKUP(A2,symbol_2[[symbol]:[DelPer5]],21,)</f>
        <v>49.72</v>
      </c>
      <c r="AW2" s="49" t="str">
        <f t="shared" ref="AW2" si="16">IF(AS2&gt;AR2,"Y","N")</f>
        <v>N</v>
      </c>
      <c r="AX2" s="49" t="str">
        <f t="shared" ref="AX2" si="17">IF(AT2&gt;AS2,"Y","N")</f>
        <v>N</v>
      </c>
      <c r="AY2" s="49" t="str">
        <f t="shared" ref="AY2" si="18">IF(AU2&gt;AT2,"Y","N")</f>
        <v>N</v>
      </c>
      <c r="AZ2" s="49" t="str">
        <f t="shared" ref="AZ2" si="19">IF(AV2&gt;AU2,"Y","N")</f>
        <v>Y</v>
      </c>
      <c r="BA2" s="1">
        <f t="shared" ref="BA2" si="20">AS2-AR2</f>
        <v>-3.8200000000000003</v>
      </c>
      <c r="BB2" s="1">
        <f t="shared" ref="BB2" si="21">AT2-AS2</f>
        <v>-7.1599999999999966</v>
      </c>
      <c r="BC2" s="1">
        <f t="shared" ref="BC2" si="22">AU2-AT2</f>
        <v>-1.240000000000002</v>
      </c>
      <c r="BD2" s="1">
        <f t="shared" ref="BD2" si="23">AV2-AU2</f>
        <v>4.5399999999999991</v>
      </c>
    </row>
    <row r="3" spans="1:56" hidden="1" x14ac:dyDescent="0.35">
      <c r="A3" s="116" t="s">
        <v>39</v>
      </c>
      <c r="B3" s="1" t="s">
        <v>1006</v>
      </c>
      <c r="C3" s="1" t="s">
        <v>52</v>
      </c>
      <c r="D3" s="1" t="str">
        <f>VLOOKUP(A3,'High Beta'!A11:B60,2,)</f>
        <v>Y</v>
      </c>
      <c r="E3" s="1">
        <f>VLOOKUP(A3,symbol_2[[symbol]:[Price1]],2,)</f>
        <v>344.7</v>
      </c>
      <c r="F3" s="1">
        <f>VLOOKUP(A3,symbol_2[[symbol]:[Price2]],6,)</f>
        <v>337.55</v>
      </c>
      <c r="G3" s="1">
        <f>VLOOKUP(A3,symbol_2[[symbol]:[Price3]],10,)</f>
        <v>341.1</v>
      </c>
      <c r="H3" s="1">
        <f>VLOOKUP(A3,symbol_2[[symbol]:[Price4]],14,)</f>
        <v>342.2</v>
      </c>
      <c r="I3" s="1">
        <f>VLOOKUP(A3,symbol_2[[symbol]:[Price5]],18,)</f>
        <v>355.35</v>
      </c>
      <c r="J3" s="49" t="str">
        <f t="shared" ref="J3:J34" si="24">IF(F3&gt;E3,"Y","N")</f>
        <v>N</v>
      </c>
      <c r="K3" s="49" t="str">
        <f t="shared" ref="K3:K34" si="25">IF(G3&gt;F3,"Y","N")</f>
        <v>Y</v>
      </c>
      <c r="L3" s="49" t="str">
        <f t="shared" ref="L3:L34" si="26">IF(H3&gt;G3,"Y","N")</f>
        <v>Y</v>
      </c>
      <c r="M3" s="49" t="str">
        <f t="shared" ref="M3:M34" si="27">IF(I3&gt;H3,"Y","N")</f>
        <v>Y</v>
      </c>
      <c r="N3" s="52">
        <f t="shared" ref="N3:N34" si="28">((F3-E3)/E3)*100</f>
        <v>-2.0742674789672115</v>
      </c>
      <c r="O3" s="52">
        <f t="shared" ref="O3:O34" si="29">((G3-F3)/F3)*100</f>
        <v>1.0516960450303692</v>
      </c>
      <c r="P3" s="52">
        <f t="shared" ref="P3:P34" si="30">((H3-G3)/G3)*100</f>
        <v>0.32248607446495625</v>
      </c>
      <c r="Q3" s="52">
        <f t="shared" ref="Q3:Q34" si="31">((I3-H3)/H3)*100</f>
        <v>3.8427819988311032</v>
      </c>
      <c r="R3" s="1">
        <f>VLOOKUP(A3,symbol_2[[symbol]:[TV1]],3,)</f>
        <v>53.21</v>
      </c>
      <c r="S3" s="1">
        <f>VLOOKUP(A3,symbol_2[[symbol]:[TV2]],7,)</f>
        <v>33.46</v>
      </c>
      <c r="T3" s="1">
        <f>VLOOKUP(A3,symbol_2[[symbol]:[TV3]],11,)</f>
        <v>32</v>
      </c>
      <c r="U3" s="1">
        <f>VLOOKUP(A3,symbol_2[[symbol]:[TV4]],15,)</f>
        <v>74.41</v>
      </c>
      <c r="V3" s="1">
        <f>VLOOKUP(A3,symbol_2[[symbol]:[TV5]],19,)</f>
        <v>35.700000000000003</v>
      </c>
      <c r="W3" s="1" t="str">
        <f t="shared" ref="W3:W34" si="32">IF(S3&gt;R3,"Y","N")</f>
        <v>N</v>
      </c>
      <c r="X3" s="1" t="str">
        <f t="shared" ref="X3:X34" si="33">IF(T3&gt;S3,"Y","N")</f>
        <v>N</v>
      </c>
      <c r="Y3" s="1" t="str">
        <f t="shared" ref="Y3:Y34" si="34">IF(U3&gt;T3,"Y","N")</f>
        <v>Y</v>
      </c>
      <c r="Z3" s="1" t="str">
        <f t="shared" ref="Z3:Z34" si="35">IF(V3&gt;U3,"Y","N")</f>
        <v>N</v>
      </c>
      <c r="AA3" s="1">
        <f>VLOOKUP(A3,symbol_2[[symbol]:[TradedValue1]],4,)</f>
        <v>18122.78</v>
      </c>
      <c r="AB3" s="1">
        <f>VLOOKUP(A3,symbol_2[[symbol]:[TradedValue2]],8,)</f>
        <v>11390.49</v>
      </c>
      <c r="AC3" s="1">
        <f>VLOOKUP(A3,symbol_2[[symbol]:[TradedValue3]],12,)</f>
        <v>10796.3</v>
      </c>
      <c r="AD3" s="1">
        <f>VLOOKUP(A3,symbol_2[[symbol]:[TradedValue4]],16,)</f>
        <v>26324.69</v>
      </c>
      <c r="AE3" s="1">
        <f>VLOOKUP(A3,symbol_2[[symbol]:[TradedValue5]],20,)</f>
        <v>12511.42</v>
      </c>
      <c r="AF3" s="1">
        <f>Table2[[#This Row],[TradedValue2]]-Table2[[#This Row],[TradedValue1]]</f>
        <v>-6732.2899999999991</v>
      </c>
      <c r="AG3" s="1">
        <f>Table2[[#This Row],[TradedValue3]]-Table2[[#This Row],[TradedValue2]]</f>
        <v>-594.19000000000051</v>
      </c>
      <c r="AH3" s="1">
        <f>Table2[[#This Row],[TradedValue4]]-Table2[[#This Row],[TradedValue3]]</f>
        <v>15528.39</v>
      </c>
      <c r="AI3" s="1">
        <f>Table2[[#This Row],[TradedValue5]]-Table2[[#This Row],[TradedValue4]]</f>
        <v>-13813.269999999999</v>
      </c>
      <c r="AJ3" s="49" t="str">
        <f>IF(Table2[[#This Row],[TradedValue2]]&gt;Table2[[#This Row],[TradedValue1]],"Y","N")</f>
        <v>N</v>
      </c>
      <c r="AK3" s="49" t="str">
        <f>IF(Table2[[#This Row],[TradedValue3]]&gt;Table2[[#This Row],[TradedValue2]],"Y","N")</f>
        <v>N</v>
      </c>
      <c r="AL3" s="49" t="str">
        <f>IF(Table2[[#This Row],[TradedValue5]]&gt;Table2[[#This Row],[TradedValue3]],"Y","N")</f>
        <v>Y</v>
      </c>
      <c r="AM3" s="49" t="str">
        <f>IF(Table2[[#This Row],[TradedValue5]]&gt;Table2[[#This Row],[TradedValue4]],"Y","N")</f>
        <v>N</v>
      </c>
      <c r="AN3" s="1">
        <f t="shared" ref="AN3:AN34" si="36">S3-R3</f>
        <v>-19.75</v>
      </c>
      <c r="AO3" s="1">
        <f t="shared" ref="AO3:AO34" si="37">T3-S3</f>
        <v>-1.4600000000000009</v>
      </c>
      <c r="AP3" s="1">
        <f t="shared" ref="AP3:AP34" si="38">U3-T3</f>
        <v>42.41</v>
      </c>
      <c r="AQ3" s="1">
        <f t="shared" ref="AQ3:AQ34" si="39">V3-U3</f>
        <v>-38.709999999999994</v>
      </c>
      <c r="AR3" s="1">
        <f>VLOOKUP(A3,symbol_2[[symbol]:[DelPer1]],5,)</f>
        <v>42.39</v>
      </c>
      <c r="AS3" s="1">
        <f>VLOOKUP(A3,symbol_2[[symbol]:[DelPer2]],9,)</f>
        <v>32.86</v>
      </c>
      <c r="AT3" s="1">
        <f>VLOOKUP(A3,symbol_2[[symbol]:[DelPer3]],13,)</f>
        <v>37.520000000000003</v>
      </c>
      <c r="AU3" s="1">
        <f>VLOOKUP(A3,symbol_2[[symbol]:[DelPer4]],17,)</f>
        <v>27.9</v>
      </c>
      <c r="AV3" s="1">
        <f>VLOOKUP(A3,symbol_2[[symbol]:[DelPer5]],21,)</f>
        <v>23.87</v>
      </c>
      <c r="AW3" s="49" t="str">
        <f t="shared" ref="AW3:AW34" si="40">IF(AS3&gt;AR3,"Y","N")</f>
        <v>N</v>
      </c>
      <c r="AX3" s="49" t="str">
        <f t="shared" ref="AX3:AX34" si="41">IF(AT3&gt;AS3,"Y","N")</f>
        <v>Y</v>
      </c>
      <c r="AY3" s="49" t="str">
        <f t="shared" ref="AY3:AY34" si="42">IF(AU3&gt;AT3,"Y","N")</f>
        <v>N</v>
      </c>
      <c r="AZ3" s="49" t="str">
        <f t="shared" ref="AZ3:AZ34" si="43">IF(AV3&gt;AU3,"Y","N")</f>
        <v>N</v>
      </c>
      <c r="BA3" s="1">
        <f t="shared" ref="BA3:BA34" si="44">AS3-AR3</f>
        <v>-9.5300000000000011</v>
      </c>
      <c r="BB3" s="1">
        <f t="shared" ref="BB3:BB34" si="45">AT3-AS3</f>
        <v>4.6600000000000037</v>
      </c>
      <c r="BC3" s="1">
        <f t="shared" ref="BC3:BC34" si="46">AU3-AT3</f>
        <v>-9.6200000000000045</v>
      </c>
      <c r="BD3" s="1">
        <f t="shared" ref="BD3:BD34" si="47">AV3-AU3</f>
        <v>-4.0299999999999976</v>
      </c>
    </row>
    <row r="4" spans="1:56" hidden="1" x14ac:dyDescent="0.35">
      <c r="A4" s="116" t="s">
        <v>50</v>
      </c>
      <c r="B4" s="1" t="s">
        <v>1006</v>
      </c>
      <c r="C4" s="1" t="s">
        <v>52</v>
      </c>
      <c r="D4" s="1" t="str">
        <f>VLOOKUP(A4,'High Beta'!A9:B58,2,)</f>
        <v>Y</v>
      </c>
      <c r="E4" s="1">
        <f>VLOOKUP(A4,symbol_2[[symbol]:[Price1]],2,)</f>
        <v>143.55000000000001</v>
      </c>
      <c r="F4" s="1">
        <f>VLOOKUP(A4,symbol_2[[symbol]:[Price2]],6,)</f>
        <v>141</v>
      </c>
      <c r="G4" s="1">
        <f>VLOOKUP(A4,symbol_2[[symbol]:[Price3]],10,)</f>
        <v>137.55000000000001</v>
      </c>
      <c r="H4" s="1">
        <f>VLOOKUP(A4,symbol_2[[symbol]:[Price4]],14,)</f>
        <v>139.75</v>
      </c>
      <c r="I4" s="1">
        <f>VLOOKUP(A4,symbol_2[[symbol]:[Price5]],18,)</f>
        <v>141.19999999999999</v>
      </c>
      <c r="J4" s="49" t="str">
        <f t="shared" si="24"/>
        <v>N</v>
      </c>
      <c r="K4" s="49" t="str">
        <f t="shared" si="25"/>
        <v>N</v>
      </c>
      <c r="L4" s="49" t="str">
        <f t="shared" si="26"/>
        <v>Y</v>
      </c>
      <c r="M4" s="49" t="str">
        <f t="shared" si="27"/>
        <v>Y</v>
      </c>
      <c r="N4" s="52">
        <f t="shared" si="28"/>
        <v>-1.7763845350052325</v>
      </c>
      <c r="O4" s="52">
        <f t="shared" si="29"/>
        <v>-2.4468085106382897</v>
      </c>
      <c r="P4" s="52">
        <f t="shared" si="30"/>
        <v>1.5994183933115147</v>
      </c>
      <c r="Q4" s="52">
        <f t="shared" si="31"/>
        <v>1.0375670840787039</v>
      </c>
      <c r="R4" s="1">
        <f>VLOOKUP(A4,symbol_2[[symbol]:[TV1]],3,)</f>
        <v>82.21</v>
      </c>
      <c r="S4" s="1">
        <f>VLOOKUP(A4,symbol_2[[symbol]:[TV2]],7,)</f>
        <v>59.5</v>
      </c>
      <c r="T4" s="1">
        <f>VLOOKUP(A4,symbol_2[[symbol]:[TV3]],11,)</f>
        <v>58.67</v>
      </c>
      <c r="U4" s="1">
        <f>VLOOKUP(A4,symbol_2[[symbol]:[TV4]],15,)</f>
        <v>111.72</v>
      </c>
      <c r="V4" s="1">
        <f>VLOOKUP(A4,symbol_2[[symbol]:[TV5]],19,)</f>
        <v>45.27</v>
      </c>
      <c r="W4" s="1" t="str">
        <f t="shared" si="32"/>
        <v>N</v>
      </c>
      <c r="X4" s="1" t="str">
        <f t="shared" si="33"/>
        <v>N</v>
      </c>
      <c r="Y4" s="1" t="str">
        <f t="shared" si="34"/>
        <v>Y</v>
      </c>
      <c r="Z4" s="1" t="str">
        <f t="shared" si="35"/>
        <v>N</v>
      </c>
      <c r="AA4" s="1">
        <f>VLOOKUP(A6,symbol_2[[symbol]:[TradedValue1]],4,)</f>
        <v>8915.81</v>
      </c>
      <c r="AB4" s="1">
        <f>VLOOKUP(A4,symbol_2[[symbol]:[TradedValue2]],8,)</f>
        <v>8378.4699999999993</v>
      </c>
      <c r="AC4" s="1">
        <f>VLOOKUP(A4,symbol_2[[symbol]:[TradedValue3]],12,)</f>
        <v>8084.16</v>
      </c>
      <c r="AD4" s="1">
        <f>VLOOKUP(A4,symbol_2[[symbol]:[TradedValue4]],16,)</f>
        <v>16140.42</v>
      </c>
      <c r="AE4" s="1">
        <f>VLOOKUP(A4,symbol_2[[symbol]:[TradedValue5]],20,)</f>
        <v>6386.36</v>
      </c>
      <c r="AF4" s="1">
        <f>Table2[[#This Row],[TradedValue2]]-Table2[[#This Row],[TradedValue1]]</f>
        <v>-537.34000000000015</v>
      </c>
      <c r="AG4" s="1">
        <f>Table2[[#This Row],[TradedValue3]]-Table2[[#This Row],[TradedValue2]]</f>
        <v>-294.30999999999949</v>
      </c>
      <c r="AH4" s="1">
        <f>Table2[[#This Row],[TradedValue4]]-Table2[[#This Row],[TradedValue3]]</f>
        <v>8056.26</v>
      </c>
      <c r="AI4" s="1">
        <f>Table2[[#This Row],[TradedValue5]]-Table2[[#This Row],[TradedValue4]]</f>
        <v>-9754.0600000000013</v>
      </c>
      <c r="AJ4" s="49" t="str">
        <f>IF(Table2[[#This Row],[TradedValue2]]&gt;Table2[[#This Row],[TradedValue1]],"Y","N")</f>
        <v>N</v>
      </c>
      <c r="AK4" s="49" t="str">
        <f>IF(Table2[[#This Row],[TradedValue3]]&gt;Table2[[#This Row],[TradedValue2]],"Y","N")</f>
        <v>N</v>
      </c>
      <c r="AL4" s="49" t="str">
        <f>IF(Table2[[#This Row],[TradedValue5]]&gt;Table2[[#This Row],[TradedValue3]],"Y","N")</f>
        <v>N</v>
      </c>
      <c r="AM4" s="49" t="str">
        <f>IF(Table2[[#This Row],[TradedValue5]]&gt;Table2[[#This Row],[TradedValue4]],"Y","N")</f>
        <v>N</v>
      </c>
      <c r="AN4" s="1">
        <f t="shared" si="36"/>
        <v>-22.709999999999994</v>
      </c>
      <c r="AO4" s="1">
        <f t="shared" si="37"/>
        <v>-0.82999999999999829</v>
      </c>
      <c r="AP4" s="1">
        <f t="shared" si="38"/>
        <v>53.05</v>
      </c>
      <c r="AQ4" s="1">
        <f t="shared" si="39"/>
        <v>-66.449999999999989</v>
      </c>
      <c r="AR4" s="1">
        <f>VLOOKUP(A4,symbol_2[[symbol]:[DelPer1]],5,)</f>
        <v>25.29</v>
      </c>
      <c r="AS4" s="1">
        <f>VLOOKUP(A4,symbol_2[[symbol]:[DelPer2]],9,)</f>
        <v>21.49</v>
      </c>
      <c r="AT4" s="1">
        <f>VLOOKUP(A4,symbol_2[[symbol]:[DelPer3]],13,)</f>
        <v>22.1</v>
      </c>
      <c r="AU4" s="1">
        <f>VLOOKUP(A4,symbol_2[[symbol]:[DelPer4]],17,)</f>
        <v>20.51</v>
      </c>
      <c r="AV4" s="1">
        <f>VLOOKUP(A4,symbol_2[[symbol]:[DelPer5]],21,)</f>
        <v>20.49</v>
      </c>
      <c r="AW4" s="49" t="str">
        <f t="shared" si="40"/>
        <v>N</v>
      </c>
      <c r="AX4" s="49" t="str">
        <f t="shared" si="41"/>
        <v>Y</v>
      </c>
      <c r="AY4" s="49" t="str">
        <f t="shared" si="42"/>
        <v>N</v>
      </c>
      <c r="AZ4" s="49" t="str">
        <f t="shared" si="43"/>
        <v>N</v>
      </c>
      <c r="BA4" s="1">
        <f t="shared" si="44"/>
        <v>-3.8000000000000007</v>
      </c>
      <c r="BB4" s="1">
        <f t="shared" si="45"/>
        <v>0.61000000000000298</v>
      </c>
      <c r="BC4" s="1">
        <f t="shared" si="46"/>
        <v>-1.5899999999999999</v>
      </c>
      <c r="BD4" s="1">
        <f t="shared" si="47"/>
        <v>-2.0000000000003126E-2</v>
      </c>
    </row>
    <row r="5" spans="1:56" hidden="1" x14ac:dyDescent="0.35">
      <c r="A5" s="1" t="s">
        <v>28</v>
      </c>
      <c r="B5" s="1" t="s">
        <v>1007</v>
      </c>
      <c r="C5" s="1" t="s">
        <v>52</v>
      </c>
      <c r="D5" s="1" t="s">
        <v>199</v>
      </c>
      <c r="E5" s="1">
        <f>VLOOKUP(A5,symbol_2[[symbol]:[Price1]],2,)</f>
        <v>157.65</v>
      </c>
      <c r="F5" s="1">
        <f>VLOOKUP(A5,symbol_2[[symbol]:[Price2]],6,)</f>
        <v>153.5</v>
      </c>
      <c r="G5" s="1">
        <f>VLOOKUP(A5,symbol_2[[symbol]:[Price3]],10,)</f>
        <v>155.44999999999999</v>
      </c>
      <c r="H5" s="1">
        <f>VLOOKUP(A5,symbol_2[[symbol]:[Price4]],14,)</f>
        <v>154.19999999999999</v>
      </c>
      <c r="I5" s="1">
        <f>VLOOKUP(A5,symbol_2[[symbol]:[Price5]],18,)</f>
        <v>156.80000000000001</v>
      </c>
      <c r="J5" s="49" t="str">
        <f t="shared" si="24"/>
        <v>N</v>
      </c>
      <c r="K5" s="49" t="str">
        <f t="shared" si="25"/>
        <v>Y</v>
      </c>
      <c r="L5" s="49" t="str">
        <f t="shared" si="26"/>
        <v>N</v>
      </c>
      <c r="M5" s="49" t="str">
        <f t="shared" si="27"/>
        <v>Y</v>
      </c>
      <c r="N5" s="52">
        <f t="shared" si="28"/>
        <v>-2.6324135743736159</v>
      </c>
      <c r="O5" s="52">
        <f t="shared" si="29"/>
        <v>1.2703583061889177</v>
      </c>
      <c r="P5" s="52">
        <f t="shared" si="30"/>
        <v>-0.80411707944676758</v>
      </c>
      <c r="Q5" s="52">
        <f t="shared" si="31"/>
        <v>1.6861219195849695</v>
      </c>
      <c r="R5" s="1">
        <f>VLOOKUP(A5,symbol_2[[symbol]:[TV1]],3,)</f>
        <v>12.54</v>
      </c>
      <c r="S5" s="1">
        <f>VLOOKUP(A5,symbol_2[[symbol]:[TV2]],7,)</f>
        <v>8.65</v>
      </c>
      <c r="T5" s="1">
        <f>VLOOKUP(A5,symbol_2[[symbol]:[TV3]],11,)</f>
        <v>8.6999999999999993</v>
      </c>
      <c r="U5" s="1">
        <f>VLOOKUP(A5,symbol_2[[symbol]:[TV4]],15,)</f>
        <v>14.44</v>
      </c>
      <c r="V5" s="1">
        <f>VLOOKUP(A5,symbol_2[[symbol]:[TV5]],19,)</f>
        <v>16.98</v>
      </c>
      <c r="W5" s="1" t="str">
        <f t="shared" si="32"/>
        <v>N</v>
      </c>
      <c r="X5" s="1" t="str">
        <f t="shared" si="33"/>
        <v>Y</v>
      </c>
      <c r="Y5" s="1" t="str">
        <f t="shared" si="34"/>
        <v>Y</v>
      </c>
      <c r="Z5" s="1" t="str">
        <f t="shared" si="35"/>
        <v>Y</v>
      </c>
      <c r="AA5" s="1">
        <f>VLOOKUP(A5,symbol_2[[symbol]:[TradedValue1]],4,)</f>
        <v>1959.55</v>
      </c>
      <c r="AB5" s="1">
        <f>VLOOKUP(A5,symbol_2[[symbol]:[TradedValue2]],8,)</f>
        <v>1335.08</v>
      </c>
      <c r="AC5" s="1">
        <f>VLOOKUP(A5,symbol_2[[symbol]:[TradedValue3]],12,)</f>
        <v>1348.08</v>
      </c>
      <c r="AD5" s="1">
        <f>VLOOKUP(A5,symbol_2[[symbol]:[TradedValue4]],16,)</f>
        <v>2268.39</v>
      </c>
      <c r="AE5" s="1">
        <f>VLOOKUP(A5,symbol_2[[symbol]:[TradedValue5]],20,)</f>
        <v>2661.78</v>
      </c>
      <c r="AF5" s="1">
        <f>Table2[[#This Row],[TradedValue2]]-Table2[[#This Row],[TradedValue1]]</f>
        <v>-624.47</v>
      </c>
      <c r="AG5" s="1">
        <f>Table2[[#This Row],[TradedValue3]]-Table2[[#This Row],[TradedValue2]]</f>
        <v>13</v>
      </c>
      <c r="AH5" s="1">
        <f>Table2[[#This Row],[TradedValue4]]-Table2[[#This Row],[TradedValue3]]</f>
        <v>920.31</v>
      </c>
      <c r="AI5" s="1">
        <f>Table2[[#This Row],[TradedValue5]]-Table2[[#This Row],[TradedValue4]]</f>
        <v>393.39000000000033</v>
      </c>
      <c r="AJ5" s="49" t="str">
        <f>IF(Table2[[#This Row],[TradedValue2]]&gt;Table2[[#This Row],[TradedValue1]],"Y","N")</f>
        <v>N</v>
      </c>
      <c r="AK5" s="49" t="str">
        <f>IF(Table2[[#This Row],[TradedValue3]]&gt;Table2[[#This Row],[TradedValue2]],"Y","N")</f>
        <v>Y</v>
      </c>
      <c r="AL5" s="49" t="str">
        <f>IF(Table2[[#This Row],[TradedValue5]]&gt;Table2[[#This Row],[TradedValue3]],"Y","N")</f>
        <v>Y</v>
      </c>
      <c r="AM5" s="49" t="str">
        <f>IF(Table2[[#This Row],[TradedValue5]]&gt;Table2[[#This Row],[TradedValue4]],"Y","N")</f>
        <v>Y</v>
      </c>
      <c r="AN5" s="1">
        <f t="shared" si="36"/>
        <v>-3.8899999999999988</v>
      </c>
      <c r="AO5" s="1">
        <f t="shared" si="37"/>
        <v>4.9999999999998934E-2</v>
      </c>
      <c r="AP5" s="1">
        <f t="shared" si="38"/>
        <v>5.74</v>
      </c>
      <c r="AQ5" s="1">
        <f t="shared" si="39"/>
        <v>2.5400000000000009</v>
      </c>
      <c r="AR5" s="1">
        <f>VLOOKUP(A5,symbol_2[[symbol]:[DelPer1]],5,)</f>
        <v>34.6</v>
      </c>
      <c r="AS5" s="1">
        <f>VLOOKUP(A5,symbol_2[[symbol]:[DelPer2]],9,)</f>
        <v>39.6</v>
      </c>
      <c r="AT5" s="1">
        <f>VLOOKUP(A5,symbol_2[[symbol]:[DelPer3]],13,)</f>
        <v>31.04</v>
      </c>
      <c r="AU5" s="1">
        <f>VLOOKUP(A5,symbol_2[[symbol]:[DelPer4]],17,)</f>
        <v>33.31</v>
      </c>
      <c r="AV5" s="1">
        <f>VLOOKUP(A5,symbol_2[[symbol]:[DelPer5]],21,)</f>
        <v>34.869999999999997</v>
      </c>
      <c r="AW5" s="49" t="str">
        <f t="shared" si="40"/>
        <v>Y</v>
      </c>
      <c r="AX5" s="49" t="str">
        <f t="shared" si="41"/>
        <v>N</v>
      </c>
      <c r="AY5" s="49" t="str">
        <f t="shared" si="42"/>
        <v>Y</v>
      </c>
      <c r="AZ5" s="49" t="str">
        <f t="shared" si="43"/>
        <v>Y</v>
      </c>
      <c r="BA5" s="1">
        <f t="shared" si="44"/>
        <v>5</v>
      </c>
      <c r="BB5" s="1">
        <f t="shared" si="45"/>
        <v>-8.5600000000000023</v>
      </c>
      <c r="BC5" s="1">
        <f t="shared" si="46"/>
        <v>2.2700000000000031</v>
      </c>
      <c r="BD5" s="1">
        <f t="shared" si="47"/>
        <v>1.5599999999999952</v>
      </c>
    </row>
    <row r="6" spans="1:56" hidden="1" x14ac:dyDescent="0.35">
      <c r="A6" s="1" t="s">
        <v>31</v>
      </c>
      <c r="B6" s="1" t="s">
        <v>1018</v>
      </c>
      <c r="C6" s="1" t="s">
        <v>52</v>
      </c>
      <c r="D6" s="1" t="s">
        <v>199</v>
      </c>
      <c r="E6" s="1">
        <f>VLOOKUP(A6,symbol_2[[symbol]:[Price1]],2,)</f>
        <v>1451.45</v>
      </c>
      <c r="F6" s="1">
        <f>VLOOKUP(A6,symbol_2[[symbol]:[Price2]],6,)</f>
        <v>1449.1</v>
      </c>
      <c r="G6" s="1">
        <f>VLOOKUP(A6,symbol_2[[symbol]:[Price3]],10,)</f>
        <v>1461.1</v>
      </c>
      <c r="H6" s="1">
        <f>VLOOKUP(A6,symbol_2[[symbol]:[Price4]],14,)</f>
        <v>1476.1</v>
      </c>
      <c r="I6" s="1">
        <f>VLOOKUP(A6,symbol_2[[symbol]:[Price5]],18,)</f>
        <v>1544.15</v>
      </c>
      <c r="J6" s="49" t="str">
        <f t="shared" si="24"/>
        <v>N</v>
      </c>
      <c r="K6" s="49" t="str">
        <f t="shared" si="25"/>
        <v>Y</v>
      </c>
      <c r="L6" s="49" t="str">
        <f t="shared" si="26"/>
        <v>Y</v>
      </c>
      <c r="M6" s="49" t="str">
        <f t="shared" si="27"/>
        <v>Y</v>
      </c>
      <c r="N6" s="52">
        <f t="shared" si="28"/>
        <v>-0.161907058458792</v>
      </c>
      <c r="O6" s="52">
        <f t="shared" si="29"/>
        <v>0.82810020012421515</v>
      </c>
      <c r="P6" s="52">
        <f t="shared" si="30"/>
        <v>1.0266237766066661</v>
      </c>
      <c r="Q6" s="52">
        <f t="shared" si="31"/>
        <v>4.6101212654969306</v>
      </c>
      <c r="R6" s="1">
        <f>VLOOKUP(A6,symbol_2[[symbol]:[TV1]],3,)</f>
        <v>6.21</v>
      </c>
      <c r="S6" s="1">
        <f>VLOOKUP(A6,symbol_2[[symbol]:[TV2]],7,)</f>
        <v>2.96</v>
      </c>
      <c r="T6" s="1">
        <f>VLOOKUP(A6,symbol_2[[symbol]:[TV3]],11,)</f>
        <v>3.3</v>
      </c>
      <c r="U6" s="1">
        <f>VLOOKUP(A6,symbol_2[[symbol]:[TV4]],15,)</f>
        <v>10.49</v>
      </c>
      <c r="V6" s="1">
        <f>VLOOKUP(A6,symbol_2[[symbol]:[TV5]],19,)</f>
        <v>5.63</v>
      </c>
      <c r="W6" s="1" t="str">
        <f t="shared" si="32"/>
        <v>N</v>
      </c>
      <c r="X6" s="1" t="str">
        <f t="shared" si="33"/>
        <v>Y</v>
      </c>
      <c r="Y6" s="1" t="str">
        <f t="shared" si="34"/>
        <v>Y</v>
      </c>
      <c r="Z6" s="1" t="str">
        <f t="shared" si="35"/>
        <v>N</v>
      </c>
      <c r="AA6" s="1">
        <f>VLOOKUP(A8,symbol_2[[symbol]:[TradedValue1]],4,)</f>
        <v>1238.49</v>
      </c>
      <c r="AB6" s="1">
        <f>VLOOKUP(A6,symbol_2[[symbol]:[TradedValue2]],8,)</f>
        <v>4290.2</v>
      </c>
      <c r="AC6" s="1">
        <f>VLOOKUP(A6,symbol_2[[symbol]:[TradedValue3]],12,)</f>
        <v>4823.37</v>
      </c>
      <c r="AD6" s="1">
        <f>VLOOKUP(A6,symbol_2[[symbol]:[TradedValue4]],16,)</f>
        <v>15869.55</v>
      </c>
      <c r="AE6" s="1">
        <f>VLOOKUP(A6,symbol_2[[symbol]:[TradedValue5]],20,)</f>
        <v>8583.5400000000009</v>
      </c>
      <c r="AF6" s="1">
        <f>Table2[[#This Row],[TradedValue2]]-Table2[[#This Row],[TradedValue1]]</f>
        <v>3051.71</v>
      </c>
      <c r="AG6" s="1">
        <f>Table2[[#This Row],[TradedValue3]]-Table2[[#This Row],[TradedValue2]]</f>
        <v>533.17000000000007</v>
      </c>
      <c r="AH6" s="1">
        <f>Table2[[#This Row],[TradedValue4]]-Table2[[#This Row],[TradedValue3]]</f>
        <v>11046.18</v>
      </c>
      <c r="AI6" s="1">
        <f>Table2[[#This Row],[TradedValue5]]-Table2[[#This Row],[TradedValue4]]</f>
        <v>-7286.0099999999984</v>
      </c>
      <c r="AJ6" s="49" t="str">
        <f>IF(Table2[[#This Row],[TradedValue2]]&gt;Table2[[#This Row],[TradedValue1]],"Y","N")</f>
        <v>Y</v>
      </c>
      <c r="AK6" s="49" t="str">
        <f>IF(Table2[[#This Row],[TradedValue3]]&gt;Table2[[#This Row],[TradedValue2]],"Y","N")</f>
        <v>Y</v>
      </c>
      <c r="AL6" s="49" t="str">
        <f>IF(Table2[[#This Row],[TradedValue5]]&gt;Table2[[#This Row],[TradedValue3]],"Y","N")</f>
        <v>Y</v>
      </c>
      <c r="AM6" s="49" t="str">
        <f>IF(Table2[[#This Row],[TradedValue5]]&gt;Table2[[#This Row],[TradedValue4]],"Y","N")</f>
        <v>N</v>
      </c>
      <c r="AN6" s="1">
        <f t="shared" si="36"/>
        <v>-3.25</v>
      </c>
      <c r="AO6" s="1">
        <f t="shared" si="37"/>
        <v>0.33999999999999986</v>
      </c>
      <c r="AP6" s="1">
        <f t="shared" si="38"/>
        <v>7.19</v>
      </c>
      <c r="AQ6" s="1">
        <f t="shared" si="39"/>
        <v>-4.8600000000000003</v>
      </c>
      <c r="AR6" s="1">
        <f>VLOOKUP(A6,symbol_2[[symbol]:[DelPer1]],5,)</f>
        <v>67.459999999999994</v>
      </c>
      <c r="AS6" s="1">
        <f>VLOOKUP(A6,symbol_2[[symbol]:[DelPer2]],9,)</f>
        <v>58.96</v>
      </c>
      <c r="AT6" s="1">
        <f>VLOOKUP(A6,symbol_2[[symbol]:[DelPer3]],13,)</f>
        <v>56.54</v>
      </c>
      <c r="AU6" s="1">
        <f>VLOOKUP(A6,symbol_2[[symbol]:[DelPer4]],17,)</f>
        <v>50.99</v>
      </c>
      <c r="AV6" s="1">
        <f>VLOOKUP(A6,symbol_2[[symbol]:[DelPer5]],21,)</f>
        <v>49.5</v>
      </c>
      <c r="AW6" s="49" t="str">
        <f t="shared" si="40"/>
        <v>N</v>
      </c>
      <c r="AX6" s="49" t="str">
        <f t="shared" si="41"/>
        <v>N</v>
      </c>
      <c r="AY6" s="49" t="str">
        <f t="shared" si="42"/>
        <v>N</v>
      </c>
      <c r="AZ6" s="49" t="str">
        <f t="shared" si="43"/>
        <v>N</v>
      </c>
      <c r="BA6" s="1">
        <f t="shared" si="44"/>
        <v>-8.4999999999999929</v>
      </c>
      <c r="BB6" s="1">
        <f t="shared" si="45"/>
        <v>-2.4200000000000017</v>
      </c>
      <c r="BC6" s="1">
        <f t="shared" si="46"/>
        <v>-5.5499999999999972</v>
      </c>
      <c r="BD6" s="1">
        <f t="shared" si="47"/>
        <v>-1.490000000000002</v>
      </c>
    </row>
    <row r="7" spans="1:56" hidden="1" x14ac:dyDescent="0.35">
      <c r="A7" s="1" t="s">
        <v>27</v>
      </c>
      <c r="B7" s="1" t="s">
        <v>1010</v>
      </c>
      <c r="C7" s="1" t="s">
        <v>52</v>
      </c>
      <c r="D7" s="1" t="s">
        <v>199</v>
      </c>
      <c r="E7" s="1">
        <f>VLOOKUP(A7,symbol_2[[symbol]:[Price1]],2,)</f>
        <v>722.4</v>
      </c>
      <c r="F7" s="1">
        <f>VLOOKUP(A7,symbol_2[[symbol]:[Price2]],6,)</f>
        <v>709.3</v>
      </c>
      <c r="G7" s="1">
        <f>VLOOKUP(A7,symbol_2[[symbol]:[Price3]],10,)</f>
        <v>709.75</v>
      </c>
      <c r="H7" s="1">
        <f>VLOOKUP(A7,symbol_2[[symbol]:[Price4]],14,)</f>
        <v>701.05</v>
      </c>
      <c r="I7" s="1">
        <f>VLOOKUP(A7,symbol_2[[symbol]:[Price5]],18,)</f>
        <v>709.2</v>
      </c>
      <c r="J7" s="49" t="str">
        <f t="shared" si="24"/>
        <v>N</v>
      </c>
      <c r="K7" s="49" t="str">
        <f t="shared" si="25"/>
        <v>Y</v>
      </c>
      <c r="L7" s="49" t="str">
        <f t="shared" si="26"/>
        <v>N</v>
      </c>
      <c r="M7" s="49" t="str">
        <f t="shared" si="27"/>
        <v>Y</v>
      </c>
      <c r="N7" s="52">
        <f t="shared" si="28"/>
        <v>-1.8133997785160609</v>
      </c>
      <c r="O7" s="52">
        <f t="shared" si="29"/>
        <v>6.3442830960107929E-2</v>
      </c>
      <c r="P7" s="52">
        <f t="shared" si="30"/>
        <v>-1.2257837266643248</v>
      </c>
      <c r="Q7" s="52">
        <f t="shared" si="31"/>
        <v>1.1625419014335769</v>
      </c>
      <c r="R7" s="1">
        <f>VLOOKUP(A7,symbol_2[[symbol]:[TV1]],3,)</f>
        <v>11.21</v>
      </c>
      <c r="S7" s="1">
        <f>VLOOKUP(A7,symbol_2[[symbol]:[TV2]],7,)</f>
        <v>8.65</v>
      </c>
      <c r="T7" s="1">
        <f>VLOOKUP(A7,symbol_2[[symbol]:[TV3]],11,)</f>
        <v>5.8</v>
      </c>
      <c r="U7" s="1">
        <f>VLOOKUP(A7,symbol_2[[symbol]:[TV4]],15,)</f>
        <v>7.23</v>
      </c>
      <c r="V7" s="1">
        <f>VLOOKUP(A7,symbol_2[[symbol]:[TV5]],19,)</f>
        <v>7.02</v>
      </c>
      <c r="W7" s="1" t="str">
        <f t="shared" si="32"/>
        <v>N</v>
      </c>
      <c r="X7" s="1" t="str">
        <f t="shared" si="33"/>
        <v>N</v>
      </c>
      <c r="Y7" s="1" t="str">
        <f t="shared" si="34"/>
        <v>Y</v>
      </c>
      <c r="Z7" s="1" t="str">
        <f t="shared" si="35"/>
        <v>N</v>
      </c>
      <c r="AA7" s="1">
        <f>VLOOKUP(A9,symbol_2[[symbol]:[TradedValue1]],4,)</f>
        <v>5563.94</v>
      </c>
      <c r="AB7" s="1">
        <f>VLOOKUP(A7,symbol_2[[symbol]:[TradedValue2]],8,)</f>
        <v>6156.38</v>
      </c>
      <c r="AC7" s="1">
        <f>VLOOKUP(A7,symbol_2[[symbol]:[TradedValue3]],12,)</f>
        <v>4130.76</v>
      </c>
      <c r="AD7" s="1">
        <f>VLOOKUP(A7,symbol_2[[symbol]:[TradedValue4]],16,)</f>
        <v>5126.3</v>
      </c>
      <c r="AE7" s="1">
        <f>VLOOKUP(A7,symbol_2[[symbol]:[TradedValue5]],20,)</f>
        <v>4957.67</v>
      </c>
      <c r="AF7" s="1">
        <f>Table2[[#This Row],[TradedValue2]]-Table2[[#This Row],[TradedValue1]]</f>
        <v>592.44000000000051</v>
      </c>
      <c r="AG7" s="1">
        <f>Table2[[#This Row],[TradedValue3]]-Table2[[#This Row],[TradedValue2]]</f>
        <v>-2025.62</v>
      </c>
      <c r="AH7" s="1">
        <f>Table2[[#This Row],[TradedValue4]]-Table2[[#This Row],[TradedValue3]]</f>
        <v>995.54</v>
      </c>
      <c r="AI7" s="1">
        <f>Table2[[#This Row],[TradedValue5]]-Table2[[#This Row],[TradedValue4]]</f>
        <v>-168.63000000000011</v>
      </c>
      <c r="AJ7" s="49" t="str">
        <f>IF(Table2[[#This Row],[TradedValue2]]&gt;Table2[[#This Row],[TradedValue1]],"Y","N")</f>
        <v>Y</v>
      </c>
      <c r="AK7" s="49" t="str">
        <f>IF(Table2[[#This Row],[TradedValue3]]&gt;Table2[[#This Row],[TradedValue2]],"Y","N")</f>
        <v>N</v>
      </c>
      <c r="AL7" s="49" t="str">
        <f>IF(Table2[[#This Row],[TradedValue5]]&gt;Table2[[#This Row],[TradedValue3]],"Y","N")</f>
        <v>Y</v>
      </c>
      <c r="AM7" s="49" t="str">
        <f>IF(Table2[[#This Row],[TradedValue5]]&gt;Table2[[#This Row],[TradedValue4]],"Y","N")</f>
        <v>N</v>
      </c>
      <c r="AN7" s="1">
        <f t="shared" si="36"/>
        <v>-2.5600000000000005</v>
      </c>
      <c r="AO7" s="1">
        <f t="shared" si="37"/>
        <v>-2.8500000000000005</v>
      </c>
      <c r="AP7" s="1">
        <f t="shared" si="38"/>
        <v>1.4300000000000006</v>
      </c>
      <c r="AQ7" s="1">
        <f t="shared" si="39"/>
        <v>-0.21000000000000085</v>
      </c>
      <c r="AR7" s="1">
        <f>VLOOKUP(A7,symbol_2[[symbol]:[DelPer1]],5,)</f>
        <v>57.37</v>
      </c>
      <c r="AS7" s="1">
        <f>VLOOKUP(A7,symbol_2[[symbol]:[DelPer2]],9,)</f>
        <v>65.34</v>
      </c>
      <c r="AT7" s="1">
        <f>VLOOKUP(A7,symbol_2[[symbol]:[DelPer3]],13,)</f>
        <v>53.42</v>
      </c>
      <c r="AU7" s="1">
        <f>VLOOKUP(A7,symbol_2[[symbol]:[DelPer4]],17,)</f>
        <v>53.76</v>
      </c>
      <c r="AV7" s="1">
        <f>VLOOKUP(A7,symbol_2[[symbol]:[DelPer5]],21,)</f>
        <v>64.569999999999993</v>
      </c>
      <c r="AW7" s="49" t="str">
        <f t="shared" si="40"/>
        <v>Y</v>
      </c>
      <c r="AX7" s="49" t="str">
        <f t="shared" si="41"/>
        <v>N</v>
      </c>
      <c r="AY7" s="49" t="str">
        <f t="shared" si="42"/>
        <v>Y</v>
      </c>
      <c r="AZ7" s="49" t="str">
        <f t="shared" si="43"/>
        <v>Y</v>
      </c>
      <c r="BA7" s="1">
        <f t="shared" si="44"/>
        <v>7.970000000000006</v>
      </c>
      <c r="BB7" s="1">
        <f t="shared" si="45"/>
        <v>-11.920000000000002</v>
      </c>
      <c r="BC7" s="1">
        <f t="shared" si="46"/>
        <v>0.33999999999999631</v>
      </c>
      <c r="BD7" s="1">
        <f t="shared" si="47"/>
        <v>10.809999999999995</v>
      </c>
    </row>
    <row r="8" spans="1:56" hidden="1" x14ac:dyDescent="0.35">
      <c r="A8" s="115" t="s">
        <v>36</v>
      </c>
      <c r="B8" s="1" t="s">
        <v>1007</v>
      </c>
      <c r="C8" s="1" t="s">
        <v>52</v>
      </c>
      <c r="D8" s="1" t="s">
        <v>199</v>
      </c>
      <c r="E8" s="1">
        <f>VLOOKUP(A8,symbol_2[[symbol]:[Price1]],2,)</f>
        <v>176</v>
      </c>
      <c r="F8" s="1">
        <f>VLOOKUP(A8,symbol_2[[symbol]:[Price2]],6,)</f>
        <v>174.75</v>
      </c>
      <c r="G8" s="1">
        <f>VLOOKUP(A8,symbol_2[[symbol]:[Price3]],10,)</f>
        <v>177</v>
      </c>
      <c r="H8" s="1">
        <f>VLOOKUP(A8,symbol_2[[symbol]:[Price4]],14,)</f>
        <v>174.15</v>
      </c>
      <c r="I8" s="1">
        <f>VLOOKUP(A8,symbol_2[[symbol]:[Price5]],18,)</f>
        <v>174.4</v>
      </c>
      <c r="J8" s="109" t="str">
        <f t="shared" si="24"/>
        <v>N</v>
      </c>
      <c r="K8" s="109" t="str">
        <f t="shared" si="25"/>
        <v>Y</v>
      </c>
      <c r="L8" s="109" t="str">
        <f t="shared" si="26"/>
        <v>N</v>
      </c>
      <c r="M8" s="109" t="str">
        <f t="shared" si="27"/>
        <v>Y</v>
      </c>
      <c r="N8" s="110">
        <f t="shared" si="28"/>
        <v>-0.71022727272727271</v>
      </c>
      <c r="O8" s="110">
        <f t="shared" si="29"/>
        <v>1.2875536480686696</v>
      </c>
      <c r="P8" s="110">
        <f t="shared" si="30"/>
        <v>-1.6101694915254205</v>
      </c>
      <c r="Q8" s="110">
        <f t="shared" si="31"/>
        <v>0.1435544071202986</v>
      </c>
      <c r="R8" s="1">
        <f>VLOOKUP(A8,symbol_2[[symbol]:[TV1]],3,)</f>
        <v>7.1</v>
      </c>
      <c r="S8" s="1">
        <f>VLOOKUP(A8,symbol_2[[symbol]:[TV2]],7,)</f>
        <v>7.14</v>
      </c>
      <c r="T8" s="1">
        <f>VLOOKUP(A8,symbol_2[[symbol]:[TV3]],11,)</f>
        <v>10.35</v>
      </c>
      <c r="U8" s="1">
        <f>VLOOKUP(A8,symbol_2[[symbol]:[TV4]],15,)</f>
        <v>9.25</v>
      </c>
      <c r="V8" s="1">
        <f>VLOOKUP(A8,symbol_2[[symbol]:[TV5]],19,)</f>
        <v>9.26</v>
      </c>
      <c r="W8" s="1" t="str">
        <f t="shared" si="32"/>
        <v>Y</v>
      </c>
      <c r="X8" s="1" t="str">
        <f t="shared" si="33"/>
        <v>Y</v>
      </c>
      <c r="Y8" s="1" t="str">
        <f t="shared" si="34"/>
        <v>N</v>
      </c>
      <c r="Z8" s="1" t="str">
        <f t="shared" si="35"/>
        <v>Y</v>
      </c>
      <c r="AA8" s="1">
        <f>VLOOKUP(A8,symbol_2[[symbol]:[TradedValue1]],4,)</f>
        <v>1238.49</v>
      </c>
      <c r="AB8" s="1">
        <f>VLOOKUP(A8,symbol_2[[symbol]:[TradedValue2]],8,)</f>
        <v>1246.83</v>
      </c>
      <c r="AC8" s="1">
        <f>VLOOKUP(A8,symbol_2[[symbol]:[TradedValue3]],12,)</f>
        <v>1830.2</v>
      </c>
      <c r="AD8" s="1">
        <f>VLOOKUP(A8,symbol_2[[symbol]:[TradedValue4]],16,)</f>
        <v>1629.83</v>
      </c>
      <c r="AE8" s="1">
        <f>VLOOKUP(A8,symbol_2[[symbol]:[TradedValue5]],20,)</f>
        <v>1592.71</v>
      </c>
      <c r="AF8" s="1">
        <f>Table2[[#This Row],[TradedValue2]]-Table2[[#This Row],[TradedValue1]]</f>
        <v>8.3399999999999181</v>
      </c>
      <c r="AG8" s="1">
        <f>Table2[[#This Row],[TradedValue3]]-Table2[[#This Row],[TradedValue2]]</f>
        <v>583.37000000000012</v>
      </c>
      <c r="AH8" s="1">
        <f>Table2[[#This Row],[TradedValue4]]-Table2[[#This Row],[TradedValue3]]</f>
        <v>-200.37000000000012</v>
      </c>
      <c r="AI8" s="1">
        <f>Table2[[#This Row],[TradedValue5]]-Table2[[#This Row],[TradedValue4]]</f>
        <v>-37.119999999999891</v>
      </c>
      <c r="AJ8" s="109" t="str">
        <f>IF(Table2[[#This Row],[TradedValue2]]&gt;Table2[[#This Row],[TradedValue1]],"Y","N")</f>
        <v>Y</v>
      </c>
      <c r="AK8" s="109" t="str">
        <f>IF(Table2[[#This Row],[TradedValue3]]&gt;Table2[[#This Row],[TradedValue2]],"Y","N")</f>
        <v>Y</v>
      </c>
      <c r="AL8" s="109" t="str">
        <f>IF(Table2[[#This Row],[TradedValue5]]&gt;Table2[[#This Row],[TradedValue3]],"Y","N")</f>
        <v>N</v>
      </c>
      <c r="AM8" s="109" t="str">
        <f>IF(Table2[[#This Row],[TradedValue5]]&gt;Table2[[#This Row],[TradedValue4]],"Y","N")</f>
        <v>N</v>
      </c>
      <c r="AN8" s="1">
        <f t="shared" si="36"/>
        <v>4.0000000000000036E-2</v>
      </c>
      <c r="AO8" s="1">
        <f t="shared" si="37"/>
        <v>3.21</v>
      </c>
      <c r="AP8" s="1">
        <f t="shared" si="38"/>
        <v>-1.0999999999999996</v>
      </c>
      <c r="AQ8" s="1">
        <f t="shared" si="39"/>
        <v>9.9999999999997868E-3</v>
      </c>
      <c r="AR8" s="1">
        <f>VLOOKUP(A8,symbol_2[[symbol]:[DelPer1]],5,)</f>
        <v>50.11</v>
      </c>
      <c r="AS8" s="1">
        <f>VLOOKUP(A8,symbol_2[[symbol]:[DelPer2]],9,)</f>
        <v>58.88</v>
      </c>
      <c r="AT8" s="1">
        <f>VLOOKUP(A8,symbol_2[[symbol]:[DelPer3]],13,)</f>
        <v>59.41</v>
      </c>
      <c r="AU8" s="1">
        <f>VLOOKUP(A8,symbol_2[[symbol]:[DelPer4]],17,)</f>
        <v>53.61</v>
      </c>
      <c r="AV8" s="1">
        <f>VLOOKUP(A8,symbol_2[[symbol]:[DelPer5]],21,)</f>
        <v>46.11</v>
      </c>
      <c r="AW8" s="109" t="str">
        <f t="shared" si="40"/>
        <v>Y</v>
      </c>
      <c r="AX8" s="109" t="str">
        <f t="shared" si="41"/>
        <v>Y</v>
      </c>
      <c r="AY8" s="109" t="str">
        <f t="shared" si="42"/>
        <v>N</v>
      </c>
      <c r="AZ8" s="109" t="str">
        <f t="shared" si="43"/>
        <v>N</v>
      </c>
      <c r="BA8" s="1">
        <f t="shared" si="44"/>
        <v>8.7700000000000031</v>
      </c>
      <c r="BB8" s="1">
        <f t="shared" si="45"/>
        <v>0.52999999999999403</v>
      </c>
      <c r="BC8" s="1">
        <f t="shared" si="46"/>
        <v>-5.7999999999999972</v>
      </c>
      <c r="BD8" s="1">
        <f t="shared" si="47"/>
        <v>-7.5</v>
      </c>
    </row>
    <row r="9" spans="1:56" hidden="1" x14ac:dyDescent="0.35">
      <c r="A9" s="1" t="s">
        <v>44</v>
      </c>
      <c r="B9" s="1" t="s">
        <v>1010</v>
      </c>
      <c r="C9" s="1" t="s">
        <v>52</v>
      </c>
      <c r="D9" s="1" t="s">
        <v>199</v>
      </c>
      <c r="E9" s="1">
        <f>VLOOKUP(A9,symbol_2[[symbol]:[Price1]],2,)</f>
        <v>2143.9499999999998</v>
      </c>
      <c r="F9" s="1">
        <f>VLOOKUP(A9,symbol_2[[symbol]:[Price2]],6,)</f>
        <v>2109.75</v>
      </c>
      <c r="G9" s="1">
        <f>VLOOKUP(A9,symbol_2[[symbol]:[Price3]],10,)</f>
        <v>2081.75</v>
      </c>
      <c r="H9" s="1">
        <f>VLOOKUP(A9,symbol_2[[symbol]:[Price4]],14,)</f>
        <v>2054.0500000000002</v>
      </c>
      <c r="I9" s="1">
        <f>VLOOKUP(A9,symbol_2[[symbol]:[Price5]],18,)</f>
        <v>2048</v>
      </c>
      <c r="J9" s="49" t="str">
        <f t="shared" si="24"/>
        <v>N</v>
      </c>
      <c r="K9" s="49" t="str">
        <f t="shared" si="25"/>
        <v>N</v>
      </c>
      <c r="L9" s="49" t="str">
        <f t="shared" si="26"/>
        <v>N</v>
      </c>
      <c r="M9" s="49" t="str">
        <f t="shared" si="27"/>
        <v>N</v>
      </c>
      <c r="N9" s="52">
        <f t="shared" si="28"/>
        <v>-1.5951864549079886</v>
      </c>
      <c r="O9" s="52">
        <f t="shared" si="29"/>
        <v>-1.327171465813485</v>
      </c>
      <c r="P9" s="52">
        <f t="shared" si="30"/>
        <v>-1.3306112645610577</v>
      </c>
      <c r="Q9" s="52">
        <f t="shared" si="31"/>
        <v>-0.29454005501327529</v>
      </c>
      <c r="R9" s="1">
        <f>VLOOKUP(A9,symbol_2[[symbol]:[TV1]],3,)</f>
        <v>2.63</v>
      </c>
      <c r="S9" s="1">
        <f>VLOOKUP(A9,symbol_2[[symbol]:[TV2]],7,)</f>
        <v>1.86</v>
      </c>
      <c r="T9" s="1">
        <f>VLOOKUP(A9,symbol_2[[symbol]:[TV3]],11,)</f>
        <v>2.6</v>
      </c>
      <c r="U9" s="1">
        <f>VLOOKUP(A9,symbol_2[[symbol]:[TV4]],15,)</f>
        <v>2.54</v>
      </c>
      <c r="V9" s="1">
        <f>VLOOKUP(A9,symbol_2[[symbol]:[TV5]],19,)</f>
        <v>2.27</v>
      </c>
      <c r="W9" s="1" t="str">
        <f t="shared" si="32"/>
        <v>N</v>
      </c>
      <c r="X9" s="1" t="str">
        <f t="shared" si="33"/>
        <v>Y</v>
      </c>
      <c r="Y9" s="1" t="str">
        <f t="shared" si="34"/>
        <v>N</v>
      </c>
      <c r="Z9" s="1" t="str">
        <f t="shared" si="35"/>
        <v>N</v>
      </c>
      <c r="AA9" s="1">
        <f>VLOOKUP(A9,symbol_2[[symbol]:[TradedValue1]],4,)</f>
        <v>5563.94</v>
      </c>
      <c r="AB9" s="1">
        <f>VLOOKUP(A9,symbol_2[[symbol]:[TradedValue2]],8,)</f>
        <v>3954.32</v>
      </c>
      <c r="AC9" s="1">
        <f>VLOOKUP(A9,symbol_2[[symbol]:[TradedValue3]],12,)</f>
        <v>5428.61</v>
      </c>
      <c r="AD9" s="1">
        <f>VLOOKUP(A9,symbol_2[[symbol]:[TradedValue4]],16,)</f>
        <v>5264.9</v>
      </c>
      <c r="AE9" s="1">
        <f>VLOOKUP(A9,symbol_2[[symbol]:[TradedValue5]],20,)</f>
        <v>4664.7299999999996</v>
      </c>
      <c r="AF9" s="1">
        <f>Table2[[#This Row],[TradedValue2]]-Table2[[#This Row],[TradedValue1]]</f>
        <v>-1609.6199999999994</v>
      </c>
      <c r="AG9" s="1">
        <f>Table2[[#This Row],[TradedValue3]]-Table2[[#This Row],[TradedValue2]]</f>
        <v>1474.2899999999995</v>
      </c>
      <c r="AH9" s="1">
        <f>Table2[[#This Row],[TradedValue4]]-Table2[[#This Row],[TradedValue3]]</f>
        <v>-163.71000000000004</v>
      </c>
      <c r="AI9" s="1">
        <f>Table2[[#This Row],[TradedValue5]]-Table2[[#This Row],[TradedValue4]]</f>
        <v>-600.17000000000007</v>
      </c>
      <c r="AJ9" s="49" t="str">
        <f>IF(Table2[[#This Row],[TradedValue2]]&gt;Table2[[#This Row],[TradedValue1]],"Y","N")</f>
        <v>N</v>
      </c>
      <c r="AK9" s="49" t="str">
        <f>IF(Table2[[#This Row],[TradedValue3]]&gt;Table2[[#This Row],[TradedValue2]],"Y","N")</f>
        <v>Y</v>
      </c>
      <c r="AL9" s="49" t="str">
        <f>IF(Table2[[#This Row],[TradedValue5]]&gt;Table2[[#This Row],[TradedValue3]],"Y","N")</f>
        <v>N</v>
      </c>
      <c r="AM9" s="49" t="str">
        <f>IF(Table2[[#This Row],[TradedValue5]]&gt;Table2[[#This Row],[TradedValue4]],"Y","N")</f>
        <v>N</v>
      </c>
      <c r="AN9" s="1">
        <f t="shared" si="36"/>
        <v>-0.7699999999999998</v>
      </c>
      <c r="AO9" s="1">
        <f t="shared" si="37"/>
        <v>0.74</v>
      </c>
      <c r="AP9" s="1">
        <f t="shared" si="38"/>
        <v>-6.0000000000000053E-2</v>
      </c>
      <c r="AQ9" s="1">
        <f t="shared" si="39"/>
        <v>-0.27</v>
      </c>
      <c r="AR9" s="1">
        <f>VLOOKUP(A9,symbol_2[[symbol]:[DelPer1]],5,)</f>
        <v>43.98</v>
      </c>
      <c r="AS9" s="1">
        <f>VLOOKUP(A9,symbol_2[[symbol]:[DelPer2]],9,)</f>
        <v>55.94</v>
      </c>
      <c r="AT9" s="1">
        <f>VLOOKUP(A9,symbol_2[[symbol]:[DelPer3]],13,)</f>
        <v>54.32</v>
      </c>
      <c r="AU9" s="1">
        <f>VLOOKUP(A9,symbol_2[[symbol]:[DelPer4]],17,)</f>
        <v>46.01</v>
      </c>
      <c r="AV9" s="1">
        <f>VLOOKUP(A9,symbol_2[[symbol]:[DelPer5]],21,)</f>
        <v>55.23</v>
      </c>
      <c r="AW9" s="49" t="str">
        <f t="shared" si="40"/>
        <v>Y</v>
      </c>
      <c r="AX9" s="49" t="str">
        <f t="shared" si="41"/>
        <v>N</v>
      </c>
      <c r="AY9" s="49" t="str">
        <f t="shared" si="42"/>
        <v>N</v>
      </c>
      <c r="AZ9" s="49" t="str">
        <f t="shared" si="43"/>
        <v>Y</v>
      </c>
      <c r="BA9" s="1">
        <f t="shared" si="44"/>
        <v>11.96</v>
      </c>
      <c r="BB9" s="1">
        <f t="shared" si="45"/>
        <v>-1.6199999999999974</v>
      </c>
      <c r="BC9" s="1">
        <f t="shared" si="46"/>
        <v>-8.3100000000000023</v>
      </c>
      <c r="BD9" s="1">
        <f t="shared" si="47"/>
        <v>9.2199999999999989</v>
      </c>
    </row>
    <row r="10" spans="1:56" hidden="1" x14ac:dyDescent="0.35">
      <c r="A10" s="1" t="s">
        <v>13</v>
      </c>
      <c r="B10" s="1" t="s">
        <v>1021</v>
      </c>
      <c r="C10" s="1" t="s">
        <v>52</v>
      </c>
      <c r="D10" s="1" t="s">
        <v>199</v>
      </c>
      <c r="E10" s="1">
        <f>VLOOKUP(A10,symbol_2[[symbol]:[Price1]],2,)</f>
        <v>237.7</v>
      </c>
      <c r="F10" s="1">
        <f>VLOOKUP(A10,symbol_2[[symbol]:[Price2]],6,)</f>
        <v>237.2</v>
      </c>
      <c r="G10" s="1">
        <f>VLOOKUP(A10,symbol_2[[symbol]:[Price3]],10,)</f>
        <v>241.25</v>
      </c>
      <c r="H10" s="1">
        <f>VLOOKUP(A10,symbol_2[[symbol]:[Price4]],14,)</f>
        <v>244.15</v>
      </c>
      <c r="I10" s="1">
        <f>VLOOKUP(A10,symbol_2[[symbol]:[Price5]],18,)</f>
        <v>244.9</v>
      </c>
      <c r="J10" s="49" t="str">
        <f t="shared" si="24"/>
        <v>N</v>
      </c>
      <c r="K10" s="49" t="str">
        <f t="shared" si="25"/>
        <v>Y</v>
      </c>
      <c r="L10" s="49" t="str">
        <f t="shared" si="26"/>
        <v>Y</v>
      </c>
      <c r="M10" s="49" t="str">
        <f t="shared" si="27"/>
        <v>Y</v>
      </c>
      <c r="N10" s="52">
        <f t="shared" si="28"/>
        <v>-0.21034917963819941</v>
      </c>
      <c r="O10" s="52">
        <f t="shared" si="29"/>
        <v>1.7074198988195664</v>
      </c>
      <c r="P10" s="52">
        <f t="shared" si="30"/>
        <v>1.2020725388601061</v>
      </c>
      <c r="Q10" s="52">
        <f t="shared" si="31"/>
        <v>0.30718820397296742</v>
      </c>
      <c r="R10" s="1">
        <f>VLOOKUP(A10,symbol_2[[symbol]:[TV1]],3,)</f>
        <v>6.98</v>
      </c>
      <c r="S10" s="1">
        <f>VLOOKUP(A10,symbol_2[[symbol]:[TV2]],7,)</f>
        <v>5.82</v>
      </c>
      <c r="T10" s="1">
        <f>VLOOKUP(A10,symbol_2[[symbol]:[TV3]],11,)</f>
        <v>3.92</v>
      </c>
      <c r="U10" s="1">
        <f>VLOOKUP(A10,symbol_2[[symbol]:[TV4]],15,)</f>
        <v>4.9800000000000004</v>
      </c>
      <c r="V10" s="1">
        <f>VLOOKUP(A10,symbol_2[[symbol]:[TV5]],19,)</f>
        <v>2.41</v>
      </c>
      <c r="W10" s="1" t="str">
        <f t="shared" si="32"/>
        <v>N</v>
      </c>
      <c r="X10" s="1" t="str">
        <f t="shared" si="33"/>
        <v>N</v>
      </c>
      <c r="Y10" s="1" t="str">
        <f t="shared" si="34"/>
        <v>Y</v>
      </c>
      <c r="Z10" s="1" t="str">
        <f t="shared" si="35"/>
        <v>N</v>
      </c>
      <c r="AA10" s="1">
        <f>VLOOKUP(A12,symbol_2[[symbol]:[TradedValue1]],4,)</f>
        <v>1255.68</v>
      </c>
      <c r="AB10" s="1">
        <f>VLOOKUP(A10,symbol_2[[symbol]:[TradedValue2]],8,)</f>
        <v>1384.29</v>
      </c>
      <c r="AC10" s="1">
        <f>VLOOKUP(A10,symbol_2[[symbol]:[TradedValue3]],12,)</f>
        <v>939.37</v>
      </c>
      <c r="AD10" s="1">
        <f>VLOOKUP(A10,symbol_2[[symbol]:[TradedValue4]],16,)</f>
        <v>1208.1300000000001</v>
      </c>
      <c r="AE10" s="1">
        <f>VLOOKUP(A10,symbol_2[[symbol]:[TradedValue5]],20,)</f>
        <v>587.4</v>
      </c>
      <c r="AF10" s="1">
        <f>Table2[[#This Row],[TradedValue2]]-Table2[[#This Row],[TradedValue1]]</f>
        <v>128.6099999999999</v>
      </c>
      <c r="AG10" s="1">
        <f>Table2[[#This Row],[TradedValue3]]-Table2[[#This Row],[TradedValue2]]</f>
        <v>-444.91999999999996</v>
      </c>
      <c r="AH10" s="1">
        <f>Table2[[#This Row],[TradedValue4]]-Table2[[#This Row],[TradedValue3]]</f>
        <v>268.7600000000001</v>
      </c>
      <c r="AI10" s="1">
        <f>Table2[[#This Row],[TradedValue5]]-Table2[[#This Row],[TradedValue4]]</f>
        <v>-620.73000000000013</v>
      </c>
      <c r="AJ10" s="49" t="str">
        <f>IF(Table2[[#This Row],[TradedValue2]]&gt;Table2[[#This Row],[TradedValue1]],"Y","N")</f>
        <v>Y</v>
      </c>
      <c r="AK10" s="49" t="str">
        <f>IF(Table2[[#This Row],[TradedValue3]]&gt;Table2[[#This Row],[TradedValue2]],"Y","N")</f>
        <v>N</v>
      </c>
      <c r="AL10" s="49" t="str">
        <f>IF(Table2[[#This Row],[TradedValue5]]&gt;Table2[[#This Row],[TradedValue3]],"Y","N")</f>
        <v>N</v>
      </c>
      <c r="AM10" s="49" t="str">
        <f>IF(Table2[[#This Row],[TradedValue5]]&gt;Table2[[#This Row],[TradedValue4]],"Y","N")</f>
        <v>N</v>
      </c>
      <c r="AN10" s="1">
        <f t="shared" si="36"/>
        <v>-1.1600000000000001</v>
      </c>
      <c r="AO10" s="1">
        <f t="shared" si="37"/>
        <v>-1.9000000000000004</v>
      </c>
      <c r="AP10" s="1">
        <f t="shared" si="38"/>
        <v>1.0600000000000005</v>
      </c>
      <c r="AQ10" s="1">
        <f t="shared" si="39"/>
        <v>-2.5700000000000003</v>
      </c>
      <c r="AR10" s="1">
        <f>VLOOKUP(A10,symbol_2[[symbol]:[DelPer1]],5,)</f>
        <v>65.099999999999994</v>
      </c>
      <c r="AS10" s="1">
        <f>VLOOKUP(A10,symbol_2[[symbol]:[DelPer2]],9,)</f>
        <v>53.61</v>
      </c>
      <c r="AT10" s="1">
        <f>VLOOKUP(A10,symbol_2[[symbol]:[DelPer3]],13,)</f>
        <v>57.85</v>
      </c>
      <c r="AU10" s="1">
        <f>VLOOKUP(A10,symbol_2[[symbol]:[DelPer4]],17,)</f>
        <v>49.06</v>
      </c>
      <c r="AV10" s="1">
        <f>VLOOKUP(A10,symbol_2[[symbol]:[DelPer5]],21,)</f>
        <v>33.39</v>
      </c>
      <c r="AW10" s="49" t="str">
        <f t="shared" si="40"/>
        <v>N</v>
      </c>
      <c r="AX10" s="49" t="str">
        <f t="shared" si="41"/>
        <v>Y</v>
      </c>
      <c r="AY10" s="49" t="str">
        <f t="shared" si="42"/>
        <v>N</v>
      </c>
      <c r="AZ10" s="49" t="str">
        <f t="shared" si="43"/>
        <v>N</v>
      </c>
      <c r="BA10" s="1">
        <f t="shared" si="44"/>
        <v>-11.489999999999995</v>
      </c>
      <c r="BB10" s="1">
        <f t="shared" si="45"/>
        <v>4.240000000000002</v>
      </c>
      <c r="BC10" s="1">
        <f t="shared" si="46"/>
        <v>-8.7899999999999991</v>
      </c>
      <c r="BD10" s="1">
        <f t="shared" si="47"/>
        <v>-15.670000000000002</v>
      </c>
    </row>
    <row r="11" spans="1:56" hidden="1" x14ac:dyDescent="0.35">
      <c r="A11" s="108" t="s">
        <v>35</v>
      </c>
      <c r="B11" s="1" t="s">
        <v>1025</v>
      </c>
      <c r="C11" s="1" t="s">
        <v>52</v>
      </c>
      <c r="D11" s="1" t="s">
        <v>199</v>
      </c>
      <c r="E11" s="1">
        <f>VLOOKUP(A11,symbol_2[[symbol]:[Price1]],2,)</f>
        <v>129.25</v>
      </c>
      <c r="F11" s="1">
        <f>VLOOKUP(A11,symbol_2[[symbol]:[Price2]],6,)</f>
        <v>128.6</v>
      </c>
      <c r="G11" s="1">
        <f>VLOOKUP(A11,symbol_2[[symbol]:[Price3]],10,)</f>
        <v>129.6</v>
      </c>
      <c r="H11" s="1">
        <f>VLOOKUP(A11,symbol_2[[symbol]:[Price4]],14,)</f>
        <v>129.85</v>
      </c>
      <c r="I11" s="1">
        <f>VLOOKUP(A11,symbol_2[[symbol]:[Price5]],18,)</f>
        <v>129.15</v>
      </c>
      <c r="J11" s="109" t="str">
        <f t="shared" si="24"/>
        <v>N</v>
      </c>
      <c r="K11" s="109" t="str">
        <f t="shared" si="25"/>
        <v>Y</v>
      </c>
      <c r="L11" s="109" t="str">
        <f t="shared" si="26"/>
        <v>Y</v>
      </c>
      <c r="M11" s="109" t="str">
        <f t="shared" si="27"/>
        <v>N</v>
      </c>
      <c r="N11" s="110">
        <f t="shared" si="28"/>
        <v>-0.5029013539651882</v>
      </c>
      <c r="O11" s="110">
        <f t="shared" si="29"/>
        <v>0.77760497667185069</v>
      </c>
      <c r="P11" s="110">
        <f t="shared" si="30"/>
        <v>0.19290123456790126</v>
      </c>
      <c r="Q11" s="110">
        <f t="shared" si="31"/>
        <v>-0.53908355795147378</v>
      </c>
      <c r="R11" s="1">
        <f>VLOOKUP(A11,symbol_2[[symbol]:[TV1]],3,)</f>
        <v>12.33</v>
      </c>
      <c r="S11" s="1">
        <f>VLOOKUP(A11,symbol_2[[symbol]:[TV2]],7,)</f>
        <v>8.1</v>
      </c>
      <c r="T11" s="1">
        <f>VLOOKUP(A11,symbol_2[[symbol]:[TV3]],11,)</f>
        <v>9.5399999999999991</v>
      </c>
      <c r="U11" s="1">
        <f>VLOOKUP(A11,symbol_2[[symbol]:[TV4]],15,)</f>
        <v>11.02</v>
      </c>
      <c r="V11" s="1">
        <f>VLOOKUP(A11,symbol_2[[symbol]:[TV5]],19,)</f>
        <v>9.3699999999999992</v>
      </c>
      <c r="W11" s="1" t="str">
        <f t="shared" si="32"/>
        <v>N</v>
      </c>
      <c r="X11" s="1" t="str">
        <f t="shared" si="33"/>
        <v>Y</v>
      </c>
      <c r="Y11" s="1" t="str">
        <f t="shared" si="34"/>
        <v>Y</v>
      </c>
      <c r="Z11" s="1" t="str">
        <f t="shared" si="35"/>
        <v>N</v>
      </c>
      <c r="AA11" s="1">
        <f>VLOOKUP(A13,symbol_2[[symbol]:[TradedValue1]],4,)</f>
        <v>16271.3</v>
      </c>
      <c r="AB11" s="1">
        <f>VLOOKUP(A11,symbol_2[[symbol]:[TradedValue2]],8,)</f>
        <v>1037.8900000000001</v>
      </c>
      <c r="AC11" s="1">
        <f>VLOOKUP(A11,symbol_2[[symbol]:[TradedValue3]],12,)</f>
        <v>1232.94</v>
      </c>
      <c r="AD11" s="1">
        <f>VLOOKUP(A11,symbol_2[[symbol]:[TradedValue4]],16,)</f>
        <v>1443.24</v>
      </c>
      <c r="AE11" s="1">
        <f>VLOOKUP(A11,symbol_2[[symbol]:[TradedValue5]],20,)</f>
        <v>1210.43</v>
      </c>
      <c r="AF11" s="1">
        <f>Table2[[#This Row],[TradedValue2]]-Table2[[#This Row],[TradedValue1]]</f>
        <v>-15233.41</v>
      </c>
      <c r="AG11" s="1">
        <f>Table2[[#This Row],[TradedValue3]]-Table2[[#This Row],[TradedValue2]]</f>
        <v>195.04999999999995</v>
      </c>
      <c r="AH11" s="1">
        <f>Table2[[#This Row],[TradedValue4]]-Table2[[#This Row],[TradedValue3]]</f>
        <v>210.29999999999995</v>
      </c>
      <c r="AI11" s="1">
        <f>Table2[[#This Row],[TradedValue5]]-Table2[[#This Row],[TradedValue4]]</f>
        <v>-232.80999999999995</v>
      </c>
      <c r="AJ11" s="109" t="str">
        <f>IF(Table2[[#This Row],[TradedValue2]]&gt;Table2[[#This Row],[TradedValue1]],"Y","N")</f>
        <v>N</v>
      </c>
      <c r="AK11" s="109" t="str">
        <f>IF(Table2[[#This Row],[TradedValue3]]&gt;Table2[[#This Row],[TradedValue2]],"Y","N")</f>
        <v>Y</v>
      </c>
      <c r="AL11" s="109" t="str">
        <f>IF(Table2[[#This Row],[TradedValue5]]&gt;Table2[[#This Row],[TradedValue3]],"Y","N")</f>
        <v>N</v>
      </c>
      <c r="AM11" s="109" t="str">
        <f>IF(Table2[[#This Row],[TradedValue5]]&gt;Table2[[#This Row],[TradedValue4]],"Y","N")</f>
        <v>N</v>
      </c>
      <c r="AN11" s="1">
        <f t="shared" si="36"/>
        <v>-4.2300000000000004</v>
      </c>
      <c r="AO11" s="1">
        <f t="shared" si="37"/>
        <v>1.4399999999999995</v>
      </c>
      <c r="AP11" s="1">
        <f t="shared" si="38"/>
        <v>1.4800000000000004</v>
      </c>
      <c r="AQ11" s="1">
        <f t="shared" si="39"/>
        <v>-1.6500000000000004</v>
      </c>
      <c r="AR11" s="1">
        <f>VLOOKUP(A11,symbol_2[[symbol]:[DelPer1]],5,)</f>
        <v>70.260000000000005</v>
      </c>
      <c r="AS11" s="1">
        <f>VLOOKUP(A11,symbol_2[[symbol]:[DelPer2]],9,)</f>
        <v>70.400000000000006</v>
      </c>
      <c r="AT11" s="1">
        <f>VLOOKUP(A11,symbol_2[[symbol]:[DelPer3]],13,)</f>
        <v>71.7</v>
      </c>
      <c r="AU11" s="1">
        <f>VLOOKUP(A11,symbol_2[[symbol]:[DelPer4]],17,)</f>
        <v>62.23</v>
      </c>
      <c r="AV11" s="1">
        <f>VLOOKUP(A11,symbol_2[[symbol]:[DelPer5]],21,)</f>
        <v>68.33</v>
      </c>
      <c r="AW11" s="109" t="str">
        <f t="shared" si="40"/>
        <v>Y</v>
      </c>
      <c r="AX11" s="109" t="str">
        <f t="shared" si="41"/>
        <v>Y</v>
      </c>
      <c r="AY11" s="109" t="str">
        <f t="shared" si="42"/>
        <v>N</v>
      </c>
      <c r="AZ11" s="109" t="str">
        <f t="shared" si="43"/>
        <v>Y</v>
      </c>
      <c r="BA11" s="1">
        <f t="shared" si="44"/>
        <v>0.14000000000000057</v>
      </c>
      <c r="BB11" s="1">
        <f t="shared" si="45"/>
        <v>1.2999999999999972</v>
      </c>
      <c r="BC11" s="1">
        <f t="shared" si="46"/>
        <v>-9.470000000000006</v>
      </c>
      <c r="BD11" s="1">
        <f t="shared" si="47"/>
        <v>6.1000000000000014</v>
      </c>
    </row>
    <row r="12" spans="1:56" hidden="1" x14ac:dyDescent="0.35">
      <c r="A12" s="115" t="s">
        <v>48</v>
      </c>
      <c r="B12" s="1" t="s">
        <v>1021</v>
      </c>
      <c r="C12" s="1" t="s">
        <v>52</v>
      </c>
      <c r="D12" s="1" t="str">
        <f>VLOOKUP(A12,'High Beta'!A12:B61,2,)</f>
        <v>Y</v>
      </c>
      <c r="E12" s="1">
        <f>VLOOKUP(A12,symbol_2[[symbol]:[Price1]],2,)</f>
        <v>167.1</v>
      </c>
      <c r="F12" s="1">
        <f>VLOOKUP(A12,symbol_2[[symbol]:[Price2]],6,)</f>
        <v>165.45</v>
      </c>
      <c r="G12" s="1">
        <f>VLOOKUP(A12,symbol_2[[symbol]:[Price3]],10,)</f>
        <v>166.3</v>
      </c>
      <c r="H12" s="1">
        <f>VLOOKUP(A12,symbol_2[[symbol]:[Price4]],14,)</f>
        <v>157.35</v>
      </c>
      <c r="I12" s="1">
        <f>VLOOKUP(A12,symbol_2[[symbol]:[Price5]],18,)</f>
        <v>163.9</v>
      </c>
      <c r="J12" s="109" t="str">
        <f t="shared" si="24"/>
        <v>N</v>
      </c>
      <c r="K12" s="109" t="str">
        <f t="shared" si="25"/>
        <v>Y</v>
      </c>
      <c r="L12" s="109" t="str">
        <f t="shared" si="26"/>
        <v>N</v>
      </c>
      <c r="M12" s="109" t="str">
        <f t="shared" si="27"/>
        <v>Y</v>
      </c>
      <c r="N12" s="110">
        <f t="shared" si="28"/>
        <v>-0.98743267504488674</v>
      </c>
      <c r="O12" s="110">
        <f t="shared" si="29"/>
        <v>0.51375037775764454</v>
      </c>
      <c r="P12" s="110">
        <f t="shared" si="30"/>
        <v>-5.3818400481058424</v>
      </c>
      <c r="Q12" s="110">
        <f t="shared" si="31"/>
        <v>4.1626946298061718</v>
      </c>
      <c r="R12" s="1">
        <f>VLOOKUP(A12,symbol_2[[symbol]:[TV1]],3,)</f>
        <v>7.54</v>
      </c>
      <c r="S12" s="1">
        <f>VLOOKUP(A12,symbol_2[[symbol]:[TV2]],7,)</f>
        <v>7.39</v>
      </c>
      <c r="T12" s="1">
        <f>VLOOKUP(A12,symbol_2[[symbol]:[TV3]],11,)</f>
        <v>6.6</v>
      </c>
      <c r="U12" s="1">
        <f>VLOOKUP(A12,symbol_2[[symbol]:[TV4]],15,)</f>
        <v>14.25</v>
      </c>
      <c r="V12" s="1">
        <f>VLOOKUP(A12,symbol_2[[symbol]:[TV5]],19,)</f>
        <v>10.46</v>
      </c>
      <c r="W12" s="1" t="str">
        <f t="shared" si="32"/>
        <v>N</v>
      </c>
      <c r="X12" s="1" t="str">
        <f t="shared" si="33"/>
        <v>N</v>
      </c>
      <c r="Y12" s="1" t="str">
        <f t="shared" si="34"/>
        <v>Y</v>
      </c>
      <c r="Z12" s="1" t="str">
        <f t="shared" si="35"/>
        <v>N</v>
      </c>
      <c r="AA12" s="1">
        <f>VLOOKUP(A12,symbol_2[[symbol]:[TradedValue1]],4,)</f>
        <v>1255.68</v>
      </c>
      <c r="AB12" s="1">
        <f>VLOOKUP(A12,symbol_2[[symbol]:[TradedValue2]],8,)</f>
        <v>1224.43</v>
      </c>
      <c r="AC12" s="1">
        <f>VLOOKUP(A12,symbol_2[[symbol]:[TradedValue3]],12,)</f>
        <v>1098.01</v>
      </c>
      <c r="AD12" s="1">
        <f>VLOOKUP(A12,symbol_2[[symbol]:[TradedValue4]],16,)</f>
        <v>2314.31</v>
      </c>
      <c r="AE12" s="1">
        <f>VLOOKUP(A12,symbol_2[[symbol]:[TradedValue5]],20,)</f>
        <v>1671.2</v>
      </c>
      <c r="AF12" s="1">
        <f>Table2[[#This Row],[TradedValue2]]-Table2[[#This Row],[TradedValue1]]</f>
        <v>-31.25</v>
      </c>
      <c r="AG12" s="1">
        <f>Table2[[#This Row],[TradedValue3]]-Table2[[#This Row],[TradedValue2]]</f>
        <v>-126.42000000000007</v>
      </c>
      <c r="AH12" s="1">
        <f>Table2[[#This Row],[TradedValue4]]-Table2[[#This Row],[TradedValue3]]</f>
        <v>1216.3</v>
      </c>
      <c r="AI12" s="1">
        <f>Table2[[#This Row],[TradedValue5]]-Table2[[#This Row],[TradedValue4]]</f>
        <v>-643.1099999999999</v>
      </c>
      <c r="AJ12" s="109" t="str">
        <f>IF(Table2[[#This Row],[TradedValue2]]&gt;Table2[[#This Row],[TradedValue1]],"Y","N")</f>
        <v>N</v>
      </c>
      <c r="AK12" s="109" t="str">
        <f>IF(Table2[[#This Row],[TradedValue3]]&gt;Table2[[#This Row],[TradedValue2]],"Y","N")</f>
        <v>N</v>
      </c>
      <c r="AL12" s="109" t="str">
        <f>IF(Table2[[#This Row],[TradedValue5]]&gt;Table2[[#This Row],[TradedValue3]],"Y","N")</f>
        <v>Y</v>
      </c>
      <c r="AM12" s="109" t="str">
        <f>IF(Table2[[#This Row],[TradedValue5]]&gt;Table2[[#This Row],[TradedValue4]],"Y","N")</f>
        <v>N</v>
      </c>
      <c r="AN12" s="1">
        <f t="shared" si="36"/>
        <v>-0.15000000000000036</v>
      </c>
      <c r="AO12" s="1">
        <f t="shared" si="37"/>
        <v>-0.79</v>
      </c>
      <c r="AP12" s="1">
        <f t="shared" si="38"/>
        <v>7.65</v>
      </c>
      <c r="AQ12" s="1">
        <f t="shared" si="39"/>
        <v>-3.7899999999999991</v>
      </c>
      <c r="AR12" s="1">
        <f>VLOOKUP(A12,symbol_2[[symbol]:[DelPer1]],5,)</f>
        <v>46.11</v>
      </c>
      <c r="AS12" s="1">
        <f>VLOOKUP(A12,symbol_2[[symbol]:[DelPer2]],9,)</f>
        <v>49.53</v>
      </c>
      <c r="AT12" s="1">
        <f>VLOOKUP(A12,symbol_2[[symbol]:[DelPer3]],13,)</f>
        <v>48.29</v>
      </c>
      <c r="AU12" s="1">
        <f>VLOOKUP(A12,symbol_2[[symbol]:[DelPer4]],17,)</f>
        <v>40.369999999999997</v>
      </c>
      <c r="AV12" s="1">
        <f>VLOOKUP(A12,symbol_2[[symbol]:[DelPer5]],21,)</f>
        <v>21.97</v>
      </c>
      <c r="AW12" s="109" t="str">
        <f t="shared" si="40"/>
        <v>Y</v>
      </c>
      <c r="AX12" s="109" t="str">
        <f t="shared" si="41"/>
        <v>N</v>
      </c>
      <c r="AY12" s="109" t="str">
        <f t="shared" si="42"/>
        <v>N</v>
      </c>
      <c r="AZ12" s="109" t="str">
        <f t="shared" si="43"/>
        <v>N</v>
      </c>
      <c r="BA12" s="1">
        <f t="shared" si="44"/>
        <v>3.4200000000000017</v>
      </c>
      <c r="BB12" s="1">
        <f t="shared" si="45"/>
        <v>-1.240000000000002</v>
      </c>
      <c r="BC12" s="1">
        <f t="shared" si="46"/>
        <v>-7.9200000000000017</v>
      </c>
      <c r="BD12" s="1">
        <f t="shared" si="47"/>
        <v>-18.399999999999999</v>
      </c>
    </row>
    <row r="13" spans="1:56" hidden="1" x14ac:dyDescent="0.35">
      <c r="A13" s="115" t="s">
        <v>38</v>
      </c>
      <c r="B13" s="1" t="s">
        <v>1007</v>
      </c>
      <c r="C13" s="1" t="s">
        <v>52</v>
      </c>
      <c r="D13" s="1" t="s">
        <v>199</v>
      </c>
      <c r="E13" s="1">
        <f>VLOOKUP(A13,symbol_2[[symbol]:[Price1]],2,)</f>
        <v>1325.9</v>
      </c>
      <c r="F13" s="1">
        <f>VLOOKUP(A13,symbol_2[[symbol]:[Price2]],6,)</f>
        <v>1339.8</v>
      </c>
      <c r="G13" s="1">
        <f>VLOOKUP(A13,symbol_2[[symbol]:[Price3]],10,)</f>
        <v>1340.4</v>
      </c>
      <c r="H13" s="1">
        <f>VLOOKUP(A13,symbol_2[[symbol]:[Price4]],14,)</f>
        <v>1333.9</v>
      </c>
      <c r="I13" s="1">
        <f>VLOOKUP(A13,symbol_2[[symbol]:[Price5]],18,)</f>
        <v>1336.85</v>
      </c>
      <c r="J13" s="109" t="str">
        <f t="shared" si="24"/>
        <v>Y</v>
      </c>
      <c r="K13" s="109" t="str">
        <f t="shared" si="25"/>
        <v>Y</v>
      </c>
      <c r="L13" s="109" t="str">
        <f t="shared" si="26"/>
        <v>N</v>
      </c>
      <c r="M13" s="109" t="str">
        <f t="shared" si="27"/>
        <v>Y</v>
      </c>
      <c r="N13" s="110">
        <f t="shared" si="28"/>
        <v>1.0483445207029085</v>
      </c>
      <c r="O13" s="110">
        <f t="shared" si="29"/>
        <v>4.4782803403503241E-2</v>
      </c>
      <c r="P13" s="110">
        <f t="shared" si="30"/>
        <v>-0.48492987168009549</v>
      </c>
      <c r="Q13" s="110">
        <f t="shared" si="31"/>
        <v>0.22115600869629043</v>
      </c>
      <c r="R13" s="1">
        <f>VLOOKUP(A13,symbol_2[[symbol]:[TV1]],3,)</f>
        <v>12.33</v>
      </c>
      <c r="S13" s="1">
        <f>VLOOKUP(A13,symbol_2[[symbol]:[TV2]],7,)</f>
        <v>13.87</v>
      </c>
      <c r="T13" s="1">
        <f>VLOOKUP(A13,symbol_2[[symbol]:[TV3]],11,)</f>
        <v>11.29</v>
      </c>
      <c r="U13" s="1">
        <f>VLOOKUP(A13,symbol_2[[symbol]:[TV4]],15,)</f>
        <v>17.72</v>
      </c>
      <c r="V13" s="1">
        <f>VLOOKUP(A13,symbol_2[[symbol]:[TV5]],19,)</f>
        <v>10.18</v>
      </c>
      <c r="W13" s="1" t="str">
        <f t="shared" si="32"/>
        <v>Y</v>
      </c>
      <c r="X13" s="1" t="str">
        <f t="shared" si="33"/>
        <v>N</v>
      </c>
      <c r="Y13" s="1" t="str">
        <f t="shared" si="34"/>
        <v>Y</v>
      </c>
      <c r="Z13" s="1" t="str">
        <f t="shared" si="35"/>
        <v>N</v>
      </c>
      <c r="AA13" s="1">
        <f>VLOOKUP(A15,symbol_2[[symbol]:[TradedValue1]],4,)</f>
        <v>3529.28</v>
      </c>
      <c r="AB13" s="1">
        <f>VLOOKUP(A13,symbol_2[[symbol]:[TradedValue2]],8,)</f>
        <v>18699.52</v>
      </c>
      <c r="AC13" s="1">
        <f>VLOOKUP(A13,symbol_2[[symbol]:[TradedValue3]],12,)</f>
        <v>15183.6</v>
      </c>
      <c r="AD13" s="1">
        <f>VLOOKUP(A13,symbol_2[[symbol]:[TradedValue4]],16,)</f>
        <v>24181.41</v>
      </c>
      <c r="AE13" s="1">
        <f>VLOOKUP(A13,symbol_2[[symbol]:[TradedValue5]],20,)</f>
        <v>13588.55</v>
      </c>
      <c r="AF13" s="1">
        <f>Table2[[#This Row],[TradedValue2]]-Table2[[#This Row],[TradedValue1]]</f>
        <v>15170.24</v>
      </c>
      <c r="AG13" s="1">
        <f>Table2[[#This Row],[TradedValue3]]-Table2[[#This Row],[TradedValue2]]</f>
        <v>-3515.92</v>
      </c>
      <c r="AH13" s="1">
        <f>Table2[[#This Row],[TradedValue4]]-Table2[[#This Row],[TradedValue3]]</f>
        <v>8997.81</v>
      </c>
      <c r="AI13" s="1">
        <f>Table2[[#This Row],[TradedValue5]]-Table2[[#This Row],[TradedValue4]]</f>
        <v>-10592.86</v>
      </c>
      <c r="AJ13" s="109" t="str">
        <f>IF(Table2[[#This Row],[TradedValue2]]&gt;Table2[[#This Row],[TradedValue1]],"Y","N")</f>
        <v>Y</v>
      </c>
      <c r="AK13" s="109" t="str">
        <f>IF(Table2[[#This Row],[TradedValue3]]&gt;Table2[[#This Row],[TradedValue2]],"Y","N")</f>
        <v>N</v>
      </c>
      <c r="AL13" s="109" t="str">
        <f>IF(Table2[[#This Row],[TradedValue5]]&gt;Table2[[#This Row],[TradedValue3]],"Y","N")</f>
        <v>N</v>
      </c>
      <c r="AM13" s="109" t="str">
        <f>IF(Table2[[#This Row],[TradedValue5]]&gt;Table2[[#This Row],[TradedValue4]],"Y","N")</f>
        <v>N</v>
      </c>
      <c r="AN13" s="1">
        <f t="shared" si="36"/>
        <v>1.5399999999999991</v>
      </c>
      <c r="AO13" s="1">
        <f t="shared" si="37"/>
        <v>-2.58</v>
      </c>
      <c r="AP13" s="1">
        <f t="shared" si="38"/>
        <v>6.43</v>
      </c>
      <c r="AQ13" s="1">
        <f t="shared" si="39"/>
        <v>-7.5399999999999991</v>
      </c>
      <c r="AR13" s="1">
        <f>VLOOKUP(A13,symbol_2[[symbol]:[DelPer1]],5,)</f>
        <v>49.27</v>
      </c>
      <c r="AS13" s="1">
        <f>VLOOKUP(A13,symbol_2[[symbol]:[DelPer2]],9,)</f>
        <v>41.18</v>
      </c>
      <c r="AT13" s="1">
        <f>VLOOKUP(A13,symbol_2[[symbol]:[DelPer3]],13,)</f>
        <v>40.69</v>
      </c>
      <c r="AU13" s="1">
        <f>VLOOKUP(A13,symbol_2[[symbol]:[DelPer4]],17,)</f>
        <v>30.22</v>
      </c>
      <c r="AV13" s="1">
        <f>VLOOKUP(A13,symbol_2[[symbol]:[DelPer5]],21,)</f>
        <v>26.92</v>
      </c>
      <c r="AW13" s="109" t="str">
        <f t="shared" si="40"/>
        <v>N</v>
      </c>
      <c r="AX13" s="109" t="str">
        <f t="shared" si="41"/>
        <v>N</v>
      </c>
      <c r="AY13" s="109" t="str">
        <f t="shared" si="42"/>
        <v>N</v>
      </c>
      <c r="AZ13" s="109" t="str">
        <f t="shared" si="43"/>
        <v>N</v>
      </c>
      <c r="BA13" s="1">
        <f t="shared" si="44"/>
        <v>-8.0900000000000034</v>
      </c>
      <c r="BB13" s="1">
        <f t="shared" si="45"/>
        <v>-0.49000000000000199</v>
      </c>
      <c r="BC13" s="1">
        <f t="shared" si="46"/>
        <v>-10.469999999999999</v>
      </c>
      <c r="BD13" s="1">
        <f t="shared" si="47"/>
        <v>-3.2999999999999972</v>
      </c>
    </row>
    <row r="14" spans="1:56" hidden="1" x14ac:dyDescent="0.35">
      <c r="A14" s="116" t="s">
        <v>19</v>
      </c>
      <c r="B14" s="1" t="s">
        <v>1006</v>
      </c>
      <c r="C14" s="1" t="s">
        <v>52</v>
      </c>
      <c r="D14" s="1" t="s">
        <v>199</v>
      </c>
      <c r="E14" s="1">
        <f>VLOOKUP(A14,symbol_2[[symbol]:[Price1]],2,)</f>
        <v>2432.35</v>
      </c>
      <c r="F14" s="1">
        <f>VLOOKUP(A14,symbol_2[[symbol]:[Price2]],6,)</f>
        <v>2403.6999999999998</v>
      </c>
      <c r="G14" s="1">
        <f>VLOOKUP(A14,symbol_2[[symbol]:[Price3]],10,)</f>
        <v>2405.75</v>
      </c>
      <c r="H14" s="1">
        <f>VLOOKUP(A14,symbol_2[[symbol]:[Price4]],14,)</f>
        <v>2332.1</v>
      </c>
      <c r="I14" s="1">
        <f>VLOOKUP(A14,symbol_2[[symbol]:[Price5]],18,)</f>
        <v>2373.35</v>
      </c>
      <c r="J14" s="49" t="str">
        <f t="shared" si="24"/>
        <v>N</v>
      </c>
      <c r="K14" s="49" t="str">
        <f t="shared" si="25"/>
        <v>Y</v>
      </c>
      <c r="L14" s="49" t="str">
        <f t="shared" si="26"/>
        <v>N</v>
      </c>
      <c r="M14" s="49" t="str">
        <f t="shared" si="27"/>
        <v>Y</v>
      </c>
      <c r="N14" s="52">
        <f t="shared" si="28"/>
        <v>-1.1778732501490368</v>
      </c>
      <c r="O14" s="52">
        <f t="shared" si="29"/>
        <v>8.5285185339276204E-2</v>
      </c>
      <c r="P14" s="52">
        <f t="shared" si="30"/>
        <v>-3.0614153590356477</v>
      </c>
      <c r="Q14" s="52">
        <f t="shared" si="31"/>
        <v>1.7687920758115003</v>
      </c>
      <c r="R14" s="1">
        <f>VLOOKUP(A14,symbol_2[[symbol]:[TV1]],3,)</f>
        <v>4.42</v>
      </c>
      <c r="S14" s="1">
        <f>VLOOKUP(A14,symbol_2[[symbol]:[TV2]],7,)</f>
        <v>2.58</v>
      </c>
      <c r="T14" s="1">
        <f>VLOOKUP(A14,symbol_2[[symbol]:[TV3]],11,)</f>
        <v>2.85</v>
      </c>
      <c r="U14" s="1">
        <f>VLOOKUP(A14,symbol_2[[symbol]:[TV4]],15,)</f>
        <v>8.27</v>
      </c>
      <c r="V14" s="1">
        <f>VLOOKUP(A14,symbol_2[[symbol]:[TV5]],19,)</f>
        <v>3.42</v>
      </c>
      <c r="W14" s="1" t="str">
        <f t="shared" si="32"/>
        <v>N</v>
      </c>
      <c r="X14" s="1" t="str">
        <f t="shared" si="33"/>
        <v>Y</v>
      </c>
      <c r="Y14" s="1" t="str">
        <f t="shared" si="34"/>
        <v>Y</v>
      </c>
      <c r="Z14" s="1" t="str">
        <f t="shared" si="35"/>
        <v>N</v>
      </c>
      <c r="AA14" s="1">
        <f>VLOOKUP(A16,symbol_2[[symbol]:[TradedValue1]],4,)</f>
        <v>3360.22</v>
      </c>
      <c r="AB14" s="1">
        <f>VLOOKUP(A14,symbol_2[[symbol]:[TradedValue2]],8,)</f>
        <v>6264.8</v>
      </c>
      <c r="AC14" s="1">
        <f>VLOOKUP(A14,symbol_2[[symbol]:[TradedValue3]],12,)</f>
        <v>6868.8</v>
      </c>
      <c r="AD14" s="1">
        <f>VLOOKUP(A14,symbol_2[[symbol]:[TradedValue4]],16,)</f>
        <v>19734.05</v>
      </c>
      <c r="AE14" s="1">
        <f>VLOOKUP(A14,symbol_2[[symbol]:[TradedValue5]],20,)</f>
        <v>8080.85</v>
      </c>
      <c r="AF14" s="1">
        <f>Table2[[#This Row],[TradedValue2]]-Table2[[#This Row],[TradedValue1]]</f>
        <v>2904.5800000000004</v>
      </c>
      <c r="AG14" s="1">
        <f>Table2[[#This Row],[TradedValue3]]-Table2[[#This Row],[TradedValue2]]</f>
        <v>604</v>
      </c>
      <c r="AH14" s="1">
        <f>Table2[[#This Row],[TradedValue4]]-Table2[[#This Row],[TradedValue3]]</f>
        <v>12865.25</v>
      </c>
      <c r="AI14" s="1">
        <f>Table2[[#This Row],[TradedValue5]]-Table2[[#This Row],[TradedValue4]]</f>
        <v>-11653.199999999999</v>
      </c>
      <c r="AJ14" s="49" t="str">
        <f>IF(Table2[[#This Row],[TradedValue2]]&gt;Table2[[#This Row],[TradedValue1]],"Y","N")</f>
        <v>Y</v>
      </c>
      <c r="AK14" s="49" t="str">
        <f>IF(Table2[[#This Row],[TradedValue3]]&gt;Table2[[#This Row],[TradedValue2]],"Y","N")</f>
        <v>Y</v>
      </c>
      <c r="AL14" s="49" t="str">
        <f>IF(Table2[[#This Row],[TradedValue5]]&gt;Table2[[#This Row],[TradedValue3]],"Y","N")</f>
        <v>Y</v>
      </c>
      <c r="AM14" s="49" t="str">
        <f>IF(Table2[[#This Row],[TradedValue5]]&gt;Table2[[#This Row],[TradedValue4]],"Y","N")</f>
        <v>N</v>
      </c>
      <c r="AN14" s="1">
        <f t="shared" si="36"/>
        <v>-1.8399999999999999</v>
      </c>
      <c r="AO14" s="1">
        <f t="shared" si="37"/>
        <v>0.27</v>
      </c>
      <c r="AP14" s="1">
        <f t="shared" si="38"/>
        <v>5.42</v>
      </c>
      <c r="AQ14" s="1">
        <f t="shared" si="39"/>
        <v>-4.8499999999999996</v>
      </c>
      <c r="AR14" s="1">
        <f>VLOOKUP(A14,symbol_2[[symbol]:[DelPer1]],5,)</f>
        <v>56.96</v>
      </c>
      <c r="AS14" s="1">
        <f>VLOOKUP(A14,symbol_2[[symbol]:[DelPer2]],9,)</f>
        <v>54.48</v>
      </c>
      <c r="AT14" s="1">
        <f>VLOOKUP(A14,symbol_2[[symbol]:[DelPer3]],13,)</f>
        <v>61.32</v>
      </c>
      <c r="AU14" s="1">
        <f>VLOOKUP(A14,symbol_2[[symbol]:[DelPer4]],17,)</f>
        <v>60.44</v>
      </c>
      <c r="AV14" s="1">
        <f>VLOOKUP(A14,symbol_2[[symbol]:[DelPer5]],21,)</f>
        <v>57.81</v>
      </c>
      <c r="AW14" s="49" t="str">
        <f t="shared" si="40"/>
        <v>N</v>
      </c>
      <c r="AX14" s="49" t="str">
        <f t="shared" si="41"/>
        <v>Y</v>
      </c>
      <c r="AY14" s="49" t="str">
        <f t="shared" si="42"/>
        <v>N</v>
      </c>
      <c r="AZ14" s="49" t="str">
        <f t="shared" si="43"/>
        <v>N</v>
      </c>
      <c r="BA14" s="1">
        <f t="shared" si="44"/>
        <v>-2.480000000000004</v>
      </c>
      <c r="BB14" s="1">
        <f t="shared" si="45"/>
        <v>6.8400000000000034</v>
      </c>
      <c r="BC14" s="1">
        <f t="shared" si="46"/>
        <v>-0.88000000000000256</v>
      </c>
      <c r="BD14" s="1">
        <f t="shared" si="47"/>
        <v>-2.6299999999999955</v>
      </c>
    </row>
    <row r="15" spans="1:56" hidden="1" x14ac:dyDescent="0.35">
      <c r="A15" s="1" t="s">
        <v>188</v>
      </c>
      <c r="B15" s="1" t="s">
        <v>1022</v>
      </c>
      <c r="C15" s="1" t="s">
        <v>52</v>
      </c>
      <c r="D15" s="1" t="s">
        <v>199</v>
      </c>
      <c r="E15" s="1">
        <f>VLOOKUP(A15,symbol_2[[symbol]:[Price1]],2,)</f>
        <v>1231.6500000000001</v>
      </c>
      <c r="F15" s="1">
        <f>VLOOKUP(A15,symbol_2[[symbol]:[Price2]],6,)</f>
        <v>1244.4000000000001</v>
      </c>
      <c r="G15" s="1">
        <f>VLOOKUP(A15,symbol_2[[symbol]:[Price3]],10,)</f>
        <v>1241.0999999999999</v>
      </c>
      <c r="H15" s="1">
        <f>VLOOKUP(A15,symbol_2[[symbol]:[Price4]],14,)</f>
        <v>1220.25</v>
      </c>
      <c r="I15" s="1">
        <f>VLOOKUP(A15,symbol_2[[symbol]:[Price5]],18,)</f>
        <v>1219.9000000000001</v>
      </c>
      <c r="J15" s="49" t="str">
        <f t="shared" si="24"/>
        <v>Y</v>
      </c>
      <c r="K15" s="49" t="str">
        <f t="shared" si="25"/>
        <v>N</v>
      </c>
      <c r="L15" s="49" t="str">
        <f t="shared" si="26"/>
        <v>N</v>
      </c>
      <c r="M15" s="49" t="str">
        <f t="shared" si="27"/>
        <v>N</v>
      </c>
      <c r="N15" s="52">
        <f t="shared" si="28"/>
        <v>1.0351966873706004</v>
      </c>
      <c r="O15" s="52">
        <f t="shared" si="29"/>
        <v>-0.26518804243010136</v>
      </c>
      <c r="P15" s="52">
        <f t="shared" si="30"/>
        <v>-1.6799613246313683</v>
      </c>
      <c r="Q15" s="52">
        <f t="shared" si="31"/>
        <v>-2.8682646998558416E-2</v>
      </c>
      <c r="R15" s="1">
        <f>VLOOKUP(A15,symbol_2[[symbol]:[TV1]],3,)</f>
        <v>2.88</v>
      </c>
      <c r="S15" s="1">
        <f>VLOOKUP(A15,symbol_2[[symbol]:[TV2]],7,)</f>
        <v>3.22</v>
      </c>
      <c r="T15" s="1">
        <f>VLOOKUP(A15,symbol_2[[symbol]:[TV3]],11,)</f>
        <v>1.97</v>
      </c>
      <c r="U15" s="1">
        <f>VLOOKUP(A15,symbol_2[[symbol]:[TV4]],15,)</f>
        <v>2.4900000000000002</v>
      </c>
      <c r="V15" s="1">
        <f>VLOOKUP(A15,symbol_2[[symbol]:[TV5]],19,)</f>
        <v>2.42</v>
      </c>
      <c r="W15" s="1" t="str">
        <f t="shared" si="32"/>
        <v>Y</v>
      </c>
      <c r="X15" s="1" t="str">
        <f t="shared" si="33"/>
        <v>N</v>
      </c>
      <c r="Y15" s="1" t="str">
        <f t="shared" si="34"/>
        <v>Y</v>
      </c>
      <c r="Z15" s="1" t="str">
        <f t="shared" si="35"/>
        <v>N</v>
      </c>
      <c r="AA15" s="1">
        <f>VLOOKUP(A17,symbol_2[[symbol]:[TradedValue1]],4,)</f>
        <v>680.26</v>
      </c>
      <c r="AB15" s="1">
        <f>VLOOKUP(A15,symbol_2[[symbol]:[TradedValue2]],8,)</f>
        <v>4001.25</v>
      </c>
      <c r="AC15" s="1">
        <f>VLOOKUP(A15,symbol_2[[symbol]:[TradedValue3]],12,)</f>
        <v>2440.0500000000002</v>
      </c>
      <c r="AD15" s="1">
        <f>VLOOKUP(A15,symbol_2[[symbol]:[TradedValue4]],16,)</f>
        <v>3082.45</v>
      </c>
      <c r="AE15" s="1">
        <f>VLOOKUP(A15,symbol_2[[symbol]:[TradedValue5]],20,)</f>
        <v>2941.21</v>
      </c>
      <c r="AF15" s="1">
        <f>Table2[[#This Row],[TradedValue2]]-Table2[[#This Row],[TradedValue1]]</f>
        <v>3320.99</v>
      </c>
      <c r="AG15" s="1">
        <f>Table2[[#This Row],[TradedValue3]]-Table2[[#This Row],[TradedValue2]]</f>
        <v>-1561.1999999999998</v>
      </c>
      <c r="AH15" s="1">
        <f>Table2[[#This Row],[TradedValue4]]-Table2[[#This Row],[TradedValue3]]</f>
        <v>642.39999999999964</v>
      </c>
      <c r="AI15" s="1">
        <f>Table2[[#This Row],[TradedValue5]]-Table2[[#This Row],[TradedValue4]]</f>
        <v>-141.23999999999978</v>
      </c>
      <c r="AJ15" s="49" t="str">
        <f>IF(Table2[[#This Row],[TradedValue2]]&gt;Table2[[#This Row],[TradedValue1]],"Y","N")</f>
        <v>Y</v>
      </c>
      <c r="AK15" s="49" t="str">
        <f>IF(Table2[[#This Row],[TradedValue3]]&gt;Table2[[#This Row],[TradedValue2]],"Y","N")</f>
        <v>N</v>
      </c>
      <c r="AL15" s="49" t="str">
        <f>IF(Table2[[#This Row],[TradedValue5]]&gt;Table2[[#This Row],[TradedValue3]],"Y","N")</f>
        <v>Y</v>
      </c>
      <c r="AM15" s="49" t="str">
        <f>IF(Table2[[#This Row],[TradedValue5]]&gt;Table2[[#This Row],[TradedValue4]],"Y","N")</f>
        <v>N</v>
      </c>
      <c r="AN15" s="1">
        <f t="shared" si="36"/>
        <v>0.3400000000000003</v>
      </c>
      <c r="AO15" s="1">
        <f t="shared" si="37"/>
        <v>-1.2500000000000002</v>
      </c>
      <c r="AP15" s="1">
        <f t="shared" si="38"/>
        <v>0.52000000000000024</v>
      </c>
      <c r="AQ15" s="1">
        <f t="shared" si="39"/>
        <v>-7.0000000000000284E-2</v>
      </c>
      <c r="AR15" s="1">
        <f>VLOOKUP(A15,symbol_2[[symbol]:[DelPer1]],5,)</f>
        <v>42.16</v>
      </c>
      <c r="AS15" s="1">
        <f>VLOOKUP(A15,symbol_2[[symbol]:[DelPer2]],9,)</f>
        <v>52.53</v>
      </c>
      <c r="AT15" s="1">
        <f>VLOOKUP(A15,symbol_2[[symbol]:[DelPer3]],13,)</f>
        <v>42.93</v>
      </c>
      <c r="AU15" s="1">
        <f>VLOOKUP(A15,symbol_2[[symbol]:[DelPer4]],17,)</f>
        <v>57.27</v>
      </c>
      <c r="AV15" s="1">
        <f>VLOOKUP(A15,symbol_2[[symbol]:[DelPer5]],21,)</f>
        <v>48.52</v>
      </c>
      <c r="AW15" s="49" t="str">
        <f t="shared" si="40"/>
        <v>Y</v>
      </c>
      <c r="AX15" s="49" t="str">
        <f t="shared" si="41"/>
        <v>N</v>
      </c>
      <c r="AY15" s="49" t="str">
        <f t="shared" si="42"/>
        <v>Y</v>
      </c>
      <c r="AZ15" s="49" t="str">
        <f t="shared" si="43"/>
        <v>N</v>
      </c>
      <c r="BA15" s="1">
        <f t="shared" si="44"/>
        <v>10.370000000000005</v>
      </c>
      <c r="BB15" s="1">
        <f t="shared" si="45"/>
        <v>-9.6000000000000014</v>
      </c>
      <c r="BC15" s="1">
        <f t="shared" si="46"/>
        <v>14.340000000000003</v>
      </c>
      <c r="BD15" s="1">
        <f t="shared" si="47"/>
        <v>-8.75</v>
      </c>
    </row>
    <row r="16" spans="1:56" hidden="1" x14ac:dyDescent="0.35">
      <c r="A16" s="42" t="s">
        <v>29</v>
      </c>
      <c r="B16" s="1" t="s">
        <v>1017</v>
      </c>
      <c r="C16" s="1" t="s">
        <v>52</v>
      </c>
      <c r="D16" s="1" t="s">
        <v>199</v>
      </c>
      <c r="E16" s="1">
        <f>VLOOKUP(A16,symbol_2[[symbol]:[Price1]],2,)</f>
        <v>307</v>
      </c>
      <c r="F16" s="1">
        <f>VLOOKUP(A16,symbol_2[[symbol]:[Price2]],6,)</f>
        <v>305.89999999999998</v>
      </c>
      <c r="G16" s="1">
        <f>VLOOKUP(A16,symbol_2[[symbol]:[Price3]],10,)</f>
        <v>299.75</v>
      </c>
      <c r="H16" s="1">
        <f>VLOOKUP(A16,symbol_2[[symbol]:[Price4]],14,)</f>
        <v>288.2</v>
      </c>
      <c r="I16" s="1">
        <f>VLOOKUP(A16,symbol_2[[symbol]:[Price5]],18,)</f>
        <v>290.45</v>
      </c>
      <c r="J16" s="49" t="str">
        <f t="shared" si="24"/>
        <v>N</v>
      </c>
      <c r="K16" s="49" t="str">
        <f t="shared" si="25"/>
        <v>N</v>
      </c>
      <c r="L16" s="49" t="str">
        <f t="shared" si="26"/>
        <v>N</v>
      </c>
      <c r="M16" s="49" t="str">
        <f t="shared" si="27"/>
        <v>Y</v>
      </c>
      <c r="N16" s="52">
        <f t="shared" si="28"/>
        <v>-0.35830618892508886</v>
      </c>
      <c r="O16" s="52">
        <f t="shared" si="29"/>
        <v>-2.0104609349460536</v>
      </c>
      <c r="P16" s="52">
        <f t="shared" si="30"/>
        <v>-3.8532110091743155</v>
      </c>
      <c r="Q16" s="52">
        <f t="shared" si="31"/>
        <v>0.78070784177654406</v>
      </c>
      <c r="R16" s="1">
        <f>VLOOKUP(A16,symbol_2[[symbol]:[TV1]],3,)</f>
        <v>11.01</v>
      </c>
      <c r="S16" s="1">
        <f>VLOOKUP(A16,symbol_2[[symbol]:[TV2]],7,)</f>
        <v>10.52</v>
      </c>
      <c r="T16" s="1">
        <f>VLOOKUP(A16,symbol_2[[symbol]:[TV3]],11,)</f>
        <v>13.74</v>
      </c>
      <c r="U16" s="1">
        <f>VLOOKUP(A16,symbol_2[[symbol]:[TV4]],15,)</f>
        <v>31.38</v>
      </c>
      <c r="V16" s="1">
        <f>VLOOKUP(A16,symbol_2[[symbol]:[TV5]],19,)</f>
        <v>10.88</v>
      </c>
      <c r="W16" s="1" t="str">
        <f t="shared" si="32"/>
        <v>N</v>
      </c>
      <c r="X16" s="1" t="str">
        <f t="shared" si="33"/>
        <v>Y</v>
      </c>
      <c r="Y16" s="1" t="str">
        <f t="shared" si="34"/>
        <v>Y</v>
      </c>
      <c r="Z16" s="1" t="str">
        <f t="shared" si="35"/>
        <v>N</v>
      </c>
      <c r="AA16" s="1">
        <f>VLOOKUP(A16,symbol_2[[symbol]:[TradedValue1]],4,)</f>
        <v>3360.22</v>
      </c>
      <c r="AB16" s="1">
        <f>VLOOKUP(A16,symbol_2[[symbol]:[TradedValue2]],8,)</f>
        <v>3237.79</v>
      </c>
      <c r="AC16" s="1">
        <f>VLOOKUP(A16,symbol_2[[symbol]:[TradedValue3]],12,)</f>
        <v>4114.1499999999996</v>
      </c>
      <c r="AD16" s="1">
        <f>VLOOKUP(A16,symbol_2[[symbol]:[TradedValue4]],16,)</f>
        <v>9249.56</v>
      </c>
      <c r="AE16" s="1">
        <f>VLOOKUP(A16,symbol_2[[symbol]:[TradedValue5]],20,)</f>
        <v>3153.25</v>
      </c>
      <c r="AF16" s="1">
        <f>Table2[[#This Row],[TradedValue2]]-Table2[[#This Row],[TradedValue1]]</f>
        <v>-122.42999999999984</v>
      </c>
      <c r="AG16" s="1">
        <f>Table2[[#This Row],[TradedValue3]]-Table2[[#This Row],[TradedValue2]]</f>
        <v>876.35999999999967</v>
      </c>
      <c r="AH16" s="1">
        <f>Table2[[#This Row],[TradedValue4]]-Table2[[#This Row],[TradedValue3]]</f>
        <v>5135.41</v>
      </c>
      <c r="AI16" s="1">
        <f>Table2[[#This Row],[TradedValue5]]-Table2[[#This Row],[TradedValue4]]</f>
        <v>-6096.3099999999995</v>
      </c>
      <c r="AJ16" s="49" t="str">
        <f>IF(Table2[[#This Row],[TradedValue2]]&gt;Table2[[#This Row],[TradedValue1]],"Y","N")</f>
        <v>N</v>
      </c>
      <c r="AK16" s="49" t="str">
        <f>IF(Table2[[#This Row],[TradedValue3]]&gt;Table2[[#This Row],[TradedValue2]],"Y","N")</f>
        <v>Y</v>
      </c>
      <c r="AL16" s="49" t="str">
        <f>IF(Table2[[#This Row],[TradedValue5]]&gt;Table2[[#This Row],[TradedValue3]],"Y","N")</f>
        <v>N</v>
      </c>
      <c r="AM16" s="49" t="str">
        <f>IF(Table2[[#This Row],[TradedValue5]]&gt;Table2[[#This Row],[TradedValue4]],"Y","N")</f>
        <v>N</v>
      </c>
      <c r="AN16" s="1">
        <f t="shared" si="36"/>
        <v>-0.49000000000000021</v>
      </c>
      <c r="AO16" s="1">
        <f t="shared" si="37"/>
        <v>3.2200000000000006</v>
      </c>
      <c r="AP16" s="1">
        <f t="shared" si="38"/>
        <v>17.64</v>
      </c>
      <c r="AQ16" s="1">
        <f t="shared" si="39"/>
        <v>-20.5</v>
      </c>
      <c r="AR16" s="1">
        <f>VLOOKUP(A16,symbol_2[[symbol]:[DelPer1]],5,)</f>
        <v>62.98</v>
      </c>
      <c r="AS16" s="1">
        <f>VLOOKUP(A16,symbol_2[[symbol]:[DelPer2]],9,)</f>
        <v>48.64</v>
      </c>
      <c r="AT16" s="1">
        <f>VLOOKUP(A16,symbol_2[[symbol]:[DelPer3]],13,)</f>
        <v>58.91</v>
      </c>
      <c r="AU16" s="1">
        <f>VLOOKUP(A16,symbol_2[[symbol]:[DelPer4]],17,)</f>
        <v>64.59</v>
      </c>
      <c r="AV16" s="1">
        <f>VLOOKUP(A16,symbol_2[[symbol]:[DelPer5]],21,)</f>
        <v>57.13</v>
      </c>
      <c r="AW16" s="49" t="str">
        <f t="shared" si="40"/>
        <v>N</v>
      </c>
      <c r="AX16" s="49" t="str">
        <f t="shared" si="41"/>
        <v>Y</v>
      </c>
      <c r="AY16" s="49" t="str">
        <f t="shared" si="42"/>
        <v>Y</v>
      </c>
      <c r="AZ16" s="49" t="str">
        <f t="shared" si="43"/>
        <v>N</v>
      </c>
      <c r="BA16" s="1">
        <f t="shared" si="44"/>
        <v>-14.339999999999996</v>
      </c>
      <c r="BB16" s="1">
        <f t="shared" si="45"/>
        <v>10.269999999999996</v>
      </c>
      <c r="BC16" s="1">
        <f t="shared" si="46"/>
        <v>5.6800000000000068</v>
      </c>
      <c r="BD16" s="1">
        <f t="shared" si="47"/>
        <v>-7.4600000000000009</v>
      </c>
    </row>
    <row r="17" spans="1:56" hidden="1" x14ac:dyDescent="0.35">
      <c r="A17" s="116" t="s">
        <v>168</v>
      </c>
      <c r="B17" s="1" t="s">
        <v>1006</v>
      </c>
      <c r="C17" s="1" t="s">
        <v>52</v>
      </c>
      <c r="D17" s="1" t="s">
        <v>199</v>
      </c>
      <c r="E17" s="1">
        <f>VLOOKUP(A17,symbol_2[[symbol]:[Price1]],2,)</f>
        <v>145.55000000000001</v>
      </c>
      <c r="F17" s="1">
        <f>VLOOKUP(A17,symbol_2[[symbol]:[Price2]],6,)</f>
        <v>140.35</v>
      </c>
      <c r="G17" s="1">
        <f>VLOOKUP(A17,symbol_2[[symbol]:[Price3]],10,)</f>
        <v>141.80000000000001</v>
      </c>
      <c r="H17" s="1">
        <f>VLOOKUP(A17,symbol_2[[symbol]:[Price4]],14,)</f>
        <v>142.9</v>
      </c>
      <c r="I17" s="1">
        <f>VLOOKUP(A17,symbol_2[[symbol]:[Price5]],18,)</f>
        <v>144.4</v>
      </c>
      <c r="J17" s="49" t="str">
        <f t="shared" si="24"/>
        <v>N</v>
      </c>
      <c r="K17" s="49" t="str">
        <f t="shared" si="25"/>
        <v>Y</v>
      </c>
      <c r="L17" s="49" t="str">
        <f t="shared" si="26"/>
        <v>Y</v>
      </c>
      <c r="M17" s="49" t="str">
        <f t="shared" si="27"/>
        <v>Y</v>
      </c>
      <c r="N17" s="52">
        <f t="shared" si="28"/>
        <v>-3.5726554448643193</v>
      </c>
      <c r="O17" s="52">
        <f t="shared" si="29"/>
        <v>1.0331314570716188</v>
      </c>
      <c r="P17" s="52">
        <f t="shared" si="30"/>
        <v>0.77574047954865599</v>
      </c>
      <c r="Q17" s="52">
        <f t="shared" si="31"/>
        <v>1.0496850944716585</v>
      </c>
      <c r="R17" s="1">
        <f>VLOOKUP(A17,symbol_2[[symbol]:[TV1]],3,)</f>
        <v>4.71</v>
      </c>
      <c r="S17" s="1">
        <f>VLOOKUP(A17,symbol_2[[symbol]:[TV2]],7,)</f>
        <v>4.55</v>
      </c>
      <c r="T17" s="1">
        <f>VLOOKUP(A17,symbol_2[[symbol]:[TV3]],11,)</f>
        <v>2.56</v>
      </c>
      <c r="U17" s="1">
        <f>VLOOKUP(A17,symbol_2[[symbol]:[TV4]],15,)</f>
        <v>6.21</v>
      </c>
      <c r="V17" s="1">
        <f>VLOOKUP(A17,symbol_2[[symbol]:[TV5]],19,)</f>
        <v>3.04</v>
      </c>
      <c r="W17" s="1" t="str">
        <f t="shared" si="32"/>
        <v>N</v>
      </c>
      <c r="X17" s="1" t="str">
        <f t="shared" si="33"/>
        <v>N</v>
      </c>
      <c r="Y17" s="1" t="str">
        <f t="shared" si="34"/>
        <v>Y</v>
      </c>
      <c r="Z17" s="1" t="str">
        <f t="shared" si="35"/>
        <v>N</v>
      </c>
      <c r="AA17" s="1">
        <f>VLOOKUP(A17,symbol_2[[symbol]:[TradedValue1]],4,)</f>
        <v>680.26</v>
      </c>
      <c r="AB17" s="1">
        <f>VLOOKUP(A17,symbol_2[[symbol]:[TradedValue2]],8,)</f>
        <v>641.9</v>
      </c>
      <c r="AC17" s="1">
        <f>VLOOKUP(A17,symbol_2[[symbol]:[TradedValue3]],12,)</f>
        <v>360.71</v>
      </c>
      <c r="AD17" s="1">
        <f>VLOOKUP(A17,symbol_2[[symbol]:[TradedValue4]],16,)</f>
        <v>910.37</v>
      </c>
      <c r="AE17" s="1">
        <f>VLOOKUP(A17,symbol_2[[symbol]:[TradedValue5]],20,)</f>
        <v>437.52</v>
      </c>
      <c r="AF17" s="1">
        <f>Table2[[#This Row],[TradedValue2]]-Table2[[#This Row],[TradedValue1]]</f>
        <v>-38.360000000000014</v>
      </c>
      <c r="AG17" s="1">
        <f>Table2[[#This Row],[TradedValue3]]-Table2[[#This Row],[TradedValue2]]</f>
        <v>-281.19</v>
      </c>
      <c r="AH17" s="1">
        <f>Table2[[#This Row],[TradedValue4]]-Table2[[#This Row],[TradedValue3]]</f>
        <v>549.66000000000008</v>
      </c>
      <c r="AI17" s="1">
        <f>Table2[[#This Row],[TradedValue5]]-Table2[[#This Row],[TradedValue4]]</f>
        <v>-472.85</v>
      </c>
      <c r="AJ17" s="49" t="str">
        <f>IF(Table2[[#This Row],[TradedValue2]]&gt;Table2[[#This Row],[TradedValue1]],"Y","N")</f>
        <v>N</v>
      </c>
      <c r="AK17" s="49" t="str">
        <f>IF(Table2[[#This Row],[TradedValue3]]&gt;Table2[[#This Row],[TradedValue2]],"Y","N")</f>
        <v>N</v>
      </c>
      <c r="AL17" s="49" t="str">
        <f>IF(Table2[[#This Row],[TradedValue5]]&gt;Table2[[#This Row],[TradedValue3]],"Y","N")</f>
        <v>Y</v>
      </c>
      <c r="AM17" s="49" t="str">
        <f>IF(Table2[[#This Row],[TradedValue5]]&gt;Table2[[#This Row],[TradedValue4]],"Y","N")</f>
        <v>N</v>
      </c>
      <c r="AN17" s="1">
        <f t="shared" si="36"/>
        <v>-0.16000000000000014</v>
      </c>
      <c r="AO17" s="1">
        <f t="shared" si="37"/>
        <v>-1.9899999999999998</v>
      </c>
      <c r="AP17" s="1">
        <f t="shared" si="38"/>
        <v>3.65</v>
      </c>
      <c r="AQ17" s="1">
        <f t="shared" si="39"/>
        <v>-3.17</v>
      </c>
      <c r="AR17" s="1">
        <f>VLOOKUP(A17,symbol_2[[symbol]:[DelPer1]],5,)</f>
        <v>31.19</v>
      </c>
      <c r="AS17" s="1">
        <f>VLOOKUP(A17,symbol_2[[symbol]:[DelPer2]],9,)</f>
        <v>43.79</v>
      </c>
      <c r="AT17" s="1">
        <f>VLOOKUP(A17,symbol_2[[symbol]:[DelPer3]],13,)</f>
        <v>22.06</v>
      </c>
      <c r="AU17" s="1">
        <f>VLOOKUP(A17,symbol_2[[symbol]:[DelPer4]],17,)</f>
        <v>30.07</v>
      </c>
      <c r="AV17" s="1">
        <f>VLOOKUP(A17,symbol_2[[symbol]:[DelPer5]],21,)</f>
        <v>35.93</v>
      </c>
      <c r="AW17" s="49" t="str">
        <f t="shared" si="40"/>
        <v>Y</v>
      </c>
      <c r="AX17" s="49" t="str">
        <f t="shared" si="41"/>
        <v>N</v>
      </c>
      <c r="AY17" s="49" t="str">
        <f t="shared" si="42"/>
        <v>Y</v>
      </c>
      <c r="AZ17" s="49" t="str">
        <f t="shared" si="43"/>
        <v>Y</v>
      </c>
      <c r="BA17" s="1">
        <f t="shared" si="44"/>
        <v>12.599999999999998</v>
      </c>
      <c r="BB17" s="1">
        <f t="shared" si="45"/>
        <v>-21.73</v>
      </c>
      <c r="BC17" s="1">
        <f t="shared" si="46"/>
        <v>8.0100000000000016</v>
      </c>
      <c r="BD17" s="1">
        <f t="shared" si="47"/>
        <v>5.8599999999999994</v>
      </c>
    </row>
    <row r="18" spans="1:56" hidden="1" x14ac:dyDescent="0.35">
      <c r="A18" s="116" t="s">
        <v>18</v>
      </c>
      <c r="B18" s="1" t="s">
        <v>1006</v>
      </c>
      <c r="C18" s="1" t="s">
        <v>52</v>
      </c>
      <c r="D18" s="1" t="s">
        <v>199</v>
      </c>
      <c r="E18" s="1">
        <f>VLOOKUP(A18,symbol_2[[symbol]:[Price1]],2,)</f>
        <v>2122.5</v>
      </c>
      <c r="F18" s="1">
        <f>VLOOKUP(A18,symbol_2[[symbol]:[Price2]],6,)</f>
        <v>2114.5</v>
      </c>
      <c r="G18" s="1">
        <f>VLOOKUP(A18,symbol_2[[symbol]:[Price3]],10,)</f>
        <v>2138.8000000000002</v>
      </c>
      <c r="H18" s="1">
        <f>VLOOKUP(A18,symbol_2[[symbol]:[Price4]],14,)</f>
        <v>2114.4</v>
      </c>
      <c r="I18" s="1">
        <f>VLOOKUP(A18,symbol_2[[symbol]:[Price5]],18,)</f>
        <v>2123.4</v>
      </c>
      <c r="J18" s="49" t="str">
        <f t="shared" si="24"/>
        <v>N</v>
      </c>
      <c r="K18" s="49" t="str">
        <f t="shared" si="25"/>
        <v>Y</v>
      </c>
      <c r="L18" s="49" t="str">
        <f t="shared" si="26"/>
        <v>N</v>
      </c>
      <c r="M18" s="49" t="str">
        <f t="shared" si="27"/>
        <v>Y</v>
      </c>
      <c r="N18" s="52">
        <f t="shared" si="28"/>
        <v>-0.37691401648998824</v>
      </c>
      <c r="O18" s="52">
        <f t="shared" si="29"/>
        <v>1.1492078505556955</v>
      </c>
      <c r="P18" s="52">
        <f t="shared" si="30"/>
        <v>-1.1408266317561291</v>
      </c>
      <c r="Q18" s="52">
        <f t="shared" si="31"/>
        <v>0.42565266742338248</v>
      </c>
      <c r="R18" s="1">
        <f>VLOOKUP(A18,symbol_2[[symbol]:[TV1]],3,)</f>
        <v>6.21</v>
      </c>
      <c r="S18" s="1">
        <f>VLOOKUP(A18,symbol_2[[symbol]:[TV2]],7,)</f>
        <v>5.58</v>
      </c>
      <c r="T18" s="1">
        <f>VLOOKUP(A18,symbol_2[[symbol]:[TV3]],11,)</f>
        <v>3.08</v>
      </c>
      <c r="U18" s="1">
        <f>VLOOKUP(A18,symbol_2[[symbol]:[TV4]],15,)</f>
        <v>7.62</v>
      </c>
      <c r="V18" s="1">
        <f>VLOOKUP(A18,symbol_2[[symbol]:[TV5]],19,)</f>
        <v>3.31</v>
      </c>
      <c r="W18" s="1" t="str">
        <f t="shared" si="32"/>
        <v>N</v>
      </c>
      <c r="X18" s="1" t="str">
        <f t="shared" si="33"/>
        <v>N</v>
      </c>
      <c r="Y18" s="1" t="str">
        <f t="shared" si="34"/>
        <v>Y</v>
      </c>
      <c r="Z18" s="1" t="str">
        <f t="shared" si="35"/>
        <v>N</v>
      </c>
      <c r="AA18" s="1">
        <f>VLOOKUP(A18,symbol_2[[symbol]:[TradedValue1]],4,)</f>
        <v>13008.73</v>
      </c>
      <c r="AB18" s="1">
        <f>VLOOKUP(A18,symbol_2[[symbol]:[TradedValue2]],8,)</f>
        <v>11959.9</v>
      </c>
      <c r="AC18" s="1">
        <f>VLOOKUP(A18,symbol_2[[symbol]:[TradedValue3]],12,)</f>
        <v>6579.04</v>
      </c>
      <c r="AD18" s="1">
        <f>VLOOKUP(A18,symbol_2[[symbol]:[TradedValue4]],16,)</f>
        <v>16525.099999999999</v>
      </c>
      <c r="AE18" s="1">
        <f>VLOOKUP(A18,symbol_2[[symbol]:[TradedValue5]],20,)</f>
        <v>7013.7</v>
      </c>
      <c r="AF18" s="1">
        <f>Table2[[#This Row],[TradedValue2]]-Table2[[#This Row],[TradedValue1]]</f>
        <v>-1048.83</v>
      </c>
      <c r="AG18" s="1">
        <f>Table2[[#This Row],[TradedValue3]]-Table2[[#This Row],[TradedValue2]]</f>
        <v>-5380.86</v>
      </c>
      <c r="AH18" s="1">
        <f>Table2[[#This Row],[TradedValue4]]-Table2[[#This Row],[TradedValue3]]</f>
        <v>9946.0599999999977</v>
      </c>
      <c r="AI18" s="1">
        <f>Table2[[#This Row],[TradedValue5]]-Table2[[#This Row],[TradedValue4]]</f>
        <v>-9511.3999999999978</v>
      </c>
      <c r="AJ18" s="49" t="str">
        <f>IF(Table2[[#This Row],[TradedValue2]]&gt;Table2[[#This Row],[TradedValue1]],"Y","N")</f>
        <v>N</v>
      </c>
      <c r="AK18" s="49" t="str">
        <f>IF(Table2[[#This Row],[TradedValue3]]&gt;Table2[[#This Row],[TradedValue2]],"Y","N")</f>
        <v>N</v>
      </c>
      <c r="AL18" s="49" t="str">
        <f>IF(Table2[[#This Row],[TradedValue5]]&gt;Table2[[#This Row],[TradedValue3]],"Y","N")</f>
        <v>Y</v>
      </c>
      <c r="AM18" s="49" t="str">
        <f>IF(Table2[[#This Row],[TradedValue5]]&gt;Table2[[#This Row],[TradedValue4]],"Y","N")</f>
        <v>N</v>
      </c>
      <c r="AN18" s="1">
        <f t="shared" si="36"/>
        <v>-0.62999999999999989</v>
      </c>
      <c r="AO18" s="1">
        <f t="shared" si="37"/>
        <v>-2.5</v>
      </c>
      <c r="AP18" s="1">
        <f t="shared" si="38"/>
        <v>4.54</v>
      </c>
      <c r="AQ18" s="1">
        <f t="shared" si="39"/>
        <v>-4.3100000000000005</v>
      </c>
      <c r="AR18" s="1">
        <f>VLOOKUP(A18,symbol_2[[symbol]:[DelPer1]],5,)</f>
        <v>64.95</v>
      </c>
      <c r="AS18" s="1">
        <f>VLOOKUP(A18,symbol_2[[symbol]:[DelPer2]],9,)</f>
        <v>63.95</v>
      </c>
      <c r="AT18" s="1">
        <f>VLOOKUP(A18,symbol_2[[symbol]:[DelPer3]],13,)</f>
        <v>59.93</v>
      </c>
      <c r="AU18" s="1">
        <f>VLOOKUP(A18,symbol_2[[symbol]:[DelPer4]],17,)</f>
        <v>62.26</v>
      </c>
      <c r="AV18" s="1">
        <f>VLOOKUP(A18,symbol_2[[symbol]:[DelPer5]],21,)</f>
        <v>53.51</v>
      </c>
      <c r="AW18" s="49" t="str">
        <f t="shared" si="40"/>
        <v>N</v>
      </c>
      <c r="AX18" s="49" t="str">
        <f t="shared" si="41"/>
        <v>N</v>
      </c>
      <c r="AY18" s="49" t="str">
        <f t="shared" si="42"/>
        <v>Y</v>
      </c>
      <c r="AZ18" s="49" t="str">
        <f t="shared" si="43"/>
        <v>N</v>
      </c>
      <c r="BA18" s="1">
        <f t="shared" si="44"/>
        <v>-1</v>
      </c>
      <c r="BB18" s="1">
        <f t="shared" si="45"/>
        <v>-4.0200000000000031</v>
      </c>
      <c r="BC18" s="1">
        <f t="shared" si="46"/>
        <v>2.3299999999999983</v>
      </c>
      <c r="BD18" s="1">
        <f t="shared" si="47"/>
        <v>-8.75</v>
      </c>
    </row>
    <row r="19" spans="1:56" hidden="1" x14ac:dyDescent="0.35">
      <c r="A19" s="1" t="s">
        <v>40</v>
      </c>
      <c r="B19" s="1" t="s">
        <v>1009</v>
      </c>
      <c r="C19" s="1" t="s">
        <v>52</v>
      </c>
      <c r="D19" s="1" t="s">
        <v>199</v>
      </c>
      <c r="E19" s="1">
        <f>VLOOKUP(A19,symbol_2[[symbol]:[Price1]],2,)</f>
        <v>413.5</v>
      </c>
      <c r="F19" s="1">
        <f>VLOOKUP(A19,symbol_2[[symbol]:[Price2]],6,)</f>
        <v>408.85</v>
      </c>
      <c r="G19" s="1">
        <f>VLOOKUP(A19,symbol_2[[symbol]:[Price3]],10,)</f>
        <v>421.2</v>
      </c>
      <c r="H19" s="1">
        <f>VLOOKUP(A19,symbol_2[[symbol]:[Price4]],14,)</f>
        <v>412.95</v>
      </c>
      <c r="I19" s="1">
        <f>VLOOKUP(A19,symbol_2[[symbol]:[Price5]],18,)</f>
        <v>415.75</v>
      </c>
      <c r="J19" s="49" t="str">
        <f t="shared" si="24"/>
        <v>N</v>
      </c>
      <c r="K19" s="49" t="str">
        <f t="shared" si="25"/>
        <v>Y</v>
      </c>
      <c r="L19" s="49" t="str">
        <f t="shared" si="26"/>
        <v>N</v>
      </c>
      <c r="M19" s="49" t="str">
        <f t="shared" si="27"/>
        <v>Y</v>
      </c>
      <c r="N19" s="52">
        <f t="shared" si="28"/>
        <v>-1.1245465538089425</v>
      </c>
      <c r="O19" s="52">
        <f t="shared" si="29"/>
        <v>3.0206677265500708</v>
      </c>
      <c r="P19" s="52">
        <f t="shared" si="30"/>
        <v>-1.958689458689459</v>
      </c>
      <c r="Q19" s="52">
        <f t="shared" si="31"/>
        <v>0.67804818985349602</v>
      </c>
      <c r="R19" s="1">
        <f>VLOOKUP(A19,symbol_2[[symbol]:[TV1]],3,)</f>
        <v>3.81</v>
      </c>
      <c r="S19" s="1">
        <f>VLOOKUP(A19,symbol_2[[symbol]:[TV2]],7,)</f>
        <v>6.23</v>
      </c>
      <c r="T19" s="1">
        <f>VLOOKUP(A19,symbol_2[[symbol]:[TV3]],11,)</f>
        <v>7.28</v>
      </c>
      <c r="U19" s="1">
        <f>VLOOKUP(A19,symbol_2[[symbol]:[TV4]],15,)</f>
        <v>5.91</v>
      </c>
      <c r="V19" s="1">
        <f>VLOOKUP(A19,symbol_2[[symbol]:[TV5]],19,)</f>
        <v>3.01</v>
      </c>
      <c r="W19" s="1" t="str">
        <f t="shared" si="32"/>
        <v>Y</v>
      </c>
      <c r="X19" s="1" t="str">
        <f t="shared" si="33"/>
        <v>Y</v>
      </c>
      <c r="Y19" s="1" t="str">
        <f t="shared" si="34"/>
        <v>N</v>
      </c>
      <c r="Z19" s="1" t="str">
        <f t="shared" si="35"/>
        <v>N</v>
      </c>
      <c r="AA19" s="1">
        <f>VLOOKUP(A21,symbol_2[[symbol]:[TradedValue1]],4,)</f>
        <v>2897.3</v>
      </c>
      <c r="AB19" s="1">
        <f>VLOOKUP(A19,symbol_2[[symbol]:[TradedValue2]],8,)</f>
        <v>2584.15</v>
      </c>
      <c r="AC19" s="1">
        <f>VLOOKUP(A19,symbol_2[[symbol]:[TradedValue3]],12,)</f>
        <v>3049.54</v>
      </c>
      <c r="AD19" s="1">
        <f>VLOOKUP(A19,symbol_2[[symbol]:[TradedValue4]],16,)</f>
        <v>2474.66</v>
      </c>
      <c r="AE19" s="1">
        <f>VLOOKUP(A19,symbol_2[[symbol]:[TradedValue5]],20,)</f>
        <v>1249.3800000000001</v>
      </c>
      <c r="AF19" s="1">
        <f>Table2[[#This Row],[TradedValue2]]-Table2[[#This Row],[TradedValue1]]</f>
        <v>-313.15000000000009</v>
      </c>
      <c r="AG19" s="1">
        <f>Table2[[#This Row],[TradedValue3]]-Table2[[#This Row],[TradedValue2]]</f>
        <v>465.38999999999987</v>
      </c>
      <c r="AH19" s="1">
        <f>Table2[[#This Row],[TradedValue4]]-Table2[[#This Row],[TradedValue3]]</f>
        <v>-574.88000000000011</v>
      </c>
      <c r="AI19" s="1">
        <f>Table2[[#This Row],[TradedValue5]]-Table2[[#This Row],[TradedValue4]]</f>
        <v>-1225.2799999999997</v>
      </c>
      <c r="AJ19" s="49" t="str">
        <f>IF(Table2[[#This Row],[TradedValue2]]&gt;Table2[[#This Row],[TradedValue1]],"Y","N")</f>
        <v>N</v>
      </c>
      <c r="AK19" s="49" t="str">
        <f>IF(Table2[[#This Row],[TradedValue3]]&gt;Table2[[#This Row],[TradedValue2]],"Y","N")</f>
        <v>Y</v>
      </c>
      <c r="AL19" s="49" t="str">
        <f>IF(Table2[[#This Row],[TradedValue5]]&gt;Table2[[#This Row],[TradedValue3]],"Y","N")</f>
        <v>N</v>
      </c>
      <c r="AM19" s="49" t="str">
        <f>IF(Table2[[#This Row],[TradedValue5]]&gt;Table2[[#This Row],[TradedValue4]],"Y","N")</f>
        <v>N</v>
      </c>
      <c r="AN19" s="1">
        <f t="shared" si="36"/>
        <v>2.4200000000000004</v>
      </c>
      <c r="AO19" s="1">
        <f t="shared" si="37"/>
        <v>1.0499999999999998</v>
      </c>
      <c r="AP19" s="1">
        <f t="shared" si="38"/>
        <v>-1.37</v>
      </c>
      <c r="AQ19" s="1">
        <f t="shared" si="39"/>
        <v>-2.9000000000000004</v>
      </c>
      <c r="AR19" s="1">
        <f>VLOOKUP(A19,symbol_2[[symbol]:[DelPer1]],5,)</f>
        <v>16.34</v>
      </c>
      <c r="AS19" s="1">
        <f>VLOOKUP(A19,symbol_2[[symbol]:[DelPer2]],9,)</f>
        <v>25.68</v>
      </c>
      <c r="AT19" s="1">
        <f>VLOOKUP(A19,symbol_2[[symbol]:[DelPer3]],13,)</f>
        <v>22.68</v>
      </c>
      <c r="AU19" s="1">
        <f>VLOOKUP(A19,symbol_2[[symbol]:[DelPer4]],17,)</f>
        <v>32.03</v>
      </c>
      <c r="AV19" s="1">
        <f>VLOOKUP(A19,symbol_2[[symbol]:[DelPer5]],21,)</f>
        <v>27.18</v>
      </c>
      <c r="AW19" s="49" t="str">
        <f t="shared" si="40"/>
        <v>Y</v>
      </c>
      <c r="AX19" s="49" t="str">
        <f t="shared" si="41"/>
        <v>N</v>
      </c>
      <c r="AY19" s="49" t="str">
        <f t="shared" si="42"/>
        <v>Y</v>
      </c>
      <c r="AZ19" s="49" t="str">
        <f t="shared" si="43"/>
        <v>N</v>
      </c>
      <c r="BA19" s="1">
        <f t="shared" si="44"/>
        <v>9.34</v>
      </c>
      <c r="BB19" s="1">
        <f t="shared" si="45"/>
        <v>-3</v>
      </c>
      <c r="BC19" s="1">
        <f t="shared" si="46"/>
        <v>9.3500000000000014</v>
      </c>
      <c r="BD19" s="1">
        <f t="shared" si="47"/>
        <v>-4.8500000000000014</v>
      </c>
    </row>
    <row r="20" spans="1:56" hidden="1" x14ac:dyDescent="0.35">
      <c r="A20" s="116" t="s">
        <v>17</v>
      </c>
      <c r="B20" s="1" t="s">
        <v>1010</v>
      </c>
      <c r="C20" s="1" t="s">
        <v>52</v>
      </c>
      <c r="D20" s="1" t="s">
        <v>199</v>
      </c>
      <c r="E20" s="1">
        <f>VLOOKUP(A20,symbol_2[[symbol]:[Price1]],2,)</f>
        <v>1073.55</v>
      </c>
      <c r="F20" s="1">
        <f>VLOOKUP(A20,symbol_2[[symbol]:[Price2]],6,)</f>
        <v>1056.0999999999999</v>
      </c>
      <c r="G20" s="1">
        <f>VLOOKUP(A20,symbol_2[[symbol]:[Price3]],10,)</f>
        <v>1061</v>
      </c>
      <c r="H20" s="1">
        <f>VLOOKUP(A20,symbol_2[[symbol]:[Price4]],14,)</f>
        <v>1066.4000000000001</v>
      </c>
      <c r="I20" s="1">
        <f>VLOOKUP(A20,symbol_2[[symbol]:[Price5]],18,)</f>
        <v>1065.95</v>
      </c>
      <c r="J20" s="49" t="str">
        <f t="shared" si="24"/>
        <v>N</v>
      </c>
      <c r="K20" s="49" t="str">
        <f t="shared" si="25"/>
        <v>Y</v>
      </c>
      <c r="L20" s="49" t="str">
        <f t="shared" si="26"/>
        <v>Y</v>
      </c>
      <c r="M20" s="49" t="str">
        <f t="shared" si="27"/>
        <v>N</v>
      </c>
      <c r="N20" s="52">
        <f t="shared" si="28"/>
        <v>-1.6254482790741043</v>
      </c>
      <c r="O20" s="52">
        <f t="shared" si="29"/>
        <v>0.46397121484708753</v>
      </c>
      <c r="P20" s="52">
        <f t="shared" si="30"/>
        <v>0.50895381715363719</v>
      </c>
      <c r="Q20" s="52">
        <f t="shared" si="31"/>
        <v>-4.2198049512382353E-2</v>
      </c>
      <c r="R20" s="1">
        <f>VLOOKUP(A20,symbol_2[[symbol]:[TV1]],3,)</f>
        <v>1.19</v>
      </c>
      <c r="S20" s="1">
        <f>VLOOKUP(A20,symbol_2[[symbol]:[TV2]],7,)</f>
        <v>0.81</v>
      </c>
      <c r="T20" s="1">
        <f>VLOOKUP(A20,symbol_2[[symbol]:[TV3]],11,)</f>
        <v>1.71</v>
      </c>
      <c r="U20" s="1">
        <f>VLOOKUP(A20,symbol_2[[symbol]:[TV4]],15,)</f>
        <v>1.94</v>
      </c>
      <c r="V20" s="1">
        <f>VLOOKUP(A20,symbol_2[[symbol]:[TV5]],19,)</f>
        <v>2.17</v>
      </c>
      <c r="W20" s="1" t="str">
        <f t="shared" si="32"/>
        <v>N</v>
      </c>
      <c r="X20" s="1" t="str">
        <f t="shared" si="33"/>
        <v>Y</v>
      </c>
      <c r="Y20" s="1" t="str">
        <f t="shared" si="34"/>
        <v>Y</v>
      </c>
      <c r="Z20" s="1" t="str">
        <f t="shared" si="35"/>
        <v>Y</v>
      </c>
      <c r="AA20" s="1">
        <f>VLOOKUP(A22,symbol_2[[symbol]:[TradedValue1]],4,)</f>
        <v>2031.23</v>
      </c>
      <c r="AB20" s="1">
        <f>VLOOKUP(A20,symbol_2[[symbol]:[TradedValue2]],8,)</f>
        <v>857.16</v>
      </c>
      <c r="AC20" s="1">
        <f>VLOOKUP(A20,symbol_2[[symbol]:[TradedValue3]],12,)</f>
        <v>1818.44</v>
      </c>
      <c r="AD20" s="1">
        <f>VLOOKUP(A20,symbol_2[[symbol]:[TradedValue4]],16,)</f>
        <v>2065.88</v>
      </c>
      <c r="AE20" s="1">
        <f>VLOOKUP(A20,symbol_2[[symbol]:[TradedValue5]],20,)</f>
        <v>2301.4899999999998</v>
      </c>
      <c r="AF20" s="1">
        <f>Table2[[#This Row],[TradedValue2]]-Table2[[#This Row],[TradedValue1]]</f>
        <v>-1174.0700000000002</v>
      </c>
      <c r="AG20" s="1">
        <f>Table2[[#This Row],[TradedValue3]]-Table2[[#This Row],[TradedValue2]]</f>
        <v>961.28000000000009</v>
      </c>
      <c r="AH20" s="1">
        <f>Table2[[#This Row],[TradedValue4]]-Table2[[#This Row],[TradedValue3]]</f>
        <v>247.44000000000005</v>
      </c>
      <c r="AI20" s="1">
        <f>Table2[[#This Row],[TradedValue5]]-Table2[[#This Row],[TradedValue4]]</f>
        <v>235.60999999999967</v>
      </c>
      <c r="AJ20" s="49" t="str">
        <f>IF(Table2[[#This Row],[TradedValue2]]&gt;Table2[[#This Row],[TradedValue1]],"Y","N")</f>
        <v>N</v>
      </c>
      <c r="AK20" s="49" t="str">
        <f>IF(Table2[[#This Row],[TradedValue3]]&gt;Table2[[#This Row],[TradedValue2]],"Y","N")</f>
        <v>Y</v>
      </c>
      <c r="AL20" s="49" t="str">
        <f>IF(Table2[[#This Row],[TradedValue5]]&gt;Table2[[#This Row],[TradedValue3]],"Y","N")</f>
        <v>Y</v>
      </c>
      <c r="AM20" s="49" t="str">
        <f>IF(Table2[[#This Row],[TradedValue5]]&gt;Table2[[#This Row],[TradedValue4]],"Y","N")</f>
        <v>Y</v>
      </c>
      <c r="AN20" s="1">
        <f t="shared" si="36"/>
        <v>-0.37999999999999989</v>
      </c>
      <c r="AO20" s="1">
        <f t="shared" si="37"/>
        <v>0.89999999999999991</v>
      </c>
      <c r="AP20" s="1">
        <f t="shared" si="38"/>
        <v>0.22999999999999998</v>
      </c>
      <c r="AQ20" s="1">
        <f t="shared" si="39"/>
        <v>0.22999999999999998</v>
      </c>
      <c r="AR20" s="1">
        <f>VLOOKUP(A20,symbol_2[[symbol]:[DelPer1]],5,)</f>
        <v>44.43</v>
      </c>
      <c r="AS20" s="1">
        <f>VLOOKUP(A20,symbol_2[[symbol]:[DelPer2]],9,)</f>
        <v>60.84</v>
      </c>
      <c r="AT20" s="1">
        <f>VLOOKUP(A20,symbol_2[[symbol]:[DelPer3]],13,)</f>
        <v>60.48</v>
      </c>
      <c r="AU20" s="1">
        <f>VLOOKUP(A20,symbol_2[[symbol]:[DelPer4]],17,)</f>
        <v>63.54</v>
      </c>
      <c r="AV20" s="1">
        <f>VLOOKUP(A20,symbol_2[[symbol]:[DelPer5]],21,)</f>
        <v>72.42</v>
      </c>
      <c r="AW20" s="49" t="str">
        <f t="shared" si="40"/>
        <v>Y</v>
      </c>
      <c r="AX20" s="49" t="str">
        <f t="shared" si="41"/>
        <v>N</v>
      </c>
      <c r="AY20" s="49" t="str">
        <f t="shared" si="42"/>
        <v>Y</v>
      </c>
      <c r="AZ20" s="49" t="str">
        <f t="shared" si="43"/>
        <v>Y</v>
      </c>
      <c r="BA20" s="1">
        <f t="shared" si="44"/>
        <v>16.410000000000004</v>
      </c>
      <c r="BB20" s="1">
        <f t="shared" si="45"/>
        <v>-0.36000000000000654</v>
      </c>
      <c r="BC20" s="1">
        <f t="shared" si="46"/>
        <v>3.0600000000000023</v>
      </c>
      <c r="BD20" s="1">
        <f t="shared" si="47"/>
        <v>8.8800000000000026</v>
      </c>
    </row>
    <row r="21" spans="1:56" hidden="1" x14ac:dyDescent="0.35">
      <c r="A21" s="116" t="s">
        <v>45</v>
      </c>
      <c r="B21" s="1" t="s">
        <v>1010</v>
      </c>
      <c r="C21" s="1" t="s">
        <v>52</v>
      </c>
      <c r="D21" s="1" t="s">
        <v>199</v>
      </c>
      <c r="E21" s="1">
        <f>VLOOKUP(A21,symbol_2[[symbol]:[Price1]],2,)</f>
        <v>779.35</v>
      </c>
      <c r="F21" s="1">
        <f>VLOOKUP(A21,symbol_2[[symbol]:[Price2]],6,)</f>
        <v>773.05</v>
      </c>
      <c r="G21" s="1">
        <f>VLOOKUP(A21,symbol_2[[symbol]:[Price3]],10,)</f>
        <v>749.95</v>
      </c>
      <c r="H21" s="1">
        <f>VLOOKUP(A21,symbol_2[[symbol]:[Price4]],14,)</f>
        <v>743.3</v>
      </c>
      <c r="I21" s="1">
        <f>VLOOKUP(A21,symbol_2[[symbol]:[Price5]],18,)</f>
        <v>735.85</v>
      </c>
      <c r="J21" s="49" t="str">
        <f t="shared" si="24"/>
        <v>N</v>
      </c>
      <c r="K21" s="49" t="str">
        <f t="shared" si="25"/>
        <v>N</v>
      </c>
      <c r="L21" s="49" t="str">
        <f t="shared" si="26"/>
        <v>N</v>
      </c>
      <c r="M21" s="49" t="str">
        <f t="shared" si="27"/>
        <v>N</v>
      </c>
      <c r="N21" s="52">
        <f t="shared" si="28"/>
        <v>-0.80836594598063349</v>
      </c>
      <c r="O21" s="52">
        <f t="shared" si="29"/>
        <v>-2.9881637668973431</v>
      </c>
      <c r="P21" s="52">
        <f t="shared" si="30"/>
        <v>-0.88672578171879335</v>
      </c>
      <c r="Q21" s="52">
        <f t="shared" si="31"/>
        <v>-1.0022870980761378</v>
      </c>
      <c r="R21" s="1">
        <f>VLOOKUP(A21,symbol_2[[symbol]:[TV1]],3,)</f>
        <v>3.75</v>
      </c>
      <c r="S21" s="1">
        <f>VLOOKUP(A21,symbol_2[[symbol]:[TV2]],7,)</f>
        <v>1.67</v>
      </c>
      <c r="T21" s="1">
        <f>VLOOKUP(A21,symbol_2[[symbol]:[TV3]],11,)</f>
        <v>5.89</v>
      </c>
      <c r="U21" s="1">
        <f>VLOOKUP(A21,symbol_2[[symbol]:[TV4]],15,)</f>
        <v>3.76</v>
      </c>
      <c r="V21" s="1">
        <f>VLOOKUP(A21,symbol_2[[symbol]:[TV5]],19,)</f>
        <v>3.59</v>
      </c>
      <c r="W21" s="1" t="str">
        <f t="shared" si="32"/>
        <v>N</v>
      </c>
      <c r="X21" s="1" t="str">
        <f t="shared" si="33"/>
        <v>Y</v>
      </c>
      <c r="Y21" s="1" t="str">
        <f t="shared" si="34"/>
        <v>N</v>
      </c>
      <c r="Z21" s="1" t="str">
        <f t="shared" si="35"/>
        <v>N</v>
      </c>
      <c r="AA21" s="1">
        <f>VLOOKUP(A21,symbol_2[[symbol]:[TradedValue1]],4,)</f>
        <v>2897.3</v>
      </c>
      <c r="AB21" s="1">
        <f>VLOOKUP(A21,symbol_2[[symbol]:[TradedValue2]],8,)</f>
        <v>1293.8599999999999</v>
      </c>
      <c r="AC21" s="1">
        <f>VLOOKUP(A21,symbol_2[[symbol]:[TradedValue3]],12,)</f>
        <v>4429.74</v>
      </c>
      <c r="AD21" s="1">
        <f>VLOOKUP(A21,symbol_2[[symbol]:[TradedValue4]],16,)</f>
        <v>2819.14</v>
      </c>
      <c r="AE21" s="1">
        <f>VLOOKUP(A21,symbol_2[[symbol]:[TradedValue5]],20,)</f>
        <v>2645.89</v>
      </c>
      <c r="AF21" s="1">
        <f>Table2[[#This Row],[TradedValue2]]-Table2[[#This Row],[TradedValue1]]</f>
        <v>-1603.4400000000003</v>
      </c>
      <c r="AG21" s="1">
        <f>Table2[[#This Row],[TradedValue3]]-Table2[[#This Row],[TradedValue2]]</f>
        <v>3135.88</v>
      </c>
      <c r="AH21" s="1">
        <f>Table2[[#This Row],[TradedValue4]]-Table2[[#This Row],[TradedValue3]]</f>
        <v>-1610.6</v>
      </c>
      <c r="AI21" s="1">
        <f>Table2[[#This Row],[TradedValue5]]-Table2[[#This Row],[TradedValue4]]</f>
        <v>-173.25</v>
      </c>
      <c r="AJ21" s="49" t="str">
        <f>IF(Table2[[#This Row],[TradedValue2]]&gt;Table2[[#This Row],[TradedValue1]],"Y","N")</f>
        <v>N</v>
      </c>
      <c r="AK21" s="49" t="str">
        <f>IF(Table2[[#This Row],[TradedValue3]]&gt;Table2[[#This Row],[TradedValue2]],"Y","N")</f>
        <v>Y</v>
      </c>
      <c r="AL21" s="49" t="str">
        <f>IF(Table2[[#This Row],[TradedValue5]]&gt;Table2[[#This Row],[TradedValue3]],"Y","N")</f>
        <v>N</v>
      </c>
      <c r="AM21" s="49" t="str">
        <f>IF(Table2[[#This Row],[TradedValue5]]&gt;Table2[[#This Row],[TradedValue4]],"Y","N")</f>
        <v>N</v>
      </c>
      <c r="AN21" s="1">
        <f t="shared" si="36"/>
        <v>-2.08</v>
      </c>
      <c r="AO21" s="1">
        <f t="shared" si="37"/>
        <v>4.22</v>
      </c>
      <c r="AP21" s="1">
        <f t="shared" si="38"/>
        <v>-2.13</v>
      </c>
      <c r="AQ21" s="1">
        <f t="shared" si="39"/>
        <v>-0.16999999999999993</v>
      </c>
      <c r="AR21" s="1">
        <f>VLOOKUP(A21,symbol_2[[symbol]:[DelPer1]],5,)</f>
        <v>48.02</v>
      </c>
      <c r="AS21" s="1">
        <f>VLOOKUP(A21,symbol_2[[symbol]:[DelPer2]],9,)</f>
        <v>35.79</v>
      </c>
      <c r="AT21" s="1">
        <f>VLOOKUP(A21,symbol_2[[symbol]:[DelPer3]],13,)</f>
        <v>28.18</v>
      </c>
      <c r="AU21" s="1">
        <f>VLOOKUP(A21,symbol_2[[symbol]:[DelPer4]],17,)</f>
        <v>51.25</v>
      </c>
      <c r="AV21" s="1">
        <f>VLOOKUP(A21,symbol_2[[symbol]:[DelPer5]],21,)</f>
        <v>61.29</v>
      </c>
      <c r="AW21" s="49" t="str">
        <f t="shared" si="40"/>
        <v>N</v>
      </c>
      <c r="AX21" s="49" t="str">
        <f t="shared" si="41"/>
        <v>N</v>
      </c>
      <c r="AY21" s="49" t="str">
        <f t="shared" si="42"/>
        <v>Y</v>
      </c>
      <c r="AZ21" s="49" t="str">
        <f t="shared" si="43"/>
        <v>Y</v>
      </c>
      <c r="BA21" s="1">
        <f t="shared" si="44"/>
        <v>-12.230000000000004</v>
      </c>
      <c r="BB21" s="1">
        <f t="shared" si="45"/>
        <v>-7.6099999999999994</v>
      </c>
      <c r="BC21" s="1">
        <f t="shared" si="46"/>
        <v>23.07</v>
      </c>
      <c r="BD21" s="1">
        <f t="shared" si="47"/>
        <v>10.039999999999999</v>
      </c>
    </row>
    <row r="22" spans="1:56" hidden="1" x14ac:dyDescent="0.35">
      <c r="A22" s="116" t="s">
        <v>11</v>
      </c>
      <c r="B22" s="1" t="s">
        <v>1007</v>
      </c>
      <c r="C22" s="1" t="s">
        <v>52</v>
      </c>
      <c r="D22" s="1" t="s">
        <v>199</v>
      </c>
      <c r="E22" s="1">
        <f>VLOOKUP(A22,symbol_2[[symbol]:[Price1]],2,)</f>
        <v>391.8</v>
      </c>
      <c r="F22" s="1">
        <f>VLOOKUP(A22,symbol_2[[symbol]:[Price2]],6,)</f>
        <v>374.45</v>
      </c>
      <c r="G22" s="1">
        <f>VLOOKUP(A22,symbol_2[[symbol]:[Price3]],10,)</f>
        <v>384.25</v>
      </c>
      <c r="H22" s="1">
        <f>VLOOKUP(A22,symbol_2[[symbol]:[Price4]],14,)</f>
        <v>384.35</v>
      </c>
      <c r="I22" s="1">
        <f>VLOOKUP(A22,symbol_2[[symbol]:[Price5]],18,)</f>
        <v>395.45</v>
      </c>
      <c r="J22" s="49" t="str">
        <f t="shared" si="24"/>
        <v>N</v>
      </c>
      <c r="K22" s="49" t="str">
        <f t="shared" si="25"/>
        <v>Y</v>
      </c>
      <c r="L22" s="49" t="str">
        <f t="shared" si="26"/>
        <v>Y</v>
      </c>
      <c r="M22" s="49" t="str">
        <f t="shared" si="27"/>
        <v>Y</v>
      </c>
      <c r="N22" s="52">
        <f t="shared" si="28"/>
        <v>-4.4282797345584539</v>
      </c>
      <c r="O22" s="52">
        <f t="shared" si="29"/>
        <v>2.6171718520496761</v>
      </c>
      <c r="P22" s="52">
        <f t="shared" si="30"/>
        <v>2.6024723487318862E-2</v>
      </c>
      <c r="Q22" s="52">
        <f t="shared" si="31"/>
        <v>2.8879927149733224</v>
      </c>
      <c r="R22" s="1">
        <f>VLOOKUP(A22,symbol_2[[symbol]:[TV1]],3,)</f>
        <v>5.2</v>
      </c>
      <c r="S22" s="1">
        <f>VLOOKUP(A22,symbol_2[[symbol]:[TV2]],7,)</f>
        <v>8.3800000000000008</v>
      </c>
      <c r="T22" s="1">
        <f>VLOOKUP(A22,symbol_2[[symbol]:[TV3]],11,)</f>
        <v>7.76</v>
      </c>
      <c r="U22" s="1">
        <f>VLOOKUP(A22,symbol_2[[symbol]:[TV4]],15,)</f>
        <v>12.96</v>
      </c>
      <c r="V22" s="1">
        <f>VLOOKUP(A22,symbol_2[[symbol]:[TV5]],19,)</f>
        <v>9.9</v>
      </c>
      <c r="W22" s="1" t="str">
        <f t="shared" si="32"/>
        <v>Y</v>
      </c>
      <c r="X22" s="1" t="str">
        <f t="shared" si="33"/>
        <v>N</v>
      </c>
      <c r="Y22" s="1" t="str">
        <f t="shared" si="34"/>
        <v>Y</v>
      </c>
      <c r="Z22" s="1" t="str">
        <f t="shared" si="35"/>
        <v>N</v>
      </c>
      <c r="AA22" s="1">
        <f>VLOOKUP(A22,symbol_2[[symbol]:[TradedValue1]],4,)</f>
        <v>2031.23</v>
      </c>
      <c r="AB22" s="1">
        <f>VLOOKUP(A22,symbol_2[[symbol]:[TradedValue2]],8,)</f>
        <v>3142.57</v>
      </c>
      <c r="AC22" s="1">
        <f>VLOOKUP(A22,symbol_2[[symbol]:[TradedValue3]],12,)</f>
        <v>2980.04</v>
      </c>
      <c r="AD22" s="1">
        <f>VLOOKUP(A22,symbol_2[[symbol]:[TradedValue4]],16,)</f>
        <v>5156.45</v>
      </c>
      <c r="AE22" s="1">
        <f>VLOOKUP(A22,symbol_2[[symbol]:[TradedValue5]],20,)</f>
        <v>3888.66</v>
      </c>
      <c r="AF22" s="1">
        <f>Table2[[#This Row],[TradedValue2]]-Table2[[#This Row],[TradedValue1]]</f>
        <v>1111.3400000000001</v>
      </c>
      <c r="AG22" s="1">
        <f>Table2[[#This Row],[TradedValue3]]-Table2[[#This Row],[TradedValue2]]</f>
        <v>-162.5300000000002</v>
      </c>
      <c r="AH22" s="1">
        <f>Table2[[#This Row],[TradedValue4]]-Table2[[#This Row],[TradedValue3]]</f>
        <v>2176.41</v>
      </c>
      <c r="AI22" s="1">
        <f>Table2[[#This Row],[TradedValue5]]-Table2[[#This Row],[TradedValue4]]</f>
        <v>-1267.79</v>
      </c>
      <c r="AJ22" s="49" t="str">
        <f>IF(Table2[[#This Row],[TradedValue2]]&gt;Table2[[#This Row],[TradedValue1]],"Y","N")</f>
        <v>Y</v>
      </c>
      <c r="AK22" s="49" t="str">
        <f>IF(Table2[[#This Row],[TradedValue3]]&gt;Table2[[#This Row],[TradedValue2]],"Y","N")</f>
        <v>N</v>
      </c>
      <c r="AL22" s="49" t="str">
        <f>IF(Table2[[#This Row],[TradedValue5]]&gt;Table2[[#This Row],[TradedValue3]],"Y","N")</f>
        <v>Y</v>
      </c>
      <c r="AM22" s="49" t="str">
        <f>IF(Table2[[#This Row],[TradedValue5]]&gt;Table2[[#This Row],[TradedValue4]],"Y","N")</f>
        <v>N</v>
      </c>
      <c r="AN22" s="1">
        <f t="shared" si="36"/>
        <v>3.1800000000000006</v>
      </c>
      <c r="AO22" s="1">
        <f t="shared" si="37"/>
        <v>-0.62000000000000099</v>
      </c>
      <c r="AP22" s="1">
        <f t="shared" si="38"/>
        <v>5.2000000000000011</v>
      </c>
      <c r="AQ22" s="1">
        <f t="shared" si="39"/>
        <v>-3.0600000000000005</v>
      </c>
      <c r="AR22" s="1">
        <f>VLOOKUP(A22,symbol_2[[symbol]:[DelPer1]],5,)</f>
        <v>25.67</v>
      </c>
      <c r="AS22" s="1">
        <f>VLOOKUP(A22,symbol_2[[symbol]:[DelPer2]],9,)</f>
        <v>23.51</v>
      </c>
      <c r="AT22" s="1">
        <f>VLOOKUP(A22,symbol_2[[symbol]:[DelPer3]],13,)</f>
        <v>22.62</v>
      </c>
      <c r="AU22" s="1">
        <f>VLOOKUP(A22,symbol_2[[symbol]:[DelPer4]],17,)</f>
        <v>46.05</v>
      </c>
      <c r="AV22" s="1">
        <f>VLOOKUP(A22,symbol_2[[symbol]:[DelPer5]],21,)</f>
        <v>33</v>
      </c>
      <c r="AW22" s="49" t="str">
        <f t="shared" si="40"/>
        <v>N</v>
      </c>
      <c r="AX22" s="49" t="str">
        <f t="shared" si="41"/>
        <v>N</v>
      </c>
      <c r="AY22" s="49" t="str">
        <f t="shared" si="42"/>
        <v>Y</v>
      </c>
      <c r="AZ22" s="49" t="str">
        <f t="shared" si="43"/>
        <v>N</v>
      </c>
      <c r="BA22" s="1">
        <f t="shared" si="44"/>
        <v>-2.16</v>
      </c>
      <c r="BB22" s="1">
        <f t="shared" si="45"/>
        <v>-0.89000000000000057</v>
      </c>
      <c r="BC22" s="1">
        <f t="shared" si="46"/>
        <v>23.429999999999996</v>
      </c>
      <c r="BD22" s="1">
        <f t="shared" si="47"/>
        <v>-13.049999999999997</v>
      </c>
    </row>
    <row r="23" spans="1:56" hidden="1" x14ac:dyDescent="0.35">
      <c r="A23" s="1" t="s">
        <v>33</v>
      </c>
      <c r="B23" s="1" t="s">
        <v>1014</v>
      </c>
      <c r="C23" s="1" t="s">
        <v>52</v>
      </c>
      <c r="D23" s="1" t="s">
        <v>199</v>
      </c>
      <c r="E23" s="1">
        <f>VLOOKUP(A23,symbol_2[[symbol]:[Price1]],2,)</f>
        <v>653.25</v>
      </c>
      <c r="F23" s="1">
        <f>VLOOKUP(A23,symbol_2[[symbol]:[Price2]],6,)</f>
        <v>639.15</v>
      </c>
      <c r="G23" s="1">
        <f>VLOOKUP(A23,symbol_2[[symbol]:[Price3]],10,)</f>
        <v>640.54999999999995</v>
      </c>
      <c r="H23" s="1">
        <f>VLOOKUP(A23,symbol_2[[symbol]:[Price4]],14,)</f>
        <v>639.5</v>
      </c>
      <c r="I23" s="1">
        <f>VLOOKUP(A23,symbol_2[[symbol]:[Price5]],18,)</f>
        <v>665.45</v>
      </c>
      <c r="J23" s="49" t="str">
        <f t="shared" si="24"/>
        <v>N</v>
      </c>
      <c r="K23" s="49" t="str">
        <f t="shared" si="25"/>
        <v>Y</v>
      </c>
      <c r="L23" s="49" t="str">
        <f t="shared" si="26"/>
        <v>N</v>
      </c>
      <c r="M23" s="49" t="str">
        <f t="shared" si="27"/>
        <v>Y</v>
      </c>
      <c r="N23" s="52">
        <f t="shared" si="28"/>
        <v>-2.1584385763490275</v>
      </c>
      <c r="O23" s="52">
        <f t="shared" si="29"/>
        <v>0.21904091371352225</v>
      </c>
      <c r="P23" s="52">
        <f t="shared" si="30"/>
        <v>-0.16392162984934114</v>
      </c>
      <c r="Q23" s="52">
        <f t="shared" si="31"/>
        <v>4.057857701329171</v>
      </c>
      <c r="R23" s="1">
        <f>VLOOKUP(A23,symbol_2[[symbol]:[TV1]],3,)</f>
        <v>4.9400000000000004</v>
      </c>
      <c r="S23" s="1">
        <f>VLOOKUP(A23,symbol_2[[symbol]:[TV2]],7,)</f>
        <v>2.15</v>
      </c>
      <c r="T23" s="1">
        <f>VLOOKUP(A23,symbol_2[[symbol]:[TV3]],11,)</f>
        <v>1.46</v>
      </c>
      <c r="U23" s="1">
        <f>VLOOKUP(A23,symbol_2[[symbol]:[TV4]],15,)</f>
        <v>3.16</v>
      </c>
      <c r="V23" s="1">
        <f>VLOOKUP(A23,symbol_2[[symbol]:[TV5]],19,)</f>
        <v>3.17</v>
      </c>
      <c r="W23" s="1" t="str">
        <f t="shared" si="32"/>
        <v>N</v>
      </c>
      <c r="X23" s="1" t="str">
        <f t="shared" si="33"/>
        <v>N</v>
      </c>
      <c r="Y23" s="1" t="str">
        <f t="shared" si="34"/>
        <v>Y</v>
      </c>
      <c r="Z23" s="1" t="str">
        <f t="shared" si="35"/>
        <v>Y</v>
      </c>
      <c r="AA23" s="1">
        <f>VLOOKUP(A23,symbol_2[[symbol]:[TradedValue1]],4,)</f>
        <v>3214.89</v>
      </c>
      <c r="AB23" s="1">
        <f>VLOOKUP(A23,symbol_2[[symbol]:[TradedValue2]],8,)</f>
        <v>1390.13</v>
      </c>
      <c r="AC23" s="1">
        <f>VLOOKUP(A23,symbol_2[[symbol]:[TradedValue3]],12,)</f>
        <v>930.2</v>
      </c>
      <c r="AD23" s="1">
        <f>VLOOKUP(A23,symbol_2[[symbol]:[TradedValue4]],16,)</f>
        <v>2039.16</v>
      </c>
      <c r="AE23" s="1">
        <f>VLOOKUP(A23,symbol_2[[symbol]:[TradedValue5]],20,)</f>
        <v>2082.81</v>
      </c>
      <c r="AF23" s="1">
        <f>Table2[[#This Row],[TradedValue2]]-Table2[[#This Row],[TradedValue1]]</f>
        <v>-1824.7599999999998</v>
      </c>
      <c r="AG23" s="1">
        <f>Table2[[#This Row],[TradedValue3]]-Table2[[#This Row],[TradedValue2]]</f>
        <v>-459.93000000000006</v>
      </c>
      <c r="AH23" s="1">
        <f>Table2[[#This Row],[TradedValue4]]-Table2[[#This Row],[TradedValue3]]</f>
        <v>1108.96</v>
      </c>
      <c r="AI23" s="1">
        <f>Table2[[#This Row],[TradedValue5]]-Table2[[#This Row],[TradedValue4]]</f>
        <v>43.649999999999864</v>
      </c>
      <c r="AJ23" s="49" t="str">
        <f>IF(Table2[[#This Row],[TradedValue2]]&gt;Table2[[#This Row],[TradedValue1]],"Y","N")</f>
        <v>N</v>
      </c>
      <c r="AK23" s="49" t="str">
        <f>IF(Table2[[#This Row],[TradedValue3]]&gt;Table2[[#This Row],[TradedValue2]],"Y","N")</f>
        <v>N</v>
      </c>
      <c r="AL23" s="49" t="str">
        <f>IF(Table2[[#This Row],[TradedValue5]]&gt;Table2[[#This Row],[TradedValue3]],"Y","N")</f>
        <v>Y</v>
      </c>
      <c r="AM23" s="49" t="str">
        <f>IF(Table2[[#This Row],[TradedValue5]]&gt;Table2[[#This Row],[TradedValue4]],"Y","N")</f>
        <v>Y</v>
      </c>
      <c r="AN23" s="1">
        <f t="shared" si="36"/>
        <v>-2.7900000000000005</v>
      </c>
      <c r="AO23" s="1">
        <f t="shared" si="37"/>
        <v>-0.69</v>
      </c>
      <c r="AP23" s="1">
        <f t="shared" si="38"/>
        <v>1.7000000000000002</v>
      </c>
      <c r="AQ23" s="1">
        <f t="shared" si="39"/>
        <v>9.9999999999997868E-3</v>
      </c>
      <c r="AR23" s="1">
        <f>VLOOKUP(A23,symbol_2[[symbol]:[DelPer1]],5,)</f>
        <v>61.88</v>
      </c>
      <c r="AS23" s="1">
        <f>VLOOKUP(A23,symbol_2[[symbol]:[DelPer2]],9,)</f>
        <v>45.63</v>
      </c>
      <c r="AT23" s="1">
        <f>VLOOKUP(A23,symbol_2[[symbol]:[DelPer3]],13,)</f>
        <v>36.43</v>
      </c>
      <c r="AU23" s="1">
        <f>VLOOKUP(A23,symbol_2[[symbol]:[DelPer4]],17,)</f>
        <v>51.25</v>
      </c>
      <c r="AV23" s="1">
        <f>VLOOKUP(A23,symbol_2[[symbol]:[DelPer5]],21,)</f>
        <v>42.95</v>
      </c>
      <c r="AW23" s="49" t="str">
        <f t="shared" si="40"/>
        <v>N</v>
      </c>
      <c r="AX23" s="49" t="str">
        <f t="shared" si="41"/>
        <v>N</v>
      </c>
      <c r="AY23" s="49" t="str">
        <f t="shared" si="42"/>
        <v>Y</v>
      </c>
      <c r="AZ23" s="49" t="str">
        <f t="shared" si="43"/>
        <v>N</v>
      </c>
      <c r="BA23" s="1">
        <f t="shared" si="44"/>
        <v>-16.25</v>
      </c>
      <c r="BB23" s="1">
        <f t="shared" si="45"/>
        <v>-9.2000000000000028</v>
      </c>
      <c r="BC23" s="1">
        <f t="shared" si="46"/>
        <v>14.82</v>
      </c>
      <c r="BD23" s="1">
        <f t="shared" si="47"/>
        <v>-8.2999999999999972</v>
      </c>
    </row>
    <row r="24" spans="1:56" hidden="1" x14ac:dyDescent="0.35">
      <c r="A24" s="116" t="s">
        <v>34</v>
      </c>
      <c r="B24" s="1" t="s">
        <v>1014</v>
      </c>
      <c r="C24" s="1" t="s">
        <v>52</v>
      </c>
      <c r="D24" s="1" t="s">
        <v>199</v>
      </c>
      <c r="E24" s="1">
        <f>VLOOKUP(A24,symbol_2[[symbol]:[Price1]],2,)</f>
        <v>7084.6</v>
      </c>
      <c r="F24" s="1">
        <f>VLOOKUP(A24,symbol_2[[symbol]:[Price2]],6,)</f>
        <v>6875.35</v>
      </c>
      <c r="G24" s="1">
        <f>VLOOKUP(A24,symbol_2[[symbol]:[Price3]],10,)</f>
        <v>6899.8</v>
      </c>
      <c r="H24" s="1">
        <f>VLOOKUP(A24,symbol_2[[symbol]:[Price4]],14,)</f>
        <v>6929.25</v>
      </c>
      <c r="I24" s="1">
        <f>VLOOKUP(A24,symbol_2[[symbol]:[Price5]],18,)</f>
        <v>7093.15</v>
      </c>
      <c r="J24" s="49" t="str">
        <f t="shared" si="24"/>
        <v>N</v>
      </c>
      <c r="K24" s="49" t="str">
        <f t="shared" si="25"/>
        <v>Y</v>
      </c>
      <c r="L24" s="49" t="str">
        <f t="shared" si="26"/>
        <v>Y</v>
      </c>
      <c r="M24" s="49" t="str">
        <f t="shared" si="27"/>
        <v>Y</v>
      </c>
      <c r="N24" s="52">
        <f t="shared" si="28"/>
        <v>-2.9535894757643337</v>
      </c>
      <c r="O24" s="52">
        <f t="shared" si="29"/>
        <v>0.3556182594340625</v>
      </c>
      <c r="P24" s="52">
        <f t="shared" si="30"/>
        <v>0.42682396591205274</v>
      </c>
      <c r="Q24" s="52">
        <f t="shared" si="31"/>
        <v>2.3653353537540083</v>
      </c>
      <c r="R24" s="1">
        <f>VLOOKUP(A24,symbol_2[[symbol]:[TV1]],3,)</f>
        <v>1.29</v>
      </c>
      <c r="S24" s="1">
        <f>VLOOKUP(A24,symbol_2[[symbol]:[TV2]],7,)</f>
        <v>0.97</v>
      </c>
      <c r="T24" s="1">
        <f>VLOOKUP(A24,symbol_2[[symbol]:[TV3]],11,)</f>
        <v>0.65</v>
      </c>
      <c r="U24" s="1">
        <f>VLOOKUP(A24,symbol_2[[symbol]:[TV4]],15,)</f>
        <v>1.36</v>
      </c>
      <c r="V24" s="1">
        <f>VLOOKUP(A24,symbol_2[[symbol]:[TV5]],19,)</f>
        <v>1</v>
      </c>
      <c r="W24" s="1" t="str">
        <f t="shared" si="32"/>
        <v>N</v>
      </c>
      <c r="X24" s="1" t="str">
        <f t="shared" si="33"/>
        <v>N</v>
      </c>
      <c r="Y24" s="1" t="str">
        <f t="shared" si="34"/>
        <v>Y</v>
      </c>
      <c r="Z24" s="1" t="str">
        <f t="shared" si="35"/>
        <v>N</v>
      </c>
      <c r="AA24" s="1">
        <f>VLOOKUP(A26,symbol_2[[symbol]:[TradedValue1]],4,)</f>
        <v>4609.12</v>
      </c>
      <c r="AB24" s="1">
        <f>VLOOKUP(A24,symbol_2[[symbol]:[TradedValue2]],8,)</f>
        <v>6805.48</v>
      </c>
      <c r="AC24" s="1">
        <f>VLOOKUP(A24,symbol_2[[symbol]:[TradedValue3]],12,)</f>
        <v>4449.88</v>
      </c>
      <c r="AD24" s="1">
        <f>VLOOKUP(A24,symbol_2[[symbol]:[TradedValue4]],16,)</f>
        <v>9511.44</v>
      </c>
      <c r="AE24" s="1">
        <f>VLOOKUP(A24,symbol_2[[symbol]:[TradedValue5]],20,)</f>
        <v>7046.74</v>
      </c>
      <c r="AF24" s="1">
        <f>Table2[[#This Row],[TradedValue2]]-Table2[[#This Row],[TradedValue1]]</f>
        <v>2196.3599999999997</v>
      </c>
      <c r="AG24" s="1">
        <f>Table2[[#This Row],[TradedValue3]]-Table2[[#This Row],[TradedValue2]]</f>
        <v>-2355.5999999999995</v>
      </c>
      <c r="AH24" s="1">
        <f>Table2[[#This Row],[TradedValue4]]-Table2[[#This Row],[TradedValue3]]</f>
        <v>5061.5600000000004</v>
      </c>
      <c r="AI24" s="1">
        <f>Table2[[#This Row],[TradedValue5]]-Table2[[#This Row],[TradedValue4]]</f>
        <v>-2464.7000000000007</v>
      </c>
      <c r="AJ24" s="49" t="str">
        <f>IF(Table2[[#This Row],[TradedValue2]]&gt;Table2[[#This Row],[TradedValue1]],"Y","N")</f>
        <v>Y</v>
      </c>
      <c r="AK24" s="49" t="str">
        <f>IF(Table2[[#This Row],[TradedValue3]]&gt;Table2[[#This Row],[TradedValue2]],"Y","N")</f>
        <v>N</v>
      </c>
      <c r="AL24" s="49" t="str">
        <f>IF(Table2[[#This Row],[TradedValue5]]&gt;Table2[[#This Row],[TradedValue3]],"Y","N")</f>
        <v>Y</v>
      </c>
      <c r="AM24" s="49" t="str">
        <f>IF(Table2[[#This Row],[TradedValue5]]&gt;Table2[[#This Row],[TradedValue4]],"Y","N")</f>
        <v>N</v>
      </c>
      <c r="AN24" s="1">
        <f t="shared" si="36"/>
        <v>-0.32000000000000006</v>
      </c>
      <c r="AO24" s="1">
        <f t="shared" si="37"/>
        <v>-0.31999999999999995</v>
      </c>
      <c r="AP24" s="1">
        <f t="shared" si="38"/>
        <v>0.71000000000000008</v>
      </c>
      <c r="AQ24" s="1">
        <f t="shared" si="39"/>
        <v>-0.3600000000000001</v>
      </c>
      <c r="AR24" s="1">
        <f>VLOOKUP(A24,symbol_2[[symbol]:[DelPer1]],5,)</f>
        <v>47.63</v>
      </c>
      <c r="AS24" s="1">
        <f>VLOOKUP(A24,symbol_2[[symbol]:[DelPer2]],9,)</f>
        <v>36.49</v>
      </c>
      <c r="AT24" s="1">
        <f>VLOOKUP(A24,symbol_2[[symbol]:[DelPer3]],13,)</f>
        <v>48.87</v>
      </c>
      <c r="AU24" s="1">
        <f>VLOOKUP(A24,symbol_2[[symbol]:[DelPer4]],17,)</f>
        <v>42.99</v>
      </c>
      <c r="AV24" s="1">
        <f>VLOOKUP(A24,symbol_2[[symbol]:[DelPer5]],21,)</f>
        <v>44.43</v>
      </c>
      <c r="AW24" s="49" t="str">
        <f t="shared" si="40"/>
        <v>N</v>
      </c>
      <c r="AX24" s="49" t="str">
        <f t="shared" si="41"/>
        <v>Y</v>
      </c>
      <c r="AY24" s="49" t="str">
        <f t="shared" si="42"/>
        <v>N</v>
      </c>
      <c r="AZ24" s="49" t="str">
        <f t="shared" si="43"/>
        <v>Y</v>
      </c>
      <c r="BA24" s="1">
        <f t="shared" si="44"/>
        <v>-11.14</v>
      </c>
      <c r="BB24" s="1">
        <f t="shared" si="45"/>
        <v>12.379999999999995</v>
      </c>
      <c r="BC24" s="1">
        <f t="shared" si="46"/>
        <v>-5.8799999999999955</v>
      </c>
      <c r="BD24" s="1">
        <f t="shared" si="47"/>
        <v>1.4399999999999977</v>
      </c>
    </row>
    <row r="25" spans="1:56" hidden="1" x14ac:dyDescent="0.35">
      <c r="A25" s="116" t="s">
        <v>15</v>
      </c>
      <c r="B25" s="1" t="s">
        <v>1014</v>
      </c>
      <c r="C25" s="1" t="s">
        <v>52</v>
      </c>
      <c r="D25" s="1" t="s">
        <v>199</v>
      </c>
      <c r="E25" s="1">
        <f>VLOOKUP(A25,symbol_2[[symbol]:[Price1]],2,)</f>
        <v>21297.200000000001</v>
      </c>
      <c r="F25" s="1">
        <f>VLOOKUP(A25,symbol_2[[symbol]:[Price2]],6,)</f>
        <v>20901.75</v>
      </c>
      <c r="G25" s="1">
        <f>VLOOKUP(A25,symbol_2[[symbol]:[Price3]],10,)</f>
        <v>21224.65</v>
      </c>
      <c r="H25" s="1">
        <f>VLOOKUP(A25,symbol_2[[symbol]:[Price4]],14,)</f>
        <v>20321.150000000001</v>
      </c>
      <c r="I25" s="1">
        <f>VLOOKUP(A25,symbol_2[[symbol]:[Price5]],18,)</f>
        <v>20850.650000000001</v>
      </c>
      <c r="J25" s="49" t="str">
        <f t="shared" si="24"/>
        <v>N</v>
      </c>
      <c r="K25" s="49" t="str">
        <f t="shared" si="25"/>
        <v>Y</v>
      </c>
      <c r="L25" s="49" t="str">
        <f t="shared" si="26"/>
        <v>N</v>
      </c>
      <c r="M25" s="49" t="str">
        <f t="shared" si="27"/>
        <v>Y</v>
      </c>
      <c r="N25" s="52">
        <f t="shared" si="28"/>
        <v>-1.8568168585541796</v>
      </c>
      <c r="O25" s="52">
        <f t="shared" si="29"/>
        <v>1.5448467233604912</v>
      </c>
      <c r="P25" s="52">
        <f t="shared" si="30"/>
        <v>-4.2568428690225746</v>
      </c>
      <c r="Q25" s="52">
        <f t="shared" si="31"/>
        <v>2.6056596206415481</v>
      </c>
      <c r="R25" s="1">
        <f>VLOOKUP(A25,symbol_2[[symbol]:[TV1]],3,)</f>
        <v>0.11</v>
      </c>
      <c r="S25" s="1">
        <f>VLOOKUP(A25,symbol_2[[symbol]:[TV2]],7,)</f>
        <v>0.06</v>
      </c>
      <c r="T25" s="1">
        <f>VLOOKUP(A25,symbol_2[[symbol]:[TV3]],11,)</f>
        <v>7.0000000000000007E-2</v>
      </c>
      <c r="U25" s="1">
        <f>VLOOKUP(A25,symbol_2[[symbol]:[TV4]],15,)</f>
        <v>0.15</v>
      </c>
      <c r="V25" s="1">
        <f>VLOOKUP(A25,symbol_2[[symbol]:[TV5]],19,)</f>
        <v>0.11</v>
      </c>
      <c r="W25" s="1" t="str">
        <f t="shared" si="32"/>
        <v>N</v>
      </c>
      <c r="X25" s="1" t="str">
        <f t="shared" si="33"/>
        <v>Y</v>
      </c>
      <c r="Y25" s="1" t="str">
        <f t="shared" si="34"/>
        <v>Y</v>
      </c>
      <c r="Z25" s="1" t="str">
        <f t="shared" si="35"/>
        <v>N</v>
      </c>
      <c r="AA25" s="1">
        <f>VLOOKUP(A27,symbol_2[[symbol]:[TradedValue1]],4,)</f>
        <v>310.93</v>
      </c>
      <c r="AB25" s="1">
        <f>VLOOKUP(A25,symbol_2[[symbol]:[TradedValue2]],8,)</f>
        <v>1264.28</v>
      </c>
      <c r="AC25" s="1">
        <f>VLOOKUP(A25,symbol_2[[symbol]:[TradedValue3]],12,)</f>
        <v>1569.55</v>
      </c>
      <c r="AD25" s="1">
        <f>VLOOKUP(A25,symbol_2[[symbol]:[TradedValue4]],16,)</f>
        <v>3073.08</v>
      </c>
      <c r="AE25" s="1">
        <f>VLOOKUP(A25,symbol_2[[symbol]:[TradedValue5]],20,)</f>
        <v>2276.9899999999998</v>
      </c>
      <c r="AF25" s="1">
        <f>Table2[[#This Row],[TradedValue2]]-Table2[[#This Row],[TradedValue1]]</f>
        <v>953.34999999999991</v>
      </c>
      <c r="AG25" s="1">
        <f>Table2[[#This Row],[TradedValue3]]-Table2[[#This Row],[TradedValue2]]</f>
        <v>305.27</v>
      </c>
      <c r="AH25" s="1">
        <f>Table2[[#This Row],[TradedValue4]]-Table2[[#This Row],[TradedValue3]]</f>
        <v>1503.53</v>
      </c>
      <c r="AI25" s="1">
        <f>Table2[[#This Row],[TradedValue5]]-Table2[[#This Row],[TradedValue4]]</f>
        <v>-796.09000000000015</v>
      </c>
      <c r="AJ25" s="49" t="str">
        <f>IF(Table2[[#This Row],[TradedValue2]]&gt;Table2[[#This Row],[TradedValue1]],"Y","N")</f>
        <v>Y</v>
      </c>
      <c r="AK25" s="49" t="str">
        <f>IF(Table2[[#This Row],[TradedValue3]]&gt;Table2[[#This Row],[TradedValue2]],"Y","N")</f>
        <v>Y</v>
      </c>
      <c r="AL25" s="49" t="str">
        <f>IF(Table2[[#This Row],[TradedValue5]]&gt;Table2[[#This Row],[TradedValue3]],"Y","N")</f>
        <v>Y</v>
      </c>
      <c r="AM25" s="49" t="str">
        <f>IF(Table2[[#This Row],[TradedValue5]]&gt;Table2[[#This Row],[TradedValue4]],"Y","N")</f>
        <v>N</v>
      </c>
      <c r="AN25" s="1">
        <f t="shared" si="36"/>
        <v>-0.05</v>
      </c>
      <c r="AO25" s="1">
        <f t="shared" si="37"/>
        <v>1.0000000000000009E-2</v>
      </c>
      <c r="AP25" s="1">
        <f t="shared" si="38"/>
        <v>7.9999999999999988E-2</v>
      </c>
      <c r="AQ25" s="1">
        <f t="shared" si="39"/>
        <v>-3.9999999999999994E-2</v>
      </c>
      <c r="AR25" s="1">
        <f>VLOOKUP(A25,symbol_2[[symbol]:[DelPer1]],5,)</f>
        <v>21.77</v>
      </c>
      <c r="AS25" s="1">
        <f>VLOOKUP(A25,symbol_2[[symbol]:[DelPer2]],9,)</f>
        <v>15.12</v>
      </c>
      <c r="AT25" s="1">
        <f>VLOOKUP(A25,symbol_2[[symbol]:[DelPer3]],13,)</f>
        <v>19.04</v>
      </c>
      <c r="AU25" s="1">
        <f>VLOOKUP(A25,symbol_2[[symbol]:[DelPer4]],17,)</f>
        <v>33.78</v>
      </c>
      <c r="AV25" s="1">
        <f>VLOOKUP(A25,symbol_2[[symbol]:[DelPer5]],21,)</f>
        <v>21.99</v>
      </c>
      <c r="AW25" s="49" t="str">
        <f t="shared" si="40"/>
        <v>N</v>
      </c>
      <c r="AX25" s="49" t="str">
        <f t="shared" si="41"/>
        <v>Y</v>
      </c>
      <c r="AY25" s="49" t="str">
        <f t="shared" si="42"/>
        <v>Y</v>
      </c>
      <c r="AZ25" s="49" t="str">
        <f t="shared" si="43"/>
        <v>N</v>
      </c>
      <c r="BA25" s="1">
        <f t="shared" si="44"/>
        <v>-6.65</v>
      </c>
      <c r="BB25" s="1">
        <f t="shared" si="45"/>
        <v>3.92</v>
      </c>
      <c r="BC25" s="1">
        <f t="shared" si="46"/>
        <v>14.740000000000002</v>
      </c>
      <c r="BD25" s="1">
        <f t="shared" si="47"/>
        <v>-11.790000000000003</v>
      </c>
    </row>
    <row r="26" spans="1:56" hidden="1" x14ac:dyDescent="0.35">
      <c r="A26" s="108" t="s">
        <v>46</v>
      </c>
      <c r="B26" s="1" t="s">
        <v>1008</v>
      </c>
      <c r="C26" s="1" t="s">
        <v>52</v>
      </c>
      <c r="D26" s="1" t="s">
        <v>199</v>
      </c>
      <c r="E26" s="1">
        <f>VLOOKUP(A26,symbol_2[[symbol]:[Price1]],2,)</f>
        <v>4774.2</v>
      </c>
      <c r="F26" s="1">
        <f>VLOOKUP(A26,symbol_2[[symbol]:[Price2]],6,)</f>
        <v>4639.75</v>
      </c>
      <c r="G26" s="1">
        <f>VLOOKUP(A26,symbol_2[[symbol]:[Price3]],10,)</f>
        <v>4647.3500000000004</v>
      </c>
      <c r="H26" s="1">
        <f>VLOOKUP(A26,symbol_2[[symbol]:[Price4]],14,)</f>
        <v>4683.95</v>
      </c>
      <c r="I26" s="1">
        <f>VLOOKUP(A26,symbol_2[[symbol]:[Price5]],18,)</f>
        <v>4800.1000000000004</v>
      </c>
      <c r="J26" s="109" t="str">
        <f t="shared" si="24"/>
        <v>N</v>
      </c>
      <c r="K26" s="109" t="str">
        <f t="shared" si="25"/>
        <v>Y</v>
      </c>
      <c r="L26" s="109" t="str">
        <f t="shared" si="26"/>
        <v>Y</v>
      </c>
      <c r="M26" s="109" t="str">
        <f t="shared" si="27"/>
        <v>Y</v>
      </c>
      <c r="N26" s="110">
        <f t="shared" si="28"/>
        <v>-2.8161786267856357</v>
      </c>
      <c r="O26" s="110">
        <f t="shared" si="29"/>
        <v>0.16380192898325047</v>
      </c>
      <c r="P26" s="110">
        <f t="shared" si="30"/>
        <v>0.78754559049779882</v>
      </c>
      <c r="Q26" s="110">
        <f t="shared" si="31"/>
        <v>2.4797446599558182</v>
      </c>
      <c r="R26" s="1">
        <f>VLOOKUP(A26,symbol_2[[symbol]:[TV1]],3,)</f>
        <v>0.97</v>
      </c>
      <c r="S26" s="1">
        <f>VLOOKUP(A26,symbol_2[[symbol]:[TV2]],7,)</f>
        <v>0.67</v>
      </c>
      <c r="T26" s="1">
        <f>VLOOKUP(A26,symbol_2[[symbol]:[TV3]],11,)</f>
        <v>0.61</v>
      </c>
      <c r="U26" s="1">
        <f>VLOOKUP(A26,symbol_2[[symbol]:[TV4]],15,)</f>
        <v>0.97</v>
      </c>
      <c r="V26" s="1">
        <f>VLOOKUP(A26,symbol_2[[symbol]:[TV5]],19,)</f>
        <v>0.78</v>
      </c>
      <c r="W26" s="1" t="str">
        <f t="shared" si="32"/>
        <v>N</v>
      </c>
      <c r="X26" s="1" t="str">
        <f t="shared" si="33"/>
        <v>N</v>
      </c>
      <c r="Y26" s="1" t="str">
        <f t="shared" si="34"/>
        <v>Y</v>
      </c>
      <c r="Z26" s="1" t="str">
        <f t="shared" si="35"/>
        <v>N</v>
      </c>
      <c r="AA26" s="1">
        <f>VLOOKUP(A26,symbol_2[[symbol]:[TradedValue1]],4,)</f>
        <v>4609.12</v>
      </c>
      <c r="AB26" s="1">
        <f>VLOOKUP(A26,symbol_2[[symbol]:[TradedValue2]],8,)</f>
        <v>3165.55</v>
      </c>
      <c r="AC26" s="1">
        <f>VLOOKUP(A26,symbol_2[[symbol]:[TradedValue3]],12,)</f>
        <v>2818.77</v>
      </c>
      <c r="AD26" s="1">
        <f>VLOOKUP(A26,symbol_2[[symbol]:[TradedValue4]],16,)</f>
        <v>4638.51</v>
      </c>
      <c r="AE26" s="1">
        <f>VLOOKUP(A26,symbol_2[[symbol]:[TradedValue5]],20,)</f>
        <v>3711.69</v>
      </c>
      <c r="AF26" s="1">
        <f>Table2[[#This Row],[TradedValue2]]-Table2[[#This Row],[TradedValue1]]</f>
        <v>-1443.5699999999997</v>
      </c>
      <c r="AG26" s="1">
        <f>Table2[[#This Row],[TradedValue3]]-Table2[[#This Row],[TradedValue2]]</f>
        <v>-346.7800000000002</v>
      </c>
      <c r="AH26" s="1">
        <f>Table2[[#This Row],[TradedValue4]]-Table2[[#This Row],[TradedValue3]]</f>
        <v>1819.7400000000002</v>
      </c>
      <c r="AI26" s="1">
        <f>Table2[[#This Row],[TradedValue5]]-Table2[[#This Row],[TradedValue4]]</f>
        <v>-926.82000000000016</v>
      </c>
      <c r="AJ26" s="109" t="str">
        <f>IF(Table2[[#This Row],[TradedValue2]]&gt;Table2[[#This Row],[TradedValue1]],"Y","N")</f>
        <v>N</v>
      </c>
      <c r="AK26" s="109" t="str">
        <f>IF(Table2[[#This Row],[TradedValue3]]&gt;Table2[[#This Row],[TradedValue2]],"Y","N")</f>
        <v>N</v>
      </c>
      <c r="AL26" s="109" t="str">
        <f>IF(Table2[[#This Row],[TradedValue5]]&gt;Table2[[#This Row],[TradedValue3]],"Y","N")</f>
        <v>Y</v>
      </c>
      <c r="AM26" s="109" t="str">
        <f>IF(Table2[[#This Row],[TradedValue5]]&gt;Table2[[#This Row],[TradedValue4]],"Y","N")</f>
        <v>N</v>
      </c>
      <c r="AN26" s="1">
        <f t="shared" si="36"/>
        <v>-0.29999999999999993</v>
      </c>
      <c r="AO26" s="1">
        <f t="shared" si="37"/>
        <v>-6.0000000000000053E-2</v>
      </c>
      <c r="AP26" s="1">
        <f t="shared" si="38"/>
        <v>0.36</v>
      </c>
      <c r="AQ26" s="1">
        <f t="shared" si="39"/>
        <v>-0.18999999999999995</v>
      </c>
      <c r="AR26" s="1">
        <f>VLOOKUP(A26,symbol_2[[symbol]:[DelPer1]],5,)</f>
        <v>39.86</v>
      </c>
      <c r="AS26" s="1">
        <f>VLOOKUP(A26,symbol_2[[symbol]:[DelPer2]],9,)</f>
        <v>59.91</v>
      </c>
      <c r="AT26" s="1">
        <f>VLOOKUP(A26,symbol_2[[symbol]:[DelPer3]],13,)</f>
        <v>56.29</v>
      </c>
      <c r="AU26" s="1">
        <f>VLOOKUP(A26,symbol_2[[symbol]:[DelPer4]],17,)</f>
        <v>48.87</v>
      </c>
      <c r="AV26" s="1">
        <f>VLOOKUP(A26,symbol_2[[symbol]:[DelPer5]],21,)</f>
        <v>54.02</v>
      </c>
      <c r="AW26" s="109" t="str">
        <f t="shared" si="40"/>
        <v>Y</v>
      </c>
      <c r="AX26" s="109" t="str">
        <f t="shared" si="41"/>
        <v>N</v>
      </c>
      <c r="AY26" s="109" t="str">
        <f t="shared" si="42"/>
        <v>N</v>
      </c>
      <c r="AZ26" s="109" t="str">
        <f t="shared" si="43"/>
        <v>Y</v>
      </c>
      <c r="BA26" s="1">
        <f t="shared" si="44"/>
        <v>20.049999999999997</v>
      </c>
      <c r="BB26" s="1">
        <f t="shared" si="45"/>
        <v>-3.6199999999999974</v>
      </c>
      <c r="BC26" s="1">
        <f t="shared" si="46"/>
        <v>-7.4200000000000017</v>
      </c>
      <c r="BD26" s="1">
        <f t="shared" si="47"/>
        <v>5.1500000000000057</v>
      </c>
    </row>
    <row r="27" spans="1:56" hidden="1" x14ac:dyDescent="0.35">
      <c r="A27" s="1" t="s">
        <v>147</v>
      </c>
      <c r="B27" s="1" t="s">
        <v>1021</v>
      </c>
      <c r="C27" s="1" t="s">
        <v>52</v>
      </c>
      <c r="D27" s="1" t="str">
        <f>VLOOKUP(A27,'High Beta'!A13:B62,2,)</f>
        <v>Y</v>
      </c>
      <c r="E27" s="1">
        <f>VLOOKUP(A27,symbol_2[[symbol]:[Price1]],2,)</f>
        <v>51.5</v>
      </c>
      <c r="F27" s="1">
        <f>VLOOKUP(A27,symbol_2[[symbol]:[Price2]],6,)</f>
        <v>49.2</v>
      </c>
      <c r="G27" s="1">
        <f>VLOOKUP(A27,symbol_2[[symbol]:[Price3]],10,)</f>
        <v>49.95</v>
      </c>
      <c r="H27" s="1">
        <f>VLOOKUP(A27,symbol_2[[symbol]:[Price4]],14,)</f>
        <v>48.75</v>
      </c>
      <c r="I27" s="1">
        <f>VLOOKUP(A27,symbol_2[[symbol]:[Price5]],18,)</f>
        <v>49.65</v>
      </c>
      <c r="J27" s="49" t="str">
        <f t="shared" si="24"/>
        <v>N</v>
      </c>
      <c r="K27" s="49" t="str">
        <f t="shared" si="25"/>
        <v>Y</v>
      </c>
      <c r="L27" s="49" t="str">
        <f t="shared" si="26"/>
        <v>N</v>
      </c>
      <c r="M27" s="49" t="str">
        <f t="shared" si="27"/>
        <v>Y</v>
      </c>
      <c r="N27" s="52">
        <f t="shared" si="28"/>
        <v>-4.4660194174757226</v>
      </c>
      <c r="O27" s="52">
        <f t="shared" si="29"/>
        <v>1.524390243902439</v>
      </c>
      <c r="P27" s="52">
        <f t="shared" si="30"/>
        <v>-2.4024024024024078</v>
      </c>
      <c r="Q27" s="52">
        <f t="shared" si="31"/>
        <v>1.8461538461538431</v>
      </c>
      <c r="R27" s="1">
        <f>VLOOKUP(A27,symbol_2[[symbol]:[TV1]],3,)</f>
        <v>6.12</v>
      </c>
      <c r="S27" s="1">
        <f>VLOOKUP(A27,symbol_2[[symbol]:[TV2]],7,)</f>
        <v>9.3699999999999992</v>
      </c>
      <c r="T27" s="1">
        <f>VLOOKUP(A27,symbol_2[[symbol]:[TV3]],11,)</f>
        <v>4.1500000000000004</v>
      </c>
      <c r="U27" s="1">
        <f>VLOOKUP(A27,symbol_2[[symbol]:[TV4]],15,)</f>
        <v>12.11</v>
      </c>
      <c r="V27" s="1">
        <f>VLOOKUP(A27,symbol_2[[symbol]:[TV5]],19,)</f>
        <v>5.59</v>
      </c>
      <c r="W27" s="1" t="str">
        <f t="shared" si="32"/>
        <v>Y</v>
      </c>
      <c r="X27" s="1" t="str">
        <f t="shared" si="33"/>
        <v>N</v>
      </c>
      <c r="Y27" s="1" t="str">
        <f t="shared" si="34"/>
        <v>Y</v>
      </c>
      <c r="Z27" s="1" t="str">
        <f t="shared" si="35"/>
        <v>N</v>
      </c>
      <c r="AA27" s="1">
        <f>VLOOKUP(A27,symbol_2[[symbol]:[TradedValue1]],4,)</f>
        <v>310.93</v>
      </c>
      <c r="AB27" s="1">
        <f>VLOOKUP(A27,symbol_2[[symbol]:[TradedValue2]],8,)</f>
        <v>464.93</v>
      </c>
      <c r="AC27" s="1">
        <f>VLOOKUP(A27,symbol_2[[symbol]:[TradedValue3]],12,)</f>
        <v>206.32</v>
      </c>
      <c r="AD27" s="1">
        <f>VLOOKUP(A27,symbol_2[[symbol]:[TradedValue4]],16,)</f>
        <v>599.55999999999995</v>
      </c>
      <c r="AE27" s="1">
        <f>VLOOKUP(A27,symbol_2[[symbol]:[TradedValue5]],20,)</f>
        <v>275.45</v>
      </c>
      <c r="AF27" s="1">
        <f>Table2[[#This Row],[TradedValue2]]-Table2[[#This Row],[TradedValue1]]</f>
        <v>154</v>
      </c>
      <c r="AG27" s="1">
        <f>Table2[[#This Row],[TradedValue3]]-Table2[[#This Row],[TradedValue2]]</f>
        <v>-258.61</v>
      </c>
      <c r="AH27" s="1">
        <f>Table2[[#This Row],[TradedValue4]]-Table2[[#This Row],[TradedValue3]]</f>
        <v>393.23999999999995</v>
      </c>
      <c r="AI27" s="1">
        <f>Table2[[#This Row],[TradedValue5]]-Table2[[#This Row],[TradedValue4]]</f>
        <v>-324.10999999999996</v>
      </c>
      <c r="AJ27" s="49" t="str">
        <f>IF(Table2[[#This Row],[TradedValue2]]&gt;Table2[[#This Row],[TradedValue1]],"Y","N")</f>
        <v>Y</v>
      </c>
      <c r="AK27" s="49" t="str">
        <f>IF(Table2[[#This Row],[TradedValue3]]&gt;Table2[[#This Row],[TradedValue2]],"Y","N")</f>
        <v>N</v>
      </c>
      <c r="AL27" s="49" t="str">
        <f>IF(Table2[[#This Row],[TradedValue5]]&gt;Table2[[#This Row],[TradedValue3]],"Y","N")</f>
        <v>Y</v>
      </c>
      <c r="AM27" s="49" t="str">
        <f>IF(Table2[[#This Row],[TradedValue5]]&gt;Table2[[#This Row],[TradedValue4]],"Y","N")</f>
        <v>N</v>
      </c>
      <c r="AN27" s="1">
        <f t="shared" si="36"/>
        <v>3.2499999999999991</v>
      </c>
      <c r="AO27" s="1">
        <f t="shared" si="37"/>
        <v>-5.2199999999999989</v>
      </c>
      <c r="AP27" s="1">
        <f t="shared" si="38"/>
        <v>7.9599999999999991</v>
      </c>
      <c r="AQ27" s="1">
        <f t="shared" si="39"/>
        <v>-6.52</v>
      </c>
      <c r="AR27" s="1">
        <f>VLOOKUP(A27,symbol_2[[symbol]:[DelPer1]],5,)</f>
        <v>36.049999999999997</v>
      </c>
      <c r="AS27" s="1">
        <f>VLOOKUP(A27,symbol_2[[symbol]:[DelPer2]],9,)</f>
        <v>44.13</v>
      </c>
      <c r="AT27" s="1">
        <f>VLOOKUP(A27,symbol_2[[symbol]:[DelPer3]],13,)</f>
        <v>33.78</v>
      </c>
      <c r="AU27" s="1">
        <f>VLOOKUP(A27,symbol_2[[symbol]:[DelPer4]],17,)</f>
        <v>44.23</v>
      </c>
      <c r="AV27" s="1">
        <f>VLOOKUP(A27,symbol_2[[symbol]:[DelPer5]],21,)</f>
        <v>34.64</v>
      </c>
      <c r="AW27" s="49" t="str">
        <f t="shared" si="40"/>
        <v>Y</v>
      </c>
      <c r="AX27" s="49" t="str">
        <f t="shared" si="41"/>
        <v>N</v>
      </c>
      <c r="AY27" s="49" t="str">
        <f t="shared" si="42"/>
        <v>Y</v>
      </c>
      <c r="AZ27" s="49" t="str">
        <f t="shared" si="43"/>
        <v>N</v>
      </c>
      <c r="BA27" s="1">
        <f t="shared" si="44"/>
        <v>8.0800000000000054</v>
      </c>
      <c r="BB27" s="1">
        <f t="shared" si="45"/>
        <v>-10.350000000000001</v>
      </c>
      <c r="BC27" s="1">
        <f t="shared" si="46"/>
        <v>10.449999999999996</v>
      </c>
      <c r="BD27" s="1">
        <f t="shared" si="47"/>
        <v>-9.5899999999999963</v>
      </c>
    </row>
    <row r="28" spans="1:56" hidden="1" x14ac:dyDescent="0.35">
      <c r="A28" s="116" t="s">
        <v>128</v>
      </c>
      <c r="B28" s="1" t="s">
        <v>1011</v>
      </c>
      <c r="C28" s="1" t="s">
        <v>52</v>
      </c>
      <c r="D28" s="1" t="s">
        <v>199</v>
      </c>
      <c r="E28" s="1">
        <f>VLOOKUP(A28,symbol_2[[symbol]:[Price1]],2,)</f>
        <v>1309.1500000000001</v>
      </c>
      <c r="F28" s="1">
        <f>VLOOKUP(A28,symbol_2[[symbol]:[Price2]],6,)</f>
        <v>1301.2</v>
      </c>
      <c r="G28" s="1">
        <f>VLOOKUP(A28,symbol_2[[symbol]:[Price3]],10,)</f>
        <v>1284.4000000000001</v>
      </c>
      <c r="H28" s="1">
        <f>VLOOKUP(A28,symbol_2[[symbol]:[Price4]],14,)</f>
        <v>1294.25</v>
      </c>
      <c r="I28" s="1">
        <f>VLOOKUP(A28,symbol_2[[symbol]:[Price5]],18,)</f>
        <v>1316.95</v>
      </c>
      <c r="J28" s="49" t="str">
        <f t="shared" si="24"/>
        <v>N</v>
      </c>
      <c r="K28" s="49" t="str">
        <f t="shared" si="25"/>
        <v>N</v>
      </c>
      <c r="L28" s="49" t="str">
        <f t="shared" si="26"/>
        <v>Y</v>
      </c>
      <c r="M28" s="49" t="str">
        <f t="shared" si="27"/>
        <v>Y</v>
      </c>
      <c r="N28" s="52">
        <f t="shared" si="28"/>
        <v>-0.60726425543291795</v>
      </c>
      <c r="O28" s="52">
        <f t="shared" si="29"/>
        <v>-1.2911158930218225</v>
      </c>
      <c r="P28" s="52">
        <f t="shared" si="30"/>
        <v>0.76689504827155941</v>
      </c>
      <c r="Q28" s="52">
        <f t="shared" si="31"/>
        <v>1.7539115317751628</v>
      </c>
      <c r="R28" s="1">
        <f>VLOOKUP(A28,symbol_2[[symbol]:[TV1]],3,)</f>
        <v>1.56</v>
      </c>
      <c r="S28" s="1">
        <f>VLOOKUP(A28,symbol_2[[symbol]:[TV2]],7,)</f>
        <v>1.49</v>
      </c>
      <c r="T28" s="1">
        <f>VLOOKUP(A28,symbol_2[[symbol]:[TV3]],11,)</f>
        <v>1.18</v>
      </c>
      <c r="U28" s="1">
        <f>VLOOKUP(A28,symbol_2[[symbol]:[TV4]],15,)</f>
        <v>1.07</v>
      </c>
      <c r="V28" s="1">
        <f>VLOOKUP(A28,symbol_2[[symbol]:[TV5]],19,)</f>
        <v>1.95</v>
      </c>
      <c r="W28" s="1" t="str">
        <f t="shared" si="32"/>
        <v>N</v>
      </c>
      <c r="X28" s="1" t="str">
        <f t="shared" si="33"/>
        <v>N</v>
      </c>
      <c r="Y28" s="1" t="str">
        <f t="shared" si="34"/>
        <v>N</v>
      </c>
      <c r="Z28" s="1" t="str">
        <f t="shared" si="35"/>
        <v>Y</v>
      </c>
      <c r="AA28" s="1">
        <f>VLOOKUP(A28,symbol_2[[symbol]:[TradedValue1]],4,)</f>
        <v>2020.8</v>
      </c>
      <c r="AB28" s="1">
        <f>VLOOKUP(A28,symbol_2[[symbol]:[TradedValue2]],8,)</f>
        <v>1969.39</v>
      </c>
      <c r="AC28" s="1">
        <f>VLOOKUP(A28,symbol_2[[symbol]:[TradedValue3]],12,)</f>
        <v>1521.14</v>
      </c>
      <c r="AD28" s="1">
        <f>VLOOKUP(A28,symbol_2[[symbol]:[TradedValue4]],16,)</f>
        <v>1386.11</v>
      </c>
      <c r="AE28" s="1">
        <f>VLOOKUP(A28,symbol_2[[symbol]:[TradedValue5]],20,)</f>
        <v>2511.5</v>
      </c>
      <c r="AF28" s="1">
        <f>Table2[[#This Row],[TradedValue2]]-Table2[[#This Row],[TradedValue1]]</f>
        <v>-51.409999999999854</v>
      </c>
      <c r="AG28" s="1">
        <f>Table2[[#This Row],[TradedValue3]]-Table2[[#This Row],[TradedValue2]]</f>
        <v>-448.25</v>
      </c>
      <c r="AH28" s="1">
        <f>Table2[[#This Row],[TradedValue4]]-Table2[[#This Row],[TradedValue3]]</f>
        <v>-135.0300000000002</v>
      </c>
      <c r="AI28" s="1">
        <f>Table2[[#This Row],[TradedValue5]]-Table2[[#This Row],[TradedValue4]]</f>
        <v>1125.3900000000001</v>
      </c>
      <c r="AJ28" s="49" t="str">
        <f>IF(Table2[[#This Row],[TradedValue2]]&gt;Table2[[#This Row],[TradedValue1]],"Y","N")</f>
        <v>N</v>
      </c>
      <c r="AK28" s="49" t="str">
        <f>IF(Table2[[#This Row],[TradedValue3]]&gt;Table2[[#This Row],[TradedValue2]],"Y","N")</f>
        <v>N</v>
      </c>
      <c r="AL28" s="49" t="str">
        <f>IF(Table2[[#This Row],[TradedValue5]]&gt;Table2[[#This Row],[TradedValue3]],"Y","N")</f>
        <v>Y</v>
      </c>
      <c r="AM28" s="49" t="str">
        <f>IF(Table2[[#This Row],[TradedValue5]]&gt;Table2[[#This Row],[TradedValue4]],"Y","N")</f>
        <v>Y</v>
      </c>
      <c r="AN28" s="1">
        <f t="shared" si="36"/>
        <v>-7.0000000000000062E-2</v>
      </c>
      <c r="AO28" s="1">
        <f t="shared" si="37"/>
        <v>-0.31000000000000005</v>
      </c>
      <c r="AP28" s="1">
        <f t="shared" si="38"/>
        <v>-0.10999999999999988</v>
      </c>
      <c r="AQ28" s="1">
        <f t="shared" si="39"/>
        <v>0.87999999999999989</v>
      </c>
      <c r="AR28" s="1">
        <f>VLOOKUP(A28,symbol_2[[symbol]:[DelPer1]],5,)</f>
        <v>33.28</v>
      </c>
      <c r="AS28" s="1">
        <f>VLOOKUP(A28,symbol_2[[symbol]:[DelPer2]],9,)</f>
        <v>19.559999999999999</v>
      </c>
      <c r="AT28" s="1">
        <f>VLOOKUP(A28,symbol_2[[symbol]:[DelPer3]],13,)</f>
        <v>34.130000000000003</v>
      </c>
      <c r="AU28" s="1">
        <f>VLOOKUP(A28,symbol_2[[symbol]:[DelPer4]],17,)</f>
        <v>27.22</v>
      </c>
      <c r="AV28" s="1">
        <f>VLOOKUP(A28,symbol_2[[symbol]:[DelPer5]],21,)</f>
        <v>24.9</v>
      </c>
      <c r="AW28" s="49" t="str">
        <f t="shared" si="40"/>
        <v>N</v>
      </c>
      <c r="AX28" s="49" t="str">
        <f t="shared" si="41"/>
        <v>Y</v>
      </c>
      <c r="AY28" s="49" t="str">
        <f t="shared" si="42"/>
        <v>N</v>
      </c>
      <c r="AZ28" s="49" t="str">
        <f t="shared" si="43"/>
        <v>N</v>
      </c>
      <c r="BA28" s="1">
        <f t="shared" si="44"/>
        <v>-13.720000000000002</v>
      </c>
      <c r="BB28" s="1">
        <f t="shared" si="45"/>
        <v>14.570000000000004</v>
      </c>
      <c r="BC28" s="1">
        <f t="shared" si="46"/>
        <v>-6.9100000000000037</v>
      </c>
      <c r="BD28" s="1">
        <f t="shared" si="47"/>
        <v>-2.3200000000000003</v>
      </c>
    </row>
    <row r="29" spans="1:56" hidden="1" x14ac:dyDescent="0.35">
      <c r="A29" s="1" t="s">
        <v>24</v>
      </c>
      <c r="B29" s="1" t="s">
        <v>1006</v>
      </c>
      <c r="C29" s="1" t="s">
        <v>52</v>
      </c>
      <c r="D29" s="1" t="str">
        <f>VLOOKUP(A29,'High Beta'!A4:B53,2,)</f>
        <v>Y</v>
      </c>
      <c r="E29" s="1">
        <f>VLOOKUP(A29,symbol_2[[symbol]:[Price1]],2,)</f>
        <v>407.7</v>
      </c>
      <c r="F29" s="1">
        <f>VLOOKUP(A29,symbol_2[[symbol]:[Price2]],6,)</f>
        <v>400.15</v>
      </c>
      <c r="G29" s="1">
        <f>VLOOKUP(A29,symbol_2[[symbol]:[Price3]],10,)</f>
        <v>405.35</v>
      </c>
      <c r="H29" s="1">
        <f>VLOOKUP(A29,symbol_2[[symbol]:[Price4]],14,)</f>
        <v>410.85</v>
      </c>
      <c r="I29" s="1">
        <f>VLOOKUP(A29,symbol_2[[symbol]:[Price5]],18,)</f>
        <v>431.75</v>
      </c>
      <c r="J29" s="49" t="str">
        <f t="shared" si="24"/>
        <v>N</v>
      </c>
      <c r="K29" s="49" t="str">
        <f t="shared" si="25"/>
        <v>Y</v>
      </c>
      <c r="L29" s="49" t="str">
        <f t="shared" si="26"/>
        <v>Y</v>
      </c>
      <c r="M29" s="49" t="str">
        <f t="shared" si="27"/>
        <v>Y</v>
      </c>
      <c r="N29" s="52">
        <f t="shared" si="28"/>
        <v>-1.8518518518518545</v>
      </c>
      <c r="O29" s="52">
        <f t="shared" si="29"/>
        <v>1.2995126827439825</v>
      </c>
      <c r="P29" s="52">
        <f t="shared" si="30"/>
        <v>1.3568521031207597</v>
      </c>
      <c r="Q29" s="52">
        <f t="shared" si="31"/>
        <v>5.0870147255689364</v>
      </c>
      <c r="R29" s="1">
        <f>VLOOKUP(A29,symbol_2[[symbol]:[TV1]],3,)</f>
        <v>33.35</v>
      </c>
      <c r="S29" s="1">
        <f>VLOOKUP(A29,symbol_2[[symbol]:[TV2]],7,)</f>
        <v>18.29</v>
      </c>
      <c r="T29" s="1">
        <f>VLOOKUP(A29,symbol_2[[symbol]:[TV3]],11,)</f>
        <v>15.37</v>
      </c>
      <c r="U29" s="1">
        <f>VLOOKUP(A29,symbol_2[[symbol]:[TV4]],15,)</f>
        <v>43.28</v>
      </c>
      <c r="V29" s="1">
        <f>VLOOKUP(A29,symbol_2[[symbol]:[TV5]],19,)</f>
        <v>37.71</v>
      </c>
      <c r="W29" s="1" t="str">
        <f t="shared" si="32"/>
        <v>N</v>
      </c>
      <c r="X29" s="1" t="str">
        <f t="shared" si="33"/>
        <v>N</v>
      </c>
      <c r="Y29" s="1" t="str">
        <f t="shared" si="34"/>
        <v>Y</v>
      </c>
      <c r="Z29" s="1" t="str">
        <f t="shared" si="35"/>
        <v>N</v>
      </c>
      <c r="AA29" s="1">
        <f>VLOOKUP(A29,symbol_2[[symbol]:[TradedValue1]],4,)</f>
        <v>13646.08</v>
      </c>
      <c r="AB29" s="1">
        <f>VLOOKUP(A29,symbol_2[[symbol]:[TradedValue2]],8,)</f>
        <v>7390.65</v>
      </c>
      <c r="AC29" s="1">
        <f>VLOOKUP(A29,symbol_2[[symbol]:[TradedValue3]],12,)</f>
        <v>6240.85</v>
      </c>
      <c r="AD29" s="1">
        <f>VLOOKUP(A29,symbol_2[[symbol]:[TradedValue4]],16,)</f>
        <v>18064.47</v>
      </c>
      <c r="AE29" s="1">
        <f>VLOOKUP(A29,symbol_2[[symbol]:[TradedValue5]],20,)</f>
        <v>16003.75</v>
      </c>
      <c r="AF29" s="1">
        <f>Table2[[#This Row],[TradedValue2]]-Table2[[#This Row],[TradedValue1]]</f>
        <v>-6255.43</v>
      </c>
      <c r="AG29" s="1">
        <f>Table2[[#This Row],[TradedValue3]]-Table2[[#This Row],[TradedValue2]]</f>
        <v>-1149.7999999999993</v>
      </c>
      <c r="AH29" s="1">
        <f>Table2[[#This Row],[TradedValue4]]-Table2[[#This Row],[TradedValue3]]</f>
        <v>11823.62</v>
      </c>
      <c r="AI29" s="1">
        <f>Table2[[#This Row],[TradedValue5]]-Table2[[#This Row],[TradedValue4]]</f>
        <v>-2060.7200000000012</v>
      </c>
      <c r="AJ29" s="49" t="str">
        <f>IF(Table2[[#This Row],[TradedValue2]]&gt;Table2[[#This Row],[TradedValue1]],"Y","N")</f>
        <v>N</v>
      </c>
      <c r="AK29" s="49" t="str">
        <f>IF(Table2[[#This Row],[TradedValue3]]&gt;Table2[[#This Row],[TradedValue2]],"Y","N")</f>
        <v>N</v>
      </c>
      <c r="AL29" s="49" t="str">
        <f>IF(Table2[[#This Row],[TradedValue5]]&gt;Table2[[#This Row],[TradedValue3]],"Y","N")</f>
        <v>Y</v>
      </c>
      <c r="AM29" s="49" t="str">
        <f>IF(Table2[[#This Row],[TradedValue5]]&gt;Table2[[#This Row],[TradedValue4]],"Y","N")</f>
        <v>N</v>
      </c>
      <c r="AN29" s="1">
        <f t="shared" si="36"/>
        <v>-15.060000000000002</v>
      </c>
      <c r="AO29" s="1">
        <f t="shared" si="37"/>
        <v>-2.92</v>
      </c>
      <c r="AP29" s="1">
        <f t="shared" si="38"/>
        <v>27.910000000000004</v>
      </c>
      <c r="AQ29" s="1">
        <f t="shared" si="39"/>
        <v>-5.57</v>
      </c>
      <c r="AR29" s="1">
        <f>VLOOKUP(A29,symbol_2[[symbol]:[DelPer1]],5,)</f>
        <v>53.55</v>
      </c>
      <c r="AS29" s="1">
        <f>VLOOKUP(A29,symbol_2[[symbol]:[DelPer2]],9,)</f>
        <v>45.31</v>
      </c>
      <c r="AT29" s="1">
        <f>VLOOKUP(A29,symbol_2[[symbol]:[DelPer3]],13,)</f>
        <v>37.07</v>
      </c>
      <c r="AU29" s="1">
        <f>VLOOKUP(A29,symbol_2[[symbol]:[DelPer4]],17,)</f>
        <v>43.47</v>
      </c>
      <c r="AV29" s="1">
        <f>VLOOKUP(A29,symbol_2[[symbol]:[DelPer5]],21,)</f>
        <v>59.88</v>
      </c>
      <c r="AW29" s="49" t="str">
        <f t="shared" si="40"/>
        <v>N</v>
      </c>
      <c r="AX29" s="49" t="str">
        <f t="shared" si="41"/>
        <v>N</v>
      </c>
      <c r="AY29" s="49" t="str">
        <f t="shared" si="42"/>
        <v>Y</v>
      </c>
      <c r="AZ29" s="49" t="str">
        <f t="shared" si="43"/>
        <v>Y</v>
      </c>
      <c r="BA29" s="1">
        <f t="shared" si="44"/>
        <v>-8.2399999999999949</v>
      </c>
      <c r="BB29" s="1">
        <f t="shared" si="45"/>
        <v>-8.240000000000002</v>
      </c>
      <c r="BC29" s="1">
        <f t="shared" si="46"/>
        <v>6.3999999999999986</v>
      </c>
      <c r="BD29" s="1">
        <f t="shared" si="47"/>
        <v>16.410000000000004</v>
      </c>
    </row>
    <row r="30" spans="1:56" hidden="1" x14ac:dyDescent="0.35">
      <c r="A30" s="1" t="s">
        <v>22</v>
      </c>
      <c r="B30" s="1" t="s">
        <v>1017</v>
      </c>
      <c r="C30" s="1" t="s">
        <v>52</v>
      </c>
      <c r="D30" s="1" t="s">
        <v>199</v>
      </c>
      <c r="E30" s="1">
        <f>VLOOKUP(A30,symbol_2[[symbol]:[Price1]],2,)</f>
        <v>1772.5</v>
      </c>
      <c r="F30" s="1">
        <f>VLOOKUP(A30,symbol_2[[symbol]:[Price2]],6,)</f>
        <v>1785.25</v>
      </c>
      <c r="G30" s="1">
        <f>VLOOKUP(A30,symbol_2[[symbol]:[Price3]],10,)</f>
        <v>1768.3</v>
      </c>
      <c r="H30" s="1">
        <f>VLOOKUP(A30,symbol_2[[symbol]:[Price4]],14,)</f>
        <v>1753.85</v>
      </c>
      <c r="I30" s="1">
        <f>VLOOKUP(A30,symbol_2[[symbol]:[Price5]],18,)</f>
        <v>1749.6</v>
      </c>
      <c r="J30" s="49" t="str">
        <f t="shared" si="24"/>
        <v>Y</v>
      </c>
      <c r="K30" s="49" t="str">
        <f t="shared" si="25"/>
        <v>N</v>
      </c>
      <c r="L30" s="49" t="str">
        <f t="shared" si="26"/>
        <v>N</v>
      </c>
      <c r="M30" s="49" t="str">
        <f t="shared" si="27"/>
        <v>N</v>
      </c>
      <c r="N30" s="52">
        <f t="shared" si="28"/>
        <v>0.71932299012693934</v>
      </c>
      <c r="O30" s="52">
        <f t="shared" si="29"/>
        <v>-0.94944685618261004</v>
      </c>
      <c r="P30" s="52">
        <f t="shared" si="30"/>
        <v>-0.8171690324040064</v>
      </c>
      <c r="Q30" s="52">
        <f t="shared" si="31"/>
        <v>-0.24232402999116229</v>
      </c>
      <c r="R30" s="1">
        <f>VLOOKUP(A30,symbol_2[[symbol]:[TV1]],3,)</f>
        <v>1.28</v>
      </c>
      <c r="S30" s="1">
        <f>VLOOKUP(A30,symbol_2[[symbol]:[TV2]],7,)</f>
        <v>1.34</v>
      </c>
      <c r="T30" s="1">
        <f>VLOOKUP(A30,symbol_2[[symbol]:[TV3]],11,)</f>
        <v>1.1599999999999999</v>
      </c>
      <c r="U30" s="1">
        <f>VLOOKUP(A30,symbol_2[[symbol]:[TV4]],15,)</f>
        <v>1.55</v>
      </c>
      <c r="V30" s="1">
        <f>VLOOKUP(A30,symbol_2[[symbol]:[TV5]],19,)</f>
        <v>1.6</v>
      </c>
      <c r="W30" s="1" t="str">
        <f t="shared" si="32"/>
        <v>Y</v>
      </c>
      <c r="X30" s="1" t="str">
        <f t="shared" si="33"/>
        <v>N</v>
      </c>
      <c r="Y30" s="1" t="str">
        <f t="shared" si="34"/>
        <v>Y</v>
      </c>
      <c r="Z30" s="1" t="str">
        <f t="shared" si="35"/>
        <v>Y</v>
      </c>
      <c r="AA30" s="1">
        <f>VLOOKUP(A30,symbol_2[[symbol]:[TradedValue1]],4,)</f>
        <v>2253.09</v>
      </c>
      <c r="AB30" s="1">
        <f>VLOOKUP(A30,symbol_2[[symbol]:[TradedValue2]],8,)</f>
        <v>2388.92</v>
      </c>
      <c r="AC30" s="1">
        <f>VLOOKUP(A30,symbol_2[[symbol]:[TradedValue3]],12,)</f>
        <v>2047.92</v>
      </c>
      <c r="AD30" s="1">
        <f>VLOOKUP(A30,symbol_2[[symbol]:[TradedValue4]],16,)</f>
        <v>2753.33</v>
      </c>
      <c r="AE30" s="1">
        <f>VLOOKUP(A30,symbol_2[[symbol]:[TradedValue5]],20,)</f>
        <v>2796.17</v>
      </c>
      <c r="AF30" s="1">
        <f>Table2[[#This Row],[TradedValue2]]-Table2[[#This Row],[TradedValue1]]</f>
        <v>135.82999999999993</v>
      </c>
      <c r="AG30" s="1">
        <f>Table2[[#This Row],[TradedValue3]]-Table2[[#This Row],[TradedValue2]]</f>
        <v>-341</v>
      </c>
      <c r="AH30" s="1">
        <f>Table2[[#This Row],[TradedValue4]]-Table2[[#This Row],[TradedValue3]]</f>
        <v>705.40999999999985</v>
      </c>
      <c r="AI30" s="1">
        <f>Table2[[#This Row],[TradedValue5]]-Table2[[#This Row],[TradedValue4]]</f>
        <v>42.840000000000146</v>
      </c>
      <c r="AJ30" s="49" t="str">
        <f>IF(Table2[[#This Row],[TradedValue2]]&gt;Table2[[#This Row],[TradedValue1]],"Y","N")</f>
        <v>Y</v>
      </c>
      <c r="AK30" s="49" t="str">
        <f>IF(Table2[[#This Row],[TradedValue3]]&gt;Table2[[#This Row],[TradedValue2]],"Y","N")</f>
        <v>N</v>
      </c>
      <c r="AL30" s="49" t="str">
        <f>IF(Table2[[#This Row],[TradedValue5]]&gt;Table2[[#This Row],[TradedValue3]],"Y","N")</f>
        <v>Y</v>
      </c>
      <c r="AM30" s="49" t="str">
        <f>IF(Table2[[#This Row],[TradedValue5]]&gt;Table2[[#This Row],[TradedValue4]],"Y","N")</f>
        <v>Y</v>
      </c>
      <c r="AN30" s="1">
        <f t="shared" si="36"/>
        <v>6.0000000000000053E-2</v>
      </c>
      <c r="AO30" s="1">
        <f t="shared" si="37"/>
        <v>-0.18000000000000016</v>
      </c>
      <c r="AP30" s="1">
        <f t="shared" si="38"/>
        <v>0.39000000000000012</v>
      </c>
      <c r="AQ30" s="1">
        <f t="shared" si="39"/>
        <v>5.0000000000000044E-2</v>
      </c>
      <c r="AR30" s="1">
        <f>VLOOKUP(A30,symbol_2[[symbol]:[DelPer1]],5,)</f>
        <v>53.43</v>
      </c>
      <c r="AS30" s="1">
        <f>VLOOKUP(A30,symbol_2[[symbol]:[DelPer2]],9,)</f>
        <v>63.5</v>
      </c>
      <c r="AT30" s="1">
        <f>VLOOKUP(A30,symbol_2[[symbol]:[DelPer3]],13,)</f>
        <v>63.34</v>
      </c>
      <c r="AU30" s="1">
        <f>VLOOKUP(A30,symbol_2[[symbol]:[DelPer4]],17,)</f>
        <v>58.36</v>
      </c>
      <c r="AV30" s="1">
        <f>VLOOKUP(A30,symbol_2[[symbol]:[DelPer5]],21,)</f>
        <v>64.209999999999994</v>
      </c>
      <c r="AW30" s="49" t="str">
        <f t="shared" si="40"/>
        <v>Y</v>
      </c>
      <c r="AX30" s="49" t="str">
        <f t="shared" si="41"/>
        <v>N</v>
      </c>
      <c r="AY30" s="49" t="str">
        <f t="shared" si="42"/>
        <v>N</v>
      </c>
      <c r="AZ30" s="49" t="str">
        <f t="shared" si="43"/>
        <v>Y</v>
      </c>
      <c r="BA30" s="1">
        <f t="shared" si="44"/>
        <v>10.07</v>
      </c>
      <c r="BB30" s="1">
        <f t="shared" si="45"/>
        <v>-0.15999999999999659</v>
      </c>
      <c r="BC30" s="1">
        <f t="shared" si="46"/>
        <v>-4.980000000000004</v>
      </c>
      <c r="BD30" s="1">
        <f t="shared" si="47"/>
        <v>5.8499999999999943</v>
      </c>
    </row>
    <row r="31" spans="1:56" hidden="1" x14ac:dyDescent="0.35">
      <c r="A31" s="1" t="s">
        <v>53</v>
      </c>
      <c r="B31" s="1" t="s">
        <v>1006</v>
      </c>
      <c r="C31" s="1" t="s">
        <v>52</v>
      </c>
      <c r="D31" s="1" t="s">
        <v>199</v>
      </c>
      <c r="E31" s="1">
        <f>VLOOKUP(A31,symbol_2[[symbol]:[Price1]],2,)</f>
        <v>3407.55</v>
      </c>
      <c r="F31" s="1">
        <f>VLOOKUP(A31,symbol_2[[symbol]:[Price2]],6,)</f>
        <v>3433.3</v>
      </c>
      <c r="G31" s="1">
        <f>VLOOKUP(A31,symbol_2[[symbol]:[Price3]],10,)</f>
        <v>3448.9</v>
      </c>
      <c r="H31" s="1">
        <f>VLOOKUP(A31,symbol_2[[symbol]:[Price4]],14,)</f>
        <v>3377.75</v>
      </c>
      <c r="I31" s="1">
        <f>VLOOKUP(A31,symbol_2[[symbol]:[Price5]],18,)</f>
        <v>3467.9</v>
      </c>
      <c r="J31" s="49" t="str">
        <f t="shared" si="24"/>
        <v>Y</v>
      </c>
      <c r="K31" s="49" t="str">
        <f t="shared" si="25"/>
        <v>Y</v>
      </c>
      <c r="L31" s="49" t="str">
        <f t="shared" si="26"/>
        <v>N</v>
      </c>
      <c r="M31" s="49" t="str">
        <f t="shared" si="27"/>
        <v>Y</v>
      </c>
      <c r="N31" s="52">
        <f t="shared" si="28"/>
        <v>0.75567489838740443</v>
      </c>
      <c r="O31" s="52">
        <f t="shared" si="29"/>
        <v>0.45437334343051605</v>
      </c>
      <c r="P31" s="52">
        <f t="shared" si="30"/>
        <v>-2.0629766012351789</v>
      </c>
      <c r="Q31" s="52">
        <f t="shared" si="31"/>
        <v>2.6689364221745273</v>
      </c>
      <c r="R31" s="1">
        <f>VLOOKUP(A31,symbol_2[[symbol]:[TV1]],3,)</f>
        <v>2.72</v>
      </c>
      <c r="S31" s="1">
        <f>VLOOKUP(A31,symbol_2[[symbol]:[TV2]],7,)</f>
        <v>2.88</v>
      </c>
      <c r="T31" s="1">
        <f>VLOOKUP(A31,symbol_2[[symbol]:[TV3]],11,)</f>
        <v>1.57</v>
      </c>
      <c r="U31" s="1">
        <f>VLOOKUP(A31,symbol_2[[symbol]:[TV4]],15,)</f>
        <v>2.41</v>
      </c>
      <c r="V31" s="1">
        <f>VLOOKUP(A31,symbol_2[[symbol]:[TV5]],19,)</f>
        <v>1.57</v>
      </c>
      <c r="W31" s="1" t="str">
        <f t="shared" si="32"/>
        <v>Y</v>
      </c>
      <c r="X31" s="1" t="str">
        <f t="shared" si="33"/>
        <v>N</v>
      </c>
      <c r="Y31" s="1" t="str">
        <f t="shared" si="34"/>
        <v>Y</v>
      </c>
      <c r="Z31" s="1" t="str">
        <f t="shared" si="35"/>
        <v>N</v>
      </c>
      <c r="AA31" s="1">
        <f>VLOOKUP(A31,symbol_2[[symbol]:[TradedValue1]],4,)</f>
        <v>9251.81</v>
      </c>
      <c r="AB31" s="1">
        <f>VLOOKUP(A31,symbol_2[[symbol]:[TradedValue2]],8,)</f>
        <v>9911.7000000000007</v>
      </c>
      <c r="AC31" s="1">
        <f>VLOOKUP(A31,symbol_2[[symbol]:[TradedValue3]],12,)</f>
        <v>5381.11</v>
      </c>
      <c r="AD31" s="1">
        <f>VLOOKUP(A31,symbol_2[[symbol]:[TradedValue4]],16,)</f>
        <v>8278.18</v>
      </c>
      <c r="AE31" s="1">
        <f>VLOOKUP(A31,symbol_2[[symbol]:[TradedValue5]],20,)</f>
        <v>5387.1</v>
      </c>
      <c r="AF31" s="1">
        <f>Table2[[#This Row],[TradedValue2]]-Table2[[#This Row],[TradedValue1]]</f>
        <v>659.89000000000124</v>
      </c>
      <c r="AG31" s="1">
        <f>Table2[[#This Row],[TradedValue3]]-Table2[[#This Row],[TradedValue2]]</f>
        <v>-4530.5900000000011</v>
      </c>
      <c r="AH31" s="1">
        <f>Table2[[#This Row],[TradedValue4]]-Table2[[#This Row],[TradedValue3]]</f>
        <v>2897.0700000000006</v>
      </c>
      <c r="AI31" s="1">
        <f>Table2[[#This Row],[TradedValue5]]-Table2[[#This Row],[TradedValue4]]</f>
        <v>-2891.08</v>
      </c>
      <c r="AJ31" s="49" t="str">
        <f>IF(Table2[[#This Row],[TradedValue2]]&gt;Table2[[#This Row],[TradedValue1]],"Y","N")</f>
        <v>Y</v>
      </c>
      <c r="AK31" s="49" t="str">
        <f>IF(Table2[[#This Row],[TradedValue3]]&gt;Table2[[#This Row],[TradedValue2]],"Y","N")</f>
        <v>N</v>
      </c>
      <c r="AL31" s="49" t="str">
        <f>IF(Table2[[#This Row],[TradedValue5]]&gt;Table2[[#This Row],[TradedValue3]],"Y","N")</f>
        <v>Y</v>
      </c>
      <c r="AM31" s="49" t="str">
        <f>IF(Table2[[#This Row],[TradedValue5]]&gt;Table2[[#This Row],[TradedValue4]],"Y","N")</f>
        <v>N</v>
      </c>
      <c r="AN31" s="1">
        <f t="shared" si="36"/>
        <v>0.1599999999999997</v>
      </c>
      <c r="AO31" s="1">
        <f t="shared" si="37"/>
        <v>-1.3099999999999998</v>
      </c>
      <c r="AP31" s="1">
        <f t="shared" si="38"/>
        <v>0.84000000000000008</v>
      </c>
      <c r="AQ31" s="1">
        <f t="shared" si="39"/>
        <v>-0.84000000000000008</v>
      </c>
      <c r="AR31" s="1">
        <f>VLOOKUP(A31,symbol_2[[symbol]:[DelPer1]],5,)</f>
        <v>31.55</v>
      </c>
      <c r="AS31" s="1">
        <f>VLOOKUP(A31,symbol_2[[symbol]:[DelPer2]],9,)</f>
        <v>30.71</v>
      </c>
      <c r="AT31" s="1">
        <f>VLOOKUP(A31,symbol_2[[symbol]:[DelPer3]],13,)</f>
        <v>27.84</v>
      </c>
      <c r="AU31" s="1">
        <f>VLOOKUP(A31,symbol_2[[symbol]:[DelPer4]],17,)</f>
        <v>35.07</v>
      </c>
      <c r="AV31" s="1">
        <f>VLOOKUP(A31,symbol_2[[symbol]:[DelPer5]],21,)</f>
        <v>22.38</v>
      </c>
      <c r="AW31" s="49" t="str">
        <f t="shared" si="40"/>
        <v>N</v>
      </c>
      <c r="AX31" s="49" t="str">
        <f t="shared" si="41"/>
        <v>N</v>
      </c>
      <c r="AY31" s="49" t="str">
        <f t="shared" si="42"/>
        <v>Y</v>
      </c>
      <c r="AZ31" s="49" t="str">
        <f t="shared" si="43"/>
        <v>N</v>
      </c>
      <c r="BA31" s="1">
        <f t="shared" si="44"/>
        <v>-0.83999999999999986</v>
      </c>
      <c r="BB31" s="1">
        <f t="shared" si="45"/>
        <v>-2.870000000000001</v>
      </c>
      <c r="BC31" s="1">
        <f t="shared" si="46"/>
        <v>7.23</v>
      </c>
      <c r="BD31" s="1">
        <f t="shared" si="47"/>
        <v>-12.690000000000001</v>
      </c>
    </row>
    <row r="32" spans="1:56" hidden="1" x14ac:dyDescent="0.35">
      <c r="A32" s="1" t="s">
        <v>77</v>
      </c>
      <c r="B32" s="1" t="s">
        <v>1009</v>
      </c>
      <c r="C32" s="1" t="s">
        <v>52</v>
      </c>
      <c r="D32" s="1" t="s">
        <v>199</v>
      </c>
      <c r="E32" s="1">
        <f>VLOOKUP(A32,symbol_2[[symbol]:[Price1]],2,)</f>
        <v>250.55</v>
      </c>
      <c r="F32" s="1">
        <f>VLOOKUP(A32,symbol_2[[symbol]:[Price2]],6,)</f>
        <v>244.75</v>
      </c>
      <c r="G32" s="1">
        <f>VLOOKUP(A32,symbol_2[[symbol]:[Price3]],10,)</f>
        <v>250.35</v>
      </c>
      <c r="H32" s="1">
        <f>VLOOKUP(A32,symbol_2[[symbol]:[Price4]],14,)</f>
        <v>250.3</v>
      </c>
      <c r="I32" s="1">
        <f>VLOOKUP(A32,symbol_2[[symbol]:[Price5]],18,)</f>
        <v>252.8</v>
      </c>
      <c r="J32" s="49" t="str">
        <f t="shared" si="24"/>
        <v>N</v>
      </c>
      <c r="K32" s="49" t="str">
        <f t="shared" si="25"/>
        <v>Y</v>
      </c>
      <c r="L32" s="49" t="str">
        <f t="shared" si="26"/>
        <v>N</v>
      </c>
      <c r="M32" s="49" t="str">
        <f t="shared" si="27"/>
        <v>Y</v>
      </c>
      <c r="N32" s="52">
        <f t="shared" si="28"/>
        <v>-2.3149072041508725</v>
      </c>
      <c r="O32" s="52">
        <f t="shared" si="29"/>
        <v>2.2880490296220612</v>
      </c>
      <c r="P32" s="52">
        <f t="shared" si="30"/>
        <v>-1.9972039145189913E-2</v>
      </c>
      <c r="Q32" s="52">
        <f t="shared" si="31"/>
        <v>0.99880143827407109</v>
      </c>
      <c r="R32" s="1">
        <f>VLOOKUP(A32,symbol_2[[symbol]:[TV1]],3,)</f>
        <v>3.87</v>
      </c>
      <c r="S32" s="1">
        <f>VLOOKUP(A32,symbol_2[[symbol]:[TV2]],7,)</f>
        <v>3.94</v>
      </c>
      <c r="T32" s="1">
        <f>VLOOKUP(A32,symbol_2[[symbol]:[TV3]],11,)</f>
        <v>3.19</v>
      </c>
      <c r="U32" s="1">
        <f>VLOOKUP(A32,symbol_2[[symbol]:[TV4]],15,)</f>
        <v>4.43</v>
      </c>
      <c r="V32" s="1">
        <f>VLOOKUP(A32,symbol_2[[symbol]:[TV5]],19,)</f>
        <v>3.13</v>
      </c>
      <c r="W32" s="1" t="str">
        <f t="shared" si="32"/>
        <v>Y</v>
      </c>
      <c r="X32" s="1" t="str">
        <f t="shared" si="33"/>
        <v>N</v>
      </c>
      <c r="Y32" s="1" t="str">
        <f t="shared" si="34"/>
        <v>Y</v>
      </c>
      <c r="Z32" s="1" t="str">
        <f t="shared" si="35"/>
        <v>N</v>
      </c>
      <c r="AA32" s="1">
        <f>VLOOKUP(A32,symbol_2[[symbol]:[TradedValue1]],4,)</f>
        <v>972.38</v>
      </c>
      <c r="AB32" s="1">
        <f>VLOOKUP(A32,symbol_2[[symbol]:[TradedValue2]],8,)</f>
        <v>973.24</v>
      </c>
      <c r="AC32" s="1">
        <f>VLOOKUP(A32,symbol_2[[symbol]:[TradedValue3]],12,)</f>
        <v>788.8</v>
      </c>
      <c r="AD32" s="1">
        <f>VLOOKUP(A32,symbol_2[[symbol]:[TradedValue4]],16,)</f>
        <v>1116.71</v>
      </c>
      <c r="AE32" s="1">
        <f>VLOOKUP(A32,symbol_2[[symbol]:[TradedValue5]],20,)</f>
        <v>790.39</v>
      </c>
      <c r="AF32" s="1">
        <f>Table2[[#This Row],[TradedValue2]]-Table2[[#This Row],[TradedValue1]]</f>
        <v>0.86000000000001364</v>
      </c>
      <c r="AG32" s="1">
        <f>Table2[[#This Row],[TradedValue3]]-Table2[[#This Row],[TradedValue2]]</f>
        <v>-184.44000000000005</v>
      </c>
      <c r="AH32" s="1">
        <f>Table2[[#This Row],[TradedValue4]]-Table2[[#This Row],[TradedValue3]]</f>
        <v>327.91000000000008</v>
      </c>
      <c r="AI32" s="1">
        <f>Table2[[#This Row],[TradedValue5]]-Table2[[#This Row],[TradedValue4]]</f>
        <v>-326.32000000000005</v>
      </c>
      <c r="AJ32" s="49" t="str">
        <f>IF(Table2[[#This Row],[TradedValue2]]&gt;Table2[[#This Row],[TradedValue1]],"Y","N")</f>
        <v>Y</v>
      </c>
      <c r="AK32" s="49" t="str">
        <f>IF(Table2[[#This Row],[TradedValue3]]&gt;Table2[[#This Row],[TradedValue2]],"Y","N")</f>
        <v>N</v>
      </c>
      <c r="AL32" s="49" t="str">
        <f>IF(Table2[[#This Row],[TradedValue5]]&gt;Table2[[#This Row],[TradedValue3]],"Y","N")</f>
        <v>Y</v>
      </c>
      <c r="AM32" s="49" t="str">
        <f>IF(Table2[[#This Row],[TradedValue5]]&gt;Table2[[#This Row],[TradedValue4]],"Y","N")</f>
        <v>N</v>
      </c>
      <c r="AN32" s="1">
        <f t="shared" si="36"/>
        <v>6.999999999999984E-2</v>
      </c>
      <c r="AO32" s="1">
        <f t="shared" si="37"/>
        <v>-0.75</v>
      </c>
      <c r="AP32" s="1">
        <f t="shared" si="38"/>
        <v>1.2399999999999998</v>
      </c>
      <c r="AQ32" s="1">
        <f t="shared" si="39"/>
        <v>-1.2999999999999998</v>
      </c>
      <c r="AR32" s="1">
        <f>VLOOKUP(A32,symbol_2[[symbol]:[DelPer1]],5,)</f>
        <v>56.25</v>
      </c>
      <c r="AS32" s="1">
        <f>VLOOKUP(A32,symbol_2[[symbol]:[DelPer2]],9,)</f>
        <v>40.83</v>
      </c>
      <c r="AT32" s="1">
        <f>VLOOKUP(A32,symbol_2[[symbol]:[DelPer3]],13,)</f>
        <v>44.11</v>
      </c>
      <c r="AU32" s="1">
        <f>VLOOKUP(A32,symbol_2[[symbol]:[DelPer4]],17,)</f>
        <v>69.56</v>
      </c>
      <c r="AV32" s="1">
        <f>VLOOKUP(A32,symbol_2[[symbol]:[DelPer5]],21,)</f>
        <v>54.67</v>
      </c>
      <c r="AW32" s="49" t="str">
        <f t="shared" si="40"/>
        <v>N</v>
      </c>
      <c r="AX32" s="49" t="str">
        <f t="shared" si="41"/>
        <v>Y</v>
      </c>
      <c r="AY32" s="49" t="str">
        <f t="shared" si="42"/>
        <v>Y</v>
      </c>
      <c r="AZ32" s="49" t="str">
        <f t="shared" si="43"/>
        <v>N</v>
      </c>
      <c r="BA32" s="1">
        <f t="shared" si="44"/>
        <v>-15.420000000000002</v>
      </c>
      <c r="BB32" s="1">
        <f t="shared" si="45"/>
        <v>3.2800000000000011</v>
      </c>
      <c r="BC32" s="1">
        <f t="shared" si="46"/>
        <v>25.450000000000003</v>
      </c>
      <c r="BD32" s="1">
        <f t="shared" si="47"/>
        <v>-14.89</v>
      </c>
    </row>
    <row r="33" spans="1:56" hidden="1" x14ac:dyDescent="0.35">
      <c r="A33" s="1" t="s">
        <v>161</v>
      </c>
      <c r="B33" s="1" t="s">
        <v>1006</v>
      </c>
      <c r="C33" s="1" t="s">
        <v>52</v>
      </c>
      <c r="D33" s="1" t="s">
        <v>199</v>
      </c>
      <c r="E33" s="1">
        <f>VLOOKUP(A33,symbol_2[[symbol]:[Price1]],2,)</f>
        <v>116.85</v>
      </c>
      <c r="F33" s="1">
        <f>VLOOKUP(A33,symbol_2[[symbol]:[Price2]],6,)</f>
        <v>111.55</v>
      </c>
      <c r="G33" s="1">
        <f>VLOOKUP(A33,symbol_2[[symbol]:[Price3]],10,)</f>
        <v>113.4</v>
      </c>
      <c r="H33" s="1">
        <f>VLOOKUP(A33,symbol_2[[symbol]:[Price4]],14,)</f>
        <v>111.4</v>
      </c>
      <c r="I33" s="1">
        <f>VLOOKUP(A33,symbol_2[[symbol]:[Price5]],18,)</f>
        <v>115.4</v>
      </c>
      <c r="J33" s="49" t="str">
        <f t="shared" si="24"/>
        <v>N</v>
      </c>
      <c r="K33" s="49" t="str">
        <f t="shared" si="25"/>
        <v>Y</v>
      </c>
      <c r="L33" s="49" t="str">
        <f t="shared" si="26"/>
        <v>N</v>
      </c>
      <c r="M33" s="49" t="str">
        <f t="shared" si="27"/>
        <v>Y</v>
      </c>
      <c r="N33" s="52">
        <f t="shared" si="28"/>
        <v>-4.535729567821992</v>
      </c>
      <c r="O33" s="52">
        <f t="shared" si="29"/>
        <v>1.6584491259524954</v>
      </c>
      <c r="P33" s="52">
        <f t="shared" si="30"/>
        <v>-1.7636684303350969</v>
      </c>
      <c r="Q33" s="52">
        <f t="shared" si="31"/>
        <v>3.5906642728904847</v>
      </c>
      <c r="R33" s="1">
        <f>VLOOKUP(A33,symbol_2[[symbol]:[TV1]],3,)</f>
        <v>6.12</v>
      </c>
      <c r="S33" s="1">
        <f>VLOOKUP(A33,symbol_2[[symbol]:[TV2]],7,)</f>
        <v>7.29</v>
      </c>
      <c r="T33" s="1">
        <f>VLOOKUP(A33,symbol_2[[symbol]:[TV3]],11,)</f>
        <v>4.4800000000000004</v>
      </c>
      <c r="U33" s="1">
        <f>VLOOKUP(A33,symbol_2[[symbol]:[TV4]],15,)</f>
        <v>5.69</v>
      </c>
      <c r="V33" s="1">
        <f>VLOOKUP(A33,symbol_2[[symbol]:[TV5]],19,)</f>
        <v>4.55</v>
      </c>
      <c r="W33" s="1" t="str">
        <f t="shared" si="32"/>
        <v>Y</v>
      </c>
      <c r="X33" s="1" t="str">
        <f t="shared" si="33"/>
        <v>N</v>
      </c>
      <c r="Y33" s="1" t="str">
        <f t="shared" si="34"/>
        <v>Y</v>
      </c>
      <c r="Z33" s="1" t="str">
        <f t="shared" si="35"/>
        <v>N</v>
      </c>
      <c r="AA33" s="1">
        <f>VLOOKUP(A35,symbol_2[[symbol]:[TradedValue1]],4,)</f>
        <v>1698.74</v>
      </c>
      <c r="AB33" s="1">
        <f>VLOOKUP(A33,symbol_2[[symbol]:[TradedValue2]],8,)</f>
        <v>818.07</v>
      </c>
      <c r="AC33" s="1">
        <f>VLOOKUP(A33,symbol_2[[symbol]:[TradedValue3]],12,)</f>
        <v>500.65</v>
      </c>
      <c r="AD33" s="1">
        <f>VLOOKUP(A33,symbol_2[[symbol]:[TradedValue4]],16,)</f>
        <v>652.34</v>
      </c>
      <c r="AE33" s="1">
        <f>VLOOKUP(A33,symbol_2[[symbol]:[TradedValue5]],20,)</f>
        <v>519.13</v>
      </c>
      <c r="AF33" s="1">
        <f>Table2[[#This Row],[TradedValue2]]-Table2[[#This Row],[TradedValue1]]</f>
        <v>-880.67</v>
      </c>
      <c r="AG33" s="1">
        <f>Table2[[#This Row],[TradedValue3]]-Table2[[#This Row],[TradedValue2]]</f>
        <v>-317.42000000000007</v>
      </c>
      <c r="AH33" s="1">
        <f>Table2[[#This Row],[TradedValue4]]-Table2[[#This Row],[TradedValue3]]</f>
        <v>151.69000000000005</v>
      </c>
      <c r="AI33" s="1">
        <f>Table2[[#This Row],[TradedValue5]]-Table2[[#This Row],[TradedValue4]]</f>
        <v>-133.21000000000004</v>
      </c>
      <c r="AJ33" s="49" t="str">
        <f>IF(Table2[[#This Row],[TradedValue2]]&gt;Table2[[#This Row],[TradedValue1]],"Y","N")</f>
        <v>N</v>
      </c>
      <c r="AK33" s="49" t="str">
        <f>IF(Table2[[#This Row],[TradedValue3]]&gt;Table2[[#This Row],[TradedValue2]],"Y","N")</f>
        <v>N</v>
      </c>
      <c r="AL33" s="49" t="str">
        <f>IF(Table2[[#This Row],[TradedValue5]]&gt;Table2[[#This Row],[TradedValue3]],"Y","N")</f>
        <v>Y</v>
      </c>
      <c r="AM33" s="49" t="str">
        <f>IF(Table2[[#This Row],[TradedValue5]]&gt;Table2[[#This Row],[TradedValue4]],"Y","N")</f>
        <v>N</v>
      </c>
      <c r="AN33" s="1">
        <f t="shared" si="36"/>
        <v>1.17</v>
      </c>
      <c r="AO33" s="1">
        <f t="shared" si="37"/>
        <v>-2.8099999999999996</v>
      </c>
      <c r="AP33" s="1">
        <f t="shared" si="38"/>
        <v>1.21</v>
      </c>
      <c r="AQ33" s="1">
        <f t="shared" si="39"/>
        <v>-1.1400000000000006</v>
      </c>
      <c r="AR33" s="1">
        <f>VLOOKUP(A33,symbol_2[[symbol]:[DelPer1]],5,)</f>
        <v>33.4</v>
      </c>
      <c r="AS33" s="1">
        <f>VLOOKUP(A33,symbol_2[[symbol]:[DelPer2]],9,)</f>
        <v>49.08</v>
      </c>
      <c r="AT33" s="1">
        <f>VLOOKUP(A33,symbol_2[[symbol]:[DelPer3]],13,)</f>
        <v>41.35</v>
      </c>
      <c r="AU33" s="1">
        <f>VLOOKUP(A33,symbol_2[[symbol]:[DelPer4]],17,)</f>
        <v>36.630000000000003</v>
      </c>
      <c r="AV33" s="1">
        <f>VLOOKUP(A33,symbol_2[[symbol]:[DelPer5]],21,)</f>
        <v>40.049999999999997</v>
      </c>
      <c r="AW33" s="49" t="str">
        <f t="shared" si="40"/>
        <v>Y</v>
      </c>
      <c r="AX33" s="49" t="str">
        <f t="shared" si="41"/>
        <v>N</v>
      </c>
      <c r="AY33" s="49" t="str">
        <f t="shared" si="42"/>
        <v>N</v>
      </c>
      <c r="AZ33" s="49" t="str">
        <f t="shared" si="43"/>
        <v>Y</v>
      </c>
      <c r="BA33" s="1">
        <f t="shared" si="44"/>
        <v>15.68</v>
      </c>
      <c r="BB33" s="1">
        <f t="shared" si="45"/>
        <v>-7.7299999999999969</v>
      </c>
      <c r="BC33" s="1">
        <f t="shared" si="46"/>
        <v>-4.7199999999999989</v>
      </c>
      <c r="BD33" s="1">
        <f t="shared" si="47"/>
        <v>3.4199999999999946</v>
      </c>
    </row>
    <row r="34" spans="1:56" hidden="1" x14ac:dyDescent="0.35">
      <c r="A34" s="116" t="s">
        <v>153</v>
      </c>
      <c r="B34" s="1" t="s">
        <v>1021</v>
      </c>
      <c r="C34" s="1" t="s">
        <v>52</v>
      </c>
      <c r="D34" s="1" t="s">
        <v>199</v>
      </c>
      <c r="E34" s="1">
        <f>VLOOKUP(A34,symbol_2[[symbol]:[Price1]],2,)</f>
        <v>96.05</v>
      </c>
      <c r="F34" s="1">
        <f>VLOOKUP(A34,symbol_2[[symbol]:[Price2]],6,)</f>
        <v>93.05</v>
      </c>
      <c r="G34" s="1">
        <f>VLOOKUP(A34,symbol_2[[symbol]:[Price3]],10,)</f>
        <v>94.65</v>
      </c>
      <c r="H34" s="1">
        <f>VLOOKUP(A34,symbol_2[[symbol]:[Price4]],14,)</f>
        <v>96.25</v>
      </c>
      <c r="I34" s="1">
        <f>VLOOKUP(A34,symbol_2[[symbol]:[Price5]],18,)</f>
        <v>97.8</v>
      </c>
      <c r="J34" s="49" t="str">
        <f t="shared" si="24"/>
        <v>N</v>
      </c>
      <c r="K34" s="49" t="str">
        <f t="shared" si="25"/>
        <v>Y</v>
      </c>
      <c r="L34" s="49" t="str">
        <f t="shared" si="26"/>
        <v>Y</v>
      </c>
      <c r="M34" s="49" t="str">
        <f t="shared" si="27"/>
        <v>Y</v>
      </c>
      <c r="N34" s="52">
        <f t="shared" si="28"/>
        <v>-3.1233732431025505</v>
      </c>
      <c r="O34" s="52">
        <f t="shared" si="29"/>
        <v>1.7195056421278974</v>
      </c>
      <c r="P34" s="52">
        <f t="shared" si="30"/>
        <v>1.6904384574749014</v>
      </c>
      <c r="Q34" s="52">
        <f t="shared" si="31"/>
        <v>1.6103896103896076</v>
      </c>
      <c r="R34" s="1">
        <f>VLOOKUP(A34,symbol_2[[symbol]:[TV1]],3,)</f>
        <v>3.7</v>
      </c>
      <c r="S34" s="1">
        <f>VLOOKUP(A34,symbol_2[[symbol]:[TV2]],7,)</f>
        <v>3.5</v>
      </c>
      <c r="T34" s="1">
        <f>VLOOKUP(A34,symbol_2[[symbol]:[TV3]],11,)</f>
        <v>5.0199999999999996</v>
      </c>
      <c r="U34" s="1">
        <f>VLOOKUP(A34,symbol_2[[symbol]:[TV4]],15,)</f>
        <v>8.4600000000000009</v>
      </c>
      <c r="V34" s="1">
        <f>VLOOKUP(A34,symbol_2[[symbol]:[TV5]],19,)</f>
        <v>3.59</v>
      </c>
      <c r="W34" s="1" t="str">
        <f t="shared" si="32"/>
        <v>N</v>
      </c>
      <c r="X34" s="1" t="str">
        <f t="shared" si="33"/>
        <v>Y</v>
      </c>
      <c r="Y34" s="1" t="str">
        <f t="shared" si="34"/>
        <v>Y</v>
      </c>
      <c r="Z34" s="1" t="str">
        <f t="shared" si="35"/>
        <v>N</v>
      </c>
      <c r="AA34" s="1">
        <f>VLOOKUP(A34,symbol_2[[symbol]:[TradedValue1]],4,)</f>
        <v>353.2</v>
      </c>
      <c r="AB34" s="1">
        <f>VLOOKUP(A34,symbol_2[[symbol]:[TradedValue2]],8,)</f>
        <v>329.8</v>
      </c>
      <c r="AC34" s="1">
        <f>VLOOKUP(A34,symbol_2[[symbol]:[TradedValue3]],12,)</f>
        <v>475.27</v>
      </c>
      <c r="AD34" s="1">
        <f>VLOOKUP(A34,symbol_2[[symbol]:[TradedValue4]],16,)</f>
        <v>818.03</v>
      </c>
      <c r="AE34" s="1">
        <f>VLOOKUP(A34,symbol_2[[symbol]:[TradedValue5]],20,)</f>
        <v>347.57</v>
      </c>
      <c r="AF34" s="1">
        <f>Table2[[#This Row],[TradedValue2]]-Table2[[#This Row],[TradedValue1]]</f>
        <v>-23.399999999999977</v>
      </c>
      <c r="AG34" s="1">
        <f>Table2[[#This Row],[TradedValue3]]-Table2[[#This Row],[TradedValue2]]</f>
        <v>145.46999999999997</v>
      </c>
      <c r="AH34" s="1">
        <f>Table2[[#This Row],[TradedValue4]]-Table2[[#This Row],[TradedValue3]]</f>
        <v>342.76</v>
      </c>
      <c r="AI34" s="1">
        <f>Table2[[#This Row],[TradedValue5]]-Table2[[#This Row],[TradedValue4]]</f>
        <v>-470.46</v>
      </c>
      <c r="AJ34" s="49" t="str">
        <f>IF(Table2[[#This Row],[TradedValue2]]&gt;Table2[[#This Row],[TradedValue1]],"Y","N")</f>
        <v>N</v>
      </c>
      <c r="AK34" s="49" t="str">
        <f>IF(Table2[[#This Row],[TradedValue3]]&gt;Table2[[#This Row],[TradedValue2]],"Y","N")</f>
        <v>Y</v>
      </c>
      <c r="AL34" s="49" t="str">
        <f>IF(Table2[[#This Row],[TradedValue5]]&gt;Table2[[#This Row],[TradedValue3]],"Y","N")</f>
        <v>N</v>
      </c>
      <c r="AM34" s="49" t="str">
        <f>IF(Table2[[#This Row],[TradedValue5]]&gt;Table2[[#This Row],[TradedValue4]],"Y","N")</f>
        <v>N</v>
      </c>
      <c r="AN34" s="1">
        <f t="shared" si="36"/>
        <v>-0.20000000000000018</v>
      </c>
      <c r="AO34" s="1">
        <f t="shared" si="37"/>
        <v>1.5199999999999996</v>
      </c>
      <c r="AP34" s="1">
        <f t="shared" si="38"/>
        <v>3.4400000000000013</v>
      </c>
      <c r="AQ34" s="1">
        <f t="shared" si="39"/>
        <v>-4.870000000000001</v>
      </c>
      <c r="AR34" s="1">
        <f>VLOOKUP(A34,symbol_2[[symbol]:[DelPer1]],5,)</f>
        <v>38.659999999999997</v>
      </c>
      <c r="AS34" s="1">
        <f>VLOOKUP(A34,symbol_2[[symbol]:[DelPer2]],9,)</f>
        <v>42.95</v>
      </c>
      <c r="AT34" s="1">
        <f>VLOOKUP(A34,symbol_2[[symbol]:[DelPer3]],13,)</f>
        <v>51.4</v>
      </c>
      <c r="AU34" s="1">
        <f>VLOOKUP(A34,symbol_2[[symbol]:[DelPer4]],17,)</f>
        <v>51.17</v>
      </c>
      <c r="AV34" s="1">
        <f>VLOOKUP(A34,symbol_2[[symbol]:[DelPer5]],21,)</f>
        <v>32.229999999999997</v>
      </c>
      <c r="AW34" s="49" t="str">
        <f t="shared" si="40"/>
        <v>Y</v>
      </c>
      <c r="AX34" s="49" t="str">
        <f t="shared" si="41"/>
        <v>Y</v>
      </c>
      <c r="AY34" s="49" t="str">
        <f t="shared" si="42"/>
        <v>N</v>
      </c>
      <c r="AZ34" s="49" t="str">
        <f t="shared" si="43"/>
        <v>N</v>
      </c>
      <c r="BA34" s="1">
        <f t="shared" si="44"/>
        <v>4.2900000000000063</v>
      </c>
      <c r="BB34" s="1">
        <f t="shared" si="45"/>
        <v>8.4499999999999957</v>
      </c>
      <c r="BC34" s="1">
        <f t="shared" si="46"/>
        <v>-0.22999999999999687</v>
      </c>
      <c r="BD34" s="1">
        <f t="shared" si="47"/>
        <v>-18.940000000000005</v>
      </c>
    </row>
    <row r="35" spans="1:56" hidden="1" x14ac:dyDescent="0.35">
      <c r="A35" s="1" t="s">
        <v>69</v>
      </c>
      <c r="B35" s="1" t="s">
        <v>1020</v>
      </c>
      <c r="C35" s="1" t="s">
        <v>52</v>
      </c>
      <c r="D35" s="1" t="s">
        <v>199</v>
      </c>
      <c r="E35" s="1">
        <f>VLOOKUP(A35,symbol_2[[symbol]:[Price1]],2,)</f>
        <v>99.3</v>
      </c>
      <c r="F35" s="1">
        <f>VLOOKUP(A35,symbol_2[[symbol]:[Price2]],6,)</f>
        <v>96.95</v>
      </c>
      <c r="G35" s="1">
        <f>VLOOKUP(A35,symbol_2[[symbol]:[Price3]],10,)</f>
        <v>101.1</v>
      </c>
      <c r="H35" s="1">
        <f>VLOOKUP(A35,symbol_2[[symbol]:[Price4]],14,)</f>
        <v>102.65</v>
      </c>
      <c r="I35" s="1">
        <f>VLOOKUP(A35,symbol_2[[symbol]:[Price5]],18,)</f>
        <v>111.8</v>
      </c>
      <c r="J35" s="49" t="str">
        <f t="shared" ref="J35:J66" si="48">IF(F35&gt;E35,"Y","N")</f>
        <v>N</v>
      </c>
      <c r="K35" s="49" t="str">
        <f t="shared" ref="K35:K66" si="49">IF(G35&gt;F35,"Y","N")</f>
        <v>Y</v>
      </c>
      <c r="L35" s="49" t="str">
        <f t="shared" ref="L35:L66" si="50">IF(H35&gt;G35,"Y","N")</f>
        <v>Y</v>
      </c>
      <c r="M35" s="49" t="str">
        <f t="shared" ref="M35:M66" si="51">IF(I35&gt;H35,"Y","N")</f>
        <v>Y</v>
      </c>
      <c r="N35" s="52">
        <f t="shared" ref="N35:N66" si="52">((F35-E35)/E35)*100</f>
        <v>-2.3665659617321193</v>
      </c>
      <c r="O35" s="52">
        <f t="shared" ref="O35:O66" si="53">((G35-F35)/F35)*100</f>
        <v>4.2805569881382066</v>
      </c>
      <c r="P35" s="52">
        <f t="shared" ref="P35:P66" si="54">((H35-G35)/G35)*100</f>
        <v>1.5331355093966483</v>
      </c>
      <c r="Q35" s="52">
        <f t="shared" ref="Q35:Q66" si="55">((I35-H35)/H35)*100</f>
        <v>8.9137847053092951</v>
      </c>
      <c r="R35" s="1">
        <f>VLOOKUP(A35,symbol_2[[symbol]:[TV1]],3,)</f>
        <v>17.28</v>
      </c>
      <c r="S35" s="1">
        <f>VLOOKUP(A35,symbol_2[[symbol]:[TV2]],7,)</f>
        <v>8.3699999999999992</v>
      </c>
      <c r="T35" s="1">
        <f>VLOOKUP(A35,symbol_2[[symbol]:[TV3]],11,)</f>
        <v>15.23</v>
      </c>
      <c r="U35" s="1">
        <f>VLOOKUP(A35,symbol_2[[symbol]:[TV4]],15,)</f>
        <v>25.99</v>
      </c>
      <c r="V35" s="1">
        <f>VLOOKUP(A35,symbol_2[[symbol]:[TV5]],19,)</f>
        <v>36.200000000000003</v>
      </c>
      <c r="W35" s="1" t="str">
        <f t="shared" ref="W35:W66" si="56">IF(S35&gt;R35,"Y","N")</f>
        <v>N</v>
      </c>
      <c r="X35" s="1" t="str">
        <f t="shared" ref="X35:X66" si="57">IF(T35&gt;S35,"Y","N")</f>
        <v>Y</v>
      </c>
      <c r="Y35" s="1" t="str">
        <f t="shared" ref="Y35:Y66" si="58">IF(U35&gt;T35,"Y","N")</f>
        <v>Y</v>
      </c>
      <c r="Z35" s="1" t="str">
        <f t="shared" ref="Z35:Z66" si="59">IF(V35&gt;U35,"Y","N")</f>
        <v>Y</v>
      </c>
      <c r="AA35" s="1">
        <f>VLOOKUP(A35,symbol_2[[symbol]:[TradedValue1]],4,)</f>
        <v>1698.74</v>
      </c>
      <c r="AB35" s="1">
        <f>VLOOKUP(A35,symbol_2[[symbol]:[TradedValue2]],8,)</f>
        <v>813.84</v>
      </c>
      <c r="AC35" s="1">
        <f>VLOOKUP(A35,symbol_2[[symbol]:[TradedValue3]],12,)</f>
        <v>1525.88</v>
      </c>
      <c r="AD35" s="1">
        <f>VLOOKUP(A35,symbol_2[[symbol]:[TradedValue4]],16,)</f>
        <v>2701.44</v>
      </c>
      <c r="AE35" s="1">
        <f>VLOOKUP(A35,symbol_2[[symbol]:[TradedValue5]],20,)</f>
        <v>3965.44</v>
      </c>
      <c r="AF35" s="1">
        <f>Table2[[#This Row],[TradedValue2]]-Table2[[#This Row],[TradedValue1]]</f>
        <v>-884.9</v>
      </c>
      <c r="AG35" s="1">
        <f>Table2[[#This Row],[TradedValue3]]-Table2[[#This Row],[TradedValue2]]</f>
        <v>712.04000000000008</v>
      </c>
      <c r="AH35" s="1">
        <f>Table2[[#This Row],[TradedValue4]]-Table2[[#This Row],[TradedValue3]]</f>
        <v>1175.56</v>
      </c>
      <c r="AI35" s="1">
        <f>Table2[[#This Row],[TradedValue5]]-Table2[[#This Row],[TradedValue4]]</f>
        <v>1264</v>
      </c>
      <c r="AJ35" s="49" t="str">
        <f>IF(Table2[[#This Row],[TradedValue2]]&gt;Table2[[#This Row],[TradedValue1]],"Y","N")</f>
        <v>N</v>
      </c>
      <c r="AK35" s="49" t="str">
        <f>IF(Table2[[#This Row],[TradedValue3]]&gt;Table2[[#This Row],[TradedValue2]],"Y","N")</f>
        <v>Y</v>
      </c>
      <c r="AL35" s="49" t="str">
        <f>IF(Table2[[#This Row],[TradedValue5]]&gt;Table2[[#This Row],[TradedValue3]],"Y","N")</f>
        <v>Y</v>
      </c>
      <c r="AM35" s="49" t="str">
        <f>IF(Table2[[#This Row],[TradedValue5]]&gt;Table2[[#This Row],[TradedValue4]],"Y","N")</f>
        <v>Y</v>
      </c>
      <c r="AN35" s="1">
        <f t="shared" ref="AN35:AN66" si="60">S35-R35</f>
        <v>-8.9100000000000019</v>
      </c>
      <c r="AO35" s="1">
        <f t="shared" ref="AO35:AO66" si="61">T35-S35</f>
        <v>6.8600000000000012</v>
      </c>
      <c r="AP35" s="1">
        <f t="shared" ref="AP35:AP66" si="62">U35-T35</f>
        <v>10.759999999999998</v>
      </c>
      <c r="AQ35" s="1">
        <f t="shared" ref="AQ35:AQ66" si="63">V35-U35</f>
        <v>10.210000000000004</v>
      </c>
      <c r="AR35" s="1">
        <f>VLOOKUP(A35,symbol_2[[symbol]:[DelPer1]],5,)</f>
        <v>35.78</v>
      </c>
      <c r="AS35" s="1">
        <f>VLOOKUP(A35,symbol_2[[symbol]:[DelPer2]],9,)</f>
        <v>33.74</v>
      </c>
      <c r="AT35" s="1">
        <f>VLOOKUP(A35,symbol_2[[symbol]:[DelPer3]],13,)</f>
        <v>32.39</v>
      </c>
      <c r="AU35" s="1">
        <f>VLOOKUP(A35,symbol_2[[symbol]:[DelPer4]],17,)</f>
        <v>35.57</v>
      </c>
      <c r="AV35" s="1">
        <f>VLOOKUP(A35,symbol_2[[symbol]:[DelPer5]],21,)</f>
        <v>33.61</v>
      </c>
      <c r="AW35" s="49" t="str">
        <f t="shared" ref="AW35:AW66" si="64">IF(AS35&gt;AR35,"Y","N")</f>
        <v>N</v>
      </c>
      <c r="AX35" s="49" t="str">
        <f t="shared" ref="AX35:AX66" si="65">IF(AT35&gt;AS35,"Y","N")</f>
        <v>N</v>
      </c>
      <c r="AY35" s="49" t="str">
        <f t="shared" ref="AY35:AY66" si="66">IF(AU35&gt;AT35,"Y","N")</f>
        <v>Y</v>
      </c>
      <c r="AZ35" s="49" t="str">
        <f t="shared" ref="AZ35:AZ66" si="67">IF(AV35&gt;AU35,"Y","N")</f>
        <v>N</v>
      </c>
      <c r="BA35" s="1">
        <f t="shared" ref="BA35:BA66" si="68">AS35-AR35</f>
        <v>-2.0399999999999991</v>
      </c>
      <c r="BB35" s="1">
        <f t="shared" ref="BB35:BB66" si="69">AT35-AS35</f>
        <v>-1.3500000000000014</v>
      </c>
      <c r="BC35" s="1">
        <f t="shared" ref="BC35:BC66" si="70">AU35-AT35</f>
        <v>3.1799999999999997</v>
      </c>
      <c r="BD35" s="1">
        <f t="shared" ref="BD35:BD66" si="71">AV35-AU35</f>
        <v>-1.9600000000000009</v>
      </c>
    </row>
    <row r="36" spans="1:56" hidden="1" x14ac:dyDescent="0.35">
      <c r="A36" s="116" t="s">
        <v>151</v>
      </c>
      <c r="B36" s="1" t="s">
        <v>1025</v>
      </c>
      <c r="C36" s="1" t="s">
        <v>52</v>
      </c>
      <c r="D36" s="1" t="s">
        <v>199</v>
      </c>
      <c r="E36" s="1">
        <f>VLOOKUP(A36,symbol_2[[symbol]:[Price1]],2,)</f>
        <v>23.15</v>
      </c>
      <c r="F36" s="1">
        <f>VLOOKUP(A36,symbol_2[[symbol]:[Price2]],6,)</f>
        <v>22.85</v>
      </c>
      <c r="G36" s="1">
        <f>VLOOKUP(A36,symbol_2[[symbol]:[Price3]],10,)</f>
        <v>22.95</v>
      </c>
      <c r="H36" s="1">
        <f>VLOOKUP(A36,symbol_2[[symbol]:[Price4]],14,)</f>
        <v>22.8</v>
      </c>
      <c r="I36" s="1">
        <f>VLOOKUP(A36,symbol_2[[symbol]:[Price5]],18,)</f>
        <v>23.05</v>
      </c>
      <c r="J36" s="49" t="str">
        <f t="shared" si="48"/>
        <v>N</v>
      </c>
      <c r="K36" s="49" t="str">
        <f t="shared" si="49"/>
        <v>Y</v>
      </c>
      <c r="L36" s="49" t="str">
        <f t="shared" si="50"/>
        <v>N</v>
      </c>
      <c r="M36" s="49" t="str">
        <f t="shared" si="51"/>
        <v>Y</v>
      </c>
      <c r="N36" s="52">
        <f t="shared" si="52"/>
        <v>-1.2958963282937244</v>
      </c>
      <c r="O36" s="52">
        <f t="shared" si="53"/>
        <v>0.43763676148795561</v>
      </c>
      <c r="P36" s="52">
        <f t="shared" si="54"/>
        <v>-0.65359477124182397</v>
      </c>
      <c r="Q36" s="52">
        <f t="shared" si="55"/>
        <v>1.0964912280701753</v>
      </c>
      <c r="R36" s="1">
        <f>VLOOKUP(A36,symbol_2[[symbol]:[TV1]],3,)</f>
        <v>2.62</v>
      </c>
      <c r="S36" s="1">
        <f>VLOOKUP(A36,symbol_2[[symbol]:[TV2]],7,)</f>
        <v>1.77</v>
      </c>
      <c r="T36" s="1">
        <f>VLOOKUP(A36,symbol_2[[symbol]:[TV3]],11,)</f>
        <v>5.23</v>
      </c>
      <c r="U36" s="1">
        <f>VLOOKUP(A36,symbol_2[[symbol]:[TV4]],15,)</f>
        <v>3.89</v>
      </c>
      <c r="V36" s="1">
        <f>VLOOKUP(A36,symbol_2[[symbol]:[TV5]],19,)</f>
        <v>7.07</v>
      </c>
      <c r="W36" s="1" t="str">
        <f t="shared" si="56"/>
        <v>N</v>
      </c>
      <c r="X36" s="1" t="str">
        <f t="shared" si="57"/>
        <v>Y</v>
      </c>
      <c r="Y36" s="1" t="str">
        <f t="shared" si="58"/>
        <v>N</v>
      </c>
      <c r="Z36" s="1" t="str">
        <f t="shared" si="59"/>
        <v>Y</v>
      </c>
      <c r="AA36" s="1">
        <f>VLOOKUP(A36,symbol_2[[symbol]:[TradedValue1]],4,)</f>
        <v>60.07</v>
      </c>
      <c r="AB36" s="1">
        <f>VLOOKUP(A36,symbol_2[[symbol]:[TradedValue2]],8,)</f>
        <v>40.71</v>
      </c>
      <c r="AC36" s="1">
        <f>VLOOKUP(A36,symbol_2[[symbol]:[TradedValue3]],12,)</f>
        <v>119.62</v>
      </c>
      <c r="AD36" s="1">
        <f>VLOOKUP(A36,symbol_2[[symbol]:[TradedValue4]],16,)</f>
        <v>89.11</v>
      </c>
      <c r="AE36" s="1">
        <f>VLOOKUP(A36,symbol_2[[symbol]:[TradedValue5]],20,)</f>
        <v>162.80000000000001</v>
      </c>
      <c r="AF36" s="1">
        <f>Table2[[#This Row],[TradedValue2]]-Table2[[#This Row],[TradedValue1]]</f>
        <v>-19.36</v>
      </c>
      <c r="AG36" s="1">
        <f>Table2[[#This Row],[TradedValue3]]-Table2[[#This Row],[TradedValue2]]</f>
        <v>78.91</v>
      </c>
      <c r="AH36" s="1">
        <f>Table2[[#This Row],[TradedValue4]]-Table2[[#This Row],[TradedValue3]]</f>
        <v>-30.510000000000005</v>
      </c>
      <c r="AI36" s="1">
        <f>Table2[[#This Row],[TradedValue5]]-Table2[[#This Row],[TradedValue4]]</f>
        <v>73.690000000000012</v>
      </c>
      <c r="AJ36" s="49" t="str">
        <f>IF(Table2[[#This Row],[TradedValue2]]&gt;Table2[[#This Row],[TradedValue1]],"Y","N")</f>
        <v>N</v>
      </c>
      <c r="AK36" s="49" t="str">
        <f>IF(Table2[[#This Row],[TradedValue3]]&gt;Table2[[#This Row],[TradedValue2]],"Y","N")</f>
        <v>Y</v>
      </c>
      <c r="AL36" s="49" t="str">
        <f>IF(Table2[[#This Row],[TradedValue5]]&gt;Table2[[#This Row],[TradedValue3]],"Y","N")</f>
        <v>Y</v>
      </c>
      <c r="AM36" s="49" t="str">
        <f>IF(Table2[[#This Row],[TradedValue5]]&gt;Table2[[#This Row],[TradedValue4]],"Y","N")</f>
        <v>Y</v>
      </c>
      <c r="AN36" s="1">
        <f t="shared" si="60"/>
        <v>-0.85000000000000009</v>
      </c>
      <c r="AO36" s="1">
        <f t="shared" si="61"/>
        <v>3.4600000000000004</v>
      </c>
      <c r="AP36" s="1">
        <f t="shared" si="62"/>
        <v>-1.3400000000000003</v>
      </c>
      <c r="AQ36" s="1">
        <f t="shared" si="63"/>
        <v>3.18</v>
      </c>
      <c r="AR36" s="1">
        <f>VLOOKUP(A36,symbol_2[[symbol]:[DelPer1]],5,)</f>
        <v>45.99</v>
      </c>
      <c r="AS36" s="1">
        <f>VLOOKUP(A36,symbol_2[[symbol]:[DelPer2]],9,)</f>
        <v>41.03</v>
      </c>
      <c r="AT36" s="1">
        <f>VLOOKUP(A36,symbol_2[[symbol]:[DelPer3]],13,)</f>
        <v>63.05</v>
      </c>
      <c r="AU36" s="1">
        <f>VLOOKUP(A36,symbol_2[[symbol]:[DelPer4]],17,)</f>
        <v>54.67</v>
      </c>
      <c r="AV36" s="1">
        <f>VLOOKUP(A36,symbol_2[[symbol]:[DelPer5]],21,)</f>
        <v>52.96</v>
      </c>
      <c r="AW36" s="49" t="str">
        <f t="shared" si="64"/>
        <v>N</v>
      </c>
      <c r="AX36" s="49" t="str">
        <f t="shared" si="65"/>
        <v>Y</v>
      </c>
      <c r="AY36" s="49" t="str">
        <f t="shared" si="66"/>
        <v>N</v>
      </c>
      <c r="AZ36" s="49" t="str">
        <f t="shared" si="67"/>
        <v>N</v>
      </c>
      <c r="BA36" s="1">
        <f t="shared" si="68"/>
        <v>-4.9600000000000009</v>
      </c>
      <c r="BB36" s="1">
        <f t="shared" si="69"/>
        <v>22.019999999999996</v>
      </c>
      <c r="BC36" s="1">
        <f t="shared" si="70"/>
        <v>-8.3799999999999955</v>
      </c>
      <c r="BD36" s="1">
        <f t="shared" si="71"/>
        <v>-1.7100000000000009</v>
      </c>
    </row>
    <row r="37" spans="1:56" hidden="1" x14ac:dyDescent="0.35">
      <c r="A37" s="1" t="s">
        <v>3</v>
      </c>
      <c r="B37" s="1" t="s">
        <v>1008</v>
      </c>
      <c r="C37" s="1" t="s">
        <v>52</v>
      </c>
      <c r="D37" s="1" t="s">
        <v>199</v>
      </c>
      <c r="E37" s="1">
        <f>VLOOKUP(A37,symbol_2[[symbol]:[Price1]],2,)</f>
        <v>224.2</v>
      </c>
      <c r="F37" s="1">
        <f>VLOOKUP(A37,symbol_2[[symbol]:[Price2]],6,)</f>
        <v>220.45</v>
      </c>
      <c r="G37" s="1">
        <f>VLOOKUP(A37,symbol_2[[symbol]:[Price3]],10,)</f>
        <v>220.55</v>
      </c>
      <c r="H37" s="1">
        <f>VLOOKUP(A37,symbol_2[[symbol]:[Price4]],14,)</f>
        <v>222.55</v>
      </c>
      <c r="I37" s="1">
        <f>VLOOKUP(A37,symbol_2[[symbol]:[Price5]],18,)</f>
        <v>231.65</v>
      </c>
      <c r="J37" s="49" t="str">
        <f t="shared" si="48"/>
        <v>N</v>
      </c>
      <c r="K37" s="49" t="str">
        <f t="shared" si="49"/>
        <v>Y</v>
      </c>
      <c r="L37" s="49" t="str">
        <f t="shared" si="50"/>
        <v>Y</v>
      </c>
      <c r="M37" s="49" t="str">
        <f t="shared" si="51"/>
        <v>Y</v>
      </c>
      <c r="N37" s="52">
        <f t="shared" si="52"/>
        <v>-1.6726137377341659</v>
      </c>
      <c r="O37" s="52">
        <f t="shared" si="53"/>
        <v>4.5361760036299721E-2</v>
      </c>
      <c r="P37" s="52">
        <f t="shared" si="54"/>
        <v>0.90682384946724104</v>
      </c>
      <c r="Q37" s="52">
        <f t="shared" si="55"/>
        <v>4.0889687710626799</v>
      </c>
      <c r="R37" s="1">
        <f>VLOOKUP(A37,symbol_2[[symbol]:[TV1]],3,)</f>
        <v>6.03</v>
      </c>
      <c r="S37" s="1">
        <f>VLOOKUP(A37,symbol_2[[symbol]:[TV2]],7,)</f>
        <v>3.87</v>
      </c>
      <c r="T37" s="1">
        <f>VLOOKUP(A37,symbol_2[[symbol]:[TV3]],11,)</f>
        <v>1.89</v>
      </c>
      <c r="U37" s="1">
        <f>VLOOKUP(A37,symbol_2[[symbol]:[TV4]],15,)</f>
        <v>5.03</v>
      </c>
      <c r="V37" s="1">
        <f>VLOOKUP(A37,symbol_2[[symbol]:[TV5]],19,)</f>
        <v>5.35</v>
      </c>
      <c r="W37" s="1" t="str">
        <f t="shared" si="56"/>
        <v>N</v>
      </c>
      <c r="X37" s="1" t="str">
        <f t="shared" si="57"/>
        <v>N</v>
      </c>
      <c r="Y37" s="1" t="str">
        <f t="shared" si="58"/>
        <v>Y</v>
      </c>
      <c r="Z37" s="1" t="str">
        <f t="shared" si="59"/>
        <v>Y</v>
      </c>
      <c r="AA37" s="1">
        <f>VLOOKUP(A37,symbol_2[[symbol]:[TradedValue1]],4,)</f>
        <v>1361.77</v>
      </c>
      <c r="AB37" s="1">
        <f>VLOOKUP(A37,symbol_2[[symbol]:[TradedValue2]],8,)</f>
        <v>861.98</v>
      </c>
      <c r="AC37" s="1">
        <f>VLOOKUP(A37,symbol_2[[symbol]:[TradedValue3]],12,)</f>
        <v>416.89</v>
      </c>
      <c r="AD37" s="1">
        <f>VLOOKUP(A37,symbol_2[[symbol]:[TradedValue4]],16,)</f>
        <v>1135.46</v>
      </c>
      <c r="AE37" s="1">
        <f>VLOOKUP(A37,symbol_2[[symbol]:[TradedValue5]],20,)</f>
        <v>1218.26</v>
      </c>
      <c r="AF37" s="1">
        <f>Table2[[#This Row],[TradedValue2]]-Table2[[#This Row],[TradedValue1]]</f>
        <v>-499.78999999999996</v>
      </c>
      <c r="AG37" s="1">
        <f>Table2[[#This Row],[TradedValue3]]-Table2[[#This Row],[TradedValue2]]</f>
        <v>-445.09000000000003</v>
      </c>
      <c r="AH37" s="1">
        <f>Table2[[#This Row],[TradedValue4]]-Table2[[#This Row],[TradedValue3]]</f>
        <v>718.57</v>
      </c>
      <c r="AI37" s="1">
        <f>Table2[[#This Row],[TradedValue5]]-Table2[[#This Row],[TradedValue4]]</f>
        <v>82.799999999999955</v>
      </c>
      <c r="AJ37" s="49" t="str">
        <f>IF(Table2[[#This Row],[TradedValue2]]&gt;Table2[[#This Row],[TradedValue1]],"Y","N")</f>
        <v>N</v>
      </c>
      <c r="AK37" s="49" t="str">
        <f>IF(Table2[[#This Row],[TradedValue3]]&gt;Table2[[#This Row],[TradedValue2]],"Y","N")</f>
        <v>N</v>
      </c>
      <c r="AL37" s="49" t="str">
        <f>IF(Table2[[#This Row],[TradedValue5]]&gt;Table2[[#This Row],[TradedValue3]],"Y","N")</f>
        <v>Y</v>
      </c>
      <c r="AM37" s="49" t="str">
        <f>IF(Table2[[#This Row],[TradedValue5]]&gt;Table2[[#This Row],[TradedValue4]],"Y","N")</f>
        <v>Y</v>
      </c>
      <c r="AN37" s="1">
        <f t="shared" si="60"/>
        <v>-2.16</v>
      </c>
      <c r="AO37" s="1">
        <f t="shared" si="61"/>
        <v>-1.9800000000000002</v>
      </c>
      <c r="AP37" s="1">
        <f t="shared" si="62"/>
        <v>3.1400000000000006</v>
      </c>
      <c r="AQ37" s="1">
        <f t="shared" si="63"/>
        <v>0.3199999999999994</v>
      </c>
      <c r="AR37" s="1">
        <f>VLOOKUP(A37,symbol_2[[symbol]:[DelPer1]],5,)</f>
        <v>69.47</v>
      </c>
      <c r="AS37" s="1">
        <f>VLOOKUP(A37,symbol_2[[symbol]:[DelPer2]],9,)</f>
        <v>62.08</v>
      </c>
      <c r="AT37" s="1">
        <f>VLOOKUP(A37,symbol_2[[symbol]:[DelPer3]],13,)</f>
        <v>51.66</v>
      </c>
      <c r="AU37" s="1">
        <f>VLOOKUP(A37,symbol_2[[symbol]:[DelPer4]],17,)</f>
        <v>62.53</v>
      </c>
      <c r="AV37" s="1">
        <f>VLOOKUP(A37,symbol_2[[symbol]:[DelPer5]],21,)</f>
        <v>58.74</v>
      </c>
      <c r="AW37" s="49" t="str">
        <f t="shared" si="64"/>
        <v>N</v>
      </c>
      <c r="AX37" s="49" t="str">
        <f t="shared" si="65"/>
        <v>N</v>
      </c>
      <c r="AY37" s="49" t="str">
        <f t="shared" si="66"/>
        <v>Y</v>
      </c>
      <c r="AZ37" s="49" t="str">
        <f t="shared" si="67"/>
        <v>N</v>
      </c>
      <c r="BA37" s="1">
        <f t="shared" si="68"/>
        <v>-7.3900000000000006</v>
      </c>
      <c r="BB37" s="1">
        <f t="shared" si="69"/>
        <v>-10.420000000000002</v>
      </c>
      <c r="BC37" s="1">
        <f t="shared" si="70"/>
        <v>10.870000000000005</v>
      </c>
      <c r="BD37" s="1">
        <f t="shared" si="71"/>
        <v>-3.7899999999999991</v>
      </c>
    </row>
    <row r="38" spans="1:56" hidden="1" x14ac:dyDescent="0.35">
      <c r="A38" s="116" t="s">
        <v>49</v>
      </c>
      <c r="B38" s="1" t="s">
        <v>1010</v>
      </c>
      <c r="C38" s="1" t="s">
        <v>52</v>
      </c>
      <c r="D38" s="1" t="s">
        <v>199</v>
      </c>
      <c r="E38" s="1">
        <f>VLOOKUP(A38,symbol_2[[symbol]:[Price1]],2,)</f>
        <v>290.25</v>
      </c>
      <c r="F38" s="1">
        <f>VLOOKUP(A38,symbol_2[[symbol]:[Price2]],6,)</f>
        <v>286.89999999999998</v>
      </c>
      <c r="G38" s="1">
        <f>VLOOKUP(A38,symbol_2[[symbol]:[Price3]],10,)</f>
        <v>283.10000000000002</v>
      </c>
      <c r="H38" s="1">
        <f>VLOOKUP(A38,symbol_2[[symbol]:[Price4]],14,)</f>
        <v>282.2</v>
      </c>
      <c r="I38" s="1">
        <f>VLOOKUP(A38,symbol_2[[symbol]:[Price5]],18,)</f>
        <v>282.89999999999998</v>
      </c>
      <c r="J38" s="49" t="str">
        <f t="shared" si="48"/>
        <v>N</v>
      </c>
      <c r="K38" s="49" t="str">
        <f t="shared" si="49"/>
        <v>N</v>
      </c>
      <c r="L38" s="49" t="str">
        <f t="shared" si="50"/>
        <v>N</v>
      </c>
      <c r="M38" s="49" t="str">
        <f t="shared" si="51"/>
        <v>Y</v>
      </c>
      <c r="N38" s="52">
        <f t="shared" si="52"/>
        <v>-1.1541774332472086</v>
      </c>
      <c r="O38" s="52">
        <f t="shared" si="53"/>
        <v>-1.3245033112582623</v>
      </c>
      <c r="P38" s="52">
        <f t="shared" si="54"/>
        <v>-0.3179088661250562</v>
      </c>
      <c r="Q38" s="52">
        <f t="shared" si="55"/>
        <v>0.24805102763996761</v>
      </c>
      <c r="R38" s="1">
        <f>VLOOKUP(A38,symbol_2[[symbol]:[TV1]],3,)</f>
        <v>4.18</v>
      </c>
      <c r="S38" s="1">
        <f>VLOOKUP(A38,symbol_2[[symbol]:[TV2]],7,)</f>
        <v>2.5099999999999998</v>
      </c>
      <c r="T38" s="1">
        <f>VLOOKUP(A38,symbol_2[[symbol]:[TV3]],11,)</f>
        <v>7.65</v>
      </c>
      <c r="U38" s="1">
        <f>VLOOKUP(A38,symbol_2[[symbol]:[TV4]],15,)</f>
        <v>4.8600000000000003</v>
      </c>
      <c r="V38" s="1">
        <f>VLOOKUP(A38,symbol_2[[symbol]:[TV5]],19,)</f>
        <v>4.93</v>
      </c>
      <c r="W38" s="1" t="str">
        <f t="shared" si="56"/>
        <v>N</v>
      </c>
      <c r="X38" s="1" t="str">
        <f t="shared" si="57"/>
        <v>Y</v>
      </c>
      <c r="Y38" s="1" t="str">
        <f t="shared" si="58"/>
        <v>N</v>
      </c>
      <c r="Z38" s="1" t="str">
        <f t="shared" si="59"/>
        <v>Y</v>
      </c>
      <c r="AA38" s="1">
        <f>VLOOKUP(A40,symbol_2[[symbol]:[TradedValue1]],4,)</f>
        <v>3875.14</v>
      </c>
      <c r="AB38" s="1">
        <f>VLOOKUP(A38,symbol_2[[symbol]:[TradedValue2]],8,)</f>
        <v>723.88</v>
      </c>
      <c r="AC38" s="1">
        <f>VLOOKUP(A38,symbol_2[[symbol]:[TradedValue3]],12,)</f>
        <v>2162.23</v>
      </c>
      <c r="AD38" s="1">
        <f>VLOOKUP(A38,symbol_2[[symbol]:[TradedValue4]],16,)</f>
        <v>1372.92</v>
      </c>
      <c r="AE38" s="1">
        <f>VLOOKUP(A38,symbol_2[[symbol]:[TradedValue5]],20,)</f>
        <v>1386.77</v>
      </c>
      <c r="AF38" s="1">
        <f>Table2[[#This Row],[TradedValue2]]-Table2[[#This Row],[TradedValue1]]</f>
        <v>-3151.2599999999998</v>
      </c>
      <c r="AG38" s="1">
        <f>Table2[[#This Row],[TradedValue3]]-Table2[[#This Row],[TradedValue2]]</f>
        <v>1438.35</v>
      </c>
      <c r="AH38" s="1">
        <f>Table2[[#This Row],[TradedValue4]]-Table2[[#This Row],[TradedValue3]]</f>
        <v>-789.31</v>
      </c>
      <c r="AI38" s="1">
        <f>Table2[[#This Row],[TradedValue5]]-Table2[[#This Row],[TradedValue4]]</f>
        <v>13.849999999999909</v>
      </c>
      <c r="AJ38" s="49" t="str">
        <f>IF(Table2[[#This Row],[TradedValue2]]&gt;Table2[[#This Row],[TradedValue1]],"Y","N")</f>
        <v>N</v>
      </c>
      <c r="AK38" s="49" t="str">
        <f>IF(Table2[[#This Row],[TradedValue3]]&gt;Table2[[#This Row],[TradedValue2]],"Y","N")</f>
        <v>Y</v>
      </c>
      <c r="AL38" s="49" t="str">
        <f>IF(Table2[[#This Row],[TradedValue5]]&gt;Table2[[#This Row],[TradedValue3]],"Y","N")</f>
        <v>N</v>
      </c>
      <c r="AM38" s="49" t="str">
        <f>IF(Table2[[#This Row],[TradedValue5]]&gt;Table2[[#This Row],[TradedValue4]],"Y","N")</f>
        <v>Y</v>
      </c>
      <c r="AN38" s="1">
        <f t="shared" si="60"/>
        <v>-1.67</v>
      </c>
      <c r="AO38" s="1">
        <f t="shared" si="61"/>
        <v>5.1400000000000006</v>
      </c>
      <c r="AP38" s="1">
        <f t="shared" si="62"/>
        <v>-2.79</v>
      </c>
      <c r="AQ38" s="1">
        <f t="shared" si="63"/>
        <v>6.9999999999999396E-2</v>
      </c>
      <c r="AR38" s="1">
        <f>VLOOKUP(A38,symbol_2[[symbol]:[DelPer1]],5,)</f>
        <v>53.69</v>
      </c>
      <c r="AS38" s="1">
        <f>VLOOKUP(A38,symbol_2[[symbol]:[DelPer2]],9,)</f>
        <v>54.35</v>
      </c>
      <c r="AT38" s="1">
        <f>VLOOKUP(A38,symbol_2[[symbol]:[DelPer3]],13,)</f>
        <v>63.13</v>
      </c>
      <c r="AU38" s="1">
        <f>VLOOKUP(A38,symbol_2[[symbol]:[DelPer4]],17,)</f>
        <v>55.98</v>
      </c>
      <c r="AV38" s="1">
        <f>VLOOKUP(A38,symbol_2[[symbol]:[DelPer5]],21,)</f>
        <v>50.82</v>
      </c>
      <c r="AW38" s="49" t="str">
        <f t="shared" si="64"/>
        <v>Y</v>
      </c>
      <c r="AX38" s="49" t="str">
        <f t="shared" si="65"/>
        <v>Y</v>
      </c>
      <c r="AY38" s="49" t="str">
        <f t="shared" si="66"/>
        <v>N</v>
      </c>
      <c r="AZ38" s="49" t="str">
        <f t="shared" si="67"/>
        <v>N</v>
      </c>
      <c r="BA38" s="1">
        <f t="shared" si="68"/>
        <v>0.66000000000000369</v>
      </c>
      <c r="BB38" s="1">
        <f t="shared" si="69"/>
        <v>8.7800000000000011</v>
      </c>
      <c r="BC38" s="1">
        <f t="shared" si="70"/>
        <v>-7.1500000000000057</v>
      </c>
      <c r="BD38" s="1">
        <f t="shared" si="71"/>
        <v>-5.1599999999999966</v>
      </c>
    </row>
    <row r="39" spans="1:56" hidden="1" x14ac:dyDescent="0.35">
      <c r="A39" s="1" t="s">
        <v>7</v>
      </c>
      <c r="B39" s="1" t="s">
        <v>1014</v>
      </c>
      <c r="C39" s="1" t="s">
        <v>52</v>
      </c>
      <c r="D39" s="1" t="s">
        <v>199</v>
      </c>
      <c r="E39" s="1">
        <f>VLOOKUP(A39,symbol_2[[symbol]:[Price1]],2,)</f>
        <v>3006.3</v>
      </c>
      <c r="F39" s="1">
        <f>VLOOKUP(A39,symbol_2[[symbol]:[Price2]],6,)</f>
        <v>2979.3</v>
      </c>
      <c r="G39" s="1">
        <f>VLOOKUP(A39,symbol_2[[symbol]:[Price3]],10,)</f>
        <v>3047.2</v>
      </c>
      <c r="H39" s="1">
        <f>VLOOKUP(A39,symbol_2[[symbol]:[Price4]],14,)</f>
        <v>3065</v>
      </c>
      <c r="I39" s="1">
        <f>VLOOKUP(A39,symbol_2[[symbol]:[Price5]],18,)</f>
        <v>3077.9</v>
      </c>
      <c r="J39" s="49" t="str">
        <f t="shared" si="48"/>
        <v>N</v>
      </c>
      <c r="K39" s="49" t="str">
        <f t="shared" si="49"/>
        <v>Y</v>
      </c>
      <c r="L39" s="49" t="str">
        <f t="shared" si="50"/>
        <v>Y</v>
      </c>
      <c r="M39" s="49" t="str">
        <f t="shared" si="51"/>
        <v>Y</v>
      </c>
      <c r="N39" s="52">
        <f t="shared" si="52"/>
        <v>-0.89811396068256655</v>
      </c>
      <c r="O39" s="52">
        <f t="shared" si="53"/>
        <v>2.2790588393246614</v>
      </c>
      <c r="P39" s="52">
        <f t="shared" si="54"/>
        <v>0.5841428196377062</v>
      </c>
      <c r="Q39" s="52">
        <f t="shared" si="55"/>
        <v>0.42088091353997037</v>
      </c>
      <c r="R39" s="1">
        <f>VLOOKUP(A39,symbol_2[[symbol]:[TV1]],3,)</f>
        <v>1.02</v>
      </c>
      <c r="S39" s="1">
        <f>VLOOKUP(A39,symbol_2[[symbol]:[TV2]],7,)</f>
        <v>0.45</v>
      </c>
      <c r="T39" s="1">
        <f>VLOOKUP(A39,symbol_2[[symbol]:[TV3]],11,)</f>
        <v>0.49</v>
      </c>
      <c r="U39" s="1">
        <f>VLOOKUP(A39,symbol_2[[symbol]:[TV4]],15,)</f>
        <v>0.57999999999999996</v>
      </c>
      <c r="V39" s="1">
        <f>VLOOKUP(A39,symbol_2[[symbol]:[TV5]],19,)</f>
        <v>0.53</v>
      </c>
      <c r="W39" s="1" t="str">
        <f t="shared" si="56"/>
        <v>N</v>
      </c>
      <c r="X39" s="1" t="str">
        <f t="shared" si="57"/>
        <v>Y</v>
      </c>
      <c r="Y39" s="1" t="str">
        <f t="shared" si="58"/>
        <v>Y</v>
      </c>
      <c r="Z39" s="1" t="str">
        <f t="shared" si="59"/>
        <v>N</v>
      </c>
      <c r="AA39" s="1">
        <f>VLOOKUP(A41,symbol_2[[symbol]:[TradedValue1]],4,)</f>
        <v>1455.64</v>
      </c>
      <c r="AB39" s="1">
        <f>VLOOKUP(A39,symbol_2[[symbol]:[TradedValue2]],8,)</f>
        <v>1339.2</v>
      </c>
      <c r="AC39" s="1">
        <f>VLOOKUP(A39,symbol_2[[symbol]:[TradedValue3]],12,)</f>
        <v>1492.85</v>
      </c>
      <c r="AD39" s="1">
        <f>VLOOKUP(A39,symbol_2[[symbol]:[TradedValue4]],16,)</f>
        <v>1764.91</v>
      </c>
      <c r="AE39" s="1">
        <f>VLOOKUP(A39,symbol_2[[symbol]:[TradedValue5]],20,)</f>
        <v>1623.62</v>
      </c>
      <c r="AF39" s="1">
        <f>Table2[[#This Row],[TradedValue2]]-Table2[[#This Row],[TradedValue1]]</f>
        <v>-116.44000000000005</v>
      </c>
      <c r="AG39" s="1">
        <f>Table2[[#This Row],[TradedValue3]]-Table2[[#This Row],[TradedValue2]]</f>
        <v>153.64999999999986</v>
      </c>
      <c r="AH39" s="1">
        <f>Table2[[#This Row],[TradedValue4]]-Table2[[#This Row],[TradedValue3]]</f>
        <v>272.06000000000017</v>
      </c>
      <c r="AI39" s="1">
        <f>Table2[[#This Row],[TradedValue5]]-Table2[[#This Row],[TradedValue4]]</f>
        <v>-141.29000000000019</v>
      </c>
      <c r="AJ39" s="49" t="str">
        <f>IF(Table2[[#This Row],[TradedValue2]]&gt;Table2[[#This Row],[TradedValue1]],"Y","N")</f>
        <v>N</v>
      </c>
      <c r="AK39" s="49" t="str">
        <f>IF(Table2[[#This Row],[TradedValue3]]&gt;Table2[[#This Row],[TradedValue2]],"Y","N")</f>
        <v>Y</v>
      </c>
      <c r="AL39" s="49" t="str">
        <f>IF(Table2[[#This Row],[TradedValue5]]&gt;Table2[[#This Row],[TradedValue3]],"Y","N")</f>
        <v>Y</v>
      </c>
      <c r="AM39" s="49" t="str">
        <f>IF(Table2[[#This Row],[TradedValue5]]&gt;Table2[[#This Row],[TradedValue4]],"Y","N")</f>
        <v>N</v>
      </c>
      <c r="AN39" s="1">
        <f t="shared" si="60"/>
        <v>-0.57000000000000006</v>
      </c>
      <c r="AO39" s="1">
        <f t="shared" si="61"/>
        <v>3.999999999999998E-2</v>
      </c>
      <c r="AP39" s="1">
        <f t="shared" si="62"/>
        <v>8.9999999999999969E-2</v>
      </c>
      <c r="AQ39" s="1">
        <f t="shared" si="63"/>
        <v>-4.9999999999999933E-2</v>
      </c>
      <c r="AR39" s="1">
        <f>VLOOKUP(A39,symbol_2[[symbol]:[DelPer1]],5,)</f>
        <v>41.52</v>
      </c>
      <c r="AS39" s="1">
        <f>VLOOKUP(A39,symbol_2[[symbol]:[DelPer2]],9,)</f>
        <v>35.81</v>
      </c>
      <c r="AT39" s="1">
        <f>VLOOKUP(A39,symbol_2[[symbol]:[DelPer3]],13,)</f>
        <v>40.74</v>
      </c>
      <c r="AU39" s="1">
        <f>VLOOKUP(A39,symbol_2[[symbol]:[DelPer4]],17,)</f>
        <v>36.6</v>
      </c>
      <c r="AV39" s="1">
        <f>VLOOKUP(A39,symbol_2[[symbol]:[DelPer5]],21,)</f>
        <v>31.38</v>
      </c>
      <c r="AW39" s="49" t="str">
        <f t="shared" si="64"/>
        <v>N</v>
      </c>
      <c r="AX39" s="49" t="str">
        <f t="shared" si="65"/>
        <v>Y</v>
      </c>
      <c r="AY39" s="49" t="str">
        <f t="shared" si="66"/>
        <v>N</v>
      </c>
      <c r="AZ39" s="49" t="str">
        <f t="shared" si="67"/>
        <v>N</v>
      </c>
      <c r="BA39" s="1">
        <f t="shared" si="68"/>
        <v>-5.7100000000000009</v>
      </c>
      <c r="BB39" s="1">
        <f t="shared" si="69"/>
        <v>4.93</v>
      </c>
      <c r="BC39" s="1">
        <f t="shared" si="70"/>
        <v>-4.1400000000000006</v>
      </c>
      <c r="BD39" s="1">
        <f t="shared" si="71"/>
        <v>-5.2200000000000024</v>
      </c>
    </row>
    <row r="40" spans="1:56" hidden="1" x14ac:dyDescent="0.35">
      <c r="A40" s="116" t="s">
        <v>120</v>
      </c>
      <c r="B40" s="1" t="s">
        <v>1023</v>
      </c>
      <c r="C40" s="1" t="s">
        <v>52</v>
      </c>
      <c r="D40" s="1" t="s">
        <v>199</v>
      </c>
      <c r="E40" s="1">
        <f>VLOOKUP(A40,symbol_2[[symbol]:[Price1]],2,)</f>
        <v>1454.95</v>
      </c>
      <c r="F40" s="1">
        <f>VLOOKUP(A40,symbol_2[[symbol]:[Price2]],6,)</f>
        <v>1477.05</v>
      </c>
      <c r="G40" s="1">
        <f>VLOOKUP(A40,symbol_2[[symbol]:[Price3]],10,)</f>
        <v>1509.1</v>
      </c>
      <c r="H40" s="1">
        <f>VLOOKUP(A40,symbol_2[[symbol]:[Price4]],14,)</f>
        <v>1543.9</v>
      </c>
      <c r="I40" s="1">
        <f>VLOOKUP(A40,symbol_2[[symbol]:[Price5]],18,)</f>
        <v>1621.75</v>
      </c>
      <c r="J40" s="49" t="str">
        <f t="shared" si="48"/>
        <v>Y</v>
      </c>
      <c r="K40" s="49" t="str">
        <f t="shared" si="49"/>
        <v>Y</v>
      </c>
      <c r="L40" s="49" t="str">
        <f t="shared" si="50"/>
        <v>Y</v>
      </c>
      <c r="M40" s="49" t="str">
        <f t="shared" si="51"/>
        <v>Y</v>
      </c>
      <c r="N40" s="52">
        <f t="shared" si="52"/>
        <v>1.5189525413244378</v>
      </c>
      <c r="O40" s="52">
        <f t="shared" si="53"/>
        <v>2.1698656105074274</v>
      </c>
      <c r="P40" s="52">
        <f t="shared" si="54"/>
        <v>2.3060102047578148</v>
      </c>
      <c r="Q40" s="52">
        <f t="shared" si="55"/>
        <v>5.042425027527683</v>
      </c>
      <c r="R40" s="1">
        <f>VLOOKUP(A40,symbol_2[[symbol]:[TV1]],3,)</f>
        <v>2.64</v>
      </c>
      <c r="S40" s="1">
        <f>VLOOKUP(A40,symbol_2[[symbol]:[TV2]],7,)</f>
        <v>2.62</v>
      </c>
      <c r="T40" s="1">
        <f>VLOOKUP(A40,symbol_2[[symbol]:[TV3]],11,)</f>
        <v>2.2400000000000002</v>
      </c>
      <c r="U40" s="1">
        <f>VLOOKUP(A40,symbol_2[[symbol]:[TV4]],15,)</f>
        <v>1.39</v>
      </c>
      <c r="V40" s="1">
        <f>VLOOKUP(A40,symbol_2[[symbol]:[TV5]],19,)</f>
        <v>3.19</v>
      </c>
      <c r="W40" s="1" t="str">
        <f t="shared" si="56"/>
        <v>N</v>
      </c>
      <c r="X40" s="1" t="str">
        <f t="shared" si="57"/>
        <v>N</v>
      </c>
      <c r="Y40" s="1" t="str">
        <f t="shared" si="58"/>
        <v>N</v>
      </c>
      <c r="Z40" s="1" t="str">
        <f t="shared" si="59"/>
        <v>Y</v>
      </c>
      <c r="AA40" s="1">
        <f>VLOOKUP(A40,symbol_2[[symbol]:[TradedValue1]],4,)</f>
        <v>3875.14</v>
      </c>
      <c r="AB40" s="1">
        <f>VLOOKUP(A40,symbol_2[[symbol]:[TradedValue2]],8,)</f>
        <v>3898.78</v>
      </c>
      <c r="AC40" s="1">
        <f>VLOOKUP(A40,symbol_2[[symbol]:[TradedValue3]],12,)</f>
        <v>3359.44</v>
      </c>
      <c r="AD40" s="1">
        <f>VLOOKUP(A40,symbol_2[[symbol]:[TradedValue4]],16,)</f>
        <v>2130.3200000000002</v>
      </c>
      <c r="AE40" s="1">
        <f>VLOOKUP(A40,symbol_2[[symbol]:[TradedValue5]],20,)</f>
        <v>5105.5</v>
      </c>
      <c r="AF40" s="1">
        <f>Table2[[#This Row],[TradedValue2]]-Table2[[#This Row],[TradedValue1]]</f>
        <v>23.640000000000327</v>
      </c>
      <c r="AG40" s="1">
        <f>Table2[[#This Row],[TradedValue3]]-Table2[[#This Row],[TradedValue2]]</f>
        <v>-539.34000000000015</v>
      </c>
      <c r="AH40" s="1">
        <f>Table2[[#This Row],[TradedValue4]]-Table2[[#This Row],[TradedValue3]]</f>
        <v>-1229.1199999999999</v>
      </c>
      <c r="AI40" s="1">
        <f>Table2[[#This Row],[TradedValue5]]-Table2[[#This Row],[TradedValue4]]</f>
        <v>2975.18</v>
      </c>
      <c r="AJ40" s="49" t="str">
        <f>IF(Table2[[#This Row],[TradedValue2]]&gt;Table2[[#This Row],[TradedValue1]],"Y","N")</f>
        <v>Y</v>
      </c>
      <c r="AK40" s="49" t="str">
        <f>IF(Table2[[#This Row],[TradedValue3]]&gt;Table2[[#This Row],[TradedValue2]],"Y","N")</f>
        <v>N</v>
      </c>
      <c r="AL40" s="49" t="str">
        <f>IF(Table2[[#This Row],[TradedValue5]]&gt;Table2[[#This Row],[TradedValue3]],"Y","N")</f>
        <v>Y</v>
      </c>
      <c r="AM40" s="49" t="str">
        <f>IF(Table2[[#This Row],[TradedValue5]]&gt;Table2[[#This Row],[TradedValue4]],"Y","N")</f>
        <v>Y</v>
      </c>
      <c r="AN40" s="1">
        <f t="shared" si="60"/>
        <v>-2.0000000000000018E-2</v>
      </c>
      <c r="AO40" s="1">
        <f t="shared" si="61"/>
        <v>-0.37999999999999989</v>
      </c>
      <c r="AP40" s="1">
        <f t="shared" si="62"/>
        <v>-0.85000000000000031</v>
      </c>
      <c r="AQ40" s="1">
        <f t="shared" si="63"/>
        <v>1.8</v>
      </c>
      <c r="AR40" s="1">
        <f>VLOOKUP(A40,symbol_2[[symbol]:[DelPer1]],5,)</f>
        <v>15.25</v>
      </c>
      <c r="AS40" s="1">
        <f>VLOOKUP(A40,symbol_2[[symbol]:[DelPer2]],9,)</f>
        <v>18.899999999999999</v>
      </c>
      <c r="AT40" s="1">
        <f>VLOOKUP(A40,symbol_2[[symbol]:[DelPer3]],13,)</f>
        <v>21.64</v>
      </c>
      <c r="AU40" s="1">
        <f>VLOOKUP(A40,symbol_2[[symbol]:[DelPer4]],17,)</f>
        <v>29.84</v>
      </c>
      <c r="AV40" s="1">
        <f>VLOOKUP(A40,symbol_2[[symbol]:[DelPer5]],21,)</f>
        <v>13.5</v>
      </c>
      <c r="AW40" s="49" t="str">
        <f t="shared" si="64"/>
        <v>Y</v>
      </c>
      <c r="AX40" s="49" t="str">
        <f t="shared" si="65"/>
        <v>Y</v>
      </c>
      <c r="AY40" s="49" t="str">
        <f t="shared" si="66"/>
        <v>Y</v>
      </c>
      <c r="AZ40" s="49" t="str">
        <f t="shared" si="67"/>
        <v>N</v>
      </c>
      <c r="BA40" s="1">
        <f t="shared" si="68"/>
        <v>3.6499999999999986</v>
      </c>
      <c r="BB40" s="1">
        <f t="shared" si="69"/>
        <v>2.740000000000002</v>
      </c>
      <c r="BC40" s="1">
        <f t="shared" si="70"/>
        <v>8.1999999999999993</v>
      </c>
      <c r="BD40" s="1">
        <f t="shared" si="71"/>
        <v>-16.34</v>
      </c>
    </row>
    <row r="41" spans="1:56" hidden="1" x14ac:dyDescent="0.35">
      <c r="A41" s="1" t="s">
        <v>32</v>
      </c>
      <c r="B41" s="1" t="s">
        <v>1009</v>
      </c>
      <c r="C41" s="1" t="s">
        <v>52</v>
      </c>
      <c r="D41" s="1" t="s">
        <v>199</v>
      </c>
      <c r="E41" s="1">
        <f>VLOOKUP(A41,symbol_2[[symbol]:[Price1]],2,)</f>
        <v>759.55</v>
      </c>
      <c r="F41" s="1">
        <f>VLOOKUP(A41,symbol_2[[symbol]:[Price2]],6,)</f>
        <v>747.4</v>
      </c>
      <c r="G41" s="1">
        <f>VLOOKUP(A41,symbol_2[[symbol]:[Price3]],10,)</f>
        <v>757.2</v>
      </c>
      <c r="H41" s="1">
        <f>VLOOKUP(A41,symbol_2[[symbol]:[Price4]],14,)</f>
        <v>749.95</v>
      </c>
      <c r="I41" s="1">
        <f>VLOOKUP(A41,symbol_2[[symbol]:[Price5]],18,)</f>
        <v>763.3</v>
      </c>
      <c r="J41" s="49" t="str">
        <f t="shared" si="48"/>
        <v>N</v>
      </c>
      <c r="K41" s="49" t="str">
        <f t="shared" si="49"/>
        <v>Y</v>
      </c>
      <c r="L41" s="49" t="str">
        <f t="shared" si="50"/>
        <v>N</v>
      </c>
      <c r="M41" s="49" t="str">
        <f t="shared" si="51"/>
        <v>Y</v>
      </c>
      <c r="N41" s="52">
        <f t="shared" si="52"/>
        <v>-1.5996313606740804</v>
      </c>
      <c r="O41" s="52">
        <f t="shared" si="53"/>
        <v>1.3112122023013204</v>
      </c>
      <c r="P41" s="52">
        <f t="shared" si="54"/>
        <v>-0.95747490755414677</v>
      </c>
      <c r="Q41" s="52">
        <f t="shared" si="55"/>
        <v>1.7801186745782929</v>
      </c>
      <c r="R41" s="1">
        <f>VLOOKUP(A41,symbol_2[[symbol]:[TV1]],3,)</f>
        <v>1.93</v>
      </c>
      <c r="S41" s="1">
        <f>VLOOKUP(A41,symbol_2[[symbol]:[TV2]],7,)</f>
        <v>1.98</v>
      </c>
      <c r="T41" s="1">
        <f>VLOOKUP(A41,symbol_2[[symbol]:[TV3]],11,)</f>
        <v>1.56</v>
      </c>
      <c r="U41" s="1">
        <f>VLOOKUP(A41,symbol_2[[symbol]:[TV4]],15,)</f>
        <v>1.33</v>
      </c>
      <c r="V41" s="1">
        <f>VLOOKUP(A41,symbol_2[[symbol]:[TV5]],19,)</f>
        <v>0.76</v>
      </c>
      <c r="W41" s="1" t="str">
        <f t="shared" si="56"/>
        <v>Y</v>
      </c>
      <c r="X41" s="1" t="str">
        <f t="shared" si="57"/>
        <v>N</v>
      </c>
      <c r="Y41" s="1" t="str">
        <f t="shared" si="58"/>
        <v>N</v>
      </c>
      <c r="Z41" s="1" t="str">
        <f t="shared" si="59"/>
        <v>N</v>
      </c>
      <c r="AA41" s="1">
        <f>VLOOKUP(A41,symbol_2[[symbol]:[TradedValue1]],4,)</f>
        <v>1455.64</v>
      </c>
      <c r="AB41" s="1">
        <f>VLOOKUP(A41,symbol_2[[symbol]:[TradedValue2]],8,)</f>
        <v>1501.46</v>
      </c>
      <c r="AC41" s="1">
        <f>VLOOKUP(A41,symbol_2[[symbol]:[TradedValue3]],12,)</f>
        <v>1174.5899999999999</v>
      </c>
      <c r="AD41" s="1">
        <f>VLOOKUP(A41,symbol_2[[symbol]:[TradedValue4]],16,)</f>
        <v>1011.47</v>
      </c>
      <c r="AE41" s="1">
        <f>VLOOKUP(A41,symbol_2[[symbol]:[TradedValue5]],20,)</f>
        <v>580</v>
      </c>
      <c r="AF41" s="1">
        <f>Table2[[#This Row],[TradedValue2]]-Table2[[#This Row],[TradedValue1]]</f>
        <v>45.819999999999936</v>
      </c>
      <c r="AG41" s="1">
        <f>Table2[[#This Row],[TradedValue3]]-Table2[[#This Row],[TradedValue2]]</f>
        <v>-326.87000000000012</v>
      </c>
      <c r="AH41" s="1">
        <f>Table2[[#This Row],[TradedValue4]]-Table2[[#This Row],[TradedValue3]]</f>
        <v>-163.11999999999989</v>
      </c>
      <c r="AI41" s="1">
        <f>Table2[[#This Row],[TradedValue5]]-Table2[[#This Row],[TradedValue4]]</f>
        <v>-431.47</v>
      </c>
      <c r="AJ41" s="49" t="str">
        <f>IF(Table2[[#This Row],[TradedValue2]]&gt;Table2[[#This Row],[TradedValue1]],"Y","N")</f>
        <v>Y</v>
      </c>
      <c r="AK41" s="49" t="str">
        <f>IF(Table2[[#This Row],[TradedValue3]]&gt;Table2[[#This Row],[TradedValue2]],"Y","N")</f>
        <v>N</v>
      </c>
      <c r="AL41" s="49" t="str">
        <f>IF(Table2[[#This Row],[TradedValue5]]&gt;Table2[[#This Row],[TradedValue3]],"Y","N")</f>
        <v>N</v>
      </c>
      <c r="AM41" s="49" t="str">
        <f>IF(Table2[[#This Row],[TradedValue5]]&gt;Table2[[#This Row],[TradedValue4]],"Y","N")</f>
        <v>N</v>
      </c>
      <c r="AN41" s="1">
        <f t="shared" si="60"/>
        <v>5.0000000000000044E-2</v>
      </c>
      <c r="AO41" s="1">
        <f t="shared" si="61"/>
        <v>-0.41999999999999993</v>
      </c>
      <c r="AP41" s="1">
        <f t="shared" si="62"/>
        <v>-0.22999999999999998</v>
      </c>
      <c r="AQ41" s="1">
        <f t="shared" si="63"/>
        <v>-0.57000000000000006</v>
      </c>
      <c r="AR41" s="1">
        <f>VLOOKUP(A41,symbol_2[[symbol]:[DelPer1]],5,)</f>
        <v>20.25</v>
      </c>
      <c r="AS41" s="1">
        <f>VLOOKUP(A41,symbol_2[[symbol]:[DelPer2]],9,)</f>
        <v>21.78</v>
      </c>
      <c r="AT41" s="1">
        <f>VLOOKUP(A41,symbol_2[[symbol]:[DelPer3]],13,)</f>
        <v>27.37</v>
      </c>
      <c r="AU41" s="1">
        <f>VLOOKUP(A41,symbol_2[[symbol]:[DelPer4]],17,)</f>
        <v>29.42</v>
      </c>
      <c r="AV41" s="1">
        <f>VLOOKUP(A41,symbol_2[[symbol]:[DelPer5]],21,)</f>
        <v>27.55</v>
      </c>
      <c r="AW41" s="49" t="str">
        <f t="shared" si="64"/>
        <v>Y</v>
      </c>
      <c r="AX41" s="49" t="str">
        <f t="shared" si="65"/>
        <v>Y</v>
      </c>
      <c r="AY41" s="49" t="str">
        <f t="shared" si="66"/>
        <v>Y</v>
      </c>
      <c r="AZ41" s="49" t="str">
        <f t="shared" si="67"/>
        <v>N</v>
      </c>
      <c r="BA41" s="1">
        <f t="shared" si="68"/>
        <v>1.5300000000000011</v>
      </c>
      <c r="BB41" s="1">
        <f t="shared" si="69"/>
        <v>5.59</v>
      </c>
      <c r="BC41" s="1">
        <f t="shared" si="70"/>
        <v>2.0500000000000007</v>
      </c>
      <c r="BD41" s="1">
        <f t="shared" si="71"/>
        <v>-1.870000000000001</v>
      </c>
    </row>
    <row r="42" spans="1:56" hidden="1" x14ac:dyDescent="0.35">
      <c r="A42" s="1" t="s">
        <v>68</v>
      </c>
      <c r="B42" s="1" t="s">
        <v>1017</v>
      </c>
      <c r="C42" s="1" t="s">
        <v>52</v>
      </c>
      <c r="D42" s="1" t="s">
        <v>199</v>
      </c>
      <c r="E42" s="1">
        <f>VLOOKUP(A42,symbol_2[[symbol]:[Price1]],2,)</f>
        <v>1357.8</v>
      </c>
      <c r="F42" s="1">
        <f>VLOOKUP(A42,symbol_2[[symbol]:[Price2]],6,)</f>
        <v>1378.6</v>
      </c>
      <c r="G42" s="1">
        <f>VLOOKUP(A42,symbol_2[[symbol]:[Price3]],10,)</f>
        <v>1384.85</v>
      </c>
      <c r="H42" s="1">
        <f>VLOOKUP(A42,symbol_2[[symbol]:[Price4]],14,)</f>
        <v>1365.5</v>
      </c>
      <c r="I42" s="1">
        <f>VLOOKUP(A42,symbol_2[[symbol]:[Price5]],18,)</f>
        <v>1339.75</v>
      </c>
      <c r="J42" s="49" t="str">
        <f t="shared" si="48"/>
        <v>Y</v>
      </c>
      <c r="K42" s="49" t="str">
        <f t="shared" si="49"/>
        <v>Y</v>
      </c>
      <c r="L42" s="49" t="str">
        <f t="shared" si="50"/>
        <v>N</v>
      </c>
      <c r="M42" s="49" t="str">
        <f t="shared" si="51"/>
        <v>N</v>
      </c>
      <c r="N42" s="52">
        <f t="shared" si="52"/>
        <v>1.5318898217705079</v>
      </c>
      <c r="O42" s="52">
        <f t="shared" si="53"/>
        <v>0.45335847961700276</v>
      </c>
      <c r="P42" s="52">
        <f t="shared" si="54"/>
        <v>-1.3972632415062938</v>
      </c>
      <c r="Q42" s="52">
        <f t="shared" si="55"/>
        <v>-1.8857561332845112</v>
      </c>
      <c r="R42" s="1">
        <f>VLOOKUP(A42,symbol_2[[symbol]:[TV1]],3,)</f>
        <v>0.56999999999999995</v>
      </c>
      <c r="S42" s="1">
        <f>VLOOKUP(A42,symbol_2[[symbol]:[TV2]],7,)</f>
        <v>0.61</v>
      </c>
      <c r="T42" s="1">
        <f>VLOOKUP(A42,symbol_2[[symbol]:[TV3]],11,)</f>
        <v>0.56000000000000005</v>
      </c>
      <c r="U42" s="1">
        <f>VLOOKUP(A42,symbol_2[[symbol]:[TV4]],15,)</f>
        <v>0.57999999999999996</v>
      </c>
      <c r="V42" s="1">
        <f>VLOOKUP(A42,symbol_2[[symbol]:[TV5]],19,)</f>
        <v>0.99</v>
      </c>
      <c r="W42" s="1" t="str">
        <f t="shared" si="56"/>
        <v>Y</v>
      </c>
      <c r="X42" s="1" t="str">
        <f t="shared" si="57"/>
        <v>N</v>
      </c>
      <c r="Y42" s="1" t="str">
        <f t="shared" si="58"/>
        <v>Y</v>
      </c>
      <c r="Z42" s="1" t="str">
        <f t="shared" si="59"/>
        <v>Y</v>
      </c>
      <c r="AA42" s="1">
        <f>VLOOKUP(A44,symbol_2[[symbol]:[TradedValue1]],4,)</f>
        <v>3444.98</v>
      </c>
      <c r="AB42" s="1">
        <f>VLOOKUP(A42,symbol_2[[symbol]:[TradedValue2]],8,)</f>
        <v>842.49</v>
      </c>
      <c r="AC42" s="1">
        <f>VLOOKUP(A42,symbol_2[[symbol]:[TradedValue3]],12,)</f>
        <v>773.72</v>
      </c>
      <c r="AD42" s="1">
        <f>VLOOKUP(A42,symbol_2[[symbol]:[TradedValue4]],16,)</f>
        <v>794.95</v>
      </c>
      <c r="AE42" s="1">
        <f>VLOOKUP(A42,symbol_2[[symbol]:[TradedValue5]],20,)</f>
        <v>1326.51</v>
      </c>
      <c r="AF42" s="1">
        <f>Table2[[#This Row],[TradedValue2]]-Table2[[#This Row],[TradedValue1]]</f>
        <v>-2602.4899999999998</v>
      </c>
      <c r="AG42" s="1">
        <f>Table2[[#This Row],[TradedValue3]]-Table2[[#This Row],[TradedValue2]]</f>
        <v>-68.769999999999982</v>
      </c>
      <c r="AH42" s="1">
        <f>Table2[[#This Row],[TradedValue4]]-Table2[[#This Row],[TradedValue3]]</f>
        <v>21.230000000000018</v>
      </c>
      <c r="AI42" s="1">
        <f>Table2[[#This Row],[TradedValue5]]-Table2[[#This Row],[TradedValue4]]</f>
        <v>531.55999999999995</v>
      </c>
      <c r="AJ42" s="49" t="str">
        <f>IF(Table2[[#This Row],[TradedValue2]]&gt;Table2[[#This Row],[TradedValue1]],"Y","N")</f>
        <v>N</v>
      </c>
      <c r="AK42" s="49" t="str">
        <f>IF(Table2[[#This Row],[TradedValue3]]&gt;Table2[[#This Row],[TradedValue2]],"Y","N")</f>
        <v>N</v>
      </c>
      <c r="AL42" s="49" t="str">
        <f>IF(Table2[[#This Row],[TradedValue5]]&gt;Table2[[#This Row],[TradedValue3]],"Y","N")</f>
        <v>Y</v>
      </c>
      <c r="AM42" s="49" t="str">
        <f>IF(Table2[[#This Row],[TradedValue5]]&gt;Table2[[#This Row],[TradedValue4]],"Y","N")</f>
        <v>Y</v>
      </c>
      <c r="AN42" s="1">
        <f t="shared" si="60"/>
        <v>4.0000000000000036E-2</v>
      </c>
      <c r="AO42" s="1">
        <f t="shared" si="61"/>
        <v>-4.9999999999999933E-2</v>
      </c>
      <c r="AP42" s="1">
        <f t="shared" si="62"/>
        <v>1.9999999999999907E-2</v>
      </c>
      <c r="AQ42" s="1">
        <f t="shared" si="63"/>
        <v>0.41000000000000003</v>
      </c>
      <c r="AR42" s="1">
        <f>VLOOKUP(A42,symbol_2[[symbol]:[DelPer1]],5,)</f>
        <v>21.27</v>
      </c>
      <c r="AS42" s="1">
        <f>VLOOKUP(A42,symbol_2[[symbol]:[DelPer2]],9,)</f>
        <v>18.97</v>
      </c>
      <c r="AT42" s="1">
        <f>VLOOKUP(A42,symbol_2[[symbol]:[DelPer3]],13,)</f>
        <v>36.299999999999997</v>
      </c>
      <c r="AU42" s="1">
        <f>VLOOKUP(A42,symbol_2[[symbol]:[DelPer4]],17,)</f>
        <v>43.5</v>
      </c>
      <c r="AV42" s="1">
        <f>VLOOKUP(A42,symbol_2[[symbol]:[DelPer5]],21,)</f>
        <v>18.16</v>
      </c>
      <c r="AW42" s="49" t="str">
        <f t="shared" si="64"/>
        <v>N</v>
      </c>
      <c r="AX42" s="49" t="str">
        <f t="shared" si="65"/>
        <v>Y</v>
      </c>
      <c r="AY42" s="49" t="str">
        <f t="shared" si="66"/>
        <v>Y</v>
      </c>
      <c r="AZ42" s="49" t="str">
        <f t="shared" si="67"/>
        <v>N</v>
      </c>
      <c r="BA42" s="1">
        <f t="shared" si="68"/>
        <v>-2.3000000000000007</v>
      </c>
      <c r="BB42" s="1">
        <f t="shared" si="69"/>
        <v>17.329999999999998</v>
      </c>
      <c r="BC42" s="1">
        <f t="shared" si="70"/>
        <v>7.2000000000000028</v>
      </c>
      <c r="BD42" s="1">
        <f t="shared" si="71"/>
        <v>-25.34</v>
      </c>
    </row>
    <row r="43" spans="1:56" hidden="1" x14ac:dyDescent="0.35">
      <c r="A43" s="1" t="s">
        <v>47</v>
      </c>
      <c r="B43" s="1" t="s">
        <v>1016</v>
      </c>
      <c r="C43" s="1" t="s">
        <v>52</v>
      </c>
      <c r="D43" s="1" t="s">
        <v>199</v>
      </c>
      <c r="E43" s="1">
        <f>VLOOKUP(A43,symbol_2[[symbol]:[Price1]],2,)</f>
        <v>1018.85</v>
      </c>
      <c r="F43" s="1">
        <f>VLOOKUP(A43,symbol_2[[symbol]:[Price2]],6,)</f>
        <v>999.85</v>
      </c>
      <c r="G43" s="1">
        <f>VLOOKUP(A43,symbol_2[[symbol]:[Price3]],10,)</f>
        <v>1014.65</v>
      </c>
      <c r="H43" s="1">
        <f>VLOOKUP(A43,symbol_2[[symbol]:[Price4]],14,)</f>
        <v>1012.2</v>
      </c>
      <c r="I43" s="1">
        <f>VLOOKUP(A43,symbol_2[[symbol]:[Price5]],18,)</f>
        <v>1020.85</v>
      </c>
      <c r="J43" s="49" t="str">
        <f t="shared" si="48"/>
        <v>N</v>
      </c>
      <c r="K43" s="49" t="str">
        <f t="shared" si="49"/>
        <v>Y</v>
      </c>
      <c r="L43" s="49" t="str">
        <f t="shared" si="50"/>
        <v>N</v>
      </c>
      <c r="M43" s="49" t="str">
        <f t="shared" si="51"/>
        <v>Y</v>
      </c>
      <c r="N43" s="52">
        <f t="shared" si="52"/>
        <v>-1.8648476223192816</v>
      </c>
      <c r="O43" s="52">
        <f t="shared" si="53"/>
        <v>1.4802220333049911</v>
      </c>
      <c r="P43" s="52">
        <f t="shared" si="54"/>
        <v>-0.24146257330113163</v>
      </c>
      <c r="Q43" s="52">
        <f t="shared" si="55"/>
        <v>0.85457419482315511</v>
      </c>
      <c r="R43" s="1">
        <f>VLOOKUP(A43,symbol_2[[symbol]:[TV1]],3,)</f>
        <v>2.76</v>
      </c>
      <c r="S43" s="1">
        <f>VLOOKUP(A43,symbol_2[[symbol]:[TV2]],7,)</f>
        <v>2.64</v>
      </c>
      <c r="T43" s="1">
        <f>VLOOKUP(A43,symbol_2[[symbol]:[TV3]],11,)</f>
        <v>1.61</v>
      </c>
      <c r="U43" s="1">
        <f>VLOOKUP(A43,symbol_2[[symbol]:[TV4]],15,)</f>
        <v>1.18</v>
      </c>
      <c r="V43" s="1">
        <f>VLOOKUP(A43,symbol_2[[symbol]:[TV5]],19,)</f>
        <v>1.1399999999999999</v>
      </c>
      <c r="W43" s="1" t="str">
        <f t="shared" si="56"/>
        <v>N</v>
      </c>
      <c r="X43" s="1" t="str">
        <f t="shared" si="57"/>
        <v>N</v>
      </c>
      <c r="Y43" s="1" t="str">
        <f t="shared" si="58"/>
        <v>N</v>
      </c>
      <c r="Z43" s="1" t="str">
        <f t="shared" si="59"/>
        <v>N</v>
      </c>
      <c r="AA43" s="1">
        <f>VLOOKUP(A43,symbol_2[[symbol]:[TradedValue1]],4,)</f>
        <v>2744.79</v>
      </c>
      <c r="AB43" s="1">
        <f>VLOOKUP(A43,symbol_2[[symbol]:[TradedValue2]],8,)</f>
        <v>2688.86</v>
      </c>
      <c r="AC43" s="1">
        <f>VLOOKUP(A43,symbol_2[[symbol]:[TradedValue3]],12,)</f>
        <v>1624.38</v>
      </c>
      <c r="AD43" s="1">
        <f>VLOOKUP(A43,symbol_2[[symbol]:[TradedValue4]],16,)</f>
        <v>1197</v>
      </c>
      <c r="AE43" s="1">
        <f>VLOOKUP(A43,symbol_2[[symbol]:[TradedValue5]],20,)</f>
        <v>1162.73</v>
      </c>
      <c r="AF43" s="1">
        <f>Table2[[#This Row],[TradedValue2]]-Table2[[#This Row],[TradedValue1]]</f>
        <v>-55.929999999999836</v>
      </c>
      <c r="AG43" s="1">
        <f>Table2[[#This Row],[TradedValue3]]-Table2[[#This Row],[TradedValue2]]</f>
        <v>-1064.48</v>
      </c>
      <c r="AH43" s="1">
        <f>Table2[[#This Row],[TradedValue4]]-Table2[[#This Row],[TradedValue3]]</f>
        <v>-427.38000000000011</v>
      </c>
      <c r="AI43" s="1">
        <f>Table2[[#This Row],[TradedValue5]]-Table2[[#This Row],[TradedValue4]]</f>
        <v>-34.269999999999982</v>
      </c>
      <c r="AJ43" s="49" t="str">
        <f>IF(Table2[[#This Row],[TradedValue2]]&gt;Table2[[#This Row],[TradedValue1]],"Y","N")</f>
        <v>N</v>
      </c>
      <c r="AK43" s="49" t="str">
        <f>IF(Table2[[#This Row],[TradedValue3]]&gt;Table2[[#This Row],[TradedValue2]],"Y","N")</f>
        <v>N</v>
      </c>
      <c r="AL43" s="49" t="str">
        <f>IF(Table2[[#This Row],[TradedValue5]]&gt;Table2[[#This Row],[TradedValue3]],"Y","N")</f>
        <v>N</v>
      </c>
      <c r="AM43" s="49" t="str">
        <f>IF(Table2[[#This Row],[TradedValue5]]&gt;Table2[[#This Row],[TradedValue4]],"Y","N")</f>
        <v>N</v>
      </c>
      <c r="AN43" s="1">
        <f t="shared" si="60"/>
        <v>-0.11999999999999966</v>
      </c>
      <c r="AO43" s="1">
        <f t="shared" si="61"/>
        <v>-1.03</v>
      </c>
      <c r="AP43" s="1">
        <f t="shared" si="62"/>
        <v>-0.43000000000000016</v>
      </c>
      <c r="AQ43" s="1">
        <f t="shared" si="63"/>
        <v>-4.0000000000000036E-2</v>
      </c>
      <c r="AR43" s="1">
        <f>VLOOKUP(A43,symbol_2[[symbol]:[DelPer1]],5,)</f>
        <v>32.090000000000003</v>
      </c>
      <c r="AS43" s="1">
        <f>VLOOKUP(A43,symbol_2[[symbol]:[DelPer2]],9,)</f>
        <v>47.59</v>
      </c>
      <c r="AT43" s="1">
        <f>VLOOKUP(A43,symbol_2[[symbol]:[DelPer3]],13,)</f>
        <v>46.5</v>
      </c>
      <c r="AU43" s="1">
        <f>VLOOKUP(A43,symbol_2[[symbol]:[DelPer4]],17,)</f>
        <v>47.2</v>
      </c>
      <c r="AV43" s="1">
        <f>VLOOKUP(A43,symbol_2[[symbol]:[DelPer5]],21,)</f>
        <v>61.64</v>
      </c>
      <c r="AW43" s="49" t="str">
        <f t="shared" si="64"/>
        <v>Y</v>
      </c>
      <c r="AX43" s="49" t="str">
        <f t="shared" si="65"/>
        <v>N</v>
      </c>
      <c r="AY43" s="49" t="str">
        <f t="shared" si="66"/>
        <v>Y</v>
      </c>
      <c r="AZ43" s="49" t="str">
        <f t="shared" si="67"/>
        <v>Y</v>
      </c>
      <c r="BA43" s="1">
        <f t="shared" si="68"/>
        <v>15.5</v>
      </c>
      <c r="BB43" s="1">
        <f t="shared" si="69"/>
        <v>-1.0900000000000034</v>
      </c>
      <c r="BC43" s="1">
        <f t="shared" si="70"/>
        <v>0.70000000000000284</v>
      </c>
      <c r="BD43" s="1">
        <f t="shared" si="71"/>
        <v>14.439999999999998</v>
      </c>
    </row>
    <row r="44" spans="1:56" hidden="1" x14ac:dyDescent="0.35">
      <c r="A44" s="116" t="s">
        <v>5</v>
      </c>
      <c r="B44" s="1" t="s">
        <v>1009</v>
      </c>
      <c r="C44" s="1" t="s">
        <v>52</v>
      </c>
      <c r="D44" s="1" t="s">
        <v>199</v>
      </c>
      <c r="E44" s="1">
        <f>VLOOKUP(A44,symbol_2[[symbol]:[Price1]],2,)</f>
        <v>664.25</v>
      </c>
      <c r="F44" s="1">
        <f>VLOOKUP(A44,symbol_2[[symbol]:[Price2]],6,)</f>
        <v>666.45</v>
      </c>
      <c r="G44" s="1">
        <f>VLOOKUP(A44,symbol_2[[symbol]:[Price3]],10,)</f>
        <v>664.55</v>
      </c>
      <c r="H44" s="1">
        <f>VLOOKUP(A44,symbol_2[[symbol]:[Price4]],14,)</f>
        <v>672.15</v>
      </c>
      <c r="I44" s="1">
        <f>VLOOKUP(A44,symbol_2[[symbol]:[Price5]],18,)</f>
        <v>680.65</v>
      </c>
      <c r="J44" s="49" t="str">
        <f t="shared" si="48"/>
        <v>Y</v>
      </c>
      <c r="K44" s="49" t="str">
        <f t="shared" si="49"/>
        <v>N</v>
      </c>
      <c r="L44" s="49" t="str">
        <f t="shared" si="50"/>
        <v>Y</v>
      </c>
      <c r="M44" s="49" t="str">
        <f t="shared" si="51"/>
        <v>Y</v>
      </c>
      <c r="N44" s="52">
        <f t="shared" si="52"/>
        <v>0.33120060218291991</v>
      </c>
      <c r="O44" s="52">
        <f t="shared" si="53"/>
        <v>-0.28509265511292531</v>
      </c>
      <c r="P44" s="52">
        <f t="shared" si="54"/>
        <v>1.1436310285155402</v>
      </c>
      <c r="Q44" s="52">
        <f t="shared" si="55"/>
        <v>1.2645986758907983</v>
      </c>
      <c r="R44" s="1">
        <f>VLOOKUP(A44,symbol_2[[symbol]:[TV1]],3,)</f>
        <v>5.16</v>
      </c>
      <c r="S44" s="1">
        <f>VLOOKUP(A44,symbol_2[[symbol]:[TV2]],7,)</f>
        <v>4.28</v>
      </c>
      <c r="T44" s="1">
        <f>VLOOKUP(A44,symbol_2[[symbol]:[TV3]],11,)</f>
        <v>1.52</v>
      </c>
      <c r="U44" s="1">
        <f>VLOOKUP(A44,symbol_2[[symbol]:[TV4]],15,)</f>
        <v>3.33</v>
      </c>
      <c r="V44" s="1">
        <f>VLOOKUP(A44,symbol_2[[symbol]:[TV5]],19,)</f>
        <v>1.39</v>
      </c>
      <c r="W44" s="1" t="str">
        <f t="shared" si="56"/>
        <v>N</v>
      </c>
      <c r="X44" s="1" t="str">
        <f t="shared" si="57"/>
        <v>N</v>
      </c>
      <c r="Y44" s="1" t="str">
        <f t="shared" si="58"/>
        <v>Y</v>
      </c>
      <c r="Z44" s="1" t="str">
        <f t="shared" si="59"/>
        <v>N</v>
      </c>
      <c r="AA44" s="1">
        <f>VLOOKUP(A44,symbol_2[[symbol]:[TradedValue1]],4,)</f>
        <v>3444.98</v>
      </c>
      <c r="AB44" s="1">
        <f>VLOOKUP(A44,symbol_2[[symbol]:[TradedValue2]],8,)</f>
        <v>2864.15</v>
      </c>
      <c r="AC44" s="1">
        <f>VLOOKUP(A44,symbol_2[[symbol]:[TradedValue3]],12,)</f>
        <v>1015.38</v>
      </c>
      <c r="AD44" s="1">
        <f>VLOOKUP(A44,symbol_2[[symbol]:[TradedValue4]],16,)</f>
        <v>2242.0700000000002</v>
      </c>
      <c r="AE44" s="1">
        <f>VLOOKUP(A44,symbol_2[[symbol]:[TradedValue5]],20,)</f>
        <v>940.35</v>
      </c>
      <c r="AF44" s="1">
        <f>Table2[[#This Row],[TradedValue2]]-Table2[[#This Row],[TradedValue1]]</f>
        <v>-580.82999999999993</v>
      </c>
      <c r="AG44" s="1">
        <f>Table2[[#This Row],[TradedValue3]]-Table2[[#This Row],[TradedValue2]]</f>
        <v>-1848.77</v>
      </c>
      <c r="AH44" s="1">
        <f>Table2[[#This Row],[TradedValue4]]-Table2[[#This Row],[TradedValue3]]</f>
        <v>1226.69</v>
      </c>
      <c r="AI44" s="1">
        <f>Table2[[#This Row],[TradedValue5]]-Table2[[#This Row],[TradedValue4]]</f>
        <v>-1301.7200000000003</v>
      </c>
      <c r="AJ44" s="49" t="str">
        <f>IF(Table2[[#This Row],[TradedValue2]]&gt;Table2[[#This Row],[TradedValue1]],"Y","N")</f>
        <v>N</v>
      </c>
      <c r="AK44" s="49" t="str">
        <f>IF(Table2[[#This Row],[TradedValue3]]&gt;Table2[[#This Row],[TradedValue2]],"Y","N")</f>
        <v>N</v>
      </c>
      <c r="AL44" s="49" t="str">
        <f>IF(Table2[[#This Row],[TradedValue5]]&gt;Table2[[#This Row],[TradedValue3]],"Y","N")</f>
        <v>N</v>
      </c>
      <c r="AM44" s="49" t="str">
        <f>IF(Table2[[#This Row],[TradedValue5]]&gt;Table2[[#This Row],[TradedValue4]],"Y","N")</f>
        <v>N</v>
      </c>
      <c r="AN44" s="1">
        <f t="shared" si="60"/>
        <v>-0.87999999999999989</v>
      </c>
      <c r="AO44" s="1">
        <f t="shared" si="61"/>
        <v>-2.7600000000000002</v>
      </c>
      <c r="AP44" s="1">
        <f t="shared" si="62"/>
        <v>1.81</v>
      </c>
      <c r="AQ44" s="1">
        <f t="shared" si="63"/>
        <v>-1.9400000000000002</v>
      </c>
      <c r="AR44" s="1">
        <f>VLOOKUP(A44,symbol_2[[symbol]:[DelPer1]],5,)</f>
        <v>34.51</v>
      </c>
      <c r="AS44" s="1">
        <f>VLOOKUP(A44,symbol_2[[symbol]:[DelPer2]],9,)</f>
        <v>36.67</v>
      </c>
      <c r="AT44" s="1">
        <f>VLOOKUP(A44,symbol_2[[symbol]:[DelPer3]],13,)</f>
        <v>23.25</v>
      </c>
      <c r="AU44" s="1">
        <f>VLOOKUP(A44,symbol_2[[symbol]:[DelPer4]],17,)</f>
        <v>23.91</v>
      </c>
      <c r="AV44" s="1">
        <f>VLOOKUP(A44,symbol_2[[symbol]:[DelPer5]],21,)</f>
        <v>27.97</v>
      </c>
      <c r="AW44" s="49" t="str">
        <f t="shared" si="64"/>
        <v>Y</v>
      </c>
      <c r="AX44" s="49" t="str">
        <f t="shared" si="65"/>
        <v>N</v>
      </c>
      <c r="AY44" s="49" t="str">
        <f t="shared" si="66"/>
        <v>Y</v>
      </c>
      <c r="AZ44" s="49" t="str">
        <f t="shared" si="67"/>
        <v>Y</v>
      </c>
      <c r="BA44" s="1">
        <f t="shared" si="68"/>
        <v>2.1600000000000037</v>
      </c>
      <c r="BB44" s="1">
        <f t="shared" si="69"/>
        <v>-13.420000000000002</v>
      </c>
      <c r="BC44" s="1">
        <f t="shared" si="70"/>
        <v>0.66000000000000014</v>
      </c>
      <c r="BD44" s="1">
        <f t="shared" si="71"/>
        <v>4.0599999999999987</v>
      </c>
    </row>
    <row r="45" spans="1:56" hidden="1" x14ac:dyDescent="0.35">
      <c r="A45" s="1" t="s">
        <v>25</v>
      </c>
      <c r="B45" s="1" t="s">
        <v>1006</v>
      </c>
      <c r="C45" s="1" t="s">
        <v>52</v>
      </c>
      <c r="D45" s="1" t="s">
        <v>199</v>
      </c>
      <c r="E45" s="1">
        <f>VLOOKUP(A45,symbol_2[[symbol]:[Price1]],2,)</f>
        <v>1494.65</v>
      </c>
      <c r="F45" s="1">
        <f>VLOOKUP(A45,symbol_2[[symbol]:[Price2]],6,)</f>
        <v>1447.75</v>
      </c>
      <c r="G45" s="1">
        <f>VLOOKUP(A45,symbol_2[[symbol]:[Price3]],10,)</f>
        <v>1518.9</v>
      </c>
      <c r="H45" s="1">
        <f>VLOOKUP(A45,symbol_2[[symbol]:[Price4]],14,)</f>
        <v>1598.75</v>
      </c>
      <c r="I45" s="1">
        <f>VLOOKUP(A45,symbol_2[[symbol]:[Price5]],18,)</f>
        <v>1648.9</v>
      </c>
      <c r="J45" s="49" t="str">
        <f t="shared" si="48"/>
        <v>N</v>
      </c>
      <c r="K45" s="49" t="str">
        <f t="shared" si="49"/>
        <v>Y</v>
      </c>
      <c r="L45" s="49" t="str">
        <f t="shared" si="50"/>
        <v>Y</v>
      </c>
      <c r="M45" s="49" t="str">
        <f t="shared" si="51"/>
        <v>Y</v>
      </c>
      <c r="N45" s="52">
        <f t="shared" si="52"/>
        <v>-3.1378583614893181</v>
      </c>
      <c r="O45" s="52">
        <f t="shared" si="53"/>
        <v>4.9145225349680608</v>
      </c>
      <c r="P45" s="52">
        <f t="shared" si="54"/>
        <v>5.2570939495687607</v>
      </c>
      <c r="Q45" s="52">
        <f t="shared" si="55"/>
        <v>3.1368256450351892</v>
      </c>
      <c r="R45" s="1">
        <f>VLOOKUP(A45,symbol_2[[symbol]:[TV1]],3,)</f>
        <v>4.55</v>
      </c>
      <c r="S45" s="1">
        <f>VLOOKUP(A45,symbol_2[[symbol]:[TV2]],7,)</f>
        <v>3.33</v>
      </c>
      <c r="T45" s="1">
        <f>VLOOKUP(A45,symbol_2[[symbol]:[TV3]],11,)</f>
        <v>18.579999999999998</v>
      </c>
      <c r="U45" s="1">
        <f>VLOOKUP(A45,symbol_2[[symbol]:[TV4]],15,)</f>
        <v>12.38</v>
      </c>
      <c r="V45" s="1">
        <f>VLOOKUP(A45,symbol_2[[symbol]:[TV5]],19,)</f>
        <v>6.07</v>
      </c>
      <c r="W45" s="1" t="str">
        <f t="shared" si="56"/>
        <v>N</v>
      </c>
      <c r="X45" s="1" t="str">
        <f t="shared" si="57"/>
        <v>Y</v>
      </c>
      <c r="Y45" s="1" t="str">
        <f t="shared" si="58"/>
        <v>N</v>
      </c>
      <c r="Z45" s="1" t="str">
        <f t="shared" si="59"/>
        <v>N</v>
      </c>
      <c r="AA45" s="1">
        <f>VLOOKUP(A45,symbol_2[[symbol]:[TradedValue1]],4,)</f>
        <v>6633.88</v>
      </c>
      <c r="AB45" s="1">
        <f>VLOOKUP(A45,symbol_2[[symbol]:[TradedValue2]],8,)</f>
        <v>4888.01</v>
      </c>
      <c r="AC45" s="1">
        <f>VLOOKUP(A45,symbol_2[[symbol]:[TradedValue3]],12,)</f>
        <v>27392.2</v>
      </c>
      <c r="AD45" s="1">
        <f>VLOOKUP(A45,symbol_2[[symbol]:[TradedValue4]],16,)</f>
        <v>19857.38</v>
      </c>
      <c r="AE45" s="1">
        <f>VLOOKUP(A45,symbol_2[[symbol]:[TradedValue5]],20,)</f>
        <v>9871.2199999999993</v>
      </c>
      <c r="AF45" s="1">
        <f>Table2[[#This Row],[TradedValue2]]-Table2[[#This Row],[TradedValue1]]</f>
        <v>-1745.87</v>
      </c>
      <c r="AG45" s="1">
        <f>Table2[[#This Row],[TradedValue3]]-Table2[[#This Row],[TradedValue2]]</f>
        <v>22504.190000000002</v>
      </c>
      <c r="AH45" s="1">
        <f>Table2[[#This Row],[TradedValue4]]-Table2[[#This Row],[TradedValue3]]</f>
        <v>-7534.82</v>
      </c>
      <c r="AI45" s="1">
        <f>Table2[[#This Row],[TradedValue5]]-Table2[[#This Row],[TradedValue4]]</f>
        <v>-9986.1600000000017</v>
      </c>
      <c r="AJ45" s="49" t="str">
        <f>IF(Table2[[#This Row],[TradedValue2]]&gt;Table2[[#This Row],[TradedValue1]],"Y","N")</f>
        <v>N</v>
      </c>
      <c r="AK45" s="49" t="str">
        <f>IF(Table2[[#This Row],[TradedValue3]]&gt;Table2[[#This Row],[TradedValue2]],"Y","N")</f>
        <v>Y</v>
      </c>
      <c r="AL45" s="49" t="str">
        <f>IF(Table2[[#This Row],[TradedValue5]]&gt;Table2[[#This Row],[TradedValue3]],"Y","N")</f>
        <v>N</v>
      </c>
      <c r="AM45" s="49" t="str">
        <f>IF(Table2[[#This Row],[TradedValue5]]&gt;Table2[[#This Row],[TradedValue4]],"Y","N")</f>
        <v>N</v>
      </c>
      <c r="AN45" s="1">
        <f t="shared" si="60"/>
        <v>-1.2199999999999998</v>
      </c>
      <c r="AO45" s="1">
        <f t="shared" si="61"/>
        <v>15.249999999999998</v>
      </c>
      <c r="AP45" s="1">
        <f t="shared" si="62"/>
        <v>-6.1999999999999975</v>
      </c>
      <c r="AQ45" s="1">
        <f t="shared" si="63"/>
        <v>-6.3100000000000005</v>
      </c>
      <c r="AR45" s="1">
        <f>VLOOKUP(A45,symbol_2[[symbol]:[DelPer1]],5,)</f>
        <v>52.56</v>
      </c>
      <c r="AS45" s="1">
        <f>VLOOKUP(A45,symbol_2[[symbol]:[DelPer2]],9,)</f>
        <v>32.950000000000003</v>
      </c>
      <c r="AT45" s="1">
        <f>VLOOKUP(A45,symbol_2[[symbol]:[DelPer3]],13,)</f>
        <v>27.4</v>
      </c>
      <c r="AU45" s="1">
        <f>VLOOKUP(A45,symbol_2[[symbol]:[DelPer4]],17,)</f>
        <v>35.86</v>
      </c>
      <c r="AV45" s="1">
        <f>VLOOKUP(A45,symbol_2[[symbol]:[DelPer5]],21,)</f>
        <v>35.43</v>
      </c>
      <c r="AW45" s="49" t="str">
        <f t="shared" si="64"/>
        <v>N</v>
      </c>
      <c r="AX45" s="49" t="str">
        <f t="shared" si="65"/>
        <v>N</v>
      </c>
      <c r="AY45" s="49" t="str">
        <f t="shared" si="66"/>
        <v>Y</v>
      </c>
      <c r="AZ45" s="49" t="str">
        <f t="shared" si="67"/>
        <v>N</v>
      </c>
      <c r="BA45" s="1">
        <f t="shared" si="68"/>
        <v>-19.61</v>
      </c>
      <c r="BB45" s="1">
        <f t="shared" si="69"/>
        <v>-5.5500000000000043</v>
      </c>
      <c r="BC45" s="1">
        <f t="shared" si="70"/>
        <v>8.4600000000000009</v>
      </c>
      <c r="BD45" s="1">
        <f t="shared" si="71"/>
        <v>-0.42999999999999972</v>
      </c>
    </row>
    <row r="46" spans="1:56" hidden="1" x14ac:dyDescent="0.35">
      <c r="A46" s="116" t="s">
        <v>12</v>
      </c>
      <c r="B46" s="1" t="s">
        <v>1009</v>
      </c>
      <c r="C46" s="1" t="s">
        <v>52</v>
      </c>
      <c r="D46" s="1" t="s">
        <v>199</v>
      </c>
      <c r="E46" s="1">
        <f>VLOOKUP(A46,symbol_2[[symbol]:[Price1]],2,)</f>
        <v>565.45000000000005</v>
      </c>
      <c r="F46" s="1">
        <f>VLOOKUP(A46,symbol_2[[symbol]:[Price2]],6,)</f>
        <v>559.35</v>
      </c>
      <c r="G46" s="1">
        <f>VLOOKUP(A46,symbol_2[[symbol]:[Price3]],10,)</f>
        <v>553</v>
      </c>
      <c r="H46" s="1">
        <f>VLOOKUP(A46,symbol_2[[symbol]:[Price4]],14,)</f>
        <v>564.75</v>
      </c>
      <c r="I46" s="1">
        <f>VLOOKUP(A46,symbol_2[[symbol]:[Price5]],18,)</f>
        <v>570.6</v>
      </c>
      <c r="J46" s="49" t="str">
        <f t="shared" si="48"/>
        <v>N</v>
      </c>
      <c r="K46" s="49" t="str">
        <f t="shared" si="49"/>
        <v>N</v>
      </c>
      <c r="L46" s="49" t="str">
        <f t="shared" si="50"/>
        <v>Y</v>
      </c>
      <c r="M46" s="49" t="str">
        <f t="shared" si="51"/>
        <v>Y</v>
      </c>
      <c r="N46" s="52">
        <f t="shared" si="52"/>
        <v>-1.0787868069679056</v>
      </c>
      <c r="O46" s="52">
        <f t="shared" si="53"/>
        <v>-1.1352462679896349</v>
      </c>
      <c r="P46" s="52">
        <f t="shared" si="54"/>
        <v>2.1247739602169982</v>
      </c>
      <c r="Q46" s="52">
        <f t="shared" si="55"/>
        <v>1.0358565737051832</v>
      </c>
      <c r="R46" s="1">
        <f>VLOOKUP(A46,symbol_2[[symbol]:[TV1]],3,)</f>
        <v>1.59</v>
      </c>
      <c r="S46" s="1">
        <f>VLOOKUP(A46,symbol_2[[symbol]:[TV2]],7,)</f>
        <v>4.29</v>
      </c>
      <c r="T46" s="1">
        <f>VLOOKUP(A46,symbol_2[[symbol]:[TV3]],11,)</f>
        <v>7.76</v>
      </c>
      <c r="U46" s="1">
        <f>VLOOKUP(A46,symbol_2[[symbol]:[TV4]],15,)</f>
        <v>5.64</v>
      </c>
      <c r="V46" s="1">
        <f>VLOOKUP(A46,symbol_2[[symbol]:[TV5]],19,)</f>
        <v>1.8</v>
      </c>
      <c r="W46" s="1" t="str">
        <f t="shared" si="56"/>
        <v>Y</v>
      </c>
      <c r="X46" s="1" t="str">
        <f t="shared" si="57"/>
        <v>Y</v>
      </c>
      <c r="Y46" s="1" t="str">
        <f t="shared" si="58"/>
        <v>N</v>
      </c>
      <c r="Z46" s="1" t="str">
        <f t="shared" si="59"/>
        <v>N</v>
      </c>
      <c r="AA46" s="1">
        <f>VLOOKUP(A46,symbol_2[[symbol]:[TradedValue1]],4,)</f>
        <v>888.87</v>
      </c>
      <c r="AB46" s="1">
        <f>VLOOKUP(A46,symbol_2[[symbol]:[TradedValue2]],8,)</f>
        <v>2430.19</v>
      </c>
      <c r="AC46" s="1">
        <f>VLOOKUP(A46,symbol_2[[symbol]:[TradedValue3]],12,)</f>
        <v>4369.87</v>
      </c>
      <c r="AD46" s="1">
        <f>VLOOKUP(A46,symbol_2[[symbol]:[TradedValue4]],16,)</f>
        <v>3160.63</v>
      </c>
      <c r="AE46" s="1">
        <f>VLOOKUP(A46,symbol_2[[symbol]:[TradedValue5]],20,)</f>
        <v>1019.9</v>
      </c>
      <c r="AF46" s="1">
        <f>Table2[[#This Row],[TradedValue2]]-Table2[[#This Row],[TradedValue1]]</f>
        <v>1541.3200000000002</v>
      </c>
      <c r="AG46" s="1">
        <f>Table2[[#This Row],[TradedValue3]]-Table2[[#This Row],[TradedValue2]]</f>
        <v>1939.6799999999998</v>
      </c>
      <c r="AH46" s="1">
        <f>Table2[[#This Row],[TradedValue4]]-Table2[[#This Row],[TradedValue3]]</f>
        <v>-1209.2399999999998</v>
      </c>
      <c r="AI46" s="1">
        <f>Table2[[#This Row],[TradedValue5]]-Table2[[#This Row],[TradedValue4]]</f>
        <v>-2140.73</v>
      </c>
      <c r="AJ46" s="49" t="str">
        <f>IF(Table2[[#This Row],[TradedValue2]]&gt;Table2[[#This Row],[TradedValue1]],"Y","N")</f>
        <v>Y</v>
      </c>
      <c r="AK46" s="49" t="str">
        <f>IF(Table2[[#This Row],[TradedValue3]]&gt;Table2[[#This Row],[TradedValue2]],"Y","N")</f>
        <v>Y</v>
      </c>
      <c r="AL46" s="49" t="str">
        <f>IF(Table2[[#This Row],[TradedValue5]]&gt;Table2[[#This Row],[TradedValue3]],"Y","N")</f>
        <v>N</v>
      </c>
      <c r="AM46" s="49" t="str">
        <f>IF(Table2[[#This Row],[TradedValue5]]&gt;Table2[[#This Row],[TradedValue4]],"Y","N")</f>
        <v>N</v>
      </c>
      <c r="AN46" s="1">
        <f t="shared" si="60"/>
        <v>2.7</v>
      </c>
      <c r="AO46" s="1">
        <f t="shared" si="61"/>
        <v>3.4699999999999998</v>
      </c>
      <c r="AP46" s="1">
        <f t="shared" si="62"/>
        <v>-2.12</v>
      </c>
      <c r="AQ46" s="1">
        <f t="shared" si="63"/>
        <v>-3.84</v>
      </c>
      <c r="AR46" s="1">
        <f>VLOOKUP(A46,symbol_2[[symbol]:[DelPer1]],5,)</f>
        <v>25.07</v>
      </c>
      <c r="AS46" s="1">
        <f>VLOOKUP(A46,symbol_2[[symbol]:[DelPer2]],9,)</f>
        <v>29.21</v>
      </c>
      <c r="AT46" s="1">
        <f>VLOOKUP(A46,symbol_2[[symbol]:[DelPer3]],13,)</f>
        <v>23.08</v>
      </c>
      <c r="AU46" s="1">
        <f>VLOOKUP(A46,symbol_2[[symbol]:[DelPer4]],17,)</f>
        <v>48.21</v>
      </c>
      <c r="AV46" s="1">
        <f>VLOOKUP(A46,symbol_2[[symbol]:[DelPer5]],21,)</f>
        <v>24.38</v>
      </c>
      <c r="AW46" s="49" t="str">
        <f t="shared" si="64"/>
        <v>Y</v>
      </c>
      <c r="AX46" s="49" t="str">
        <f t="shared" si="65"/>
        <v>N</v>
      </c>
      <c r="AY46" s="49" t="str">
        <f t="shared" si="66"/>
        <v>Y</v>
      </c>
      <c r="AZ46" s="49" t="str">
        <f t="shared" si="67"/>
        <v>N</v>
      </c>
      <c r="BA46" s="1">
        <f t="shared" si="68"/>
        <v>4.1400000000000006</v>
      </c>
      <c r="BB46" s="1">
        <f t="shared" si="69"/>
        <v>-6.1300000000000026</v>
      </c>
      <c r="BC46" s="1">
        <f t="shared" si="70"/>
        <v>25.130000000000003</v>
      </c>
      <c r="BD46" s="1">
        <f t="shared" si="71"/>
        <v>-23.830000000000002</v>
      </c>
    </row>
    <row r="47" spans="1:56" hidden="1" x14ac:dyDescent="0.35">
      <c r="A47" s="116" t="s">
        <v>180</v>
      </c>
      <c r="B47" s="1" t="s">
        <v>1019</v>
      </c>
      <c r="C47" s="1" t="s">
        <v>52</v>
      </c>
      <c r="D47" s="1" t="s">
        <v>199</v>
      </c>
      <c r="E47" s="1">
        <f>VLOOKUP(A47,symbol_2[[symbol]:[Price1]],2,)</f>
        <v>563.35</v>
      </c>
      <c r="F47" s="1">
        <f>VLOOKUP(A47,symbol_2[[symbol]:[Price2]],6,)</f>
        <v>544.65</v>
      </c>
      <c r="G47" s="1">
        <f>VLOOKUP(A47,symbol_2[[symbol]:[Price3]],10,)</f>
        <v>554.29999999999995</v>
      </c>
      <c r="H47" s="1">
        <f>VLOOKUP(A47,symbol_2[[symbol]:[Price4]],14,)</f>
        <v>547.85</v>
      </c>
      <c r="I47" s="1">
        <f>VLOOKUP(A47,symbol_2[[symbol]:[Price5]],18,)</f>
        <v>530.54999999999995</v>
      </c>
      <c r="J47" s="49" t="str">
        <f t="shared" si="48"/>
        <v>N</v>
      </c>
      <c r="K47" s="49" t="str">
        <f t="shared" si="49"/>
        <v>Y</v>
      </c>
      <c r="L47" s="49" t="str">
        <f t="shared" si="50"/>
        <v>N</v>
      </c>
      <c r="M47" s="49" t="str">
        <f t="shared" si="51"/>
        <v>N</v>
      </c>
      <c r="N47" s="52">
        <f t="shared" si="52"/>
        <v>-3.3194284192775441</v>
      </c>
      <c r="O47" s="52">
        <f t="shared" si="53"/>
        <v>1.7717800422289505</v>
      </c>
      <c r="P47" s="52">
        <f t="shared" si="54"/>
        <v>-1.1636298033555714</v>
      </c>
      <c r="Q47" s="52">
        <f t="shared" si="55"/>
        <v>-3.1577986675184939</v>
      </c>
      <c r="R47" s="1">
        <f>VLOOKUP(A47,symbol_2[[symbol]:[TV1]],3,)</f>
        <v>1.61</v>
      </c>
      <c r="S47" s="1">
        <f>VLOOKUP(A47,symbol_2[[symbol]:[TV2]],7,)</f>
        <v>1.25</v>
      </c>
      <c r="T47" s="1">
        <f>VLOOKUP(A47,symbol_2[[symbol]:[TV3]],11,)</f>
        <v>1.8</v>
      </c>
      <c r="U47" s="1">
        <f>VLOOKUP(A47,symbol_2[[symbol]:[TV4]],15,)</f>
        <v>3.92</v>
      </c>
      <c r="V47" s="1">
        <f>VLOOKUP(A47,symbol_2[[symbol]:[TV5]],19,)</f>
        <v>11.99</v>
      </c>
      <c r="W47" s="1" t="str">
        <f t="shared" si="56"/>
        <v>N</v>
      </c>
      <c r="X47" s="1" t="str">
        <f t="shared" si="57"/>
        <v>Y</v>
      </c>
      <c r="Y47" s="1" t="str">
        <f t="shared" si="58"/>
        <v>Y</v>
      </c>
      <c r="Z47" s="1" t="str">
        <f t="shared" si="59"/>
        <v>Y</v>
      </c>
      <c r="AA47" s="1">
        <f>VLOOKUP(A49,symbol_2[[symbol]:[TradedValue1]],4,)</f>
        <v>1070.18</v>
      </c>
      <c r="AB47" s="1">
        <f>VLOOKUP(A47,symbol_2[[symbol]:[TradedValue2]],8,)</f>
        <v>695.58</v>
      </c>
      <c r="AC47" s="1">
        <f>VLOOKUP(A47,symbol_2[[symbol]:[TradedValue3]],12,)</f>
        <v>979.34</v>
      </c>
      <c r="AD47" s="1">
        <f>VLOOKUP(A47,symbol_2[[symbol]:[TradedValue4]],16,)</f>
        <v>2239.5700000000002</v>
      </c>
      <c r="AE47" s="1">
        <f>VLOOKUP(A47,symbol_2[[symbol]:[TradedValue5]],20,)</f>
        <v>6369.08</v>
      </c>
      <c r="AF47" s="1">
        <f>Table2[[#This Row],[TradedValue2]]-Table2[[#This Row],[TradedValue1]]</f>
        <v>-374.6</v>
      </c>
      <c r="AG47" s="1">
        <f>Table2[[#This Row],[TradedValue3]]-Table2[[#This Row],[TradedValue2]]</f>
        <v>283.76</v>
      </c>
      <c r="AH47" s="1">
        <f>Table2[[#This Row],[TradedValue4]]-Table2[[#This Row],[TradedValue3]]</f>
        <v>1260.23</v>
      </c>
      <c r="AI47" s="1">
        <f>Table2[[#This Row],[TradedValue5]]-Table2[[#This Row],[TradedValue4]]</f>
        <v>4129.51</v>
      </c>
      <c r="AJ47" s="49" t="str">
        <f>IF(Table2[[#This Row],[TradedValue2]]&gt;Table2[[#This Row],[TradedValue1]],"Y","N")</f>
        <v>N</v>
      </c>
      <c r="AK47" s="49" t="str">
        <f>IF(Table2[[#This Row],[TradedValue3]]&gt;Table2[[#This Row],[TradedValue2]],"Y","N")</f>
        <v>Y</v>
      </c>
      <c r="AL47" s="49" t="str">
        <f>IF(Table2[[#This Row],[TradedValue5]]&gt;Table2[[#This Row],[TradedValue3]],"Y","N")</f>
        <v>Y</v>
      </c>
      <c r="AM47" s="49" t="str">
        <f>IF(Table2[[#This Row],[TradedValue5]]&gt;Table2[[#This Row],[TradedValue4]],"Y","N")</f>
        <v>Y</v>
      </c>
      <c r="AN47" s="1">
        <f t="shared" si="60"/>
        <v>-0.3600000000000001</v>
      </c>
      <c r="AO47" s="1">
        <f t="shared" si="61"/>
        <v>0.55000000000000004</v>
      </c>
      <c r="AP47" s="1">
        <f t="shared" si="62"/>
        <v>2.12</v>
      </c>
      <c r="AQ47" s="1">
        <f t="shared" si="63"/>
        <v>8.07</v>
      </c>
      <c r="AR47" s="1">
        <f>VLOOKUP(A47,symbol_2[[symbol]:[DelPer1]],5,)</f>
        <v>10.220000000000001</v>
      </c>
      <c r="AS47" s="1">
        <f>VLOOKUP(A47,symbol_2[[symbol]:[DelPer2]],9,)</f>
        <v>11.06</v>
      </c>
      <c r="AT47" s="1">
        <f>VLOOKUP(A47,symbol_2[[symbol]:[DelPer3]],13,)</f>
        <v>12.66</v>
      </c>
      <c r="AU47" s="1">
        <f>VLOOKUP(A47,symbol_2[[symbol]:[DelPer4]],17,)</f>
        <v>17.86</v>
      </c>
      <c r="AV47" s="1">
        <f>VLOOKUP(A47,symbol_2[[symbol]:[DelPer5]],21,)</f>
        <v>10.53</v>
      </c>
      <c r="AW47" s="49" t="str">
        <f t="shared" si="64"/>
        <v>Y</v>
      </c>
      <c r="AX47" s="49" t="str">
        <f t="shared" si="65"/>
        <v>Y</v>
      </c>
      <c r="AY47" s="49" t="str">
        <f t="shared" si="66"/>
        <v>Y</v>
      </c>
      <c r="AZ47" s="49" t="str">
        <f t="shared" si="67"/>
        <v>N</v>
      </c>
      <c r="BA47" s="1">
        <f t="shared" si="68"/>
        <v>0.83999999999999986</v>
      </c>
      <c r="BB47" s="1">
        <f t="shared" si="69"/>
        <v>1.5999999999999996</v>
      </c>
      <c r="BC47" s="1">
        <f t="shared" si="70"/>
        <v>5.1999999999999993</v>
      </c>
      <c r="BD47" s="1">
        <f t="shared" si="71"/>
        <v>-7.33</v>
      </c>
    </row>
    <row r="48" spans="1:56" hidden="1" x14ac:dyDescent="0.35">
      <c r="A48" s="1" t="s">
        <v>30</v>
      </c>
      <c r="B48" s="1" t="s">
        <v>1006</v>
      </c>
      <c r="C48" s="1" t="s">
        <v>52</v>
      </c>
      <c r="D48" s="1" t="s">
        <v>199</v>
      </c>
      <c r="E48" s="1">
        <f>VLOOKUP(A48,symbol_2[[symbol]:[Price1]],2,)</f>
        <v>1502.55</v>
      </c>
      <c r="F48" s="1">
        <f>VLOOKUP(A48,symbol_2[[symbol]:[Price2]],6,)</f>
        <v>1487.9</v>
      </c>
      <c r="G48" s="1">
        <f>VLOOKUP(A48,symbol_2[[symbol]:[Price3]],10,)</f>
        <v>1495.25</v>
      </c>
      <c r="H48" s="1">
        <f>VLOOKUP(A48,symbol_2[[symbol]:[Price4]],14,)</f>
        <v>1499.75</v>
      </c>
      <c r="I48" s="1">
        <f>VLOOKUP(A48,symbol_2[[symbol]:[Price5]],18,)</f>
        <v>1511.7</v>
      </c>
      <c r="J48" s="49" t="str">
        <f t="shared" si="48"/>
        <v>N</v>
      </c>
      <c r="K48" s="49" t="str">
        <f t="shared" si="49"/>
        <v>Y</v>
      </c>
      <c r="L48" s="49" t="str">
        <f t="shared" si="50"/>
        <v>Y</v>
      </c>
      <c r="M48" s="49" t="str">
        <f t="shared" si="51"/>
        <v>Y</v>
      </c>
      <c r="N48" s="52">
        <f t="shared" si="52"/>
        <v>-0.97500915110977104</v>
      </c>
      <c r="O48" s="52">
        <f t="shared" si="53"/>
        <v>0.49398481080717177</v>
      </c>
      <c r="P48" s="52">
        <f t="shared" si="54"/>
        <v>0.30095301788998496</v>
      </c>
      <c r="Q48" s="52">
        <f t="shared" si="55"/>
        <v>0.7967994665777659</v>
      </c>
      <c r="R48" s="1">
        <f>VLOOKUP(A48,symbol_2[[symbol]:[TV1]],3,)</f>
        <v>4.67</v>
      </c>
      <c r="S48" s="1">
        <f>VLOOKUP(A48,symbol_2[[symbol]:[TV2]],7,)</f>
        <v>3.22</v>
      </c>
      <c r="T48" s="1">
        <f>VLOOKUP(A48,symbol_2[[symbol]:[TV3]],11,)</f>
        <v>2.5</v>
      </c>
      <c r="U48" s="1">
        <f>VLOOKUP(A48,symbol_2[[symbol]:[TV4]],15,)</f>
        <v>5.8</v>
      </c>
      <c r="V48" s="1">
        <f>VLOOKUP(A48,symbol_2[[symbol]:[TV5]],19,)</f>
        <v>2.87</v>
      </c>
      <c r="W48" s="1" t="str">
        <f t="shared" si="56"/>
        <v>N</v>
      </c>
      <c r="X48" s="1" t="str">
        <f t="shared" si="57"/>
        <v>N</v>
      </c>
      <c r="Y48" s="1" t="str">
        <f t="shared" si="58"/>
        <v>Y</v>
      </c>
      <c r="Z48" s="1" t="str">
        <f t="shared" si="59"/>
        <v>N</v>
      </c>
      <c r="AA48" s="1">
        <f>VLOOKUP(A48,symbol_2[[symbol]:[TradedValue1]],4,)</f>
        <v>6937.18</v>
      </c>
      <c r="AB48" s="1">
        <f>VLOOKUP(A48,symbol_2[[symbol]:[TradedValue2]],8,)</f>
        <v>4826.87</v>
      </c>
      <c r="AC48" s="1">
        <f>VLOOKUP(A48,symbol_2[[symbol]:[TradedValue3]],12,)</f>
        <v>3752.72</v>
      </c>
      <c r="AD48" s="1">
        <f>VLOOKUP(A48,symbol_2[[symbol]:[TradedValue4]],16,)</f>
        <v>8822.48</v>
      </c>
      <c r="AE48" s="1">
        <f>VLOOKUP(A48,symbol_2[[symbol]:[TradedValue5]],20,)</f>
        <v>4329.1899999999996</v>
      </c>
      <c r="AF48" s="1">
        <f>Table2[[#This Row],[TradedValue2]]-Table2[[#This Row],[TradedValue1]]</f>
        <v>-2110.3100000000004</v>
      </c>
      <c r="AG48" s="1">
        <f>Table2[[#This Row],[TradedValue3]]-Table2[[#This Row],[TradedValue2]]</f>
        <v>-1074.1500000000001</v>
      </c>
      <c r="AH48" s="1">
        <f>Table2[[#This Row],[TradedValue4]]-Table2[[#This Row],[TradedValue3]]</f>
        <v>5069.76</v>
      </c>
      <c r="AI48" s="1">
        <f>Table2[[#This Row],[TradedValue5]]-Table2[[#This Row],[TradedValue4]]</f>
        <v>-4493.29</v>
      </c>
      <c r="AJ48" s="49" t="str">
        <f>IF(Table2[[#This Row],[TradedValue2]]&gt;Table2[[#This Row],[TradedValue1]],"Y","N")</f>
        <v>N</v>
      </c>
      <c r="AK48" s="49" t="str">
        <f>IF(Table2[[#This Row],[TradedValue3]]&gt;Table2[[#This Row],[TradedValue2]],"Y","N")</f>
        <v>N</v>
      </c>
      <c r="AL48" s="49" t="str">
        <f>IF(Table2[[#This Row],[TradedValue5]]&gt;Table2[[#This Row],[TradedValue3]],"Y","N")</f>
        <v>Y</v>
      </c>
      <c r="AM48" s="49" t="str">
        <f>IF(Table2[[#This Row],[TradedValue5]]&gt;Table2[[#This Row],[TradedValue4]],"Y","N")</f>
        <v>N</v>
      </c>
      <c r="AN48" s="1">
        <f t="shared" si="60"/>
        <v>-1.4499999999999997</v>
      </c>
      <c r="AO48" s="1">
        <f t="shared" si="61"/>
        <v>-0.7200000000000002</v>
      </c>
      <c r="AP48" s="1">
        <f t="shared" si="62"/>
        <v>3.3</v>
      </c>
      <c r="AQ48" s="1">
        <f t="shared" si="63"/>
        <v>-2.9299999999999997</v>
      </c>
      <c r="AR48" s="1">
        <f>VLOOKUP(A48,symbol_2[[symbol]:[DelPer1]],5,)</f>
        <v>62.14</v>
      </c>
      <c r="AS48" s="1">
        <f>VLOOKUP(A48,symbol_2[[symbol]:[DelPer2]],9,)</f>
        <v>57.39</v>
      </c>
      <c r="AT48" s="1">
        <f>VLOOKUP(A48,symbol_2[[symbol]:[DelPer3]],13,)</f>
        <v>52.37</v>
      </c>
      <c r="AU48" s="1">
        <f>VLOOKUP(A48,symbol_2[[symbol]:[DelPer4]],17,)</f>
        <v>59.25</v>
      </c>
      <c r="AV48" s="1">
        <f>VLOOKUP(A48,symbol_2[[symbol]:[DelPer5]],21,)</f>
        <v>47.12</v>
      </c>
      <c r="AW48" s="49" t="str">
        <f t="shared" si="64"/>
        <v>N</v>
      </c>
      <c r="AX48" s="49" t="str">
        <f t="shared" si="65"/>
        <v>N</v>
      </c>
      <c r="AY48" s="49" t="str">
        <f t="shared" si="66"/>
        <v>Y</v>
      </c>
      <c r="AZ48" s="49" t="str">
        <f t="shared" si="67"/>
        <v>N</v>
      </c>
      <c r="BA48" s="1">
        <f t="shared" si="68"/>
        <v>-4.75</v>
      </c>
      <c r="BB48" s="1">
        <f t="shared" si="69"/>
        <v>-5.0200000000000031</v>
      </c>
      <c r="BC48" s="1">
        <f t="shared" si="70"/>
        <v>6.8800000000000026</v>
      </c>
      <c r="BD48" s="1">
        <f t="shared" si="71"/>
        <v>-12.130000000000003</v>
      </c>
    </row>
    <row r="49" spans="1:56" hidden="1" x14ac:dyDescent="0.35">
      <c r="A49" s="116" t="s">
        <v>21</v>
      </c>
      <c r="B49" s="1" t="s">
        <v>1021</v>
      </c>
      <c r="C49" s="1" t="s">
        <v>52</v>
      </c>
      <c r="D49" s="1" t="s">
        <v>199</v>
      </c>
      <c r="E49" s="1">
        <f>VLOOKUP(A49,symbol_2[[symbol]:[Price1]],2,)</f>
        <v>198.75</v>
      </c>
      <c r="F49" s="1">
        <f>VLOOKUP(A49,symbol_2[[symbol]:[Price2]],6,)</f>
        <v>196</v>
      </c>
      <c r="G49" s="1">
        <f>VLOOKUP(A49,symbol_2[[symbol]:[Price3]],10,)</f>
        <v>198</v>
      </c>
      <c r="H49" s="1">
        <f>VLOOKUP(A49,symbol_2[[symbol]:[Price4]],14,)</f>
        <v>191.75</v>
      </c>
      <c r="I49" s="1">
        <f>VLOOKUP(A49,symbol_2[[symbol]:[Price5]],18,)</f>
        <v>195.8</v>
      </c>
      <c r="J49" s="49" t="str">
        <f t="shared" si="48"/>
        <v>N</v>
      </c>
      <c r="K49" s="49" t="str">
        <f t="shared" si="49"/>
        <v>Y</v>
      </c>
      <c r="L49" s="49" t="str">
        <f t="shared" si="50"/>
        <v>N</v>
      </c>
      <c r="M49" s="49" t="str">
        <f t="shared" si="51"/>
        <v>Y</v>
      </c>
      <c r="N49" s="52">
        <f t="shared" si="52"/>
        <v>-1.3836477987421385</v>
      </c>
      <c r="O49" s="52">
        <f t="shared" si="53"/>
        <v>1.0204081632653061</v>
      </c>
      <c r="P49" s="52">
        <f t="shared" si="54"/>
        <v>-3.1565656565656566</v>
      </c>
      <c r="Q49" s="52">
        <f t="shared" si="55"/>
        <v>2.1121251629726263</v>
      </c>
      <c r="R49" s="1">
        <f>VLOOKUP(A49,symbol_2[[symbol]:[TV1]],3,)</f>
        <v>5.41</v>
      </c>
      <c r="S49" s="1">
        <f>VLOOKUP(A49,symbol_2[[symbol]:[TV2]],7,)</f>
        <v>5.19</v>
      </c>
      <c r="T49" s="1">
        <f>VLOOKUP(A49,symbol_2[[symbol]:[TV3]],11,)</f>
        <v>5.59</v>
      </c>
      <c r="U49" s="1">
        <f>VLOOKUP(A49,symbol_2[[symbol]:[TV4]],15,)</f>
        <v>7.48</v>
      </c>
      <c r="V49" s="1">
        <f>VLOOKUP(A49,symbol_2[[symbol]:[TV5]],19,)</f>
        <v>6.33</v>
      </c>
      <c r="W49" s="1" t="str">
        <f t="shared" si="56"/>
        <v>N</v>
      </c>
      <c r="X49" s="1" t="str">
        <f t="shared" si="57"/>
        <v>Y</v>
      </c>
      <c r="Y49" s="1" t="str">
        <f t="shared" si="58"/>
        <v>Y</v>
      </c>
      <c r="Z49" s="1" t="str">
        <f t="shared" si="59"/>
        <v>N</v>
      </c>
      <c r="AA49" s="1">
        <f>VLOOKUP(A49,symbol_2[[symbol]:[TradedValue1]],4,)</f>
        <v>1070.18</v>
      </c>
      <c r="AB49" s="1">
        <f>VLOOKUP(A49,symbol_2[[symbol]:[TradedValue2]],8,)</f>
        <v>1014.98</v>
      </c>
      <c r="AC49" s="1">
        <f>VLOOKUP(A49,symbol_2[[symbol]:[TradedValue3]],12,)</f>
        <v>1103.5899999999999</v>
      </c>
      <c r="AD49" s="1">
        <f>VLOOKUP(A49,symbol_2[[symbol]:[TradedValue4]],16,)</f>
        <v>1462.66</v>
      </c>
      <c r="AE49" s="1">
        <f>VLOOKUP(A49,symbol_2[[symbol]:[TradedValue5]],20,)</f>
        <v>1223.21</v>
      </c>
      <c r="AF49" s="1">
        <f>Table2[[#This Row],[TradedValue2]]-Table2[[#This Row],[TradedValue1]]</f>
        <v>-55.200000000000045</v>
      </c>
      <c r="AG49" s="1">
        <f>Table2[[#This Row],[TradedValue3]]-Table2[[#This Row],[TradedValue2]]</f>
        <v>88.6099999999999</v>
      </c>
      <c r="AH49" s="1">
        <f>Table2[[#This Row],[TradedValue4]]-Table2[[#This Row],[TradedValue3]]</f>
        <v>359.07000000000016</v>
      </c>
      <c r="AI49" s="1">
        <f>Table2[[#This Row],[TradedValue5]]-Table2[[#This Row],[TradedValue4]]</f>
        <v>-239.45000000000005</v>
      </c>
      <c r="AJ49" s="49" t="str">
        <f>IF(Table2[[#This Row],[TradedValue2]]&gt;Table2[[#This Row],[TradedValue1]],"Y","N")</f>
        <v>N</v>
      </c>
      <c r="AK49" s="49" t="str">
        <f>IF(Table2[[#This Row],[TradedValue3]]&gt;Table2[[#This Row],[TradedValue2]],"Y","N")</f>
        <v>Y</v>
      </c>
      <c r="AL49" s="49" t="str">
        <f>IF(Table2[[#This Row],[TradedValue5]]&gt;Table2[[#This Row],[TradedValue3]],"Y","N")</f>
        <v>Y</v>
      </c>
      <c r="AM49" s="49" t="str">
        <f>IF(Table2[[#This Row],[TradedValue5]]&gt;Table2[[#This Row],[TradedValue4]],"Y","N")</f>
        <v>N</v>
      </c>
      <c r="AN49" s="1">
        <f t="shared" si="60"/>
        <v>-0.21999999999999975</v>
      </c>
      <c r="AO49" s="1">
        <f t="shared" si="61"/>
        <v>0.39999999999999947</v>
      </c>
      <c r="AP49" s="1">
        <f t="shared" si="62"/>
        <v>1.8900000000000006</v>
      </c>
      <c r="AQ49" s="1">
        <f t="shared" si="63"/>
        <v>-1.1500000000000004</v>
      </c>
      <c r="AR49" s="1">
        <f>VLOOKUP(A49,symbol_2[[symbol]:[DelPer1]],5,)</f>
        <v>27.53</v>
      </c>
      <c r="AS49" s="1">
        <f>VLOOKUP(A49,symbol_2[[symbol]:[DelPer2]],9,)</f>
        <v>29.87</v>
      </c>
      <c r="AT49" s="1">
        <f>VLOOKUP(A49,symbol_2[[symbol]:[DelPer3]],13,)</f>
        <v>37.729999999999997</v>
      </c>
      <c r="AU49" s="1">
        <f>VLOOKUP(A49,symbol_2[[symbol]:[DelPer4]],17,)</f>
        <v>37.99</v>
      </c>
      <c r="AV49" s="1">
        <f>VLOOKUP(A49,symbol_2[[symbol]:[DelPer5]],21,)</f>
        <v>25.77</v>
      </c>
      <c r="AW49" s="49" t="str">
        <f t="shared" si="64"/>
        <v>Y</v>
      </c>
      <c r="AX49" s="49" t="str">
        <f t="shared" si="65"/>
        <v>Y</v>
      </c>
      <c r="AY49" s="49" t="str">
        <f t="shared" si="66"/>
        <v>Y</v>
      </c>
      <c r="AZ49" s="49" t="str">
        <f t="shared" si="67"/>
        <v>N</v>
      </c>
      <c r="BA49" s="1">
        <f t="shared" si="68"/>
        <v>2.34</v>
      </c>
      <c r="BB49" s="1">
        <f t="shared" si="69"/>
        <v>7.8599999999999959</v>
      </c>
      <c r="BC49" s="1">
        <f t="shared" si="70"/>
        <v>0.26000000000000512</v>
      </c>
      <c r="BD49" s="1">
        <f t="shared" si="71"/>
        <v>-12.220000000000002</v>
      </c>
    </row>
    <row r="50" spans="1:56" hidden="1" x14ac:dyDescent="0.35">
      <c r="A50" s="116" t="s">
        <v>127</v>
      </c>
      <c r="B50" s="1" t="s">
        <v>1021</v>
      </c>
      <c r="C50" s="1" t="s">
        <v>52</v>
      </c>
      <c r="D50" s="1" t="s">
        <v>199</v>
      </c>
      <c r="E50" s="1">
        <f>VLOOKUP(A50,symbol_2[[symbol]:[Price1]],2,)</f>
        <v>285.5</v>
      </c>
      <c r="F50" s="1">
        <f>VLOOKUP(A50,symbol_2[[symbol]:[Price2]],6,)</f>
        <v>279.39999999999998</v>
      </c>
      <c r="G50" s="1">
        <f>VLOOKUP(A50,symbol_2[[symbol]:[Price3]],10,)</f>
        <v>276.95</v>
      </c>
      <c r="H50" s="1">
        <f>VLOOKUP(A50,symbol_2[[symbol]:[Price4]],14,)</f>
        <v>275.95</v>
      </c>
      <c r="I50" s="1">
        <f>VLOOKUP(A50,symbol_2[[symbol]:[Price5]],18,)</f>
        <v>288</v>
      </c>
      <c r="J50" s="49" t="str">
        <f t="shared" si="48"/>
        <v>N</v>
      </c>
      <c r="K50" s="49" t="str">
        <f t="shared" si="49"/>
        <v>N</v>
      </c>
      <c r="L50" s="49" t="str">
        <f t="shared" si="50"/>
        <v>N</v>
      </c>
      <c r="M50" s="49" t="str">
        <f t="shared" si="51"/>
        <v>Y</v>
      </c>
      <c r="N50" s="52">
        <f t="shared" si="52"/>
        <v>-2.1366024518388871</v>
      </c>
      <c r="O50" s="52">
        <f t="shared" si="53"/>
        <v>-0.87687902648532179</v>
      </c>
      <c r="P50" s="52">
        <f t="shared" si="54"/>
        <v>-0.36107600649936811</v>
      </c>
      <c r="Q50" s="52">
        <f t="shared" si="55"/>
        <v>4.3667331038231607</v>
      </c>
      <c r="R50" s="1">
        <f>VLOOKUP(A50,symbol_2[[symbol]:[TV1]],3,)</f>
        <v>5.01</v>
      </c>
      <c r="S50" s="1">
        <f>VLOOKUP(A50,symbol_2[[symbol]:[TV2]],7,)</f>
        <v>4.2</v>
      </c>
      <c r="T50" s="1">
        <f>VLOOKUP(A50,symbol_2[[symbol]:[TV3]],11,)</f>
        <v>5.05</v>
      </c>
      <c r="U50" s="1">
        <f>VLOOKUP(A50,symbol_2[[symbol]:[TV4]],15,)</f>
        <v>5.36</v>
      </c>
      <c r="V50" s="1">
        <f>VLOOKUP(A50,symbol_2[[symbol]:[TV5]],19,)</f>
        <v>9.8000000000000007</v>
      </c>
      <c r="W50" s="1" t="str">
        <f t="shared" si="56"/>
        <v>N</v>
      </c>
      <c r="X50" s="1" t="str">
        <f t="shared" si="57"/>
        <v>Y</v>
      </c>
      <c r="Y50" s="1" t="str">
        <f t="shared" si="58"/>
        <v>Y</v>
      </c>
      <c r="Z50" s="1" t="str">
        <f t="shared" si="59"/>
        <v>Y</v>
      </c>
      <c r="AA50" s="1">
        <f>VLOOKUP(A50,symbol_2[[symbol]:[TradedValue1]],4,)</f>
        <v>1435.07</v>
      </c>
      <c r="AB50" s="1">
        <f>VLOOKUP(A50,symbol_2[[symbol]:[TradedValue2]],8,)</f>
        <v>1178.29</v>
      </c>
      <c r="AC50" s="1">
        <f>VLOOKUP(A50,symbol_2[[symbol]:[TradedValue3]],12,)</f>
        <v>1397.77</v>
      </c>
      <c r="AD50" s="1">
        <f>VLOOKUP(A50,symbol_2[[symbol]:[TradedValue4]],16,)</f>
        <v>1510.91</v>
      </c>
      <c r="AE50" s="1">
        <f>VLOOKUP(A50,symbol_2[[symbol]:[TradedValue5]],20,)</f>
        <v>2764.17</v>
      </c>
      <c r="AF50" s="1">
        <f>Table2[[#This Row],[TradedValue2]]-Table2[[#This Row],[TradedValue1]]</f>
        <v>-256.77999999999997</v>
      </c>
      <c r="AG50" s="1">
        <f>Table2[[#This Row],[TradedValue3]]-Table2[[#This Row],[TradedValue2]]</f>
        <v>219.48000000000002</v>
      </c>
      <c r="AH50" s="1">
        <f>Table2[[#This Row],[TradedValue4]]-Table2[[#This Row],[TradedValue3]]</f>
        <v>113.1400000000001</v>
      </c>
      <c r="AI50" s="1">
        <f>Table2[[#This Row],[TradedValue5]]-Table2[[#This Row],[TradedValue4]]</f>
        <v>1253.26</v>
      </c>
      <c r="AJ50" s="49" t="str">
        <f>IF(Table2[[#This Row],[TradedValue2]]&gt;Table2[[#This Row],[TradedValue1]],"Y","N")</f>
        <v>N</v>
      </c>
      <c r="AK50" s="49" t="str">
        <f>IF(Table2[[#This Row],[TradedValue3]]&gt;Table2[[#This Row],[TradedValue2]],"Y","N")</f>
        <v>Y</v>
      </c>
      <c r="AL50" s="49" t="str">
        <f>IF(Table2[[#This Row],[TradedValue5]]&gt;Table2[[#This Row],[TradedValue3]],"Y","N")</f>
        <v>Y</v>
      </c>
      <c r="AM50" s="49" t="str">
        <f>IF(Table2[[#This Row],[TradedValue5]]&gt;Table2[[#This Row],[TradedValue4]],"Y","N")</f>
        <v>Y</v>
      </c>
      <c r="AN50" s="1">
        <f t="shared" si="60"/>
        <v>-0.80999999999999961</v>
      </c>
      <c r="AO50" s="1">
        <f t="shared" si="61"/>
        <v>0.84999999999999964</v>
      </c>
      <c r="AP50" s="1">
        <f t="shared" si="62"/>
        <v>0.3100000000000005</v>
      </c>
      <c r="AQ50" s="1">
        <f t="shared" si="63"/>
        <v>4.4400000000000004</v>
      </c>
      <c r="AR50" s="1">
        <f>VLOOKUP(A50,symbol_2[[symbol]:[DelPer1]],5,)</f>
        <v>17.37</v>
      </c>
      <c r="AS50" s="1">
        <f>VLOOKUP(A50,symbol_2[[symbol]:[DelPer2]],9,)</f>
        <v>26.34</v>
      </c>
      <c r="AT50" s="1">
        <f>VLOOKUP(A50,symbol_2[[symbol]:[DelPer3]],13,)</f>
        <v>21.5</v>
      </c>
      <c r="AU50" s="1">
        <f>VLOOKUP(A50,symbol_2[[symbol]:[DelPer4]],17,)</f>
        <v>20.5</v>
      </c>
      <c r="AV50" s="1">
        <f>VLOOKUP(A50,symbol_2[[symbol]:[DelPer5]],21,)</f>
        <v>19.97</v>
      </c>
      <c r="AW50" s="49" t="str">
        <f t="shared" si="64"/>
        <v>Y</v>
      </c>
      <c r="AX50" s="49" t="str">
        <f t="shared" si="65"/>
        <v>N</v>
      </c>
      <c r="AY50" s="49" t="str">
        <f t="shared" si="66"/>
        <v>N</v>
      </c>
      <c r="AZ50" s="49" t="str">
        <f t="shared" si="67"/>
        <v>N</v>
      </c>
      <c r="BA50" s="1">
        <f t="shared" si="68"/>
        <v>8.9699999999999989</v>
      </c>
      <c r="BB50" s="1">
        <f t="shared" si="69"/>
        <v>-4.84</v>
      </c>
      <c r="BC50" s="1">
        <f t="shared" si="70"/>
        <v>-1</v>
      </c>
      <c r="BD50" s="1">
        <f t="shared" si="71"/>
        <v>-0.53000000000000114</v>
      </c>
    </row>
    <row r="51" spans="1:56" hidden="1" x14ac:dyDescent="0.35">
      <c r="A51" s="116" t="s">
        <v>75</v>
      </c>
      <c r="B51" s="1" t="s">
        <v>1009</v>
      </c>
      <c r="C51" s="1" t="s">
        <v>52</v>
      </c>
      <c r="D51" s="1" t="s">
        <v>199</v>
      </c>
      <c r="E51" s="1">
        <f>VLOOKUP(A51,symbol_2[[symbol]:[Price1]],2,)</f>
        <v>523.04999999999995</v>
      </c>
      <c r="F51" s="1">
        <f>VLOOKUP(A51,symbol_2[[symbol]:[Price2]],6,)</f>
        <v>518.85</v>
      </c>
      <c r="G51" s="1">
        <f>VLOOKUP(A51,symbol_2[[symbol]:[Price3]],10,)</f>
        <v>518.35</v>
      </c>
      <c r="H51" s="1">
        <f>VLOOKUP(A51,symbol_2[[symbol]:[Price4]],14,)</f>
        <v>510.6</v>
      </c>
      <c r="I51" s="1">
        <f>VLOOKUP(A51,symbol_2[[symbol]:[Price5]],18,)</f>
        <v>534.6</v>
      </c>
      <c r="J51" s="49" t="str">
        <f t="shared" si="48"/>
        <v>N</v>
      </c>
      <c r="K51" s="49" t="str">
        <f t="shared" si="49"/>
        <v>N</v>
      </c>
      <c r="L51" s="49" t="str">
        <f t="shared" si="50"/>
        <v>N</v>
      </c>
      <c r="M51" s="49" t="str">
        <f t="shared" si="51"/>
        <v>Y</v>
      </c>
      <c r="N51" s="52">
        <f t="shared" si="52"/>
        <v>-0.80298250645252511</v>
      </c>
      <c r="O51" s="52">
        <f t="shared" si="53"/>
        <v>-9.6366965404259416E-2</v>
      </c>
      <c r="P51" s="52">
        <f t="shared" si="54"/>
        <v>-1.4951287739944052</v>
      </c>
      <c r="Q51" s="52">
        <f t="shared" si="55"/>
        <v>4.7003525264394828</v>
      </c>
      <c r="R51" s="1">
        <f>VLOOKUP(A51,symbol_2[[symbol]:[TV1]],3,)</f>
        <v>2.82</v>
      </c>
      <c r="S51" s="1">
        <f>VLOOKUP(A51,symbol_2[[symbol]:[TV2]],7,)</f>
        <v>1.54</v>
      </c>
      <c r="T51" s="1">
        <f>VLOOKUP(A51,symbol_2[[symbol]:[TV3]],11,)</f>
        <v>1.1000000000000001</v>
      </c>
      <c r="U51" s="1">
        <f>VLOOKUP(A51,symbol_2[[symbol]:[TV4]],15,)</f>
        <v>1.84</v>
      </c>
      <c r="V51" s="1">
        <f>VLOOKUP(A51,symbol_2[[symbol]:[TV5]],19,)</f>
        <v>3.11</v>
      </c>
      <c r="W51" s="1" t="str">
        <f t="shared" si="56"/>
        <v>N</v>
      </c>
      <c r="X51" s="1" t="str">
        <f t="shared" si="57"/>
        <v>N</v>
      </c>
      <c r="Y51" s="1" t="str">
        <f t="shared" si="58"/>
        <v>Y</v>
      </c>
      <c r="Z51" s="1" t="str">
        <f t="shared" si="59"/>
        <v>Y</v>
      </c>
      <c r="AA51" s="1">
        <f>VLOOKUP(A53,symbol_2[[symbol]:[TradedValue1]],4,)</f>
        <v>323.95999999999998</v>
      </c>
      <c r="AB51" s="1">
        <f>VLOOKUP(A51,symbol_2[[symbol]:[TradedValue2]],8,)</f>
        <v>806.17</v>
      </c>
      <c r="AC51" s="1">
        <f>VLOOKUP(A51,symbol_2[[symbol]:[TradedValue3]],12,)</f>
        <v>569.79</v>
      </c>
      <c r="AD51" s="1">
        <f>VLOOKUP(A51,symbol_2[[symbol]:[TradedValue4]],16,)</f>
        <v>952.94</v>
      </c>
      <c r="AE51" s="1">
        <f>VLOOKUP(A51,symbol_2[[symbol]:[TradedValue5]],20,)</f>
        <v>1643.87</v>
      </c>
      <c r="AF51" s="1">
        <f>Table2[[#This Row],[TradedValue2]]-Table2[[#This Row],[TradedValue1]]</f>
        <v>482.21</v>
      </c>
      <c r="AG51" s="1">
        <f>Table2[[#This Row],[TradedValue3]]-Table2[[#This Row],[TradedValue2]]</f>
        <v>-236.38</v>
      </c>
      <c r="AH51" s="1">
        <f>Table2[[#This Row],[TradedValue4]]-Table2[[#This Row],[TradedValue3]]</f>
        <v>383.15000000000009</v>
      </c>
      <c r="AI51" s="1">
        <f>Table2[[#This Row],[TradedValue5]]-Table2[[#This Row],[TradedValue4]]</f>
        <v>690.92999999999984</v>
      </c>
      <c r="AJ51" s="49" t="str">
        <f>IF(Table2[[#This Row],[TradedValue2]]&gt;Table2[[#This Row],[TradedValue1]],"Y","N")</f>
        <v>Y</v>
      </c>
      <c r="AK51" s="49" t="str">
        <f>IF(Table2[[#This Row],[TradedValue3]]&gt;Table2[[#This Row],[TradedValue2]],"Y","N")</f>
        <v>N</v>
      </c>
      <c r="AL51" s="49" t="str">
        <f>IF(Table2[[#This Row],[TradedValue5]]&gt;Table2[[#This Row],[TradedValue3]],"Y","N")</f>
        <v>Y</v>
      </c>
      <c r="AM51" s="49" t="str">
        <f>IF(Table2[[#This Row],[TradedValue5]]&gt;Table2[[#This Row],[TradedValue4]],"Y","N")</f>
        <v>Y</v>
      </c>
      <c r="AN51" s="1">
        <f t="shared" si="60"/>
        <v>-1.2799999999999998</v>
      </c>
      <c r="AO51" s="1">
        <f t="shared" si="61"/>
        <v>-0.43999999999999995</v>
      </c>
      <c r="AP51" s="1">
        <f t="shared" si="62"/>
        <v>0.74</v>
      </c>
      <c r="AQ51" s="1">
        <f t="shared" si="63"/>
        <v>1.2699999999999998</v>
      </c>
      <c r="AR51" s="1">
        <f>VLOOKUP(A51,symbol_2[[symbol]:[DelPer1]],5,)</f>
        <v>49.31</v>
      </c>
      <c r="AS51" s="1">
        <f>VLOOKUP(A51,symbol_2[[symbol]:[DelPer2]],9,)</f>
        <v>30.47</v>
      </c>
      <c r="AT51" s="1">
        <f>VLOOKUP(A51,symbol_2[[symbol]:[DelPer3]],13,)</f>
        <v>37.6</v>
      </c>
      <c r="AU51" s="1">
        <f>VLOOKUP(A51,symbol_2[[symbol]:[DelPer4]],17,)</f>
        <v>40.33</v>
      </c>
      <c r="AV51" s="1">
        <f>VLOOKUP(A51,symbol_2[[symbol]:[DelPer5]],21,)</f>
        <v>20.61</v>
      </c>
      <c r="AW51" s="49" t="str">
        <f t="shared" si="64"/>
        <v>N</v>
      </c>
      <c r="AX51" s="49" t="str">
        <f t="shared" si="65"/>
        <v>Y</v>
      </c>
      <c r="AY51" s="49" t="str">
        <f t="shared" si="66"/>
        <v>Y</v>
      </c>
      <c r="AZ51" s="49" t="str">
        <f t="shared" si="67"/>
        <v>N</v>
      </c>
      <c r="BA51" s="1">
        <f t="shared" si="68"/>
        <v>-18.840000000000003</v>
      </c>
      <c r="BB51" s="1">
        <f t="shared" si="69"/>
        <v>7.1300000000000026</v>
      </c>
      <c r="BC51" s="1">
        <f t="shared" si="70"/>
        <v>2.7299999999999969</v>
      </c>
      <c r="BD51" s="1">
        <f t="shared" si="71"/>
        <v>-19.72</v>
      </c>
    </row>
    <row r="52" spans="1:56" x14ac:dyDescent="0.35">
      <c r="A52" s="1" t="s">
        <v>64</v>
      </c>
      <c r="B52" s="1" t="s">
        <v>1014</v>
      </c>
      <c r="C52" s="1" t="s">
        <v>52</v>
      </c>
      <c r="D52" s="1" t="s">
        <v>199</v>
      </c>
      <c r="E52" s="1">
        <f>VLOOKUP(A52,symbol_2[[symbol]:[Price1]],2,)</f>
        <v>87.55</v>
      </c>
      <c r="F52" s="1">
        <f>VLOOKUP(A52,symbol_2[[symbol]:[Price2]],6,)</f>
        <v>88.25</v>
      </c>
      <c r="G52" s="1">
        <f>VLOOKUP(A52,symbol_2[[symbol]:[Price3]],10,)</f>
        <v>87.85</v>
      </c>
      <c r="H52" s="1">
        <f>VLOOKUP(A52,symbol_2[[symbol]:[Price4]],14,)</f>
        <v>88.85</v>
      </c>
      <c r="I52" s="1">
        <f>VLOOKUP(A52,symbol_2[[symbol]:[Price5]],18,)</f>
        <v>93.8</v>
      </c>
      <c r="J52" s="49" t="str">
        <f t="shared" si="48"/>
        <v>Y</v>
      </c>
      <c r="K52" s="49" t="str">
        <f t="shared" si="49"/>
        <v>N</v>
      </c>
      <c r="L52" s="49" t="str">
        <f t="shared" si="50"/>
        <v>Y</v>
      </c>
      <c r="M52" s="49" t="str">
        <f t="shared" si="51"/>
        <v>Y</v>
      </c>
      <c r="N52" s="52">
        <f t="shared" si="52"/>
        <v>0.79954311821816437</v>
      </c>
      <c r="O52" s="52">
        <f t="shared" si="53"/>
        <v>-0.4532577903682784</v>
      </c>
      <c r="P52" s="52">
        <f t="shared" si="54"/>
        <v>1.1383039271485489</v>
      </c>
      <c r="Q52" s="52">
        <f t="shared" si="55"/>
        <v>5.5711873944850909</v>
      </c>
      <c r="R52" s="1">
        <f>VLOOKUP(A52,symbol_2[[symbol]:[TV1]],3,)</f>
        <v>34.9</v>
      </c>
      <c r="S52" s="1">
        <f>VLOOKUP(A52,symbol_2[[symbol]:[TV2]],7,)</f>
        <v>27.44</v>
      </c>
      <c r="T52" s="1">
        <f>VLOOKUP(A52,symbol_2[[symbol]:[TV3]],11,)</f>
        <v>18.239999999999998</v>
      </c>
      <c r="U52" s="1">
        <f>VLOOKUP(A52,symbol_2[[symbol]:[TV4]],15,)</f>
        <v>31.46</v>
      </c>
      <c r="V52" s="1">
        <f>VLOOKUP(A52,symbol_2[[symbol]:[TV5]],19,)</f>
        <v>53.73</v>
      </c>
      <c r="W52" s="1" t="str">
        <f t="shared" si="56"/>
        <v>N</v>
      </c>
      <c r="X52" s="1" t="str">
        <f t="shared" si="57"/>
        <v>N</v>
      </c>
      <c r="Y52" s="1" t="str">
        <f t="shared" si="58"/>
        <v>Y</v>
      </c>
      <c r="Z52" s="1" t="str">
        <f t="shared" si="59"/>
        <v>Y</v>
      </c>
      <c r="AA52" s="1">
        <f>VLOOKUP(A54,symbol_2[[symbol]:[TradedValue1]],4,)</f>
        <v>532.14</v>
      </c>
      <c r="AB52" s="1">
        <f>VLOOKUP(A52,symbol_2[[symbol]:[TradedValue2]],8,)</f>
        <v>2427.6</v>
      </c>
      <c r="AC52" s="1">
        <f>VLOOKUP(A52,symbol_2[[symbol]:[TradedValue3]],12,)</f>
        <v>1591.39</v>
      </c>
      <c r="AD52" s="1">
        <f>VLOOKUP(A52,symbol_2[[symbol]:[TradedValue4]],16,)</f>
        <v>2827.49</v>
      </c>
      <c r="AE52" s="1">
        <f>VLOOKUP(A52,symbol_2[[symbol]:[TradedValue5]],20,)</f>
        <v>4967.99</v>
      </c>
      <c r="AF52" s="1">
        <f>Table2[[#This Row],[TradedValue2]]-Table2[[#This Row],[TradedValue1]]</f>
        <v>1895.46</v>
      </c>
      <c r="AG52" s="1">
        <f>Table2[[#This Row],[TradedValue3]]-Table2[[#This Row],[TradedValue2]]</f>
        <v>-836.20999999999981</v>
      </c>
      <c r="AH52" s="1">
        <f>Table2[[#This Row],[TradedValue4]]-Table2[[#This Row],[TradedValue3]]</f>
        <v>1236.0999999999997</v>
      </c>
      <c r="AI52" s="1">
        <f>Table2[[#This Row],[TradedValue5]]-Table2[[#This Row],[TradedValue4]]</f>
        <v>2140.5</v>
      </c>
      <c r="AJ52" s="49" t="str">
        <f>IF(Table2[[#This Row],[TradedValue2]]&gt;Table2[[#This Row],[TradedValue1]],"Y","N")</f>
        <v>Y</v>
      </c>
      <c r="AK52" s="49" t="str">
        <f>IF(Table2[[#This Row],[TradedValue3]]&gt;Table2[[#This Row],[TradedValue2]],"Y","N")</f>
        <v>N</v>
      </c>
      <c r="AL52" s="49" t="str">
        <f>IF(Table2[[#This Row],[TradedValue5]]&gt;Table2[[#This Row],[TradedValue3]],"Y","N")</f>
        <v>Y</v>
      </c>
      <c r="AM52" s="49" t="str">
        <f>IF(Table2[[#This Row],[TradedValue5]]&gt;Table2[[#This Row],[TradedValue4]],"Y","N")</f>
        <v>Y</v>
      </c>
      <c r="AN52" s="1">
        <f t="shared" si="60"/>
        <v>-7.4599999999999973</v>
      </c>
      <c r="AO52" s="1">
        <f t="shared" si="61"/>
        <v>-9.2000000000000028</v>
      </c>
      <c r="AP52" s="1">
        <f t="shared" si="62"/>
        <v>13.220000000000002</v>
      </c>
      <c r="AQ52" s="1">
        <f t="shared" si="63"/>
        <v>22.269999999999996</v>
      </c>
      <c r="AR52" s="1">
        <f>VLOOKUP(A52,symbol_2[[symbol]:[DelPer1]],5,)</f>
        <v>49.35</v>
      </c>
      <c r="AS52" s="1">
        <f>VLOOKUP(A52,symbol_2[[symbol]:[DelPer2]],9,)</f>
        <v>26.56</v>
      </c>
      <c r="AT52" s="1">
        <f>VLOOKUP(A52,symbol_2[[symbol]:[DelPer3]],13,)</f>
        <v>15.8</v>
      </c>
      <c r="AU52" s="1">
        <f>VLOOKUP(A52,symbol_2[[symbol]:[DelPer4]],17,)</f>
        <v>19.309999999999999</v>
      </c>
      <c r="AV52" s="1">
        <f>VLOOKUP(A52,symbol_2[[symbol]:[DelPer5]],21,)</f>
        <v>20.04</v>
      </c>
      <c r="AW52" s="49" t="str">
        <f t="shared" si="64"/>
        <v>N</v>
      </c>
      <c r="AX52" s="49" t="str">
        <f t="shared" si="65"/>
        <v>N</v>
      </c>
      <c r="AY52" s="49" t="str">
        <f t="shared" si="66"/>
        <v>Y</v>
      </c>
      <c r="AZ52" s="49" t="str">
        <f t="shared" si="67"/>
        <v>Y</v>
      </c>
      <c r="BA52" s="1">
        <f t="shared" si="68"/>
        <v>-22.790000000000003</v>
      </c>
      <c r="BB52" s="1">
        <f t="shared" si="69"/>
        <v>-10.759999999999998</v>
      </c>
      <c r="BC52" s="1">
        <f t="shared" si="70"/>
        <v>3.509999999999998</v>
      </c>
      <c r="BD52" s="1">
        <f t="shared" si="71"/>
        <v>0.73000000000000043</v>
      </c>
    </row>
    <row r="53" spans="1:56" hidden="1" x14ac:dyDescent="0.35">
      <c r="A53" s="116" t="s">
        <v>26</v>
      </c>
      <c r="B53" s="1" t="s">
        <v>1013</v>
      </c>
      <c r="C53" s="1" t="s">
        <v>52</v>
      </c>
      <c r="D53" s="1" t="s">
        <v>199</v>
      </c>
      <c r="E53" s="1">
        <f>VLOOKUP(A53,symbol_2[[symbol]:[Price1]],2,)</f>
        <v>269.55</v>
      </c>
      <c r="F53" s="1">
        <f>VLOOKUP(A53,symbol_2[[symbol]:[Price2]],6,)</f>
        <v>276.10000000000002</v>
      </c>
      <c r="G53" s="1">
        <f>VLOOKUP(A53,symbol_2[[symbol]:[Price3]],10,)</f>
        <v>269.35000000000002</v>
      </c>
      <c r="H53" s="1">
        <f>VLOOKUP(A53,symbol_2[[symbol]:[Price4]],14,)</f>
        <v>273.85000000000002</v>
      </c>
      <c r="I53" s="1">
        <f>VLOOKUP(A53,symbol_2[[symbol]:[Price5]],18,)</f>
        <v>277.55</v>
      </c>
      <c r="J53" s="49" t="str">
        <f t="shared" si="48"/>
        <v>Y</v>
      </c>
      <c r="K53" s="49" t="str">
        <f t="shared" si="49"/>
        <v>N</v>
      </c>
      <c r="L53" s="49" t="str">
        <f t="shared" si="50"/>
        <v>Y</v>
      </c>
      <c r="M53" s="49" t="str">
        <f t="shared" si="51"/>
        <v>Y</v>
      </c>
      <c r="N53" s="52">
        <f t="shared" si="52"/>
        <v>2.4299758857354892</v>
      </c>
      <c r="O53" s="52">
        <f t="shared" si="53"/>
        <v>-2.4447663889894966</v>
      </c>
      <c r="P53" s="52">
        <f t="shared" si="54"/>
        <v>1.6706886950064967</v>
      </c>
      <c r="Q53" s="52">
        <f t="shared" si="55"/>
        <v>1.3511046193171401</v>
      </c>
      <c r="R53" s="1">
        <f>VLOOKUP(A53,symbol_2[[symbol]:[TV1]],3,)</f>
        <v>1.2</v>
      </c>
      <c r="S53" s="1">
        <f>VLOOKUP(A53,symbol_2[[symbol]:[TV2]],7,)</f>
        <v>4.68</v>
      </c>
      <c r="T53" s="1">
        <f>VLOOKUP(A53,symbol_2[[symbol]:[TV3]],11,)</f>
        <v>3.24</v>
      </c>
      <c r="U53" s="1">
        <f>VLOOKUP(A53,symbol_2[[symbol]:[TV4]],15,)</f>
        <v>1.6</v>
      </c>
      <c r="V53" s="1">
        <f>VLOOKUP(A53,symbol_2[[symbol]:[TV5]],19,)</f>
        <v>2.4700000000000002</v>
      </c>
      <c r="W53" s="1" t="str">
        <f t="shared" si="56"/>
        <v>Y</v>
      </c>
      <c r="X53" s="1" t="str">
        <f t="shared" si="57"/>
        <v>N</v>
      </c>
      <c r="Y53" s="1" t="str">
        <f t="shared" si="58"/>
        <v>N</v>
      </c>
      <c r="Z53" s="1" t="str">
        <f t="shared" si="59"/>
        <v>Y</v>
      </c>
      <c r="AA53" s="1">
        <f>VLOOKUP(A55,symbol_2[[symbol]:[TradedValue1]],4,)</f>
        <v>211.57</v>
      </c>
      <c r="AB53" s="1">
        <f>VLOOKUP(A53,symbol_2[[symbol]:[TradedValue2]],8,)</f>
        <v>1298.6600000000001</v>
      </c>
      <c r="AC53" s="1">
        <f>VLOOKUP(A53,symbol_2[[symbol]:[TradedValue3]],12,)</f>
        <v>891.24</v>
      </c>
      <c r="AD53" s="1">
        <f>VLOOKUP(A53,symbol_2[[symbol]:[TradedValue4]],16,)</f>
        <v>439.63</v>
      </c>
      <c r="AE53" s="1">
        <f>VLOOKUP(A53,symbol_2[[symbol]:[TradedValue5]],20,)</f>
        <v>682.54</v>
      </c>
      <c r="AF53" s="1">
        <f>Table2[[#This Row],[TradedValue2]]-Table2[[#This Row],[TradedValue1]]</f>
        <v>1087.0900000000001</v>
      </c>
      <c r="AG53" s="1">
        <f>Table2[[#This Row],[TradedValue3]]-Table2[[#This Row],[TradedValue2]]</f>
        <v>-407.42000000000007</v>
      </c>
      <c r="AH53" s="1">
        <f>Table2[[#This Row],[TradedValue4]]-Table2[[#This Row],[TradedValue3]]</f>
        <v>-451.61</v>
      </c>
      <c r="AI53" s="1">
        <f>Table2[[#This Row],[TradedValue5]]-Table2[[#This Row],[TradedValue4]]</f>
        <v>242.90999999999997</v>
      </c>
      <c r="AJ53" s="49" t="str">
        <f>IF(Table2[[#This Row],[TradedValue2]]&gt;Table2[[#This Row],[TradedValue1]],"Y","N")</f>
        <v>Y</v>
      </c>
      <c r="AK53" s="49" t="str">
        <f>IF(Table2[[#This Row],[TradedValue3]]&gt;Table2[[#This Row],[TradedValue2]],"Y","N")</f>
        <v>N</v>
      </c>
      <c r="AL53" s="49" t="str">
        <f>IF(Table2[[#This Row],[TradedValue5]]&gt;Table2[[#This Row],[TradedValue3]],"Y","N")</f>
        <v>N</v>
      </c>
      <c r="AM53" s="49" t="str">
        <f>IF(Table2[[#This Row],[TradedValue5]]&gt;Table2[[#This Row],[TradedValue4]],"Y","N")</f>
        <v>Y</v>
      </c>
      <c r="AN53" s="1">
        <f t="shared" si="60"/>
        <v>3.4799999999999995</v>
      </c>
      <c r="AO53" s="1">
        <f t="shared" si="61"/>
        <v>-1.4399999999999995</v>
      </c>
      <c r="AP53" s="1">
        <f t="shared" si="62"/>
        <v>-1.6400000000000001</v>
      </c>
      <c r="AQ53" s="1">
        <f t="shared" si="63"/>
        <v>0.87000000000000011</v>
      </c>
      <c r="AR53" s="1">
        <f>VLOOKUP(A53,symbol_2[[symbol]:[DelPer1]],5,)</f>
        <v>34.770000000000003</v>
      </c>
      <c r="AS53" s="1">
        <f>VLOOKUP(A53,symbol_2[[symbol]:[DelPer2]],9,)</f>
        <v>26.49</v>
      </c>
      <c r="AT53" s="1">
        <f>VLOOKUP(A53,symbol_2[[symbol]:[DelPer3]],13,)</f>
        <v>38.909999999999997</v>
      </c>
      <c r="AU53" s="1">
        <f>VLOOKUP(A53,symbol_2[[symbol]:[DelPer4]],17,)</f>
        <v>33.479999999999997</v>
      </c>
      <c r="AV53" s="1">
        <f>VLOOKUP(A53,symbol_2[[symbol]:[DelPer5]],21,)</f>
        <v>43.68</v>
      </c>
      <c r="AW53" s="49" t="str">
        <f t="shared" si="64"/>
        <v>N</v>
      </c>
      <c r="AX53" s="49" t="str">
        <f t="shared" si="65"/>
        <v>Y</v>
      </c>
      <c r="AY53" s="49" t="str">
        <f t="shared" si="66"/>
        <v>N</v>
      </c>
      <c r="AZ53" s="49" t="str">
        <f t="shared" si="67"/>
        <v>Y</v>
      </c>
      <c r="BA53" s="1">
        <f t="shared" si="68"/>
        <v>-8.2800000000000047</v>
      </c>
      <c r="BB53" s="1">
        <f t="shared" si="69"/>
        <v>12.419999999999998</v>
      </c>
      <c r="BC53" s="1">
        <f t="shared" si="70"/>
        <v>-5.43</v>
      </c>
      <c r="BD53" s="1">
        <f t="shared" si="71"/>
        <v>10.200000000000003</v>
      </c>
    </row>
    <row r="54" spans="1:56" hidden="1" x14ac:dyDescent="0.35">
      <c r="A54" s="1" t="s">
        <v>150</v>
      </c>
      <c r="B54" s="1" t="s">
        <v>1011</v>
      </c>
      <c r="C54" s="1" t="s">
        <v>52</v>
      </c>
      <c r="D54" s="1" t="s">
        <v>199</v>
      </c>
      <c r="E54" s="1">
        <f>VLOOKUP(A54,symbol_2[[symbol]:[Price1]],2,)</f>
        <v>10768.15</v>
      </c>
      <c r="F54" s="1">
        <f>VLOOKUP(A54,symbol_2[[symbol]:[Price2]],6,)</f>
        <v>10609.2</v>
      </c>
      <c r="G54" s="1">
        <f>VLOOKUP(A54,symbol_2[[symbol]:[Price3]],10,)</f>
        <v>10700.55</v>
      </c>
      <c r="H54" s="1">
        <f>VLOOKUP(A54,symbol_2[[symbol]:[Price4]],14,)</f>
        <v>10797.05</v>
      </c>
      <c r="I54" s="1">
        <f>VLOOKUP(A54,symbol_2[[symbol]:[Price5]],18,)</f>
        <v>10660.05</v>
      </c>
      <c r="J54" s="49" t="str">
        <f t="shared" si="48"/>
        <v>N</v>
      </c>
      <c r="K54" s="49" t="str">
        <f t="shared" si="49"/>
        <v>Y</v>
      </c>
      <c r="L54" s="49" t="str">
        <f t="shared" si="50"/>
        <v>Y</v>
      </c>
      <c r="M54" s="49" t="str">
        <f t="shared" si="51"/>
        <v>N</v>
      </c>
      <c r="N54" s="52">
        <f t="shared" si="52"/>
        <v>-1.4761124241396983</v>
      </c>
      <c r="O54" s="52">
        <f t="shared" si="53"/>
        <v>0.86104513064131638</v>
      </c>
      <c r="P54" s="52">
        <f t="shared" si="54"/>
        <v>0.90182280350075472</v>
      </c>
      <c r="Q54" s="52">
        <f t="shared" si="55"/>
        <v>-1.268865106672656</v>
      </c>
      <c r="R54" s="1">
        <f>VLOOKUP(A54,symbol_2[[symbol]:[TV1]],3,)</f>
        <v>0.05</v>
      </c>
      <c r="S54" s="1">
        <f>VLOOKUP(A54,symbol_2[[symbol]:[TV2]],7,)</f>
        <v>0.05</v>
      </c>
      <c r="T54" s="1">
        <f>VLOOKUP(A54,symbol_2[[symbol]:[TV3]],11,)</f>
        <v>0.03</v>
      </c>
      <c r="U54" s="1">
        <f>VLOOKUP(A54,symbol_2[[symbol]:[TV4]],15,)</f>
        <v>0.06</v>
      </c>
      <c r="V54" s="1">
        <f>VLOOKUP(A54,symbol_2[[symbol]:[TV5]],19,)</f>
        <v>0.05</v>
      </c>
      <c r="W54" s="1" t="str">
        <f t="shared" si="56"/>
        <v>N</v>
      </c>
      <c r="X54" s="1" t="str">
        <f t="shared" si="57"/>
        <v>N</v>
      </c>
      <c r="Y54" s="1" t="str">
        <f t="shared" si="58"/>
        <v>Y</v>
      </c>
      <c r="Z54" s="1" t="str">
        <f t="shared" si="59"/>
        <v>N</v>
      </c>
      <c r="AA54" s="1">
        <f>VLOOKUP(A54,symbol_2[[symbol]:[TradedValue1]],4,)</f>
        <v>532.14</v>
      </c>
      <c r="AB54" s="1">
        <f>VLOOKUP(A54,symbol_2[[symbol]:[TradedValue2]],8,)</f>
        <v>505.1</v>
      </c>
      <c r="AC54" s="1">
        <f>VLOOKUP(A54,symbol_2[[symbol]:[TradedValue3]],12,)</f>
        <v>336.4</v>
      </c>
      <c r="AD54" s="1">
        <f>VLOOKUP(A54,symbol_2[[symbol]:[TradedValue4]],16,)</f>
        <v>610.22</v>
      </c>
      <c r="AE54" s="1">
        <f>VLOOKUP(A54,symbol_2[[symbol]:[TradedValue5]],20,)</f>
        <v>527.17999999999995</v>
      </c>
      <c r="AF54" s="1">
        <f>Table2[[#This Row],[TradedValue2]]-Table2[[#This Row],[TradedValue1]]</f>
        <v>-27.039999999999964</v>
      </c>
      <c r="AG54" s="1">
        <f>Table2[[#This Row],[TradedValue3]]-Table2[[#This Row],[TradedValue2]]</f>
        <v>-168.70000000000005</v>
      </c>
      <c r="AH54" s="1">
        <f>Table2[[#This Row],[TradedValue4]]-Table2[[#This Row],[TradedValue3]]</f>
        <v>273.82000000000005</v>
      </c>
      <c r="AI54" s="1">
        <f>Table2[[#This Row],[TradedValue5]]-Table2[[#This Row],[TradedValue4]]</f>
        <v>-83.040000000000077</v>
      </c>
      <c r="AJ54" s="49" t="str">
        <f>IF(Table2[[#This Row],[TradedValue2]]&gt;Table2[[#This Row],[TradedValue1]],"Y","N")</f>
        <v>N</v>
      </c>
      <c r="AK54" s="49" t="str">
        <f>IF(Table2[[#This Row],[TradedValue3]]&gt;Table2[[#This Row],[TradedValue2]],"Y","N")</f>
        <v>N</v>
      </c>
      <c r="AL54" s="49" t="str">
        <f>IF(Table2[[#This Row],[TradedValue5]]&gt;Table2[[#This Row],[TradedValue3]],"Y","N")</f>
        <v>Y</v>
      </c>
      <c r="AM54" s="49" t="str">
        <f>IF(Table2[[#This Row],[TradedValue5]]&gt;Table2[[#This Row],[TradedValue4]],"Y","N")</f>
        <v>N</v>
      </c>
      <c r="AN54" s="1">
        <f t="shared" si="60"/>
        <v>0</v>
      </c>
      <c r="AO54" s="1">
        <f t="shared" si="61"/>
        <v>-2.0000000000000004E-2</v>
      </c>
      <c r="AP54" s="1">
        <f t="shared" si="62"/>
        <v>0.03</v>
      </c>
      <c r="AQ54" s="1">
        <f t="shared" si="63"/>
        <v>-9.999999999999995E-3</v>
      </c>
      <c r="AR54" s="1">
        <f>VLOOKUP(A54,symbol_2[[symbol]:[DelPer1]],5,)</f>
        <v>47.24</v>
      </c>
      <c r="AS54" s="1">
        <f>VLOOKUP(A54,symbol_2[[symbol]:[DelPer2]],9,)</f>
        <v>39.380000000000003</v>
      </c>
      <c r="AT54" s="1">
        <f>VLOOKUP(A54,symbol_2[[symbol]:[DelPer3]],13,)</f>
        <v>56.15</v>
      </c>
      <c r="AU54" s="1">
        <f>VLOOKUP(A54,symbol_2[[symbol]:[DelPer4]],17,)</f>
        <v>44.31</v>
      </c>
      <c r="AV54" s="1">
        <f>VLOOKUP(A54,symbol_2[[symbol]:[DelPer5]],21,)</f>
        <v>52.42</v>
      </c>
      <c r="AW54" s="49" t="str">
        <f t="shared" si="64"/>
        <v>N</v>
      </c>
      <c r="AX54" s="49" t="str">
        <f t="shared" si="65"/>
        <v>Y</v>
      </c>
      <c r="AY54" s="49" t="str">
        <f t="shared" si="66"/>
        <v>N</v>
      </c>
      <c r="AZ54" s="49" t="str">
        <f t="shared" si="67"/>
        <v>Y</v>
      </c>
      <c r="BA54" s="1">
        <f t="shared" si="68"/>
        <v>-7.8599999999999994</v>
      </c>
      <c r="BB54" s="1">
        <f t="shared" si="69"/>
        <v>16.769999999999996</v>
      </c>
      <c r="BC54" s="1">
        <f t="shared" si="70"/>
        <v>-11.839999999999996</v>
      </c>
      <c r="BD54" s="1">
        <f t="shared" si="71"/>
        <v>8.11</v>
      </c>
    </row>
    <row r="55" spans="1:56" hidden="1" x14ac:dyDescent="0.35">
      <c r="A55" s="1" t="s">
        <v>184</v>
      </c>
      <c r="B55" s="1" t="s">
        <v>1013</v>
      </c>
      <c r="C55" s="1" t="s">
        <v>52</v>
      </c>
      <c r="D55" s="1" t="s">
        <v>199</v>
      </c>
      <c r="E55" s="1">
        <f>VLOOKUP(A55,symbol_2[[symbol]:[Price1]],2,)</f>
        <v>555.20000000000005</v>
      </c>
      <c r="F55" s="1">
        <f>VLOOKUP(A55,symbol_2[[symbol]:[Price2]],6,)</f>
        <v>544.45000000000005</v>
      </c>
      <c r="G55" s="1">
        <f>VLOOKUP(A55,symbol_2[[symbol]:[Price3]],10,)</f>
        <v>534.35</v>
      </c>
      <c r="H55" s="1">
        <f>VLOOKUP(A55,symbol_2[[symbol]:[Price4]],14,)</f>
        <v>531.20000000000005</v>
      </c>
      <c r="I55" s="1">
        <f>VLOOKUP(A55,symbol_2[[symbol]:[Price5]],18,)</f>
        <v>550.04999999999995</v>
      </c>
      <c r="J55" s="49" t="str">
        <f t="shared" si="48"/>
        <v>N</v>
      </c>
      <c r="K55" s="49" t="str">
        <f t="shared" si="49"/>
        <v>N</v>
      </c>
      <c r="L55" s="49" t="str">
        <f t="shared" si="50"/>
        <v>N</v>
      </c>
      <c r="M55" s="49" t="str">
        <f t="shared" si="51"/>
        <v>Y</v>
      </c>
      <c r="N55" s="52">
        <f t="shared" si="52"/>
        <v>-1.9362391930835734</v>
      </c>
      <c r="O55" s="52">
        <f t="shared" si="53"/>
        <v>-1.8550831113968265</v>
      </c>
      <c r="P55" s="52">
        <f t="shared" si="54"/>
        <v>-0.58950126321698826</v>
      </c>
      <c r="Q55" s="52">
        <f t="shared" si="55"/>
        <v>3.5485692771084163</v>
      </c>
      <c r="R55" s="1">
        <f>VLOOKUP(A55,symbol_2[[symbol]:[TV1]],3,)</f>
        <v>0.38</v>
      </c>
      <c r="S55" s="1">
        <f>VLOOKUP(A55,symbol_2[[symbol]:[TV2]],7,)</f>
        <v>0.14000000000000001</v>
      </c>
      <c r="T55" s="1">
        <f>VLOOKUP(A55,symbol_2[[symbol]:[TV3]],11,)</f>
        <v>0.11</v>
      </c>
      <c r="U55" s="1">
        <f>VLOOKUP(A55,symbol_2[[symbol]:[TV4]],15,)</f>
        <v>0.19</v>
      </c>
      <c r="V55" s="1">
        <f>VLOOKUP(A55,symbol_2[[symbol]:[TV5]],19,)</f>
        <v>0.14000000000000001</v>
      </c>
      <c r="W55" s="1" t="str">
        <f t="shared" si="56"/>
        <v>N</v>
      </c>
      <c r="X55" s="1" t="str">
        <f t="shared" si="57"/>
        <v>N</v>
      </c>
      <c r="Y55" s="1" t="str">
        <f t="shared" si="58"/>
        <v>Y</v>
      </c>
      <c r="Z55" s="1" t="str">
        <f t="shared" si="59"/>
        <v>N</v>
      </c>
      <c r="AA55" s="1">
        <f>VLOOKUP(A57,symbol_2[[symbol]:[TradedValue1]],4,)</f>
        <v>1720.43</v>
      </c>
      <c r="AB55" s="1">
        <f>VLOOKUP(A55,symbol_2[[symbol]:[TradedValue2]],8,)</f>
        <v>74.83</v>
      </c>
      <c r="AC55" s="1">
        <f>VLOOKUP(A55,symbol_2[[symbol]:[TradedValue3]],12,)</f>
        <v>61.14</v>
      </c>
      <c r="AD55" s="1">
        <f>VLOOKUP(A55,symbol_2[[symbol]:[TradedValue4]],16,)</f>
        <v>101.41</v>
      </c>
      <c r="AE55" s="1">
        <f>VLOOKUP(A55,symbol_2[[symbol]:[TradedValue5]],20,)</f>
        <v>76.63</v>
      </c>
      <c r="AF55" s="1">
        <f>Table2[[#This Row],[TradedValue2]]-Table2[[#This Row],[TradedValue1]]</f>
        <v>-1645.6000000000001</v>
      </c>
      <c r="AG55" s="1">
        <f>Table2[[#This Row],[TradedValue3]]-Table2[[#This Row],[TradedValue2]]</f>
        <v>-13.689999999999998</v>
      </c>
      <c r="AH55" s="1">
        <f>Table2[[#This Row],[TradedValue4]]-Table2[[#This Row],[TradedValue3]]</f>
        <v>40.269999999999996</v>
      </c>
      <c r="AI55" s="1">
        <f>Table2[[#This Row],[TradedValue5]]-Table2[[#This Row],[TradedValue4]]</f>
        <v>-24.78</v>
      </c>
      <c r="AJ55" s="49" t="str">
        <f>IF(Table2[[#This Row],[TradedValue2]]&gt;Table2[[#This Row],[TradedValue1]],"Y","N")</f>
        <v>N</v>
      </c>
      <c r="AK55" s="49" t="str">
        <f>IF(Table2[[#This Row],[TradedValue3]]&gt;Table2[[#This Row],[TradedValue2]],"Y","N")</f>
        <v>N</v>
      </c>
      <c r="AL55" s="49" t="str">
        <f>IF(Table2[[#This Row],[TradedValue5]]&gt;Table2[[#This Row],[TradedValue3]],"Y","N")</f>
        <v>Y</v>
      </c>
      <c r="AM55" s="49" t="str">
        <f>IF(Table2[[#This Row],[TradedValue5]]&gt;Table2[[#This Row],[TradedValue4]],"Y","N")</f>
        <v>N</v>
      </c>
      <c r="AN55" s="1">
        <f t="shared" si="60"/>
        <v>-0.24</v>
      </c>
      <c r="AO55" s="1">
        <f t="shared" si="61"/>
        <v>-3.0000000000000013E-2</v>
      </c>
      <c r="AP55" s="1">
        <f t="shared" si="62"/>
        <v>0.08</v>
      </c>
      <c r="AQ55" s="1">
        <f t="shared" si="63"/>
        <v>-4.9999999999999989E-2</v>
      </c>
      <c r="AR55" s="1">
        <f>VLOOKUP(A55,symbol_2[[symbol]:[DelPer1]],5,)</f>
        <v>40.270000000000003</v>
      </c>
      <c r="AS55" s="1">
        <f>VLOOKUP(A55,symbol_2[[symbol]:[DelPer2]],9,)</f>
        <v>27.21</v>
      </c>
      <c r="AT55" s="1">
        <f>VLOOKUP(A55,symbol_2[[symbol]:[DelPer3]],13,)</f>
        <v>26.87</v>
      </c>
      <c r="AU55" s="1">
        <f>VLOOKUP(A55,symbol_2[[symbol]:[DelPer4]],17,)</f>
        <v>24.5</v>
      </c>
      <c r="AV55" s="1">
        <f>VLOOKUP(A55,symbol_2[[symbol]:[DelPer5]],21,)</f>
        <v>16.87</v>
      </c>
      <c r="AW55" s="49" t="str">
        <f t="shared" si="64"/>
        <v>N</v>
      </c>
      <c r="AX55" s="49" t="str">
        <f t="shared" si="65"/>
        <v>N</v>
      </c>
      <c r="AY55" s="49" t="str">
        <f t="shared" si="66"/>
        <v>N</v>
      </c>
      <c r="AZ55" s="49" t="str">
        <f t="shared" si="67"/>
        <v>N</v>
      </c>
      <c r="BA55" s="1">
        <f t="shared" si="68"/>
        <v>-13.060000000000002</v>
      </c>
      <c r="BB55" s="1">
        <f t="shared" si="69"/>
        <v>-0.33999999999999986</v>
      </c>
      <c r="BC55" s="1">
        <f t="shared" si="70"/>
        <v>-2.370000000000001</v>
      </c>
      <c r="BD55" s="1">
        <f t="shared" si="71"/>
        <v>-7.629999999999999</v>
      </c>
    </row>
    <row r="56" spans="1:56" hidden="1" x14ac:dyDescent="0.35">
      <c r="A56" s="116" t="s">
        <v>65</v>
      </c>
      <c r="B56" s="1" t="s">
        <v>1006</v>
      </c>
      <c r="C56" s="1" t="s">
        <v>52</v>
      </c>
      <c r="D56" s="1" t="s">
        <v>199</v>
      </c>
      <c r="E56" s="1">
        <f>VLOOKUP(A56,symbol_2[[symbol]:[Price1]],2,)</f>
        <v>8235</v>
      </c>
      <c r="F56" s="1">
        <f>VLOOKUP(A56,symbol_2[[symbol]:[Price2]],6,)</f>
        <v>8185.4</v>
      </c>
      <c r="G56" s="1">
        <f>VLOOKUP(A56,symbol_2[[symbol]:[Price3]],10,)</f>
        <v>8221.5499999999993</v>
      </c>
      <c r="H56" s="1">
        <f>VLOOKUP(A56,symbol_2[[symbol]:[Price4]],14,)</f>
        <v>8013.3</v>
      </c>
      <c r="I56" s="1">
        <f>VLOOKUP(A56,symbol_2[[symbol]:[Price5]],18,)</f>
        <v>8151.7</v>
      </c>
      <c r="J56" s="49" t="str">
        <f t="shared" si="48"/>
        <v>N</v>
      </c>
      <c r="K56" s="49" t="str">
        <f t="shared" si="49"/>
        <v>Y</v>
      </c>
      <c r="L56" s="49" t="str">
        <f t="shared" si="50"/>
        <v>N</v>
      </c>
      <c r="M56" s="49" t="str">
        <f t="shared" si="51"/>
        <v>Y</v>
      </c>
      <c r="N56" s="52">
        <f t="shared" si="52"/>
        <v>-0.60230722525804936</v>
      </c>
      <c r="O56" s="52">
        <f t="shared" si="53"/>
        <v>0.44163999315854613</v>
      </c>
      <c r="P56" s="52">
        <f t="shared" si="54"/>
        <v>-2.5329773582840112</v>
      </c>
      <c r="Q56" s="52">
        <f t="shared" si="55"/>
        <v>1.7271286486216619</v>
      </c>
      <c r="R56" s="1">
        <f>VLOOKUP(A56,symbol_2[[symbol]:[TV1]],3,)</f>
        <v>0.34</v>
      </c>
      <c r="S56" s="1">
        <f>VLOOKUP(A56,symbol_2[[symbol]:[TV2]],7,)</f>
        <v>0.38</v>
      </c>
      <c r="T56" s="1">
        <f>VLOOKUP(A56,symbol_2[[symbol]:[TV3]],11,)</f>
        <v>0.22</v>
      </c>
      <c r="U56" s="1">
        <f>VLOOKUP(A56,symbol_2[[symbol]:[TV4]],15,)</f>
        <v>0.31</v>
      </c>
      <c r="V56" s="1">
        <f>VLOOKUP(A56,symbol_2[[symbol]:[TV5]],19,)</f>
        <v>0.22</v>
      </c>
      <c r="W56" s="1" t="str">
        <f t="shared" si="56"/>
        <v>Y</v>
      </c>
      <c r="X56" s="1" t="str">
        <f t="shared" si="57"/>
        <v>N</v>
      </c>
      <c r="Y56" s="1" t="str">
        <f t="shared" si="58"/>
        <v>Y</v>
      </c>
      <c r="Z56" s="1" t="str">
        <f t="shared" si="59"/>
        <v>N</v>
      </c>
      <c r="AA56" s="1">
        <f>VLOOKUP(A58,symbol_2[[symbol]:[TradedValue1]],4,)</f>
        <v>543.55999999999995</v>
      </c>
      <c r="AB56" s="1">
        <f>VLOOKUP(A56,symbol_2[[symbol]:[TradedValue2]],8,)</f>
        <v>3112.29</v>
      </c>
      <c r="AC56" s="1">
        <f>VLOOKUP(A56,symbol_2[[symbol]:[TradedValue3]],12,)</f>
        <v>1763.38</v>
      </c>
      <c r="AD56" s="1">
        <f>VLOOKUP(A56,symbol_2[[symbol]:[TradedValue4]],16,)</f>
        <v>2541.38</v>
      </c>
      <c r="AE56" s="1">
        <f>VLOOKUP(A56,symbol_2[[symbol]:[TradedValue5]],20,)</f>
        <v>1818.91</v>
      </c>
      <c r="AF56" s="1">
        <f>Table2[[#This Row],[TradedValue2]]-Table2[[#This Row],[TradedValue1]]</f>
        <v>2568.73</v>
      </c>
      <c r="AG56" s="1">
        <f>Table2[[#This Row],[TradedValue3]]-Table2[[#This Row],[TradedValue2]]</f>
        <v>-1348.9099999999999</v>
      </c>
      <c r="AH56" s="1">
        <f>Table2[[#This Row],[TradedValue4]]-Table2[[#This Row],[TradedValue3]]</f>
        <v>778</v>
      </c>
      <c r="AI56" s="1">
        <f>Table2[[#This Row],[TradedValue5]]-Table2[[#This Row],[TradedValue4]]</f>
        <v>-722.47</v>
      </c>
      <c r="AJ56" s="49" t="str">
        <f>IF(Table2[[#This Row],[TradedValue2]]&gt;Table2[[#This Row],[TradedValue1]],"Y","N")</f>
        <v>Y</v>
      </c>
      <c r="AK56" s="49" t="str">
        <f>IF(Table2[[#This Row],[TradedValue3]]&gt;Table2[[#This Row],[TradedValue2]],"Y","N")</f>
        <v>N</v>
      </c>
      <c r="AL56" s="49" t="str">
        <f>IF(Table2[[#This Row],[TradedValue5]]&gt;Table2[[#This Row],[TradedValue3]],"Y","N")</f>
        <v>Y</v>
      </c>
      <c r="AM56" s="49" t="str">
        <f>IF(Table2[[#This Row],[TradedValue5]]&gt;Table2[[#This Row],[TradedValue4]],"Y","N")</f>
        <v>N</v>
      </c>
      <c r="AN56" s="1">
        <f t="shared" si="60"/>
        <v>3.999999999999998E-2</v>
      </c>
      <c r="AO56" s="1">
        <f t="shared" si="61"/>
        <v>-0.16</v>
      </c>
      <c r="AP56" s="1">
        <f t="shared" si="62"/>
        <v>0.09</v>
      </c>
      <c r="AQ56" s="1">
        <f t="shared" si="63"/>
        <v>-0.09</v>
      </c>
      <c r="AR56" s="1">
        <f>VLOOKUP(A56,symbol_2[[symbol]:[DelPer1]],5,)</f>
        <v>16.47</v>
      </c>
      <c r="AS56" s="1">
        <f>VLOOKUP(A56,symbol_2[[symbol]:[DelPer2]],9,)</f>
        <v>19.760000000000002</v>
      </c>
      <c r="AT56" s="1">
        <f>VLOOKUP(A56,symbol_2[[symbol]:[DelPer3]],13,)</f>
        <v>27.25</v>
      </c>
      <c r="AU56" s="1">
        <f>VLOOKUP(A56,symbol_2[[symbol]:[DelPer4]],17,)</f>
        <v>33.700000000000003</v>
      </c>
      <c r="AV56" s="1">
        <f>VLOOKUP(A56,symbol_2[[symbol]:[DelPer5]],21,)</f>
        <v>27.34</v>
      </c>
      <c r="AW56" s="49" t="str">
        <f t="shared" si="64"/>
        <v>Y</v>
      </c>
      <c r="AX56" s="49" t="str">
        <f t="shared" si="65"/>
        <v>Y</v>
      </c>
      <c r="AY56" s="49" t="str">
        <f t="shared" si="66"/>
        <v>Y</v>
      </c>
      <c r="AZ56" s="49" t="str">
        <f t="shared" si="67"/>
        <v>N</v>
      </c>
      <c r="BA56" s="1">
        <f t="shared" si="68"/>
        <v>3.2900000000000027</v>
      </c>
      <c r="BB56" s="1">
        <f t="shared" si="69"/>
        <v>7.4899999999999984</v>
      </c>
      <c r="BC56" s="1">
        <f t="shared" si="70"/>
        <v>6.4500000000000028</v>
      </c>
      <c r="BD56" s="1">
        <f t="shared" si="71"/>
        <v>-6.360000000000003</v>
      </c>
    </row>
    <row r="57" spans="1:56" hidden="1" x14ac:dyDescent="0.35">
      <c r="A57" s="1" t="s">
        <v>114</v>
      </c>
      <c r="B57" s="1" t="s">
        <v>1013</v>
      </c>
      <c r="C57" s="1" t="s">
        <v>52</v>
      </c>
      <c r="D57" s="1" t="s">
        <v>199</v>
      </c>
      <c r="E57" s="1">
        <f>VLOOKUP(A57,symbol_2[[symbol]:[Price1]],2,)</f>
        <v>12.55</v>
      </c>
      <c r="F57" s="1">
        <f>VLOOKUP(A57,symbol_2[[symbol]:[Price2]],6,)</f>
        <v>11.8</v>
      </c>
      <c r="G57" s="1">
        <f>VLOOKUP(A57,symbol_2[[symbol]:[Price3]],10,)</f>
        <v>12.15</v>
      </c>
      <c r="H57" s="52">
        <f>VLOOKUP(A57,symbol_2[[symbol]:[Price4]],14,)</f>
        <v>12.75</v>
      </c>
      <c r="I57" s="1">
        <f>VLOOKUP(A57,symbol_2[[symbol]:[Price5]],18,)</f>
        <v>12.85</v>
      </c>
      <c r="J57" s="49" t="str">
        <f t="shared" si="48"/>
        <v>N</v>
      </c>
      <c r="K57" s="49" t="str">
        <f t="shared" si="49"/>
        <v>Y</v>
      </c>
      <c r="L57" s="49" t="str">
        <f t="shared" si="50"/>
        <v>Y</v>
      </c>
      <c r="M57" s="49" t="str">
        <f>IF(I57&gt;H57,"Y","N")</f>
        <v>Y</v>
      </c>
      <c r="N57" s="52">
        <f t="shared" si="52"/>
        <v>-5.9760956175298796</v>
      </c>
      <c r="O57" s="52">
        <f t="shared" si="53"/>
        <v>2.9661016949152512</v>
      </c>
      <c r="P57" s="52">
        <f t="shared" si="54"/>
        <v>4.9382716049382687</v>
      </c>
      <c r="Q57" s="52">
        <f t="shared" si="55"/>
        <v>0.78431372549019329</v>
      </c>
      <c r="R57" s="1">
        <f>VLOOKUP(A57,symbol_2[[symbol]:[TV1]],3,)</f>
        <v>137.71</v>
      </c>
      <c r="S57" s="1">
        <f>VLOOKUP(A57,symbol_2[[symbol]:[TV2]],7,)</f>
        <v>94.31</v>
      </c>
      <c r="T57" s="1">
        <f>VLOOKUP(A57,symbol_2[[symbol]:[TV3]],11,)</f>
        <v>133.5</v>
      </c>
      <c r="U57" s="1">
        <f>VLOOKUP(A57,symbol_2[[symbol]:[TV4]],15,)</f>
        <v>132.69</v>
      </c>
      <c r="V57" s="1">
        <f>VLOOKUP(A57,symbol_2[[symbol]:[TV5]],19,)</f>
        <v>91.58</v>
      </c>
      <c r="W57" s="1" t="str">
        <f t="shared" si="56"/>
        <v>N</v>
      </c>
      <c r="X57" s="1" t="str">
        <f t="shared" si="57"/>
        <v>Y</v>
      </c>
      <c r="Y57" s="1" t="str">
        <f t="shared" si="58"/>
        <v>N</v>
      </c>
      <c r="Z57" s="1" t="str">
        <f t="shared" si="59"/>
        <v>N</v>
      </c>
      <c r="AA57" s="1">
        <f>VLOOKUP(A57,symbol_2[[symbol]:[TradedValue1]],4,)</f>
        <v>1720.43</v>
      </c>
      <c r="AB57" s="1">
        <f>VLOOKUP(A57,symbol_2[[symbol]:[TradedValue2]],8,)</f>
        <v>1137.22</v>
      </c>
      <c r="AC57" s="1">
        <f>VLOOKUP(A57,symbol_2[[symbol]:[TradedValue3]],12,)</f>
        <v>1603.14</v>
      </c>
      <c r="AD57" s="1">
        <f>VLOOKUP(A57,symbol_2[[symbol]:[TradedValue4]],16,)</f>
        <v>1677.01</v>
      </c>
      <c r="AE57" s="1">
        <f>VLOOKUP(A57,symbol_2[[symbol]:[TradedValue5]],20,)</f>
        <v>1178.6099999999999</v>
      </c>
      <c r="AF57" s="1">
        <f>Table2[[#This Row],[TradedValue2]]-Table2[[#This Row],[TradedValue1]]</f>
        <v>-583.21</v>
      </c>
      <c r="AG57" s="1">
        <f>Table2[[#This Row],[TradedValue3]]-Table2[[#This Row],[TradedValue2]]</f>
        <v>465.92000000000007</v>
      </c>
      <c r="AH57" s="1">
        <f>Table2[[#This Row],[TradedValue4]]-Table2[[#This Row],[TradedValue3]]</f>
        <v>73.869999999999891</v>
      </c>
      <c r="AI57" s="1">
        <f>Table2[[#This Row],[TradedValue5]]-Table2[[#This Row],[TradedValue4]]</f>
        <v>-498.40000000000009</v>
      </c>
      <c r="AJ57" s="49" t="str">
        <f>IF(Table2[[#This Row],[TradedValue2]]&gt;Table2[[#This Row],[TradedValue1]],"Y","N")</f>
        <v>N</v>
      </c>
      <c r="AK57" s="49" t="str">
        <f>IF(Table2[[#This Row],[TradedValue3]]&gt;Table2[[#This Row],[TradedValue2]],"Y","N")</f>
        <v>Y</v>
      </c>
      <c r="AL57" s="49" t="str">
        <f>IF(Table2[[#This Row],[TradedValue5]]&gt;Table2[[#This Row],[TradedValue3]],"Y","N")</f>
        <v>N</v>
      </c>
      <c r="AM57" s="49" t="str">
        <f>IF(Table2[[#This Row],[TradedValue5]]&gt;Table2[[#This Row],[TradedValue4]],"Y","N")</f>
        <v>N</v>
      </c>
      <c r="AN57" s="1">
        <f t="shared" si="60"/>
        <v>-43.400000000000006</v>
      </c>
      <c r="AO57" s="1">
        <f t="shared" si="61"/>
        <v>39.19</v>
      </c>
      <c r="AP57" s="1">
        <f t="shared" si="62"/>
        <v>-0.81000000000000227</v>
      </c>
      <c r="AQ57" s="1">
        <f t="shared" si="63"/>
        <v>-41.11</v>
      </c>
      <c r="AR57" s="1">
        <f>VLOOKUP(A57,symbol_2[[symbol]:[DelPer1]],5,)</f>
        <v>12.96</v>
      </c>
      <c r="AS57" s="1">
        <f>VLOOKUP(A57,symbol_2[[symbol]:[DelPer2]],9,)</f>
        <v>21.4</v>
      </c>
      <c r="AT57" s="1">
        <f>VLOOKUP(A57,symbol_2[[symbol]:[DelPer3]],13,)</f>
        <v>26.77</v>
      </c>
      <c r="AU57" s="1">
        <f>VLOOKUP(A57,symbol_2[[symbol]:[DelPer4]],17,)</f>
        <v>34.68</v>
      </c>
      <c r="AV57" s="1">
        <f>VLOOKUP(A57,symbol_2[[symbol]:[DelPer5]],21,)</f>
        <v>26.36</v>
      </c>
      <c r="AW57" s="49" t="str">
        <f t="shared" si="64"/>
        <v>Y</v>
      </c>
      <c r="AX57" s="49" t="str">
        <f t="shared" si="65"/>
        <v>Y</v>
      </c>
      <c r="AY57" s="49" t="str">
        <f t="shared" si="66"/>
        <v>Y</v>
      </c>
      <c r="AZ57" s="49" t="str">
        <f t="shared" si="67"/>
        <v>N</v>
      </c>
      <c r="BA57" s="1">
        <f t="shared" si="68"/>
        <v>8.4399999999999977</v>
      </c>
      <c r="BB57" s="1">
        <f t="shared" si="69"/>
        <v>5.370000000000001</v>
      </c>
      <c r="BC57" s="1">
        <f t="shared" si="70"/>
        <v>7.91</v>
      </c>
      <c r="BD57" s="1">
        <f t="shared" si="71"/>
        <v>-8.32</v>
      </c>
    </row>
    <row r="58" spans="1:56" hidden="1" x14ac:dyDescent="0.35">
      <c r="A58" s="1" t="s">
        <v>97</v>
      </c>
      <c r="B58" s="1" t="s">
        <v>1018</v>
      </c>
      <c r="C58" s="1" t="s">
        <v>52</v>
      </c>
      <c r="D58" s="1" t="s">
        <v>199</v>
      </c>
      <c r="E58" s="1">
        <f>VLOOKUP(A58,symbol_2[[symbol]:[Price1]],2,)</f>
        <v>115.55</v>
      </c>
      <c r="F58" s="1">
        <f>VLOOKUP(A58,symbol_2[[symbol]:[Price2]],6,)</f>
        <v>112.55</v>
      </c>
      <c r="G58" s="1">
        <f>VLOOKUP(A58,symbol_2[[symbol]:[Price3]],10,)</f>
        <v>113.25</v>
      </c>
      <c r="H58" s="1">
        <f>VLOOKUP(A58,symbol_2[[symbol]:[Price4]],14,)</f>
        <v>115.5</v>
      </c>
      <c r="I58" s="1">
        <f>VLOOKUP(A58,symbol_2[[symbol]:[Price5]],18,)</f>
        <v>120</v>
      </c>
      <c r="J58" s="49" t="str">
        <f t="shared" si="48"/>
        <v>N</v>
      </c>
      <c r="K58" s="49" t="str">
        <f t="shared" si="49"/>
        <v>Y</v>
      </c>
      <c r="L58" s="49" t="str">
        <f t="shared" si="50"/>
        <v>Y</v>
      </c>
      <c r="M58" s="49" t="str">
        <f t="shared" si="51"/>
        <v>Y</v>
      </c>
      <c r="N58" s="52">
        <f t="shared" si="52"/>
        <v>-2.5962786672436176</v>
      </c>
      <c r="O58" s="52">
        <f t="shared" si="53"/>
        <v>0.62194580186583992</v>
      </c>
      <c r="P58" s="52">
        <f t="shared" si="54"/>
        <v>1.9867549668874174</v>
      </c>
      <c r="Q58" s="52">
        <f t="shared" si="55"/>
        <v>3.8961038961038961</v>
      </c>
      <c r="R58" s="1">
        <f>VLOOKUP(A58,symbol_2[[symbol]:[TV1]],3,)</f>
        <v>4.75</v>
      </c>
      <c r="S58" s="1">
        <f>VLOOKUP(A58,symbol_2[[symbol]:[TV2]],7,)</f>
        <v>1.39</v>
      </c>
      <c r="T58" s="1">
        <f>VLOOKUP(A58,symbol_2[[symbol]:[TV3]],11,)</f>
        <v>1.1399999999999999</v>
      </c>
      <c r="U58" s="1">
        <f>VLOOKUP(A58,symbol_2[[symbol]:[TV4]],15,)</f>
        <v>5.66</v>
      </c>
      <c r="V58" s="1">
        <f>VLOOKUP(A58,symbol_2[[symbol]:[TV5]],19,)</f>
        <v>3.77</v>
      </c>
      <c r="W58" s="1" t="str">
        <f t="shared" si="56"/>
        <v>N</v>
      </c>
      <c r="X58" s="1" t="str">
        <f t="shared" si="57"/>
        <v>N</v>
      </c>
      <c r="Y58" s="1" t="str">
        <f t="shared" si="58"/>
        <v>Y</v>
      </c>
      <c r="Z58" s="1" t="str">
        <f t="shared" si="59"/>
        <v>N</v>
      </c>
      <c r="AA58" s="1">
        <f>VLOOKUP(A58,symbol_2[[symbol]:[TradedValue1]],4,)</f>
        <v>543.55999999999995</v>
      </c>
      <c r="AB58" s="1">
        <f>VLOOKUP(A58,symbol_2[[symbol]:[TradedValue2]],8,)</f>
        <v>157.96</v>
      </c>
      <c r="AC58" s="1">
        <f>VLOOKUP(A58,symbol_2[[symbol]:[TradedValue3]],12,)</f>
        <v>127.8</v>
      </c>
      <c r="AD58" s="1">
        <f>VLOOKUP(A58,symbol_2[[symbol]:[TradedValue4]],16,)</f>
        <v>659.27</v>
      </c>
      <c r="AE58" s="1">
        <f>VLOOKUP(A58,symbol_2[[symbol]:[TradedValue5]],20,)</f>
        <v>448.04</v>
      </c>
      <c r="AF58" s="1">
        <f>Table2[[#This Row],[TradedValue2]]-Table2[[#This Row],[TradedValue1]]</f>
        <v>-385.59999999999991</v>
      </c>
      <c r="AG58" s="1">
        <f>Table2[[#This Row],[TradedValue3]]-Table2[[#This Row],[TradedValue2]]</f>
        <v>-30.160000000000011</v>
      </c>
      <c r="AH58" s="1">
        <f>Table2[[#This Row],[TradedValue4]]-Table2[[#This Row],[TradedValue3]]</f>
        <v>531.47</v>
      </c>
      <c r="AI58" s="1">
        <f>Table2[[#This Row],[TradedValue5]]-Table2[[#This Row],[TradedValue4]]</f>
        <v>-211.22999999999996</v>
      </c>
      <c r="AJ58" s="49" t="str">
        <f>IF(Table2[[#This Row],[TradedValue2]]&gt;Table2[[#This Row],[TradedValue1]],"Y","N")</f>
        <v>N</v>
      </c>
      <c r="AK58" s="49" t="str">
        <f>IF(Table2[[#This Row],[TradedValue3]]&gt;Table2[[#This Row],[TradedValue2]],"Y","N")</f>
        <v>N</v>
      </c>
      <c r="AL58" s="49" t="str">
        <f>IF(Table2[[#This Row],[TradedValue5]]&gt;Table2[[#This Row],[TradedValue3]],"Y","N")</f>
        <v>Y</v>
      </c>
      <c r="AM58" s="49" t="str">
        <f>IF(Table2[[#This Row],[TradedValue5]]&gt;Table2[[#This Row],[TradedValue4]],"Y","N")</f>
        <v>N</v>
      </c>
      <c r="AN58" s="1">
        <f t="shared" si="60"/>
        <v>-3.3600000000000003</v>
      </c>
      <c r="AO58" s="1">
        <f t="shared" si="61"/>
        <v>-0.25</v>
      </c>
      <c r="AP58" s="1">
        <f t="shared" si="62"/>
        <v>4.5200000000000005</v>
      </c>
      <c r="AQ58" s="1">
        <f t="shared" si="63"/>
        <v>-1.8900000000000001</v>
      </c>
      <c r="AR58" s="1">
        <f>VLOOKUP(A58,symbol_2[[symbol]:[DelPer1]],5,)</f>
        <v>31.55</v>
      </c>
      <c r="AS58" s="1">
        <f>VLOOKUP(A58,symbol_2[[symbol]:[DelPer2]],9,)</f>
        <v>26.5</v>
      </c>
      <c r="AT58" s="1">
        <f>VLOOKUP(A58,symbol_2[[symbol]:[DelPer3]],13,)</f>
        <v>32.69</v>
      </c>
      <c r="AU58" s="1">
        <f>VLOOKUP(A58,symbol_2[[symbol]:[DelPer4]],17,)</f>
        <v>42.3</v>
      </c>
      <c r="AV58" s="1">
        <f>VLOOKUP(A58,symbol_2[[symbol]:[DelPer5]],21,)</f>
        <v>46.76</v>
      </c>
      <c r="AW58" s="49" t="str">
        <f t="shared" si="64"/>
        <v>N</v>
      </c>
      <c r="AX58" s="49" t="str">
        <f t="shared" si="65"/>
        <v>Y</v>
      </c>
      <c r="AY58" s="49" t="str">
        <f t="shared" si="66"/>
        <v>Y</v>
      </c>
      <c r="AZ58" s="49" t="str">
        <f t="shared" si="67"/>
        <v>Y</v>
      </c>
      <c r="BA58" s="1">
        <f t="shared" si="68"/>
        <v>-5.0500000000000007</v>
      </c>
      <c r="BB58" s="1">
        <f t="shared" si="69"/>
        <v>6.1899999999999977</v>
      </c>
      <c r="BC58" s="1">
        <f t="shared" si="70"/>
        <v>9.61</v>
      </c>
      <c r="BD58" s="1">
        <f t="shared" si="71"/>
        <v>4.4600000000000009</v>
      </c>
    </row>
    <row r="59" spans="1:56" hidden="1" x14ac:dyDescent="0.35">
      <c r="A59" s="1" t="s">
        <v>43</v>
      </c>
      <c r="B59" s="1" t="s">
        <v>1021</v>
      </c>
      <c r="C59" s="1" t="s">
        <v>52</v>
      </c>
      <c r="D59" s="1" t="str">
        <f>VLOOKUP(A59,'High Beta'!A39:B88,2,)</f>
        <v>Y</v>
      </c>
      <c r="E59" s="1">
        <f>VLOOKUP(A59,symbol_2[[symbol]:[Price1]],2,)</f>
        <v>483.8</v>
      </c>
      <c r="F59" s="1">
        <f>VLOOKUP(A59,symbol_2[[symbol]:[Price2]],6,)</f>
        <v>472.55</v>
      </c>
      <c r="G59" s="1">
        <f>VLOOKUP(A59,symbol_2[[symbol]:[Price3]],10,)</f>
        <v>473</v>
      </c>
      <c r="H59" s="1">
        <f>VLOOKUP(A59,symbol_2[[symbol]:[Price4]],14,)</f>
        <v>464.7</v>
      </c>
      <c r="I59" s="1">
        <f>VLOOKUP(A59,symbol_2[[symbol]:[Price5]],18,)</f>
        <v>484.15</v>
      </c>
      <c r="J59" s="49" t="str">
        <f t="shared" si="48"/>
        <v>N</v>
      </c>
      <c r="K59" s="49" t="str">
        <f t="shared" si="49"/>
        <v>Y</v>
      </c>
      <c r="L59" s="49" t="str">
        <f t="shared" si="50"/>
        <v>N</v>
      </c>
      <c r="M59" s="49" t="str">
        <f t="shared" si="51"/>
        <v>Y</v>
      </c>
      <c r="N59" s="52">
        <f t="shared" si="52"/>
        <v>-2.3253410500206697</v>
      </c>
      <c r="O59" s="52">
        <f t="shared" si="53"/>
        <v>9.522801819912996E-2</v>
      </c>
      <c r="P59" s="52">
        <f t="shared" si="54"/>
        <v>-1.7547568710359431</v>
      </c>
      <c r="Q59" s="52">
        <f t="shared" si="55"/>
        <v>4.1854960189369459</v>
      </c>
      <c r="R59" s="1">
        <f>VLOOKUP(A59,symbol_2[[symbol]:[TV1]],3,)</f>
        <v>8.4600000000000009</v>
      </c>
      <c r="S59" s="1">
        <f>VLOOKUP(A59,symbol_2[[symbol]:[TV2]],7,)</f>
        <v>6.34</v>
      </c>
      <c r="T59" s="1">
        <f>VLOOKUP(A59,symbol_2[[symbol]:[TV3]],11,)</f>
        <v>8.36</v>
      </c>
      <c r="U59" s="1">
        <f>VLOOKUP(A59,symbol_2[[symbol]:[TV4]],15,)</f>
        <v>9.34</v>
      </c>
      <c r="V59" s="1">
        <f>VLOOKUP(A59,symbol_2[[symbol]:[TV5]],19,)</f>
        <v>10.88</v>
      </c>
      <c r="W59" s="1" t="str">
        <f t="shared" si="56"/>
        <v>N</v>
      </c>
      <c r="X59" s="1" t="str">
        <f t="shared" si="57"/>
        <v>Y</v>
      </c>
      <c r="Y59" s="1" t="str">
        <f t="shared" si="58"/>
        <v>Y</v>
      </c>
      <c r="Z59" s="1" t="str">
        <f t="shared" si="59"/>
        <v>Y</v>
      </c>
      <c r="AA59" s="1">
        <f>VLOOKUP(A61,symbol_2[[symbol]:[TradedValue1]],4,)</f>
        <v>456.47</v>
      </c>
      <c r="AB59" s="1">
        <f>VLOOKUP(A59,symbol_2[[symbol]:[TradedValue2]],8,)</f>
        <v>3002.16</v>
      </c>
      <c r="AC59" s="1">
        <f>VLOOKUP(A59,symbol_2[[symbol]:[TradedValue3]],12,)</f>
        <v>3960.86</v>
      </c>
      <c r="AD59" s="1">
        <f>VLOOKUP(A59,symbol_2[[symbol]:[TradedValue4]],16,)</f>
        <v>4446.3900000000003</v>
      </c>
      <c r="AE59" s="1">
        <f>VLOOKUP(A59,symbol_2[[symbol]:[TradedValue5]],20,)</f>
        <v>5163.92</v>
      </c>
      <c r="AF59" s="1">
        <f>Table2[[#This Row],[TradedValue2]]-Table2[[#This Row],[TradedValue1]]</f>
        <v>2545.6899999999996</v>
      </c>
      <c r="AG59" s="1">
        <f>Table2[[#This Row],[TradedValue3]]-Table2[[#This Row],[TradedValue2]]</f>
        <v>958.70000000000027</v>
      </c>
      <c r="AH59" s="1">
        <f>Table2[[#This Row],[TradedValue4]]-Table2[[#This Row],[TradedValue3]]</f>
        <v>485.5300000000002</v>
      </c>
      <c r="AI59" s="1">
        <f>Table2[[#This Row],[TradedValue5]]-Table2[[#This Row],[TradedValue4]]</f>
        <v>717.52999999999975</v>
      </c>
      <c r="AJ59" s="49" t="str">
        <f>IF(Table2[[#This Row],[TradedValue2]]&gt;Table2[[#This Row],[TradedValue1]],"Y","N")</f>
        <v>Y</v>
      </c>
      <c r="AK59" s="49" t="str">
        <f>IF(Table2[[#This Row],[TradedValue3]]&gt;Table2[[#This Row],[TradedValue2]],"Y","N")</f>
        <v>Y</v>
      </c>
      <c r="AL59" s="49" t="str">
        <f>IF(Table2[[#This Row],[TradedValue5]]&gt;Table2[[#This Row],[TradedValue3]],"Y","N")</f>
        <v>Y</v>
      </c>
      <c r="AM59" s="49" t="str">
        <f>IF(Table2[[#This Row],[TradedValue5]]&gt;Table2[[#This Row],[TradedValue4]],"Y","N")</f>
        <v>Y</v>
      </c>
      <c r="AN59" s="1">
        <f t="shared" si="60"/>
        <v>-2.120000000000001</v>
      </c>
      <c r="AO59" s="1">
        <f t="shared" si="61"/>
        <v>2.0199999999999996</v>
      </c>
      <c r="AP59" s="1">
        <f t="shared" si="62"/>
        <v>0.98000000000000043</v>
      </c>
      <c r="AQ59" s="1">
        <f t="shared" si="63"/>
        <v>1.5400000000000009</v>
      </c>
      <c r="AR59" s="1">
        <f>VLOOKUP(A59,symbol_2[[symbol]:[DelPer1]],5,)</f>
        <v>26.14</v>
      </c>
      <c r="AS59" s="1">
        <f>VLOOKUP(A59,symbol_2[[symbol]:[DelPer2]],9,)</f>
        <v>25.95</v>
      </c>
      <c r="AT59" s="1">
        <f>VLOOKUP(A59,symbol_2[[symbol]:[DelPer3]],13,)</f>
        <v>22.49</v>
      </c>
      <c r="AU59" s="1">
        <f>VLOOKUP(A59,symbol_2[[symbol]:[DelPer4]],17,)</f>
        <v>23.79</v>
      </c>
      <c r="AV59" s="1">
        <f>VLOOKUP(A59,symbol_2[[symbol]:[DelPer5]],21,)</f>
        <v>25.8</v>
      </c>
      <c r="AW59" s="49" t="str">
        <f t="shared" si="64"/>
        <v>N</v>
      </c>
      <c r="AX59" s="49" t="str">
        <f t="shared" si="65"/>
        <v>N</v>
      </c>
      <c r="AY59" s="49" t="str">
        <f t="shared" si="66"/>
        <v>Y</v>
      </c>
      <c r="AZ59" s="49" t="str">
        <f t="shared" si="67"/>
        <v>Y</v>
      </c>
      <c r="BA59" s="1">
        <f t="shared" si="68"/>
        <v>-0.19000000000000128</v>
      </c>
      <c r="BB59" s="1">
        <f t="shared" si="69"/>
        <v>-3.4600000000000009</v>
      </c>
      <c r="BC59" s="1">
        <f t="shared" si="70"/>
        <v>1.3000000000000007</v>
      </c>
      <c r="BD59" s="1">
        <f t="shared" si="71"/>
        <v>2.0100000000000016</v>
      </c>
    </row>
    <row r="60" spans="1:56" hidden="1" x14ac:dyDescent="0.35">
      <c r="A60" s="108" t="s">
        <v>57</v>
      </c>
      <c r="B60" s="1" t="s">
        <v>1025</v>
      </c>
      <c r="C60" s="1" t="s">
        <v>52</v>
      </c>
      <c r="D60" s="1" t="s">
        <v>199</v>
      </c>
      <c r="E60" s="1">
        <f>VLOOKUP(A60,symbol_2[[symbol]:[Price1]],2,)</f>
        <v>46.75</v>
      </c>
      <c r="F60" s="1">
        <f>VLOOKUP(A60,symbol_2[[symbol]:[Price2]],6,)</f>
        <v>46</v>
      </c>
      <c r="G60" s="1">
        <f>VLOOKUP(A60,symbol_2[[symbol]:[Price3]],10,)</f>
        <v>46.7</v>
      </c>
      <c r="H60" s="1">
        <f>VLOOKUP(A60,symbol_2[[symbol]:[Price4]],14,)</f>
        <v>46.65</v>
      </c>
      <c r="I60" s="1">
        <f>VLOOKUP(A60,symbol_2[[symbol]:[Price5]],18,)</f>
        <v>46.8</v>
      </c>
      <c r="J60" s="109" t="str">
        <f t="shared" si="48"/>
        <v>N</v>
      </c>
      <c r="K60" s="109" t="str">
        <f t="shared" si="49"/>
        <v>Y</v>
      </c>
      <c r="L60" s="109" t="str">
        <f t="shared" si="50"/>
        <v>N</v>
      </c>
      <c r="M60" s="109" t="str">
        <f t="shared" si="51"/>
        <v>Y</v>
      </c>
      <c r="N60" s="110">
        <f t="shared" si="52"/>
        <v>-1.6042780748663104</v>
      </c>
      <c r="O60" s="110">
        <f t="shared" si="53"/>
        <v>1.5217391304347887</v>
      </c>
      <c r="P60" s="110">
        <f t="shared" si="54"/>
        <v>-0.10706638115632602</v>
      </c>
      <c r="Q60" s="110">
        <f t="shared" si="55"/>
        <v>0.32154340836012557</v>
      </c>
      <c r="R60" s="1">
        <f>VLOOKUP(A60,symbol_2[[symbol]:[TV1]],3,)</f>
        <v>40.54</v>
      </c>
      <c r="S60" s="1">
        <f>VLOOKUP(A60,symbol_2[[symbol]:[TV2]],7,)</f>
        <v>25.61</v>
      </c>
      <c r="T60" s="1">
        <f>VLOOKUP(A60,symbol_2[[symbol]:[TV3]],11,)</f>
        <v>19.260000000000002</v>
      </c>
      <c r="U60" s="1">
        <f>VLOOKUP(A60,symbol_2[[symbol]:[TV4]],15,)</f>
        <v>50.23</v>
      </c>
      <c r="V60" s="1">
        <f>VLOOKUP(A60,symbol_2[[symbol]:[TV5]],19,)</f>
        <v>19.37</v>
      </c>
      <c r="W60" s="1" t="str">
        <f t="shared" si="56"/>
        <v>N</v>
      </c>
      <c r="X60" s="1" t="str">
        <f t="shared" si="57"/>
        <v>N</v>
      </c>
      <c r="Y60" s="1" t="str">
        <f t="shared" si="58"/>
        <v>Y</v>
      </c>
      <c r="Z60" s="1" t="str">
        <f t="shared" si="59"/>
        <v>N</v>
      </c>
      <c r="AA60" s="1">
        <f>VLOOKUP(A60,symbol_2[[symbol]:[TradedValue1]],4,)</f>
        <v>1847.85</v>
      </c>
      <c r="AB60" s="1">
        <f>VLOOKUP(A60,symbol_2[[symbol]:[TradedValue2]],8,)</f>
        <v>1182.3</v>
      </c>
      <c r="AC60" s="1">
        <f>VLOOKUP(A60,symbol_2[[symbol]:[TradedValue3]],12,)</f>
        <v>888.81</v>
      </c>
      <c r="AD60" s="1">
        <f>VLOOKUP(A60,symbol_2[[symbol]:[TradedValue4]],16,)</f>
        <v>2461.88</v>
      </c>
      <c r="AE60" s="1">
        <f>VLOOKUP(A60,symbol_2[[symbol]:[TradedValue5]],20,)</f>
        <v>895.63</v>
      </c>
      <c r="AF60" s="1">
        <f>Table2[[#This Row],[TradedValue2]]-Table2[[#This Row],[TradedValue1]]</f>
        <v>-665.55</v>
      </c>
      <c r="AG60" s="1">
        <f>Table2[[#This Row],[TradedValue3]]-Table2[[#This Row],[TradedValue2]]</f>
        <v>-293.49</v>
      </c>
      <c r="AH60" s="1">
        <f>Table2[[#This Row],[TradedValue4]]-Table2[[#This Row],[TradedValue3]]</f>
        <v>1573.0700000000002</v>
      </c>
      <c r="AI60" s="1">
        <f>Table2[[#This Row],[TradedValue5]]-Table2[[#This Row],[TradedValue4]]</f>
        <v>-1566.25</v>
      </c>
      <c r="AJ60" s="109" t="str">
        <f>IF(Table2[[#This Row],[TradedValue2]]&gt;Table2[[#This Row],[TradedValue1]],"Y","N")</f>
        <v>N</v>
      </c>
      <c r="AK60" s="109" t="str">
        <f>IF(Table2[[#This Row],[TradedValue3]]&gt;Table2[[#This Row],[TradedValue2]],"Y","N")</f>
        <v>N</v>
      </c>
      <c r="AL60" s="109" t="str">
        <f>IF(Table2[[#This Row],[TradedValue5]]&gt;Table2[[#This Row],[TradedValue3]],"Y","N")</f>
        <v>Y</v>
      </c>
      <c r="AM60" s="109" t="str">
        <f>IF(Table2[[#This Row],[TradedValue5]]&gt;Table2[[#This Row],[TradedValue4]],"Y","N")</f>
        <v>N</v>
      </c>
      <c r="AN60" s="1">
        <f t="shared" si="60"/>
        <v>-14.93</v>
      </c>
      <c r="AO60" s="1">
        <f t="shared" si="61"/>
        <v>-6.3499999999999979</v>
      </c>
      <c r="AP60" s="1">
        <f t="shared" si="62"/>
        <v>30.969999999999995</v>
      </c>
      <c r="AQ60" s="1">
        <f t="shared" si="63"/>
        <v>-30.859999999999996</v>
      </c>
      <c r="AR60" s="1">
        <f>VLOOKUP(A60,symbol_2[[symbol]:[DelPer1]],5,)</f>
        <v>13.93</v>
      </c>
      <c r="AS60" s="1">
        <f>VLOOKUP(A60,symbol_2[[symbol]:[DelPer2]],9,)</f>
        <v>17.41</v>
      </c>
      <c r="AT60" s="1">
        <f>VLOOKUP(A60,symbol_2[[symbol]:[DelPer3]],13,)</f>
        <v>12.82</v>
      </c>
      <c r="AU60" s="1">
        <f>VLOOKUP(A60,symbol_2[[symbol]:[DelPer4]],17,)</f>
        <v>17.100000000000001</v>
      </c>
      <c r="AV60" s="1">
        <f>VLOOKUP(A60,symbol_2[[symbol]:[DelPer5]],21,)</f>
        <v>10.6</v>
      </c>
      <c r="AW60" s="109" t="str">
        <f t="shared" si="64"/>
        <v>Y</v>
      </c>
      <c r="AX60" s="109" t="str">
        <f t="shared" si="65"/>
        <v>N</v>
      </c>
      <c r="AY60" s="109" t="str">
        <f t="shared" si="66"/>
        <v>Y</v>
      </c>
      <c r="AZ60" s="109" t="str">
        <f t="shared" si="67"/>
        <v>N</v>
      </c>
      <c r="BA60" s="1">
        <f t="shared" si="68"/>
        <v>3.4800000000000004</v>
      </c>
      <c r="BB60" s="1">
        <f t="shared" si="69"/>
        <v>-4.59</v>
      </c>
      <c r="BC60" s="1">
        <f t="shared" si="70"/>
        <v>4.2800000000000011</v>
      </c>
      <c r="BD60" s="1">
        <f t="shared" si="71"/>
        <v>-6.5000000000000018</v>
      </c>
    </row>
    <row r="61" spans="1:56" hidden="1" x14ac:dyDescent="0.35">
      <c r="A61" s="116" t="s">
        <v>148</v>
      </c>
      <c r="B61" s="1" t="s">
        <v>1018</v>
      </c>
      <c r="C61" s="1" t="s">
        <v>52</v>
      </c>
      <c r="D61" s="1" t="s">
        <v>199</v>
      </c>
      <c r="E61" s="1">
        <f>VLOOKUP(A61,symbol_2[[symbol]:[Price1]],2,)</f>
        <v>57.2</v>
      </c>
      <c r="F61" s="1">
        <f>VLOOKUP(A61,symbol_2[[symbol]:[Price2]],6,)</f>
        <v>56.3</v>
      </c>
      <c r="G61" s="1">
        <f>VLOOKUP(A61,symbol_2[[symbol]:[Price3]],10,)</f>
        <v>57.2</v>
      </c>
      <c r="H61" s="1">
        <f>VLOOKUP(A61,symbol_2[[symbol]:[Price4]],14,)</f>
        <v>57.6</v>
      </c>
      <c r="I61" s="1">
        <f>VLOOKUP(A61,symbol_2[[symbol]:[Price5]],18,)</f>
        <v>61.15</v>
      </c>
      <c r="J61" s="49" t="str">
        <f t="shared" si="48"/>
        <v>N</v>
      </c>
      <c r="K61" s="49" t="str">
        <f t="shared" si="49"/>
        <v>Y</v>
      </c>
      <c r="L61" s="49" t="str">
        <f t="shared" si="50"/>
        <v>Y</v>
      </c>
      <c r="M61" s="49" t="str">
        <f t="shared" si="51"/>
        <v>Y</v>
      </c>
      <c r="N61" s="52">
        <f t="shared" si="52"/>
        <v>-1.5734265734265833</v>
      </c>
      <c r="O61" s="52">
        <f t="shared" si="53"/>
        <v>1.5985790408525855</v>
      </c>
      <c r="P61" s="52">
        <f t="shared" si="54"/>
        <v>0.69930069930069683</v>
      </c>
      <c r="Q61" s="52">
        <f t="shared" si="55"/>
        <v>6.1631944444444393</v>
      </c>
      <c r="R61" s="1">
        <f>VLOOKUP(A61,symbol_2[[symbol]:[TV1]],3,)</f>
        <v>8.0399999999999991</v>
      </c>
      <c r="S61" s="1">
        <f>VLOOKUP(A61,symbol_2[[symbol]:[TV2]],7,)</f>
        <v>5.33</v>
      </c>
      <c r="T61" s="1">
        <f>VLOOKUP(A61,symbol_2[[symbol]:[TV3]],11,)</f>
        <v>4.91</v>
      </c>
      <c r="U61" s="1">
        <f>VLOOKUP(A61,symbol_2[[symbol]:[TV4]],15,)</f>
        <v>14.33</v>
      </c>
      <c r="V61" s="1">
        <f>VLOOKUP(A61,symbol_2[[symbol]:[TV5]],19,)</f>
        <v>10.93</v>
      </c>
      <c r="W61" s="1" t="str">
        <f t="shared" si="56"/>
        <v>N</v>
      </c>
      <c r="X61" s="1" t="str">
        <f t="shared" si="57"/>
        <v>N</v>
      </c>
      <c r="Y61" s="1" t="str">
        <f t="shared" si="58"/>
        <v>Y</v>
      </c>
      <c r="Z61" s="1" t="str">
        <f t="shared" si="59"/>
        <v>N</v>
      </c>
      <c r="AA61" s="1">
        <f>VLOOKUP(A61,symbol_2[[symbol]:[TradedValue1]],4,)</f>
        <v>456.47</v>
      </c>
      <c r="AB61" s="1">
        <f>VLOOKUP(A61,symbol_2[[symbol]:[TradedValue2]],8,)</f>
        <v>302.57</v>
      </c>
      <c r="AC61" s="1">
        <f>VLOOKUP(A61,symbol_2[[symbol]:[TradedValue3]],12,)</f>
        <v>277.75</v>
      </c>
      <c r="AD61" s="1">
        <f>VLOOKUP(A61,symbol_2[[symbol]:[TradedValue4]],16,)</f>
        <v>845.69</v>
      </c>
      <c r="AE61" s="1">
        <f>VLOOKUP(A61,symbol_2[[symbol]:[TradedValue5]],20,)</f>
        <v>652.09</v>
      </c>
      <c r="AF61" s="1">
        <f>Table2[[#This Row],[TradedValue2]]-Table2[[#This Row],[TradedValue1]]</f>
        <v>-153.90000000000003</v>
      </c>
      <c r="AG61" s="1">
        <f>Table2[[#This Row],[TradedValue3]]-Table2[[#This Row],[TradedValue2]]</f>
        <v>-24.819999999999993</v>
      </c>
      <c r="AH61" s="1">
        <f>Table2[[#This Row],[TradedValue4]]-Table2[[#This Row],[TradedValue3]]</f>
        <v>567.94000000000005</v>
      </c>
      <c r="AI61" s="1">
        <f>Table2[[#This Row],[TradedValue5]]-Table2[[#This Row],[TradedValue4]]</f>
        <v>-193.60000000000002</v>
      </c>
      <c r="AJ61" s="49" t="str">
        <f>IF(Table2[[#This Row],[TradedValue2]]&gt;Table2[[#This Row],[TradedValue1]],"Y","N")</f>
        <v>N</v>
      </c>
      <c r="AK61" s="49" t="str">
        <f>IF(Table2[[#This Row],[TradedValue3]]&gt;Table2[[#This Row],[TradedValue2]],"Y","N")</f>
        <v>N</v>
      </c>
      <c r="AL61" s="49" t="str">
        <f>IF(Table2[[#This Row],[TradedValue5]]&gt;Table2[[#This Row],[TradedValue3]],"Y","N")</f>
        <v>Y</v>
      </c>
      <c r="AM61" s="49" t="str">
        <f>IF(Table2[[#This Row],[TradedValue5]]&gt;Table2[[#This Row],[TradedValue4]],"Y","N")</f>
        <v>N</v>
      </c>
      <c r="AN61" s="1">
        <f t="shared" si="60"/>
        <v>-2.7099999999999991</v>
      </c>
      <c r="AO61" s="1">
        <f t="shared" si="61"/>
        <v>-0.41999999999999993</v>
      </c>
      <c r="AP61" s="1">
        <f t="shared" si="62"/>
        <v>9.42</v>
      </c>
      <c r="AQ61" s="1">
        <f t="shared" si="63"/>
        <v>-3.4000000000000004</v>
      </c>
      <c r="AR61" s="1">
        <f>VLOOKUP(A61,symbol_2[[symbol]:[DelPer1]],5,)</f>
        <v>29.18</v>
      </c>
      <c r="AS61" s="1">
        <f>VLOOKUP(A61,symbol_2[[symbol]:[DelPer2]],9,)</f>
        <v>18.329999999999998</v>
      </c>
      <c r="AT61" s="1">
        <f>VLOOKUP(A61,symbol_2[[symbol]:[DelPer3]],13,)</f>
        <v>23.35</v>
      </c>
      <c r="AU61" s="1">
        <f>VLOOKUP(A61,symbol_2[[symbol]:[DelPer4]],17,)</f>
        <v>24.35</v>
      </c>
      <c r="AV61" s="1">
        <f>VLOOKUP(A61,symbol_2[[symbol]:[DelPer5]],21,)</f>
        <v>28.54</v>
      </c>
      <c r="AW61" s="49" t="str">
        <f t="shared" si="64"/>
        <v>N</v>
      </c>
      <c r="AX61" s="49" t="str">
        <f t="shared" si="65"/>
        <v>Y</v>
      </c>
      <c r="AY61" s="49" t="str">
        <f t="shared" si="66"/>
        <v>Y</v>
      </c>
      <c r="AZ61" s="49" t="str">
        <f t="shared" si="67"/>
        <v>Y</v>
      </c>
      <c r="BA61" s="1">
        <f t="shared" si="68"/>
        <v>-10.850000000000001</v>
      </c>
      <c r="BB61" s="1">
        <f t="shared" si="69"/>
        <v>5.0200000000000031</v>
      </c>
      <c r="BC61" s="1">
        <f t="shared" si="70"/>
        <v>1</v>
      </c>
      <c r="BD61" s="1">
        <f t="shared" si="71"/>
        <v>4.1899999999999977</v>
      </c>
    </row>
    <row r="62" spans="1:56" hidden="1" x14ac:dyDescent="0.35">
      <c r="A62" s="1" t="s">
        <v>90</v>
      </c>
      <c r="B62" s="1" t="s">
        <v>1018</v>
      </c>
      <c r="C62" s="1" t="s">
        <v>52</v>
      </c>
      <c r="D62" s="1" t="s">
        <v>199</v>
      </c>
      <c r="E62" s="1">
        <f>VLOOKUP(A62,symbol_2[[symbol]:[Price1]],2,)</f>
        <v>766.05</v>
      </c>
      <c r="F62" s="1">
        <f>VLOOKUP(A62,symbol_2[[symbol]:[Price2]],6,)</f>
        <v>745.4</v>
      </c>
      <c r="G62" s="1">
        <f>VLOOKUP(A62,symbol_2[[symbol]:[Price3]],10,)</f>
        <v>729.15</v>
      </c>
      <c r="H62" s="1">
        <f>VLOOKUP(A62,symbol_2[[symbol]:[Price4]],14,)</f>
        <v>720.95</v>
      </c>
      <c r="I62" s="1">
        <f>VLOOKUP(A62,symbol_2[[symbol]:[Price5]],18,)</f>
        <v>757.85</v>
      </c>
      <c r="J62" s="49" t="str">
        <f t="shared" si="48"/>
        <v>N</v>
      </c>
      <c r="K62" s="49" t="str">
        <f t="shared" si="49"/>
        <v>N</v>
      </c>
      <c r="L62" s="49" t="str">
        <f t="shared" si="50"/>
        <v>N</v>
      </c>
      <c r="M62" s="49" t="str">
        <f t="shared" si="51"/>
        <v>Y</v>
      </c>
      <c r="N62" s="52">
        <f t="shared" si="52"/>
        <v>-2.695646498270345</v>
      </c>
      <c r="O62" s="52">
        <f t="shared" si="53"/>
        <v>-2.1800375637241749</v>
      </c>
      <c r="P62" s="52">
        <f t="shared" si="54"/>
        <v>-1.1245971336487599</v>
      </c>
      <c r="Q62" s="52">
        <f t="shared" si="55"/>
        <v>5.1182467577501871</v>
      </c>
      <c r="R62" s="1">
        <f>VLOOKUP(A62,symbol_2[[symbol]:[TV1]],3,)</f>
        <v>0.96</v>
      </c>
      <c r="S62" s="1">
        <f>VLOOKUP(A62,symbol_2[[symbol]:[TV2]],7,)</f>
        <v>0.26</v>
      </c>
      <c r="T62" s="1">
        <f>VLOOKUP(A62,symbol_2[[symbol]:[TV3]],11,)</f>
        <v>0.28999999999999998</v>
      </c>
      <c r="U62" s="1">
        <f>VLOOKUP(A62,symbol_2[[symbol]:[TV4]],15,)</f>
        <v>0.82</v>
      </c>
      <c r="V62" s="1">
        <f>VLOOKUP(A62,symbol_2[[symbol]:[TV5]],19,)</f>
        <v>1.02</v>
      </c>
      <c r="W62" s="1" t="str">
        <f t="shared" si="56"/>
        <v>N</v>
      </c>
      <c r="X62" s="1" t="str">
        <f t="shared" si="57"/>
        <v>Y</v>
      </c>
      <c r="Y62" s="1" t="str">
        <f t="shared" si="58"/>
        <v>Y</v>
      </c>
      <c r="Z62" s="1" t="str">
        <f t="shared" si="59"/>
        <v>Y</v>
      </c>
      <c r="AA62" s="1">
        <f>VLOOKUP(A62,symbol_2[[symbol]:[TradedValue1]],4,)</f>
        <v>726.8</v>
      </c>
      <c r="AB62" s="1">
        <f>VLOOKUP(A62,symbol_2[[symbol]:[TradedValue2]],8,)</f>
        <v>194.52</v>
      </c>
      <c r="AC62" s="1">
        <f>VLOOKUP(A62,symbol_2[[symbol]:[TradedValue3]],12,)</f>
        <v>211.58</v>
      </c>
      <c r="AD62" s="1">
        <f>VLOOKUP(A62,symbol_2[[symbol]:[TradedValue4]],16,)</f>
        <v>589.95000000000005</v>
      </c>
      <c r="AE62" s="1">
        <f>VLOOKUP(A62,symbol_2[[symbol]:[TradedValue5]],20,)</f>
        <v>761.97</v>
      </c>
      <c r="AF62" s="1">
        <f>Table2[[#This Row],[TradedValue2]]-Table2[[#This Row],[TradedValue1]]</f>
        <v>-532.28</v>
      </c>
      <c r="AG62" s="1">
        <f>Table2[[#This Row],[TradedValue3]]-Table2[[#This Row],[TradedValue2]]</f>
        <v>17.060000000000002</v>
      </c>
      <c r="AH62" s="1">
        <f>Table2[[#This Row],[TradedValue4]]-Table2[[#This Row],[TradedValue3]]</f>
        <v>378.37</v>
      </c>
      <c r="AI62" s="1">
        <f>Table2[[#This Row],[TradedValue5]]-Table2[[#This Row],[TradedValue4]]</f>
        <v>172.01999999999998</v>
      </c>
      <c r="AJ62" s="49" t="str">
        <f>IF(Table2[[#This Row],[TradedValue2]]&gt;Table2[[#This Row],[TradedValue1]],"Y","N")</f>
        <v>N</v>
      </c>
      <c r="AK62" s="49" t="str">
        <f>IF(Table2[[#This Row],[TradedValue3]]&gt;Table2[[#This Row],[TradedValue2]],"Y","N")</f>
        <v>Y</v>
      </c>
      <c r="AL62" s="49" t="str">
        <f>IF(Table2[[#This Row],[TradedValue5]]&gt;Table2[[#This Row],[TradedValue3]],"Y","N")</f>
        <v>Y</v>
      </c>
      <c r="AM62" s="49" t="str">
        <f>IF(Table2[[#This Row],[TradedValue5]]&gt;Table2[[#This Row],[TradedValue4]],"Y","N")</f>
        <v>Y</v>
      </c>
      <c r="AN62" s="1">
        <f t="shared" si="60"/>
        <v>-0.7</v>
      </c>
      <c r="AO62" s="1">
        <f t="shared" si="61"/>
        <v>2.9999999999999971E-2</v>
      </c>
      <c r="AP62" s="1">
        <f t="shared" si="62"/>
        <v>0.53</v>
      </c>
      <c r="AQ62" s="1">
        <f t="shared" si="63"/>
        <v>0.20000000000000007</v>
      </c>
      <c r="AR62" s="1">
        <f>VLOOKUP(A62,symbol_2[[symbol]:[DelPer1]],5,)</f>
        <v>56.59</v>
      </c>
      <c r="AS62" s="1">
        <f>VLOOKUP(A62,symbol_2[[symbol]:[DelPer2]],9,)</f>
        <v>50.48</v>
      </c>
      <c r="AT62" s="1">
        <f>VLOOKUP(A62,symbol_2[[symbol]:[DelPer3]],13,)</f>
        <v>45.33</v>
      </c>
      <c r="AU62" s="1">
        <f>VLOOKUP(A62,symbol_2[[symbol]:[DelPer4]],17,)</f>
        <v>55.41</v>
      </c>
      <c r="AV62" s="1">
        <f>VLOOKUP(A62,symbol_2[[symbol]:[DelPer5]],21,)</f>
        <v>50.01</v>
      </c>
      <c r="AW62" s="49" t="str">
        <f t="shared" si="64"/>
        <v>N</v>
      </c>
      <c r="AX62" s="49" t="str">
        <f t="shared" si="65"/>
        <v>N</v>
      </c>
      <c r="AY62" s="49" t="str">
        <f t="shared" si="66"/>
        <v>Y</v>
      </c>
      <c r="AZ62" s="49" t="str">
        <f t="shared" si="67"/>
        <v>N</v>
      </c>
      <c r="BA62" s="1">
        <f t="shared" si="68"/>
        <v>-6.1100000000000065</v>
      </c>
      <c r="BB62" s="1">
        <f t="shared" si="69"/>
        <v>-5.1499999999999986</v>
      </c>
      <c r="BC62" s="1">
        <f t="shared" si="70"/>
        <v>10.079999999999998</v>
      </c>
      <c r="BD62" s="1">
        <f t="shared" si="71"/>
        <v>-5.3999999999999986</v>
      </c>
    </row>
    <row r="63" spans="1:56" hidden="1" x14ac:dyDescent="0.35">
      <c r="A63" s="1" t="s">
        <v>16</v>
      </c>
      <c r="B63" s="1" t="s">
        <v>1007</v>
      </c>
      <c r="C63" s="1" t="s">
        <v>52</v>
      </c>
      <c r="D63" s="1" t="s">
        <v>199</v>
      </c>
      <c r="E63" s="1">
        <f>VLOOKUP(A63,symbol_2[[symbol]:[Price1]],2,)</f>
        <v>345.6</v>
      </c>
      <c r="F63" s="1">
        <f>VLOOKUP(A63,symbol_2[[symbol]:[Price2]],6,)</f>
        <v>338.7</v>
      </c>
      <c r="G63" s="1">
        <f>VLOOKUP(A63,symbol_2[[symbol]:[Price3]],10,)</f>
        <v>336.9</v>
      </c>
      <c r="H63" s="1">
        <f>VLOOKUP(A63,symbol_2[[symbol]:[Price4]],14,)</f>
        <v>337.95</v>
      </c>
      <c r="I63" s="1">
        <f>VLOOKUP(A63,symbol_2[[symbol]:[Price5]],18,)</f>
        <v>341.65</v>
      </c>
      <c r="J63" s="49" t="str">
        <f t="shared" si="48"/>
        <v>N</v>
      </c>
      <c r="K63" s="49" t="str">
        <f t="shared" si="49"/>
        <v>N</v>
      </c>
      <c r="L63" s="49" t="str">
        <f t="shared" si="50"/>
        <v>Y</v>
      </c>
      <c r="M63" s="49" t="str">
        <f t="shared" si="51"/>
        <v>Y</v>
      </c>
      <c r="N63" s="52">
        <f t="shared" si="52"/>
        <v>-1.9965277777777877</v>
      </c>
      <c r="O63" s="52">
        <f t="shared" si="53"/>
        <v>-0.53144375553587586</v>
      </c>
      <c r="P63" s="52">
        <f t="shared" si="54"/>
        <v>0.31166518254675318</v>
      </c>
      <c r="Q63" s="52">
        <f t="shared" si="55"/>
        <v>1.0948365142772567</v>
      </c>
      <c r="R63" s="1">
        <f>VLOOKUP(A63,symbol_2[[symbol]:[TV1]],3,)</f>
        <v>2.68</v>
      </c>
      <c r="S63" s="1">
        <f>VLOOKUP(A63,symbol_2[[symbol]:[TV2]],7,)</f>
        <v>2.5</v>
      </c>
      <c r="T63" s="1">
        <f>VLOOKUP(A63,symbol_2[[symbol]:[TV3]],11,)</f>
        <v>2.58</v>
      </c>
      <c r="U63" s="1">
        <f>VLOOKUP(A63,symbol_2[[symbol]:[TV4]],15,)</f>
        <v>2.04</v>
      </c>
      <c r="V63" s="1">
        <f>VLOOKUP(A63,symbol_2[[symbol]:[TV5]],19,)</f>
        <v>2.54</v>
      </c>
      <c r="W63" s="1" t="str">
        <f t="shared" si="56"/>
        <v>N</v>
      </c>
      <c r="X63" s="1" t="str">
        <f t="shared" si="57"/>
        <v>Y</v>
      </c>
      <c r="Y63" s="1" t="str">
        <f t="shared" si="58"/>
        <v>N</v>
      </c>
      <c r="Z63" s="1" t="str">
        <f t="shared" si="59"/>
        <v>Y</v>
      </c>
      <c r="AA63" s="1">
        <f>VLOOKUP(A63,symbol_2[[symbol]:[TradedValue1]],4,)</f>
        <v>919.64</v>
      </c>
      <c r="AB63" s="1">
        <f>VLOOKUP(A63,symbol_2[[symbol]:[TradedValue2]],8,)</f>
        <v>854.37</v>
      </c>
      <c r="AC63" s="1">
        <f>VLOOKUP(A63,symbol_2[[symbol]:[TradedValue3]],12,)</f>
        <v>870.97</v>
      </c>
      <c r="AD63" s="1">
        <f>VLOOKUP(A63,symbol_2[[symbol]:[TradedValue4]],16,)</f>
        <v>692.99</v>
      </c>
      <c r="AE63" s="1">
        <f>VLOOKUP(A63,symbol_2[[symbol]:[TradedValue5]],20,)</f>
        <v>861.46</v>
      </c>
      <c r="AF63" s="1">
        <f>Table2[[#This Row],[TradedValue2]]-Table2[[#This Row],[TradedValue1]]</f>
        <v>-65.269999999999982</v>
      </c>
      <c r="AG63" s="1">
        <f>Table2[[#This Row],[TradedValue3]]-Table2[[#This Row],[TradedValue2]]</f>
        <v>16.600000000000023</v>
      </c>
      <c r="AH63" s="1">
        <f>Table2[[#This Row],[TradedValue4]]-Table2[[#This Row],[TradedValue3]]</f>
        <v>-177.98000000000002</v>
      </c>
      <c r="AI63" s="1">
        <f>Table2[[#This Row],[TradedValue5]]-Table2[[#This Row],[TradedValue4]]</f>
        <v>168.47000000000003</v>
      </c>
      <c r="AJ63" s="49" t="str">
        <f>IF(Table2[[#This Row],[TradedValue2]]&gt;Table2[[#This Row],[TradedValue1]],"Y","N")</f>
        <v>N</v>
      </c>
      <c r="AK63" s="49" t="str">
        <f>IF(Table2[[#This Row],[TradedValue3]]&gt;Table2[[#This Row],[TradedValue2]],"Y","N")</f>
        <v>Y</v>
      </c>
      <c r="AL63" s="49" t="str">
        <f>IF(Table2[[#This Row],[TradedValue5]]&gt;Table2[[#This Row],[TradedValue3]],"Y","N")</f>
        <v>N</v>
      </c>
      <c r="AM63" s="49" t="str">
        <f>IF(Table2[[#This Row],[TradedValue5]]&gt;Table2[[#This Row],[TradedValue4]],"Y","N")</f>
        <v>Y</v>
      </c>
      <c r="AN63" s="1">
        <f t="shared" si="60"/>
        <v>-0.18000000000000016</v>
      </c>
      <c r="AO63" s="1">
        <f t="shared" si="61"/>
        <v>8.0000000000000071E-2</v>
      </c>
      <c r="AP63" s="1">
        <f t="shared" si="62"/>
        <v>-0.54</v>
      </c>
      <c r="AQ63" s="1">
        <f t="shared" si="63"/>
        <v>0.5</v>
      </c>
      <c r="AR63" s="1">
        <f>VLOOKUP(A63,symbol_2[[symbol]:[DelPer1]],5,)</f>
        <v>48.1</v>
      </c>
      <c r="AS63" s="1">
        <f>VLOOKUP(A63,symbol_2[[symbol]:[DelPer2]],9,)</f>
        <v>29.43</v>
      </c>
      <c r="AT63" s="1">
        <f>VLOOKUP(A63,symbol_2[[symbol]:[DelPer3]],13,)</f>
        <v>55.37</v>
      </c>
      <c r="AU63" s="1">
        <f>VLOOKUP(A63,symbol_2[[symbol]:[DelPer4]],17,)</f>
        <v>46.58</v>
      </c>
      <c r="AV63" s="1">
        <f>VLOOKUP(A63,symbol_2[[symbol]:[DelPer5]],21,)</f>
        <v>51.64</v>
      </c>
      <c r="AW63" s="49" t="str">
        <f t="shared" si="64"/>
        <v>N</v>
      </c>
      <c r="AX63" s="49" t="str">
        <f t="shared" si="65"/>
        <v>Y</v>
      </c>
      <c r="AY63" s="49" t="str">
        <f t="shared" si="66"/>
        <v>N</v>
      </c>
      <c r="AZ63" s="49" t="str">
        <f t="shared" si="67"/>
        <v>Y</v>
      </c>
      <c r="BA63" s="1">
        <f t="shared" si="68"/>
        <v>-18.670000000000002</v>
      </c>
      <c r="BB63" s="1">
        <f t="shared" si="69"/>
        <v>25.939999999999998</v>
      </c>
      <c r="BC63" s="1">
        <f t="shared" si="70"/>
        <v>-8.7899999999999991</v>
      </c>
      <c r="BD63" s="1">
        <f t="shared" si="71"/>
        <v>5.0600000000000023</v>
      </c>
    </row>
    <row r="64" spans="1:56" hidden="1" x14ac:dyDescent="0.35">
      <c r="A64" s="1" t="s">
        <v>197</v>
      </c>
      <c r="B64" s="1" t="s">
        <v>1015</v>
      </c>
      <c r="C64" s="1" t="s">
        <v>52</v>
      </c>
      <c r="D64" s="1" t="s">
        <v>199</v>
      </c>
      <c r="E64" s="1">
        <f>VLOOKUP(A64,symbol_2[[symbol]:[Price1]],2,)</f>
        <v>590</v>
      </c>
      <c r="F64" s="1">
        <f>VLOOKUP(A64,symbol_2[[symbol]:[Price2]],6,)</f>
        <v>583.5</v>
      </c>
      <c r="G64" s="1">
        <f>VLOOKUP(A64,symbol_2[[symbol]:[Price3]],10,)</f>
        <v>584.29999999999995</v>
      </c>
      <c r="H64" s="1">
        <f>VLOOKUP(A64,symbol_2[[symbol]:[Price4]],14,)</f>
        <v>575.5</v>
      </c>
      <c r="I64" s="1">
        <f>VLOOKUP(A64,symbol_2[[symbol]:[Price5]],18,)</f>
        <v>582.45000000000005</v>
      </c>
      <c r="J64" s="49" t="str">
        <f t="shared" si="48"/>
        <v>N</v>
      </c>
      <c r="K64" s="49" t="str">
        <f t="shared" si="49"/>
        <v>Y</v>
      </c>
      <c r="L64" s="49" t="str">
        <f t="shared" si="50"/>
        <v>N</v>
      </c>
      <c r="M64" s="49" t="str">
        <f t="shared" si="51"/>
        <v>Y</v>
      </c>
      <c r="N64" s="52">
        <f t="shared" si="52"/>
        <v>-1.1016949152542372</v>
      </c>
      <c r="O64" s="52">
        <f t="shared" si="53"/>
        <v>0.13710368466151748</v>
      </c>
      <c r="P64" s="52">
        <f t="shared" si="54"/>
        <v>-1.5060756460722156</v>
      </c>
      <c r="Q64" s="52">
        <f t="shared" si="55"/>
        <v>1.2076455256298948</v>
      </c>
      <c r="R64" s="1">
        <f>VLOOKUP(A64,symbol_2[[symbol]:[TV1]],3,)</f>
        <v>1.59</v>
      </c>
      <c r="S64" s="1">
        <f>VLOOKUP(A64,symbol_2[[symbol]:[TV2]],7,)</f>
        <v>0.67</v>
      </c>
      <c r="T64" s="1">
        <f>VLOOKUP(A64,symbol_2[[symbol]:[TV3]],11,)</f>
        <v>0.8</v>
      </c>
      <c r="U64" s="1">
        <f>VLOOKUP(A64,symbol_2[[symbol]:[TV4]],15,)</f>
        <v>1.1499999999999999</v>
      </c>
      <c r="V64" s="1">
        <f>VLOOKUP(A64,symbol_2[[symbol]:[TV5]],19,)</f>
        <v>1.23</v>
      </c>
      <c r="W64" s="1" t="str">
        <f t="shared" si="56"/>
        <v>N</v>
      </c>
      <c r="X64" s="1" t="str">
        <f t="shared" si="57"/>
        <v>Y</v>
      </c>
      <c r="Y64" s="1" t="str">
        <f t="shared" si="58"/>
        <v>Y</v>
      </c>
      <c r="Z64" s="1" t="str">
        <f t="shared" si="59"/>
        <v>Y</v>
      </c>
      <c r="AA64" s="1">
        <f>VLOOKUP(A66,symbol_2[[symbol]:[TradedValue1]],4,)</f>
        <v>1292.25</v>
      </c>
      <c r="AB64" s="1">
        <f>VLOOKUP(A64,symbol_2[[symbol]:[TradedValue2]],8,)</f>
        <v>391.14</v>
      </c>
      <c r="AC64" s="1">
        <f>VLOOKUP(A64,symbol_2[[symbol]:[TradedValue3]],12,)</f>
        <v>470.62</v>
      </c>
      <c r="AD64" s="1">
        <f>VLOOKUP(A64,symbol_2[[symbol]:[TradedValue4]],16,)</f>
        <v>678.49</v>
      </c>
      <c r="AE64" s="1">
        <f>VLOOKUP(A64,symbol_2[[symbol]:[TradedValue5]],20,)</f>
        <v>712.64</v>
      </c>
      <c r="AF64" s="1">
        <f>Table2[[#This Row],[TradedValue2]]-Table2[[#This Row],[TradedValue1]]</f>
        <v>-901.11</v>
      </c>
      <c r="AG64" s="1">
        <f>Table2[[#This Row],[TradedValue3]]-Table2[[#This Row],[TradedValue2]]</f>
        <v>79.480000000000018</v>
      </c>
      <c r="AH64" s="1">
        <f>Table2[[#This Row],[TradedValue4]]-Table2[[#This Row],[TradedValue3]]</f>
        <v>207.87</v>
      </c>
      <c r="AI64" s="1">
        <f>Table2[[#This Row],[TradedValue5]]-Table2[[#This Row],[TradedValue4]]</f>
        <v>34.149999999999977</v>
      </c>
      <c r="AJ64" s="49" t="str">
        <f>IF(Table2[[#This Row],[TradedValue2]]&gt;Table2[[#This Row],[TradedValue1]],"Y","N")</f>
        <v>N</v>
      </c>
      <c r="AK64" s="49" t="str">
        <f>IF(Table2[[#This Row],[TradedValue3]]&gt;Table2[[#This Row],[TradedValue2]],"Y","N")</f>
        <v>Y</v>
      </c>
      <c r="AL64" s="49" t="str">
        <f>IF(Table2[[#This Row],[TradedValue5]]&gt;Table2[[#This Row],[TradedValue3]],"Y","N")</f>
        <v>Y</v>
      </c>
      <c r="AM64" s="49" t="str">
        <f>IF(Table2[[#This Row],[TradedValue5]]&gt;Table2[[#This Row],[TradedValue4]],"Y","N")</f>
        <v>Y</v>
      </c>
      <c r="AN64" s="1">
        <f t="shared" si="60"/>
        <v>-0.92</v>
      </c>
      <c r="AO64" s="1">
        <f t="shared" si="61"/>
        <v>0.13</v>
      </c>
      <c r="AP64" s="1">
        <f t="shared" si="62"/>
        <v>0.34999999999999987</v>
      </c>
      <c r="AQ64" s="1">
        <f t="shared" si="63"/>
        <v>8.0000000000000071E-2</v>
      </c>
      <c r="AR64" s="1">
        <f>VLOOKUP(A64,symbol_2[[symbol]:[DelPer1]],5,)</f>
        <v>51.54</v>
      </c>
      <c r="AS64" s="1">
        <f>VLOOKUP(A64,symbol_2[[symbol]:[DelPer2]],9,)</f>
        <v>19.739999999999998</v>
      </c>
      <c r="AT64" s="1">
        <f>VLOOKUP(A64,symbol_2[[symbol]:[DelPer3]],13,)</f>
        <v>45.99</v>
      </c>
      <c r="AU64" s="1">
        <f>VLOOKUP(A64,symbol_2[[symbol]:[DelPer4]],17,)</f>
        <v>40.15</v>
      </c>
      <c r="AV64" s="1">
        <f>VLOOKUP(A64,symbol_2[[symbol]:[DelPer5]],21,)</f>
        <v>50.3</v>
      </c>
      <c r="AW64" s="49" t="str">
        <f t="shared" si="64"/>
        <v>N</v>
      </c>
      <c r="AX64" s="49" t="str">
        <f t="shared" si="65"/>
        <v>Y</v>
      </c>
      <c r="AY64" s="49" t="str">
        <f t="shared" si="66"/>
        <v>N</v>
      </c>
      <c r="AZ64" s="49" t="str">
        <f t="shared" si="67"/>
        <v>Y</v>
      </c>
      <c r="BA64" s="1">
        <f t="shared" si="68"/>
        <v>-31.8</v>
      </c>
      <c r="BB64" s="1">
        <f t="shared" si="69"/>
        <v>26.250000000000004</v>
      </c>
      <c r="BC64" s="1">
        <f t="shared" si="70"/>
        <v>-5.8400000000000034</v>
      </c>
      <c r="BD64" s="1">
        <f t="shared" si="71"/>
        <v>10.149999999999999</v>
      </c>
    </row>
    <row r="65" spans="1:56" hidden="1" x14ac:dyDescent="0.35">
      <c r="A65" s="116" t="s">
        <v>58</v>
      </c>
      <c r="B65" s="1" t="s">
        <v>1009</v>
      </c>
      <c r="C65" s="1" t="s">
        <v>52</v>
      </c>
      <c r="D65" s="1" t="s">
        <v>199</v>
      </c>
      <c r="E65" s="1">
        <f>VLOOKUP(A65,symbol_2[[symbol]:[Price1]],2,)</f>
        <v>1026.9000000000001</v>
      </c>
      <c r="F65" s="1">
        <f>VLOOKUP(A65,symbol_2[[symbol]:[Price2]],6,)</f>
        <v>1016.25</v>
      </c>
      <c r="G65" s="1">
        <f>VLOOKUP(A65,symbol_2[[symbol]:[Price3]],10,)</f>
        <v>1025.6500000000001</v>
      </c>
      <c r="H65" s="1">
        <f>VLOOKUP(A65,symbol_2[[symbol]:[Price4]],14,)</f>
        <v>1008.9</v>
      </c>
      <c r="I65" s="1">
        <f>VLOOKUP(A65,symbol_2[[symbol]:[Price5]],18,)</f>
        <v>1039.25</v>
      </c>
      <c r="J65" s="49" t="str">
        <f t="shared" si="48"/>
        <v>N</v>
      </c>
      <c r="K65" s="49" t="str">
        <f t="shared" si="49"/>
        <v>Y</v>
      </c>
      <c r="L65" s="49" t="str">
        <f t="shared" si="50"/>
        <v>N</v>
      </c>
      <c r="M65" s="49" t="str">
        <f t="shared" si="51"/>
        <v>Y</v>
      </c>
      <c r="N65" s="52">
        <f t="shared" si="52"/>
        <v>-1.037101957347365</v>
      </c>
      <c r="O65" s="52">
        <f t="shared" si="53"/>
        <v>0.92496924969250582</v>
      </c>
      <c r="P65" s="52">
        <f t="shared" si="54"/>
        <v>-1.6331107102812961</v>
      </c>
      <c r="Q65" s="52">
        <f t="shared" si="55"/>
        <v>3.0082267816433763</v>
      </c>
      <c r="R65" s="1">
        <f>VLOOKUP(A65,symbol_2[[symbol]:[TV1]],3,)</f>
        <v>0.47</v>
      </c>
      <c r="S65" s="1">
        <f>VLOOKUP(A65,symbol_2[[symbol]:[TV2]],7,)</f>
        <v>0.27</v>
      </c>
      <c r="T65" s="1">
        <f>VLOOKUP(A65,symbol_2[[symbol]:[TV3]],11,)</f>
        <v>0.2</v>
      </c>
      <c r="U65" s="1">
        <f>VLOOKUP(A65,symbol_2[[symbol]:[TV4]],15,)</f>
        <v>0.15</v>
      </c>
      <c r="V65" s="1">
        <f>VLOOKUP(A65,symbol_2[[symbol]:[TV5]],19,)</f>
        <v>0.17</v>
      </c>
      <c r="W65" s="1" t="str">
        <f t="shared" si="56"/>
        <v>N</v>
      </c>
      <c r="X65" s="1" t="str">
        <f t="shared" si="57"/>
        <v>N</v>
      </c>
      <c r="Y65" s="1" t="str">
        <f t="shared" si="58"/>
        <v>N</v>
      </c>
      <c r="Z65" s="1" t="str">
        <f t="shared" si="59"/>
        <v>Y</v>
      </c>
      <c r="AA65" s="1">
        <f>VLOOKUP(A67,symbol_2[[symbol]:[TradedValue1]],4,)</f>
        <v>1434.67</v>
      </c>
      <c r="AB65" s="1">
        <f>VLOOKUP(A65,symbol_2[[symbol]:[TradedValue2]],8,)</f>
        <v>276.85000000000002</v>
      </c>
      <c r="AC65" s="1">
        <f>VLOOKUP(A65,symbol_2[[symbol]:[TradedValue3]],12,)</f>
        <v>198.31</v>
      </c>
      <c r="AD65" s="1">
        <f>VLOOKUP(A65,symbol_2[[symbol]:[TradedValue4]],16,)</f>
        <v>153.28</v>
      </c>
      <c r="AE65" s="1">
        <f>VLOOKUP(A65,symbol_2[[symbol]:[TradedValue5]],20,)</f>
        <v>173.74</v>
      </c>
      <c r="AF65" s="1">
        <f>Table2[[#This Row],[TradedValue2]]-Table2[[#This Row],[TradedValue1]]</f>
        <v>-1157.8200000000002</v>
      </c>
      <c r="AG65" s="1">
        <f>Table2[[#This Row],[TradedValue3]]-Table2[[#This Row],[TradedValue2]]</f>
        <v>-78.54000000000002</v>
      </c>
      <c r="AH65" s="1">
        <f>Table2[[#This Row],[TradedValue4]]-Table2[[#This Row],[TradedValue3]]</f>
        <v>-45.03</v>
      </c>
      <c r="AI65" s="1">
        <f>Table2[[#This Row],[TradedValue5]]-Table2[[#This Row],[TradedValue4]]</f>
        <v>20.460000000000008</v>
      </c>
      <c r="AJ65" s="49" t="str">
        <f>IF(Table2[[#This Row],[TradedValue2]]&gt;Table2[[#This Row],[TradedValue1]],"Y","N")</f>
        <v>N</v>
      </c>
      <c r="AK65" s="49" t="str">
        <f>IF(Table2[[#This Row],[TradedValue3]]&gt;Table2[[#This Row],[TradedValue2]],"Y","N")</f>
        <v>N</v>
      </c>
      <c r="AL65" s="49" t="str">
        <f>IF(Table2[[#This Row],[TradedValue5]]&gt;Table2[[#This Row],[TradedValue3]],"Y","N")</f>
        <v>N</v>
      </c>
      <c r="AM65" s="49" t="str">
        <f>IF(Table2[[#This Row],[TradedValue5]]&gt;Table2[[#This Row],[TradedValue4]],"Y","N")</f>
        <v>Y</v>
      </c>
      <c r="AN65" s="1">
        <f t="shared" si="60"/>
        <v>-0.19999999999999996</v>
      </c>
      <c r="AO65" s="1">
        <f t="shared" si="61"/>
        <v>-7.0000000000000007E-2</v>
      </c>
      <c r="AP65" s="1">
        <f t="shared" si="62"/>
        <v>-5.0000000000000017E-2</v>
      </c>
      <c r="AQ65" s="1">
        <f t="shared" si="63"/>
        <v>2.0000000000000018E-2</v>
      </c>
      <c r="AR65" s="1">
        <f>VLOOKUP(A65,symbol_2[[symbol]:[DelPer1]],5,)</f>
        <v>34.61</v>
      </c>
      <c r="AS65" s="1">
        <f>VLOOKUP(A65,symbol_2[[symbol]:[DelPer2]],9,)</f>
        <v>22.33</v>
      </c>
      <c r="AT65" s="1">
        <f>VLOOKUP(A65,symbol_2[[symbol]:[DelPer3]],13,)</f>
        <v>15.24</v>
      </c>
      <c r="AU65" s="1">
        <f>VLOOKUP(A65,symbol_2[[symbol]:[DelPer4]],17,)</f>
        <v>15.32</v>
      </c>
      <c r="AV65" s="1">
        <f>VLOOKUP(A65,symbol_2[[symbol]:[DelPer5]],21,)</f>
        <v>30.66</v>
      </c>
      <c r="AW65" s="49" t="str">
        <f t="shared" si="64"/>
        <v>N</v>
      </c>
      <c r="AX65" s="49" t="str">
        <f t="shared" si="65"/>
        <v>N</v>
      </c>
      <c r="AY65" s="49" t="str">
        <f t="shared" si="66"/>
        <v>Y</v>
      </c>
      <c r="AZ65" s="49" t="str">
        <f t="shared" si="67"/>
        <v>Y</v>
      </c>
      <c r="BA65" s="1">
        <f t="shared" si="68"/>
        <v>-12.280000000000001</v>
      </c>
      <c r="BB65" s="1">
        <f t="shared" si="69"/>
        <v>-7.0899999999999981</v>
      </c>
      <c r="BC65" s="1">
        <f t="shared" si="70"/>
        <v>8.0000000000000071E-2</v>
      </c>
      <c r="BD65" s="1">
        <f t="shared" si="71"/>
        <v>15.34</v>
      </c>
    </row>
    <row r="66" spans="1:56" hidden="1" x14ac:dyDescent="0.35">
      <c r="A66" s="1" t="s">
        <v>96</v>
      </c>
      <c r="B66" s="1" t="s">
        <v>1012</v>
      </c>
      <c r="C66" s="1" t="s">
        <v>52</v>
      </c>
      <c r="D66" s="1" t="s">
        <v>199</v>
      </c>
      <c r="E66" s="1">
        <f>VLOOKUP(A66,symbol_2[[symbol]:[Price1]],2,)</f>
        <v>173.75</v>
      </c>
      <c r="F66" s="1">
        <f>VLOOKUP(A66,symbol_2[[symbol]:[Price2]],6,)</f>
        <v>171.5</v>
      </c>
      <c r="G66" s="1">
        <f>VLOOKUP(A66,symbol_2[[symbol]:[Price3]],10,)</f>
        <v>173.9</v>
      </c>
      <c r="H66" s="1">
        <f>VLOOKUP(A66,symbol_2[[symbol]:[Price4]],14,)</f>
        <v>180.7</v>
      </c>
      <c r="I66" s="1">
        <f>VLOOKUP(A66,symbol_2[[symbol]:[Price5]],18,)</f>
        <v>191.65</v>
      </c>
      <c r="J66" s="49" t="str">
        <f t="shared" si="48"/>
        <v>N</v>
      </c>
      <c r="K66" s="49" t="str">
        <f t="shared" si="49"/>
        <v>Y</v>
      </c>
      <c r="L66" s="49" t="str">
        <f t="shared" si="50"/>
        <v>Y</v>
      </c>
      <c r="M66" s="49" t="str">
        <f t="shared" si="51"/>
        <v>Y</v>
      </c>
      <c r="N66" s="52">
        <f t="shared" si="52"/>
        <v>-1.2949640287769784</v>
      </c>
      <c r="O66" s="52">
        <f t="shared" si="53"/>
        <v>1.3994169096209945</v>
      </c>
      <c r="P66" s="52">
        <f t="shared" si="54"/>
        <v>3.9102932719953896</v>
      </c>
      <c r="Q66" s="52">
        <f t="shared" si="55"/>
        <v>6.0597675705589475</v>
      </c>
      <c r="R66" s="1">
        <f>VLOOKUP(A66,symbol_2[[symbol]:[TV1]],3,)</f>
        <v>7.51</v>
      </c>
      <c r="S66" s="1">
        <f>VLOOKUP(A66,symbol_2[[symbol]:[TV2]],7,)</f>
        <v>12.08</v>
      </c>
      <c r="T66" s="1">
        <f>VLOOKUP(A66,symbol_2[[symbol]:[TV3]],11,)</f>
        <v>24.31</v>
      </c>
      <c r="U66" s="1">
        <f>VLOOKUP(A66,symbol_2[[symbol]:[TV4]],15,)</f>
        <v>26.29</v>
      </c>
      <c r="V66" s="1">
        <f>VLOOKUP(A66,symbol_2[[symbol]:[TV5]],19,)</f>
        <v>22.41</v>
      </c>
      <c r="W66" s="1" t="str">
        <f t="shared" si="56"/>
        <v>Y</v>
      </c>
      <c r="X66" s="1" t="str">
        <f t="shared" si="57"/>
        <v>Y</v>
      </c>
      <c r="Y66" s="1" t="str">
        <f t="shared" si="58"/>
        <v>Y</v>
      </c>
      <c r="Z66" s="1" t="str">
        <f t="shared" si="59"/>
        <v>N</v>
      </c>
      <c r="AA66" s="1">
        <f>VLOOKUP(A66,symbol_2[[symbol]:[TradedValue1]],4,)</f>
        <v>1292.25</v>
      </c>
      <c r="AB66" s="1">
        <f>VLOOKUP(A66,symbol_2[[symbol]:[TradedValue2]],8,)</f>
        <v>2082.38</v>
      </c>
      <c r="AC66" s="1">
        <f>VLOOKUP(A66,symbol_2[[symbol]:[TradedValue3]],12,)</f>
        <v>4278.21</v>
      </c>
      <c r="AD66" s="1">
        <f>VLOOKUP(A66,symbol_2[[symbol]:[TradedValue4]],16,)</f>
        <v>4714.74</v>
      </c>
      <c r="AE66" s="1">
        <f>VLOOKUP(A66,symbol_2[[symbol]:[TradedValue5]],20,)</f>
        <v>4226.9799999999996</v>
      </c>
      <c r="AF66" s="1">
        <f>Table2[[#This Row],[TradedValue2]]-Table2[[#This Row],[TradedValue1]]</f>
        <v>790.13000000000011</v>
      </c>
      <c r="AG66" s="1">
        <f>Table2[[#This Row],[TradedValue3]]-Table2[[#This Row],[TradedValue2]]</f>
        <v>2195.83</v>
      </c>
      <c r="AH66" s="1">
        <f>Table2[[#This Row],[TradedValue4]]-Table2[[#This Row],[TradedValue3]]</f>
        <v>436.52999999999975</v>
      </c>
      <c r="AI66" s="1">
        <f>Table2[[#This Row],[TradedValue5]]-Table2[[#This Row],[TradedValue4]]</f>
        <v>-487.76000000000022</v>
      </c>
      <c r="AJ66" s="49" t="str">
        <f>IF(Table2[[#This Row],[TradedValue2]]&gt;Table2[[#This Row],[TradedValue1]],"Y","N")</f>
        <v>Y</v>
      </c>
      <c r="AK66" s="49" t="str">
        <f>IF(Table2[[#This Row],[TradedValue3]]&gt;Table2[[#This Row],[TradedValue2]],"Y","N")</f>
        <v>Y</v>
      </c>
      <c r="AL66" s="49" t="str">
        <f>IF(Table2[[#This Row],[TradedValue5]]&gt;Table2[[#This Row],[TradedValue3]],"Y","N")</f>
        <v>N</v>
      </c>
      <c r="AM66" s="49" t="str">
        <f>IF(Table2[[#This Row],[TradedValue5]]&gt;Table2[[#This Row],[TradedValue4]],"Y","N")</f>
        <v>N</v>
      </c>
      <c r="AN66" s="1">
        <f t="shared" si="60"/>
        <v>4.57</v>
      </c>
      <c r="AO66" s="1">
        <f t="shared" si="61"/>
        <v>12.229999999999999</v>
      </c>
      <c r="AP66" s="1">
        <f t="shared" si="62"/>
        <v>1.9800000000000004</v>
      </c>
      <c r="AQ66" s="1">
        <f t="shared" si="63"/>
        <v>-3.879999999999999</v>
      </c>
      <c r="AR66" s="1">
        <f>VLOOKUP(A66,symbol_2[[symbol]:[DelPer1]],5,)</f>
        <v>23.48</v>
      </c>
      <c r="AS66" s="1">
        <f>VLOOKUP(A66,symbol_2[[symbol]:[DelPer2]],9,)</f>
        <v>32.369999999999997</v>
      </c>
      <c r="AT66" s="1">
        <f>VLOOKUP(A66,symbol_2[[symbol]:[DelPer3]],13,)</f>
        <v>16.75</v>
      </c>
      <c r="AU66" s="1">
        <f>VLOOKUP(A66,symbol_2[[symbol]:[DelPer4]],17,)</f>
        <v>35.14</v>
      </c>
      <c r="AV66" s="1">
        <f>VLOOKUP(A66,symbol_2[[symbol]:[DelPer5]],21,)</f>
        <v>27.72</v>
      </c>
      <c r="AW66" s="49" t="str">
        <f t="shared" si="64"/>
        <v>Y</v>
      </c>
      <c r="AX66" s="49" t="str">
        <f t="shared" si="65"/>
        <v>N</v>
      </c>
      <c r="AY66" s="49" t="str">
        <f t="shared" si="66"/>
        <v>Y</v>
      </c>
      <c r="AZ66" s="49" t="str">
        <f t="shared" si="67"/>
        <v>N</v>
      </c>
      <c r="BA66" s="1">
        <f t="shared" si="68"/>
        <v>8.889999999999997</v>
      </c>
      <c r="BB66" s="1">
        <f t="shared" si="69"/>
        <v>-15.619999999999997</v>
      </c>
      <c r="BC66" s="1">
        <f t="shared" si="70"/>
        <v>18.39</v>
      </c>
      <c r="BD66" s="1">
        <f t="shared" si="71"/>
        <v>-7.4200000000000017</v>
      </c>
    </row>
    <row r="67" spans="1:56" hidden="1" x14ac:dyDescent="0.35">
      <c r="A67" s="116" t="s">
        <v>109</v>
      </c>
      <c r="B67" s="1" t="s">
        <v>1018</v>
      </c>
      <c r="C67" s="1" t="s">
        <v>52</v>
      </c>
      <c r="D67" s="1" t="s">
        <v>199</v>
      </c>
      <c r="E67" s="1">
        <f>VLOOKUP(A67,symbol_2[[symbol]:[Price1]],2,)</f>
        <v>755.55</v>
      </c>
      <c r="F67" s="1">
        <f>VLOOKUP(A67,symbol_2[[symbol]:[Price2]],6,)</f>
        <v>757.9</v>
      </c>
      <c r="G67" s="1">
        <f>VLOOKUP(A67,symbol_2[[symbol]:[Price3]],10,)</f>
        <v>755.55</v>
      </c>
      <c r="H67" s="1">
        <f>VLOOKUP(A67,symbol_2[[symbol]:[Price4]],14,)</f>
        <v>751.5</v>
      </c>
      <c r="I67" s="1">
        <f>VLOOKUP(A67,symbol_2[[symbol]:[Price5]],18,)</f>
        <v>743.55</v>
      </c>
      <c r="J67" s="49" t="str">
        <f t="shared" ref="J67:J97" si="72">IF(F67&gt;E67,"Y","N")</f>
        <v>Y</v>
      </c>
      <c r="K67" s="49" t="str">
        <f t="shared" ref="K67:K97" si="73">IF(G67&gt;F67,"Y","N")</f>
        <v>N</v>
      </c>
      <c r="L67" s="49" t="str">
        <f t="shared" ref="L67:L97" si="74">IF(H67&gt;G67,"Y","N")</f>
        <v>N</v>
      </c>
      <c r="M67" s="49" t="str">
        <f t="shared" ref="M67:M97" si="75">IF(I67&gt;H67,"Y","N")</f>
        <v>N</v>
      </c>
      <c r="N67" s="52">
        <f t="shared" ref="N67:N97" si="76">((F67-E67)/E67)*100</f>
        <v>0.31103169876249392</v>
      </c>
      <c r="O67" s="52">
        <f t="shared" ref="O67:O97" si="77">((G67-F67)/F67)*100</f>
        <v>-0.31006729119936965</v>
      </c>
      <c r="P67" s="52">
        <f t="shared" ref="P67:P97" si="78">((H67-G67)/G67)*100</f>
        <v>-0.53603335318641454</v>
      </c>
      <c r="Q67" s="52">
        <f t="shared" ref="Q67:Q97" si="79">((I67-H67)/H67)*100</f>
        <v>-1.0578842315369323</v>
      </c>
      <c r="R67" s="1">
        <f>VLOOKUP(A67,symbol_2[[symbol]:[TV1]],3,)</f>
        <v>1.91</v>
      </c>
      <c r="S67" s="1">
        <f>VLOOKUP(A67,symbol_2[[symbol]:[TV2]],7,)</f>
        <v>1.33</v>
      </c>
      <c r="T67" s="1">
        <f>VLOOKUP(A67,symbol_2[[symbol]:[TV3]],11,)</f>
        <v>1.31</v>
      </c>
      <c r="U67" s="1">
        <f>VLOOKUP(A67,symbol_2[[symbol]:[TV4]],15,)</f>
        <v>2.41</v>
      </c>
      <c r="V67" s="1">
        <f>VLOOKUP(A67,symbol_2[[symbol]:[TV5]],19,)</f>
        <v>1.29</v>
      </c>
      <c r="W67" s="1" t="str">
        <f t="shared" ref="W67:W97" si="80">IF(S67&gt;R67,"Y","N")</f>
        <v>N</v>
      </c>
      <c r="X67" s="1" t="str">
        <f t="shared" ref="X67:X97" si="81">IF(T67&gt;S67,"Y","N")</f>
        <v>N</v>
      </c>
      <c r="Y67" s="1" t="str">
        <f t="shared" ref="Y67:Y97" si="82">IF(U67&gt;T67,"Y","N")</f>
        <v>Y</v>
      </c>
      <c r="Z67" s="1" t="str">
        <f t="shared" ref="Z67:Z97" si="83">IF(V67&gt;U67,"Y","N")</f>
        <v>N</v>
      </c>
      <c r="AA67" s="1">
        <f>VLOOKUP(A67,symbol_2[[symbol]:[TradedValue1]],4,)</f>
        <v>1434.67</v>
      </c>
      <c r="AB67" s="1">
        <f>VLOOKUP(A67,symbol_2[[symbol]:[TradedValue2]],8,)</f>
        <v>1007.74</v>
      </c>
      <c r="AC67" s="1">
        <f>VLOOKUP(A67,symbol_2[[symbol]:[TradedValue3]],12,)</f>
        <v>996.39</v>
      </c>
      <c r="AD67" s="1">
        <f>VLOOKUP(A67,symbol_2[[symbol]:[TradedValue4]],16,)</f>
        <v>1816.79</v>
      </c>
      <c r="AE67" s="1">
        <f>VLOOKUP(A67,symbol_2[[symbol]:[TradedValue5]],20,)</f>
        <v>961.6</v>
      </c>
      <c r="AF67" s="1">
        <f>Table2[[#This Row],[TradedValue2]]-Table2[[#This Row],[TradedValue1]]</f>
        <v>-426.93000000000006</v>
      </c>
      <c r="AG67" s="1">
        <f>Table2[[#This Row],[TradedValue3]]-Table2[[#This Row],[TradedValue2]]</f>
        <v>-11.350000000000023</v>
      </c>
      <c r="AH67" s="1">
        <f>Table2[[#This Row],[TradedValue4]]-Table2[[#This Row],[TradedValue3]]</f>
        <v>820.4</v>
      </c>
      <c r="AI67" s="1">
        <f>Table2[[#This Row],[TradedValue5]]-Table2[[#This Row],[TradedValue4]]</f>
        <v>-855.18999999999994</v>
      </c>
      <c r="AJ67" s="49" t="str">
        <f>IF(Table2[[#This Row],[TradedValue2]]&gt;Table2[[#This Row],[TradedValue1]],"Y","N")</f>
        <v>N</v>
      </c>
      <c r="AK67" s="49" t="str">
        <f>IF(Table2[[#This Row],[TradedValue3]]&gt;Table2[[#This Row],[TradedValue2]],"Y","N")</f>
        <v>N</v>
      </c>
      <c r="AL67" s="49" t="str">
        <f>IF(Table2[[#This Row],[TradedValue5]]&gt;Table2[[#This Row],[TradedValue3]],"Y","N")</f>
        <v>N</v>
      </c>
      <c r="AM67" s="49" t="str">
        <f>IF(Table2[[#This Row],[TradedValue5]]&gt;Table2[[#This Row],[TradedValue4]],"Y","N")</f>
        <v>N</v>
      </c>
      <c r="AN67" s="1">
        <f t="shared" ref="AN67:AN97" si="84">S67-R67</f>
        <v>-0.57999999999999985</v>
      </c>
      <c r="AO67" s="1">
        <f t="shared" ref="AO67:AO97" si="85">T67-S67</f>
        <v>-2.0000000000000018E-2</v>
      </c>
      <c r="AP67" s="1">
        <f t="shared" ref="AP67:AP97" si="86">U67-T67</f>
        <v>1.1000000000000001</v>
      </c>
      <c r="AQ67" s="1">
        <f t="shared" ref="AQ67:AQ97" si="87">V67-U67</f>
        <v>-1.1200000000000001</v>
      </c>
      <c r="AR67" s="1">
        <f>VLOOKUP(A67,symbol_2[[symbol]:[DelPer1]],5,)</f>
        <v>72.61</v>
      </c>
      <c r="AS67" s="1">
        <f>VLOOKUP(A67,symbol_2[[symbol]:[DelPer2]],9,)</f>
        <v>55.23</v>
      </c>
      <c r="AT67" s="1">
        <f>VLOOKUP(A67,symbol_2[[symbol]:[DelPer3]],13,)</f>
        <v>51.34</v>
      </c>
      <c r="AU67" s="1">
        <f>VLOOKUP(A67,symbol_2[[symbol]:[DelPer4]],17,)</f>
        <v>54.73</v>
      </c>
      <c r="AV67" s="1">
        <f>VLOOKUP(A67,symbol_2[[symbol]:[DelPer5]],21,)</f>
        <v>50.39</v>
      </c>
      <c r="AW67" s="49" t="str">
        <f t="shared" ref="AW67:AW97" si="88">IF(AS67&gt;AR67,"Y","N")</f>
        <v>N</v>
      </c>
      <c r="AX67" s="49" t="str">
        <f t="shared" ref="AX67:AX97" si="89">IF(AT67&gt;AS67,"Y","N")</f>
        <v>N</v>
      </c>
      <c r="AY67" s="49" t="str">
        <f t="shared" ref="AY67:AY97" si="90">IF(AU67&gt;AT67,"Y","N")</f>
        <v>Y</v>
      </c>
      <c r="AZ67" s="49" t="str">
        <f t="shared" ref="AZ67:AZ97" si="91">IF(AV67&gt;AU67,"Y","N")</f>
        <v>N</v>
      </c>
      <c r="BA67" s="1">
        <f t="shared" ref="BA67:BA97" si="92">AS67-AR67</f>
        <v>-17.380000000000003</v>
      </c>
      <c r="BB67" s="1">
        <f t="shared" ref="BB67:BB97" si="93">AT67-AS67</f>
        <v>-3.8899999999999935</v>
      </c>
      <c r="BC67" s="1">
        <f t="shared" ref="BC67:BC97" si="94">AU67-AT67</f>
        <v>3.3899999999999935</v>
      </c>
      <c r="BD67" s="1">
        <f t="shared" ref="BD67:BD97" si="95">AV67-AU67</f>
        <v>-4.3399999999999963</v>
      </c>
    </row>
    <row r="68" spans="1:56" hidden="1" x14ac:dyDescent="0.35">
      <c r="A68" s="108" t="s">
        <v>117</v>
      </c>
      <c r="B68" s="1" t="s">
        <v>1007</v>
      </c>
      <c r="C68" s="1" t="s">
        <v>52</v>
      </c>
      <c r="D68" s="1" t="s">
        <v>199</v>
      </c>
      <c r="E68" s="1">
        <f>VLOOKUP(A68,symbol_2[[symbol]:[Price1]],2,)</f>
        <v>313.55</v>
      </c>
      <c r="F68" s="1">
        <f>VLOOKUP(A68,symbol_2[[symbol]:[Price2]],6,)</f>
        <v>307.05</v>
      </c>
      <c r="G68" s="1">
        <f>VLOOKUP(A68,symbol_2[[symbol]:[Price3]],10,)</f>
        <v>305.60000000000002</v>
      </c>
      <c r="H68" s="1">
        <f>VLOOKUP(A68,symbol_2[[symbol]:[Price4]],14,)</f>
        <v>306.35000000000002</v>
      </c>
      <c r="I68" s="1">
        <f>VLOOKUP(A68,symbol_2[[symbol]:[Price5]],18,)</f>
        <v>314.05</v>
      </c>
      <c r="J68" s="109" t="str">
        <f t="shared" si="72"/>
        <v>N</v>
      </c>
      <c r="K68" s="109" t="str">
        <f t="shared" si="73"/>
        <v>N</v>
      </c>
      <c r="L68" s="109" t="str">
        <f t="shared" si="74"/>
        <v>Y</v>
      </c>
      <c r="M68" s="109" t="str">
        <f t="shared" si="75"/>
        <v>Y</v>
      </c>
      <c r="N68" s="110">
        <f t="shared" si="76"/>
        <v>-2.0730346037314624</v>
      </c>
      <c r="O68" s="110">
        <f t="shared" si="77"/>
        <v>-0.47223579221624773</v>
      </c>
      <c r="P68" s="110">
        <f t="shared" si="78"/>
        <v>0.24541884816753926</v>
      </c>
      <c r="Q68" s="110">
        <f t="shared" si="79"/>
        <v>2.5134649910233358</v>
      </c>
      <c r="R68" s="1">
        <f>VLOOKUP(A68,symbol_2[[symbol]:[TV1]],3,)</f>
        <v>0.75</v>
      </c>
      <c r="S68" s="1">
        <f>VLOOKUP(A68,symbol_2[[symbol]:[TV2]],7,)</f>
        <v>0.69</v>
      </c>
      <c r="T68" s="1">
        <f>VLOOKUP(A68,symbol_2[[symbol]:[TV3]],11,)</f>
        <v>0.75</v>
      </c>
      <c r="U68" s="1">
        <f>VLOOKUP(A68,symbol_2[[symbol]:[TV4]],15,)</f>
        <v>1.22</v>
      </c>
      <c r="V68" s="1">
        <f>VLOOKUP(A68,symbol_2[[symbol]:[TV5]],19,)</f>
        <v>0.97</v>
      </c>
      <c r="W68" s="1" t="str">
        <f t="shared" si="80"/>
        <v>N</v>
      </c>
      <c r="X68" s="1" t="str">
        <f t="shared" si="81"/>
        <v>Y</v>
      </c>
      <c r="Y68" s="1" t="str">
        <f t="shared" si="82"/>
        <v>Y</v>
      </c>
      <c r="Z68" s="1" t="str">
        <f t="shared" si="83"/>
        <v>N</v>
      </c>
      <c r="AA68" s="1">
        <f>VLOOKUP(A70,symbol_2[[symbol]:[TradedValue1]],4,)</f>
        <v>191.43</v>
      </c>
      <c r="AB68" s="1">
        <f>VLOOKUP(A68,symbol_2[[symbol]:[TradedValue2]],8,)</f>
        <v>212.67</v>
      </c>
      <c r="AC68" s="1">
        <f>VLOOKUP(A68,symbol_2[[symbol]:[TradedValue3]],12,)</f>
        <v>229.25</v>
      </c>
      <c r="AD68" s="1">
        <f>VLOOKUP(A68,symbol_2[[symbol]:[TradedValue4]],16,)</f>
        <v>377.7</v>
      </c>
      <c r="AE68" s="1">
        <f>VLOOKUP(A68,symbol_2[[symbol]:[TradedValue5]],20,)</f>
        <v>304.52</v>
      </c>
      <c r="AF68" s="1">
        <f>Table2[[#This Row],[TradedValue2]]-Table2[[#This Row],[TradedValue1]]</f>
        <v>21.239999999999981</v>
      </c>
      <c r="AG68" s="1">
        <f>Table2[[#This Row],[TradedValue3]]-Table2[[#This Row],[TradedValue2]]</f>
        <v>16.580000000000013</v>
      </c>
      <c r="AH68" s="1">
        <f>Table2[[#This Row],[TradedValue4]]-Table2[[#This Row],[TradedValue3]]</f>
        <v>148.44999999999999</v>
      </c>
      <c r="AI68" s="1">
        <f>Table2[[#This Row],[TradedValue5]]-Table2[[#This Row],[TradedValue4]]</f>
        <v>-73.180000000000007</v>
      </c>
      <c r="AJ68" s="109" t="str">
        <f>IF(Table2[[#This Row],[TradedValue2]]&gt;Table2[[#This Row],[TradedValue1]],"Y","N")</f>
        <v>Y</v>
      </c>
      <c r="AK68" s="109" t="str">
        <f>IF(Table2[[#This Row],[TradedValue3]]&gt;Table2[[#This Row],[TradedValue2]],"Y","N")</f>
        <v>Y</v>
      </c>
      <c r="AL68" s="109" t="str">
        <f>IF(Table2[[#This Row],[TradedValue5]]&gt;Table2[[#This Row],[TradedValue3]],"Y","N")</f>
        <v>Y</v>
      </c>
      <c r="AM68" s="109" t="str">
        <f>IF(Table2[[#This Row],[TradedValue5]]&gt;Table2[[#This Row],[TradedValue4]],"Y","N")</f>
        <v>N</v>
      </c>
      <c r="AN68" s="1">
        <f t="shared" si="84"/>
        <v>-6.0000000000000053E-2</v>
      </c>
      <c r="AO68" s="1">
        <f t="shared" si="85"/>
        <v>6.0000000000000053E-2</v>
      </c>
      <c r="AP68" s="1">
        <f t="shared" si="86"/>
        <v>0.47</v>
      </c>
      <c r="AQ68" s="1">
        <f t="shared" si="87"/>
        <v>-0.25</v>
      </c>
      <c r="AR68" s="1">
        <f>VLOOKUP(A68,symbol_2[[symbol]:[DelPer1]],5,)</f>
        <v>33.549999999999997</v>
      </c>
      <c r="AS68" s="1">
        <f>VLOOKUP(A68,symbol_2[[symbol]:[DelPer2]],9,)</f>
        <v>41.18</v>
      </c>
      <c r="AT68" s="1">
        <f>VLOOKUP(A68,symbol_2[[symbol]:[DelPer3]],13,)</f>
        <v>43.39</v>
      </c>
      <c r="AU68" s="1">
        <f>VLOOKUP(A68,symbol_2[[symbol]:[DelPer4]],17,)</f>
        <v>43.57</v>
      </c>
      <c r="AV68" s="1">
        <f>VLOOKUP(A68,symbol_2[[symbol]:[DelPer5]],21,)</f>
        <v>29.75</v>
      </c>
      <c r="AW68" s="109" t="str">
        <f t="shared" si="88"/>
        <v>Y</v>
      </c>
      <c r="AX68" s="109" t="str">
        <f t="shared" si="89"/>
        <v>Y</v>
      </c>
      <c r="AY68" s="109" t="str">
        <f t="shared" si="90"/>
        <v>Y</v>
      </c>
      <c r="AZ68" s="109" t="str">
        <f t="shared" si="91"/>
        <v>N</v>
      </c>
      <c r="BA68" s="1">
        <f t="shared" si="92"/>
        <v>7.6300000000000026</v>
      </c>
      <c r="BB68" s="1">
        <f t="shared" si="93"/>
        <v>2.2100000000000009</v>
      </c>
      <c r="BC68" s="1">
        <f t="shared" si="94"/>
        <v>0.17999999999999972</v>
      </c>
      <c r="BD68" s="1">
        <f t="shared" si="95"/>
        <v>-13.82</v>
      </c>
    </row>
    <row r="69" spans="1:56" hidden="1" x14ac:dyDescent="0.35">
      <c r="A69" s="1" t="s">
        <v>192</v>
      </c>
      <c r="B69" s="1" t="s">
        <v>1014</v>
      </c>
      <c r="C69" s="1" t="s">
        <v>52</v>
      </c>
      <c r="D69" s="1" t="s">
        <v>199</v>
      </c>
      <c r="E69" s="1">
        <f>VLOOKUP(A69,symbol_2[[symbol]:[Price1]],2,)</f>
        <v>493.4</v>
      </c>
      <c r="F69" s="1">
        <f>VLOOKUP(A69,symbol_2[[symbol]:[Price2]],6,)</f>
        <v>488.9</v>
      </c>
      <c r="G69" s="1">
        <f>VLOOKUP(A69,symbol_2[[symbol]:[Price3]],10,)</f>
        <v>480.6</v>
      </c>
      <c r="H69" s="1">
        <f>VLOOKUP(A69,symbol_2[[symbol]:[Price4]],14,)</f>
        <v>479</v>
      </c>
      <c r="I69" s="1">
        <f>VLOOKUP(A69,symbol_2[[symbol]:[Price5]],18,)</f>
        <v>491.05</v>
      </c>
      <c r="J69" s="49" t="str">
        <f t="shared" si="72"/>
        <v>N</v>
      </c>
      <c r="K69" s="49" t="str">
        <f t="shared" si="73"/>
        <v>N</v>
      </c>
      <c r="L69" s="49" t="str">
        <f t="shared" si="74"/>
        <v>N</v>
      </c>
      <c r="M69" s="49" t="str">
        <f t="shared" si="75"/>
        <v>Y</v>
      </c>
      <c r="N69" s="52">
        <f t="shared" si="76"/>
        <v>-0.9120389136603162</v>
      </c>
      <c r="O69" s="52">
        <f t="shared" si="77"/>
        <v>-1.6976886888934248</v>
      </c>
      <c r="P69" s="52">
        <f t="shared" si="78"/>
        <v>-0.33291718684977584</v>
      </c>
      <c r="Q69" s="52">
        <f t="shared" si="79"/>
        <v>2.5156576200417562</v>
      </c>
      <c r="R69" s="1">
        <f>VLOOKUP(A69,symbol_2[[symbol]:[TV1]],3,)</f>
        <v>1.04</v>
      </c>
      <c r="S69" s="1">
        <f>VLOOKUP(A69,symbol_2[[symbol]:[TV2]],7,)</f>
        <v>1.65</v>
      </c>
      <c r="T69" s="1">
        <f>VLOOKUP(A69,symbol_2[[symbol]:[TV3]],11,)</f>
        <v>1.61</v>
      </c>
      <c r="U69" s="1">
        <f>VLOOKUP(A69,symbol_2[[symbol]:[TV4]],15,)</f>
        <v>1.27</v>
      </c>
      <c r="V69" s="1">
        <f>VLOOKUP(A69,symbol_2[[symbol]:[TV5]],19,)</f>
        <v>2.0299999999999998</v>
      </c>
      <c r="W69" s="1" t="str">
        <f t="shared" si="80"/>
        <v>Y</v>
      </c>
      <c r="X69" s="1" t="str">
        <f t="shared" si="81"/>
        <v>N</v>
      </c>
      <c r="Y69" s="1" t="str">
        <f t="shared" si="82"/>
        <v>N</v>
      </c>
      <c r="Z69" s="1" t="str">
        <f t="shared" si="83"/>
        <v>Y</v>
      </c>
      <c r="AA69" s="1">
        <f>VLOOKUP(A69,symbol_2[[symbol]:[TradedValue1]],4,)</f>
        <v>507.03</v>
      </c>
      <c r="AB69" s="1">
        <f>VLOOKUP(A69,symbol_2[[symbol]:[TradedValue2]],8,)</f>
        <v>819.1</v>
      </c>
      <c r="AC69" s="1">
        <f>VLOOKUP(A69,symbol_2[[symbol]:[TradedValue3]],12,)</f>
        <v>776.13</v>
      </c>
      <c r="AD69" s="1">
        <f>VLOOKUP(A69,symbol_2[[symbol]:[TradedValue4]],16,)</f>
        <v>616</v>
      </c>
      <c r="AE69" s="1">
        <f>VLOOKUP(A69,symbol_2[[symbol]:[TradedValue5]],20,)</f>
        <v>983.94</v>
      </c>
      <c r="AF69" s="1">
        <f>Table2[[#This Row],[TradedValue2]]-Table2[[#This Row],[TradedValue1]]</f>
        <v>312.07000000000005</v>
      </c>
      <c r="AG69" s="1">
        <f>Table2[[#This Row],[TradedValue3]]-Table2[[#This Row],[TradedValue2]]</f>
        <v>-42.970000000000027</v>
      </c>
      <c r="AH69" s="1">
        <f>Table2[[#This Row],[TradedValue4]]-Table2[[#This Row],[TradedValue3]]</f>
        <v>-160.13</v>
      </c>
      <c r="AI69" s="1">
        <f>Table2[[#This Row],[TradedValue5]]-Table2[[#This Row],[TradedValue4]]</f>
        <v>367.94000000000005</v>
      </c>
      <c r="AJ69" s="49" t="str">
        <f>IF(Table2[[#This Row],[TradedValue2]]&gt;Table2[[#This Row],[TradedValue1]],"Y","N")</f>
        <v>Y</v>
      </c>
      <c r="AK69" s="49" t="str">
        <f>IF(Table2[[#This Row],[TradedValue3]]&gt;Table2[[#This Row],[TradedValue2]],"Y","N")</f>
        <v>N</v>
      </c>
      <c r="AL69" s="49" t="str">
        <f>IF(Table2[[#This Row],[TradedValue5]]&gt;Table2[[#This Row],[TradedValue3]],"Y","N")</f>
        <v>Y</v>
      </c>
      <c r="AM69" s="49" t="str">
        <f>IF(Table2[[#This Row],[TradedValue5]]&gt;Table2[[#This Row],[TradedValue4]],"Y","N")</f>
        <v>Y</v>
      </c>
      <c r="AN69" s="1">
        <f t="shared" si="84"/>
        <v>0.60999999999999988</v>
      </c>
      <c r="AO69" s="1">
        <f t="shared" si="85"/>
        <v>-3.9999999999999813E-2</v>
      </c>
      <c r="AP69" s="1">
        <f t="shared" si="86"/>
        <v>-0.34000000000000008</v>
      </c>
      <c r="AQ69" s="1">
        <f t="shared" si="87"/>
        <v>0.75999999999999979</v>
      </c>
      <c r="AR69" s="1">
        <f>VLOOKUP(A69,symbol_2[[symbol]:[DelPer1]],5,)</f>
        <v>17.7</v>
      </c>
      <c r="AS69" s="1">
        <f>VLOOKUP(A69,symbol_2[[symbol]:[DelPer2]],9,)</f>
        <v>20.58</v>
      </c>
      <c r="AT69" s="1">
        <f>VLOOKUP(A69,symbol_2[[symbol]:[DelPer3]],13,)</f>
        <v>40.04</v>
      </c>
      <c r="AU69" s="1">
        <f>VLOOKUP(A69,symbol_2[[symbol]:[DelPer4]],17,)</f>
        <v>42.15</v>
      </c>
      <c r="AV69" s="1">
        <f>VLOOKUP(A69,symbol_2[[symbol]:[DelPer5]],21,)</f>
        <v>60.88</v>
      </c>
      <c r="AW69" s="49" t="str">
        <f t="shared" si="88"/>
        <v>Y</v>
      </c>
      <c r="AX69" s="49" t="str">
        <f t="shared" si="89"/>
        <v>Y</v>
      </c>
      <c r="AY69" s="49" t="str">
        <f t="shared" si="90"/>
        <v>Y</v>
      </c>
      <c r="AZ69" s="49" t="str">
        <f t="shared" si="91"/>
        <v>Y</v>
      </c>
      <c r="BA69" s="1">
        <f t="shared" si="92"/>
        <v>2.879999999999999</v>
      </c>
      <c r="BB69" s="1">
        <f t="shared" si="93"/>
        <v>19.46</v>
      </c>
      <c r="BC69" s="1">
        <f t="shared" si="94"/>
        <v>2.1099999999999994</v>
      </c>
      <c r="BD69" s="1">
        <f t="shared" si="95"/>
        <v>18.730000000000004</v>
      </c>
    </row>
    <row r="70" spans="1:56" hidden="1" x14ac:dyDescent="0.35">
      <c r="A70" s="1" t="s">
        <v>10</v>
      </c>
      <c r="B70" s="1" t="s">
        <v>1014</v>
      </c>
      <c r="C70" s="1" t="s">
        <v>52</v>
      </c>
      <c r="D70" s="1" t="s">
        <v>199</v>
      </c>
      <c r="E70" s="1">
        <f>VLOOKUP(A70,symbol_2[[symbol]:[Price1]],2,)</f>
        <v>17621.75</v>
      </c>
      <c r="F70" s="1">
        <f>VLOOKUP(A70,symbol_2[[symbol]:[Price2]],6,)</f>
        <v>17410.7</v>
      </c>
      <c r="G70" s="1">
        <f>VLOOKUP(A70,symbol_2[[symbol]:[Price3]],10,)</f>
        <v>16809.3</v>
      </c>
      <c r="H70" s="1">
        <f>VLOOKUP(A70,symbol_2[[symbol]:[Price4]],14,)</f>
        <v>16785.75</v>
      </c>
      <c r="I70" s="1">
        <f>VLOOKUP(A70,symbol_2[[symbol]:[Price5]],18,)</f>
        <v>16972.5</v>
      </c>
      <c r="J70" s="49" t="str">
        <f t="shared" si="72"/>
        <v>N</v>
      </c>
      <c r="K70" s="49" t="str">
        <f t="shared" si="73"/>
        <v>N</v>
      </c>
      <c r="L70" s="49" t="str">
        <f t="shared" si="74"/>
        <v>N</v>
      </c>
      <c r="M70" s="49" t="str">
        <f t="shared" si="75"/>
        <v>Y</v>
      </c>
      <c r="N70" s="52">
        <f t="shared" si="76"/>
        <v>-1.1976676550285827</v>
      </c>
      <c r="O70" s="52">
        <f t="shared" si="77"/>
        <v>-3.4541977060083822</v>
      </c>
      <c r="P70" s="52">
        <f t="shared" si="78"/>
        <v>-0.14010101550926735</v>
      </c>
      <c r="Q70" s="52">
        <f t="shared" si="79"/>
        <v>1.1125508243599482</v>
      </c>
      <c r="R70" s="1">
        <f>VLOOKUP(A70,symbol_2[[symbol]:[TV1]],3,)</f>
        <v>0.01</v>
      </c>
      <c r="S70" s="1">
        <f>VLOOKUP(A70,symbol_2[[symbol]:[TV2]],7,)</f>
        <v>0.06</v>
      </c>
      <c r="T70" s="1">
        <f>VLOOKUP(A70,symbol_2[[symbol]:[TV3]],11,)</f>
        <v>0.03</v>
      </c>
      <c r="U70" s="1">
        <f>VLOOKUP(A70,symbol_2[[symbol]:[TV4]],15,)</f>
        <v>0.03</v>
      </c>
      <c r="V70" s="1">
        <f>VLOOKUP(A70,symbol_2[[symbol]:[TV5]],19,)</f>
        <v>0.02</v>
      </c>
      <c r="W70" s="1" t="str">
        <f t="shared" si="80"/>
        <v>Y</v>
      </c>
      <c r="X70" s="1" t="str">
        <f t="shared" si="81"/>
        <v>N</v>
      </c>
      <c r="Y70" s="1" t="str">
        <f t="shared" si="82"/>
        <v>N</v>
      </c>
      <c r="Z70" s="1" t="str">
        <f t="shared" si="83"/>
        <v>N</v>
      </c>
      <c r="AA70" s="1">
        <f>VLOOKUP(A70,symbol_2[[symbol]:[TradedValue1]],4,)</f>
        <v>191.43</v>
      </c>
      <c r="AB70" s="1">
        <f>VLOOKUP(A70,symbol_2[[symbol]:[TradedValue2]],8,)</f>
        <v>981.57</v>
      </c>
      <c r="AC70" s="1">
        <f>VLOOKUP(A70,symbol_2[[symbol]:[TradedValue3]],12,)</f>
        <v>539.99</v>
      </c>
      <c r="AD70" s="1">
        <f>VLOOKUP(A70,symbol_2[[symbol]:[TradedValue4]],16,)</f>
        <v>538.9</v>
      </c>
      <c r="AE70" s="1">
        <f>VLOOKUP(A70,symbol_2[[symbol]:[TradedValue5]],20,)</f>
        <v>254.96</v>
      </c>
      <c r="AF70" s="1">
        <f>Table2[[#This Row],[TradedValue2]]-Table2[[#This Row],[TradedValue1]]</f>
        <v>790.1400000000001</v>
      </c>
      <c r="AG70" s="1">
        <f>Table2[[#This Row],[TradedValue3]]-Table2[[#This Row],[TradedValue2]]</f>
        <v>-441.58000000000004</v>
      </c>
      <c r="AH70" s="1">
        <f>Table2[[#This Row],[TradedValue4]]-Table2[[#This Row],[TradedValue3]]</f>
        <v>-1.0900000000000318</v>
      </c>
      <c r="AI70" s="1">
        <f>Table2[[#This Row],[TradedValue5]]-Table2[[#This Row],[TradedValue4]]</f>
        <v>-283.93999999999994</v>
      </c>
      <c r="AJ70" s="49" t="str">
        <f>IF(Table2[[#This Row],[TradedValue2]]&gt;Table2[[#This Row],[TradedValue1]],"Y","N")</f>
        <v>Y</v>
      </c>
      <c r="AK70" s="49" t="str">
        <f>IF(Table2[[#This Row],[TradedValue3]]&gt;Table2[[#This Row],[TradedValue2]],"Y","N")</f>
        <v>N</v>
      </c>
      <c r="AL70" s="49" t="str">
        <f>IF(Table2[[#This Row],[TradedValue5]]&gt;Table2[[#This Row],[TradedValue3]],"Y","N")</f>
        <v>N</v>
      </c>
      <c r="AM70" s="49" t="str">
        <f>IF(Table2[[#This Row],[TradedValue5]]&gt;Table2[[#This Row],[TradedValue4]],"Y","N")</f>
        <v>N</v>
      </c>
      <c r="AN70" s="1">
        <f t="shared" si="84"/>
        <v>4.9999999999999996E-2</v>
      </c>
      <c r="AO70" s="1">
        <f t="shared" si="85"/>
        <v>-0.03</v>
      </c>
      <c r="AP70" s="1">
        <f t="shared" si="86"/>
        <v>0</v>
      </c>
      <c r="AQ70" s="1">
        <f t="shared" si="87"/>
        <v>-9.9999999999999985E-3</v>
      </c>
      <c r="AR70" s="1">
        <f>VLOOKUP(A70,symbol_2[[symbol]:[DelPer1]],5,)</f>
        <v>48.64</v>
      </c>
      <c r="AS70" s="1">
        <f>VLOOKUP(A70,symbol_2[[symbol]:[DelPer2]],9,)</f>
        <v>37.29</v>
      </c>
      <c r="AT70" s="1">
        <f>VLOOKUP(A70,symbol_2[[symbol]:[DelPer3]],13,)</f>
        <v>49.75</v>
      </c>
      <c r="AU70" s="1">
        <f>VLOOKUP(A70,symbol_2[[symbol]:[DelPer4]],17,)</f>
        <v>66.63</v>
      </c>
      <c r="AV70" s="1">
        <f>VLOOKUP(A70,symbol_2[[symbol]:[DelPer5]],21,)</f>
        <v>60.01</v>
      </c>
      <c r="AW70" s="49" t="str">
        <f t="shared" si="88"/>
        <v>N</v>
      </c>
      <c r="AX70" s="49" t="str">
        <f t="shared" si="89"/>
        <v>Y</v>
      </c>
      <c r="AY70" s="49" t="str">
        <f t="shared" si="90"/>
        <v>Y</v>
      </c>
      <c r="AZ70" s="49" t="str">
        <f t="shared" si="91"/>
        <v>N</v>
      </c>
      <c r="BA70" s="1">
        <f t="shared" si="92"/>
        <v>-11.350000000000001</v>
      </c>
      <c r="BB70" s="1">
        <f t="shared" si="93"/>
        <v>12.46</v>
      </c>
      <c r="BC70" s="1">
        <f t="shared" si="94"/>
        <v>16.879999999999995</v>
      </c>
      <c r="BD70" s="1">
        <f t="shared" si="95"/>
        <v>-6.6199999999999974</v>
      </c>
    </row>
    <row r="71" spans="1:56" hidden="1" x14ac:dyDescent="0.35">
      <c r="A71" s="1" t="s">
        <v>74</v>
      </c>
      <c r="B71" s="1" t="s">
        <v>1018</v>
      </c>
      <c r="C71" s="1" t="s">
        <v>52</v>
      </c>
      <c r="D71" s="1" t="s">
        <v>199</v>
      </c>
      <c r="E71" s="1">
        <f>VLOOKUP(A71,symbol_2[[symbol]:[Price1]],2,)</f>
        <v>65.95</v>
      </c>
      <c r="F71" s="1">
        <f>VLOOKUP(A71,symbol_2[[symbol]:[Price2]],6,)</f>
        <v>63.25</v>
      </c>
      <c r="G71" s="1">
        <f>VLOOKUP(A71,symbol_2[[symbol]:[Price3]],10,)</f>
        <v>65.25</v>
      </c>
      <c r="H71" s="1">
        <f>VLOOKUP(A71,symbol_2[[symbol]:[Price4]],14,)</f>
        <v>66.55</v>
      </c>
      <c r="I71" s="1">
        <f>VLOOKUP(A71,symbol_2[[symbol]:[Price5]],18,)</f>
        <v>69</v>
      </c>
      <c r="J71" s="49" t="str">
        <f t="shared" si="72"/>
        <v>N</v>
      </c>
      <c r="K71" s="49" t="str">
        <f t="shared" si="73"/>
        <v>Y</v>
      </c>
      <c r="L71" s="49" t="str">
        <f t="shared" si="74"/>
        <v>Y</v>
      </c>
      <c r="M71" s="49" t="str">
        <f t="shared" si="75"/>
        <v>Y</v>
      </c>
      <c r="N71" s="52">
        <f t="shared" si="76"/>
        <v>-4.0940106141015962</v>
      </c>
      <c r="O71" s="52">
        <f t="shared" si="77"/>
        <v>3.1620553359683794</v>
      </c>
      <c r="P71" s="52">
        <f t="shared" si="78"/>
        <v>1.9923371647509533</v>
      </c>
      <c r="Q71" s="52">
        <f t="shared" si="79"/>
        <v>3.6814425244177356</v>
      </c>
      <c r="R71" s="1">
        <f>VLOOKUP(A71,symbol_2[[symbol]:[TV1]],3,)</f>
        <v>15.06</v>
      </c>
      <c r="S71" s="1">
        <f>VLOOKUP(A71,symbol_2[[symbol]:[TV2]],7,)</f>
        <v>10.1</v>
      </c>
      <c r="T71" s="1">
        <f>VLOOKUP(A71,symbol_2[[symbol]:[TV3]],11,)</f>
        <v>12.71</v>
      </c>
      <c r="U71" s="1">
        <f>VLOOKUP(A71,symbol_2[[symbol]:[TV4]],15,)</f>
        <v>22.39</v>
      </c>
      <c r="V71" s="1">
        <f>VLOOKUP(A71,symbol_2[[symbol]:[TV5]],19,)</f>
        <v>10.039999999999999</v>
      </c>
      <c r="W71" s="1" t="str">
        <f t="shared" si="80"/>
        <v>N</v>
      </c>
      <c r="X71" s="1" t="str">
        <f t="shared" si="81"/>
        <v>Y</v>
      </c>
      <c r="Y71" s="1" t="str">
        <f t="shared" si="82"/>
        <v>Y</v>
      </c>
      <c r="Z71" s="1" t="str">
        <f t="shared" si="83"/>
        <v>N</v>
      </c>
      <c r="AA71" s="1">
        <f>VLOOKUP(A71,symbol_2[[symbol]:[TradedValue1]],4,)</f>
        <v>989.32</v>
      </c>
      <c r="AB71" s="1">
        <f>VLOOKUP(A71,symbol_2[[symbol]:[TradedValue2]],8,)</f>
        <v>651.16</v>
      </c>
      <c r="AC71" s="1">
        <f>VLOOKUP(A71,symbol_2[[symbol]:[TradedValue3]],12,)</f>
        <v>813.53</v>
      </c>
      <c r="AD71" s="1">
        <f>VLOOKUP(A71,symbol_2[[symbol]:[TradedValue4]],16,)</f>
        <v>1515.76</v>
      </c>
      <c r="AE71" s="1">
        <f>VLOOKUP(A71,symbol_2[[symbol]:[TradedValue5]],20,)</f>
        <v>687.61</v>
      </c>
      <c r="AF71" s="1">
        <f>Table2[[#This Row],[TradedValue2]]-Table2[[#This Row],[TradedValue1]]</f>
        <v>-338.16000000000008</v>
      </c>
      <c r="AG71" s="1">
        <f>Table2[[#This Row],[TradedValue3]]-Table2[[#This Row],[TradedValue2]]</f>
        <v>162.37</v>
      </c>
      <c r="AH71" s="1">
        <f>Table2[[#This Row],[TradedValue4]]-Table2[[#This Row],[TradedValue3]]</f>
        <v>702.23</v>
      </c>
      <c r="AI71" s="1">
        <f>Table2[[#This Row],[TradedValue5]]-Table2[[#This Row],[TradedValue4]]</f>
        <v>-828.15</v>
      </c>
      <c r="AJ71" s="49" t="str">
        <f>IF(Table2[[#This Row],[TradedValue2]]&gt;Table2[[#This Row],[TradedValue1]],"Y","N")</f>
        <v>N</v>
      </c>
      <c r="AK71" s="49" t="str">
        <f>IF(Table2[[#This Row],[TradedValue3]]&gt;Table2[[#This Row],[TradedValue2]],"Y","N")</f>
        <v>Y</v>
      </c>
      <c r="AL71" s="49" t="str">
        <f>IF(Table2[[#This Row],[TradedValue5]]&gt;Table2[[#This Row],[TradedValue3]],"Y","N")</f>
        <v>N</v>
      </c>
      <c r="AM71" s="49" t="str">
        <f>IF(Table2[[#This Row],[TradedValue5]]&gt;Table2[[#This Row],[TradedValue4]],"Y","N")</f>
        <v>N</v>
      </c>
      <c r="AN71" s="1">
        <f t="shared" si="84"/>
        <v>-4.9600000000000009</v>
      </c>
      <c r="AO71" s="1">
        <f t="shared" si="85"/>
        <v>2.6100000000000012</v>
      </c>
      <c r="AP71" s="1">
        <f t="shared" si="86"/>
        <v>9.68</v>
      </c>
      <c r="AQ71" s="1">
        <f t="shared" si="87"/>
        <v>-12.350000000000001</v>
      </c>
      <c r="AR71" s="1">
        <f>VLOOKUP(A71,symbol_2[[symbol]:[DelPer1]],5,)</f>
        <v>30.81</v>
      </c>
      <c r="AS71" s="1">
        <f>VLOOKUP(A71,symbol_2[[symbol]:[DelPer2]],9,)</f>
        <v>24.51</v>
      </c>
      <c r="AT71" s="1">
        <f>VLOOKUP(A71,symbol_2[[symbol]:[DelPer3]],13,)</f>
        <v>21.41</v>
      </c>
      <c r="AU71" s="1">
        <f>VLOOKUP(A71,symbol_2[[symbol]:[DelPer4]],17,)</f>
        <v>29.56</v>
      </c>
      <c r="AV71" s="1">
        <f>VLOOKUP(A71,symbol_2[[symbol]:[DelPer5]],21,)</f>
        <v>20.92</v>
      </c>
      <c r="AW71" s="49" t="str">
        <f t="shared" si="88"/>
        <v>N</v>
      </c>
      <c r="AX71" s="49" t="str">
        <f t="shared" si="89"/>
        <v>N</v>
      </c>
      <c r="AY71" s="49" t="str">
        <f t="shared" si="90"/>
        <v>Y</v>
      </c>
      <c r="AZ71" s="49" t="str">
        <f t="shared" si="91"/>
        <v>N</v>
      </c>
      <c r="BA71" s="1">
        <f t="shared" si="92"/>
        <v>-6.2999999999999972</v>
      </c>
      <c r="BB71" s="1">
        <f t="shared" si="93"/>
        <v>-3.1000000000000014</v>
      </c>
      <c r="BC71" s="1">
        <f t="shared" si="94"/>
        <v>8.1499999999999986</v>
      </c>
      <c r="BD71" s="1">
        <f t="shared" si="95"/>
        <v>-8.639999999999997</v>
      </c>
    </row>
    <row r="72" spans="1:56" hidden="1" x14ac:dyDescent="0.35">
      <c r="A72" s="1" t="s">
        <v>193</v>
      </c>
      <c r="B72" s="1" t="s">
        <v>1011</v>
      </c>
      <c r="C72" s="1" t="s">
        <v>52</v>
      </c>
      <c r="D72" s="1" t="s">
        <v>199</v>
      </c>
      <c r="E72" s="1">
        <f>VLOOKUP(A72,symbol_2[[symbol]:[Price1]],2,)</f>
        <v>1374.25</v>
      </c>
      <c r="F72" s="1">
        <f>VLOOKUP(A72,symbol_2[[symbol]:[Price2]],6,)</f>
        <v>1426.2</v>
      </c>
      <c r="G72" s="1">
        <f>VLOOKUP(A72,symbol_2[[symbol]:[Price3]],10,)</f>
        <v>1425.1</v>
      </c>
      <c r="H72" s="1">
        <f>VLOOKUP(A72,symbol_2[[symbol]:[Price4]],14,)</f>
        <v>1386.95</v>
      </c>
      <c r="I72" s="1">
        <f>VLOOKUP(A72,symbol_2[[symbol]:[Price5]],18,)</f>
        <v>1422.35</v>
      </c>
      <c r="J72" s="49" t="str">
        <f t="shared" si="72"/>
        <v>Y</v>
      </c>
      <c r="K72" s="49" t="str">
        <f t="shared" si="73"/>
        <v>N</v>
      </c>
      <c r="L72" s="49" t="str">
        <f t="shared" si="74"/>
        <v>N</v>
      </c>
      <c r="M72" s="49" t="str">
        <f t="shared" si="75"/>
        <v>Y</v>
      </c>
      <c r="N72" s="52">
        <f t="shared" si="76"/>
        <v>3.7802437693287283</v>
      </c>
      <c r="O72" s="52">
        <f t="shared" si="77"/>
        <v>-7.7128032534016011E-2</v>
      </c>
      <c r="P72" s="52">
        <f t="shared" si="78"/>
        <v>-2.6770051224475382</v>
      </c>
      <c r="Q72" s="52">
        <f t="shared" si="79"/>
        <v>2.5523630988860351</v>
      </c>
      <c r="R72" s="1">
        <f>VLOOKUP(A72,symbol_2[[symbol]:[TV1]],3,)</f>
        <v>0.82</v>
      </c>
      <c r="S72" s="1">
        <f>VLOOKUP(A72,symbol_2[[symbol]:[TV2]],7,)</f>
        <v>3.38</v>
      </c>
      <c r="T72" s="1">
        <f>VLOOKUP(A72,symbol_2[[symbol]:[TV3]],11,)</f>
        <v>0.93</v>
      </c>
      <c r="U72" s="1">
        <f>VLOOKUP(A72,symbol_2[[symbol]:[TV4]],15,)</f>
        <v>0.81</v>
      </c>
      <c r="V72" s="1">
        <f>VLOOKUP(A72,symbol_2[[symbol]:[TV5]],19,)</f>
        <v>0.38</v>
      </c>
      <c r="W72" s="1" t="str">
        <f t="shared" si="80"/>
        <v>Y</v>
      </c>
      <c r="X72" s="1" t="str">
        <f t="shared" si="81"/>
        <v>N</v>
      </c>
      <c r="Y72" s="1" t="str">
        <f t="shared" si="82"/>
        <v>N</v>
      </c>
      <c r="Z72" s="1" t="str">
        <f t="shared" si="83"/>
        <v>N</v>
      </c>
      <c r="AA72" s="1">
        <f>VLOOKUP(A74,symbol_2[[symbol]:[TradedValue1]],4,)</f>
        <v>2458.91</v>
      </c>
      <c r="AB72" s="1">
        <f>VLOOKUP(A72,symbol_2[[symbol]:[TradedValue2]],8,)</f>
        <v>4820.96</v>
      </c>
      <c r="AC72" s="1">
        <f>VLOOKUP(A72,symbol_2[[symbol]:[TradedValue3]],12,)</f>
        <v>1309.21</v>
      </c>
      <c r="AD72" s="1">
        <f>VLOOKUP(A72,symbol_2[[symbol]:[TradedValue4]],16,)</f>
        <v>1128.54</v>
      </c>
      <c r="AE72" s="1">
        <f>VLOOKUP(A72,symbol_2[[symbol]:[TradedValue5]],20,)</f>
        <v>539.82000000000005</v>
      </c>
      <c r="AF72" s="1">
        <f>Table2[[#This Row],[TradedValue2]]-Table2[[#This Row],[TradedValue1]]</f>
        <v>2362.0500000000002</v>
      </c>
      <c r="AG72" s="1">
        <f>Table2[[#This Row],[TradedValue3]]-Table2[[#This Row],[TradedValue2]]</f>
        <v>-3511.75</v>
      </c>
      <c r="AH72" s="1">
        <f>Table2[[#This Row],[TradedValue4]]-Table2[[#This Row],[TradedValue3]]</f>
        <v>-180.67000000000007</v>
      </c>
      <c r="AI72" s="1">
        <f>Table2[[#This Row],[TradedValue5]]-Table2[[#This Row],[TradedValue4]]</f>
        <v>-588.71999999999991</v>
      </c>
      <c r="AJ72" s="49" t="str">
        <f>IF(Table2[[#This Row],[TradedValue2]]&gt;Table2[[#This Row],[TradedValue1]],"Y","N")</f>
        <v>Y</v>
      </c>
      <c r="AK72" s="49" t="str">
        <f>IF(Table2[[#This Row],[TradedValue3]]&gt;Table2[[#This Row],[TradedValue2]],"Y","N")</f>
        <v>N</v>
      </c>
      <c r="AL72" s="49" t="str">
        <f>IF(Table2[[#This Row],[TradedValue5]]&gt;Table2[[#This Row],[TradedValue3]],"Y","N")</f>
        <v>N</v>
      </c>
      <c r="AM72" s="49" t="str">
        <f>IF(Table2[[#This Row],[TradedValue5]]&gt;Table2[[#This Row],[TradedValue4]],"Y","N")</f>
        <v>N</v>
      </c>
      <c r="AN72" s="1">
        <f t="shared" si="84"/>
        <v>2.56</v>
      </c>
      <c r="AO72" s="1">
        <f t="shared" si="85"/>
        <v>-2.4499999999999997</v>
      </c>
      <c r="AP72" s="1">
        <f t="shared" si="86"/>
        <v>-0.12</v>
      </c>
      <c r="AQ72" s="1">
        <f t="shared" si="87"/>
        <v>-0.43000000000000005</v>
      </c>
      <c r="AR72" s="1">
        <f>VLOOKUP(A72,symbol_2[[symbol]:[DelPer1]],5,)</f>
        <v>41.92</v>
      </c>
      <c r="AS72" s="1">
        <f>VLOOKUP(A72,symbol_2[[symbol]:[DelPer2]],9,)</f>
        <v>14.68</v>
      </c>
      <c r="AT72" s="1">
        <f>VLOOKUP(A72,symbol_2[[symbol]:[DelPer3]],13,)</f>
        <v>13.53</v>
      </c>
      <c r="AU72" s="1">
        <f>VLOOKUP(A72,symbol_2[[symbol]:[DelPer4]],17,)</f>
        <v>42.45</v>
      </c>
      <c r="AV72" s="1">
        <f>VLOOKUP(A72,symbol_2[[symbol]:[DelPer5]],21,)</f>
        <v>15.89</v>
      </c>
      <c r="AW72" s="49" t="str">
        <f t="shared" si="88"/>
        <v>N</v>
      </c>
      <c r="AX72" s="49" t="str">
        <f t="shared" si="89"/>
        <v>N</v>
      </c>
      <c r="AY72" s="49" t="str">
        <f t="shared" si="90"/>
        <v>Y</v>
      </c>
      <c r="AZ72" s="49" t="str">
        <f t="shared" si="91"/>
        <v>N</v>
      </c>
      <c r="BA72" s="1">
        <f t="shared" si="92"/>
        <v>-27.240000000000002</v>
      </c>
      <c r="BB72" s="1">
        <f t="shared" si="93"/>
        <v>-1.1500000000000004</v>
      </c>
      <c r="BC72" s="1">
        <f t="shared" si="94"/>
        <v>28.92</v>
      </c>
      <c r="BD72" s="1">
        <f t="shared" si="95"/>
        <v>-26.560000000000002</v>
      </c>
    </row>
    <row r="73" spans="1:56" hidden="1" x14ac:dyDescent="0.35">
      <c r="A73" s="1" t="s">
        <v>196</v>
      </c>
      <c r="B73" s="1" t="s">
        <v>1022</v>
      </c>
      <c r="C73" s="1" t="s">
        <v>52</v>
      </c>
      <c r="D73" s="1" t="s">
        <v>199</v>
      </c>
      <c r="E73" s="1">
        <f>VLOOKUP(A73,symbol_2[[symbol]:[Price1]],2,)</f>
        <v>207.85</v>
      </c>
      <c r="F73" s="1">
        <f>VLOOKUP(A73,symbol_2[[symbol]:[Price2]],6,)</f>
        <v>205.6</v>
      </c>
      <c r="G73" s="1">
        <f>VLOOKUP(A73,symbol_2[[symbol]:[Price3]],10,)</f>
        <v>207.35</v>
      </c>
      <c r="H73" s="1">
        <f>VLOOKUP(A73,symbol_2[[symbol]:[Price4]],14,)</f>
        <v>206.35</v>
      </c>
      <c r="I73" s="1">
        <f>VLOOKUP(A73,symbol_2[[symbol]:[Price5]],18,)</f>
        <v>209.55</v>
      </c>
      <c r="J73" s="49" t="str">
        <f t="shared" si="72"/>
        <v>N</v>
      </c>
      <c r="K73" s="49" t="str">
        <f t="shared" si="73"/>
        <v>Y</v>
      </c>
      <c r="L73" s="49" t="str">
        <f t="shared" si="74"/>
        <v>N</v>
      </c>
      <c r="M73" s="49" t="str">
        <f t="shared" si="75"/>
        <v>Y</v>
      </c>
      <c r="N73" s="52">
        <f t="shared" si="76"/>
        <v>-1.0825114265095022</v>
      </c>
      <c r="O73" s="52">
        <f t="shared" si="77"/>
        <v>0.85116731517509736</v>
      </c>
      <c r="P73" s="52">
        <f t="shared" si="78"/>
        <v>-0.48227634434530986</v>
      </c>
      <c r="Q73" s="52">
        <f t="shared" si="79"/>
        <v>1.5507632662951381</v>
      </c>
      <c r="R73" s="1">
        <f>VLOOKUP(A73,symbol_2[[symbol]:[TV1]],3,)</f>
        <v>0.87</v>
      </c>
      <c r="S73" s="1">
        <f>VLOOKUP(A73,symbol_2[[symbol]:[TV2]],7,)</f>
        <v>0.28000000000000003</v>
      </c>
      <c r="T73" s="1">
        <f>VLOOKUP(A73,symbol_2[[symbol]:[TV3]],11,)</f>
        <v>0.41</v>
      </c>
      <c r="U73" s="1">
        <f>VLOOKUP(A73,symbol_2[[symbol]:[TV4]],15,)</f>
        <v>0.39</v>
      </c>
      <c r="V73" s="1">
        <f>VLOOKUP(A73,symbol_2[[symbol]:[TV5]],19,)</f>
        <v>0.66</v>
      </c>
      <c r="W73" s="1" t="str">
        <f t="shared" si="80"/>
        <v>N</v>
      </c>
      <c r="X73" s="1" t="str">
        <f t="shared" si="81"/>
        <v>Y</v>
      </c>
      <c r="Y73" s="1" t="str">
        <f t="shared" si="82"/>
        <v>N</v>
      </c>
      <c r="Z73" s="1" t="str">
        <f t="shared" si="83"/>
        <v>Y</v>
      </c>
      <c r="AA73" s="1">
        <f>VLOOKUP(A73,symbol_2[[symbol]:[TradedValue1]],4,)</f>
        <v>182.53</v>
      </c>
      <c r="AB73" s="1">
        <f>VLOOKUP(A73,symbol_2[[symbol]:[TradedValue2]],8,)</f>
        <v>57.11</v>
      </c>
      <c r="AC73" s="1">
        <f>VLOOKUP(A73,symbol_2[[symbol]:[TradedValue3]],12,)</f>
        <v>83.94</v>
      </c>
      <c r="AD73" s="1">
        <f>VLOOKUP(A73,symbol_2[[symbol]:[TradedValue4]],16,)</f>
        <v>81.260000000000005</v>
      </c>
      <c r="AE73" s="1">
        <f>VLOOKUP(A73,symbol_2[[symbol]:[TradedValue5]],20,)</f>
        <v>138.6</v>
      </c>
      <c r="AF73" s="1">
        <f>Table2[[#This Row],[TradedValue2]]-Table2[[#This Row],[TradedValue1]]</f>
        <v>-125.42</v>
      </c>
      <c r="AG73" s="1">
        <f>Table2[[#This Row],[TradedValue3]]-Table2[[#This Row],[TradedValue2]]</f>
        <v>26.83</v>
      </c>
      <c r="AH73" s="1">
        <f>Table2[[#This Row],[TradedValue4]]-Table2[[#This Row],[TradedValue3]]</f>
        <v>-2.6799999999999926</v>
      </c>
      <c r="AI73" s="1">
        <f>Table2[[#This Row],[TradedValue5]]-Table2[[#This Row],[TradedValue4]]</f>
        <v>57.339999999999989</v>
      </c>
      <c r="AJ73" s="49" t="str">
        <f>IF(Table2[[#This Row],[TradedValue2]]&gt;Table2[[#This Row],[TradedValue1]],"Y","N")</f>
        <v>N</v>
      </c>
      <c r="AK73" s="49" t="str">
        <f>IF(Table2[[#This Row],[TradedValue3]]&gt;Table2[[#This Row],[TradedValue2]],"Y","N")</f>
        <v>Y</v>
      </c>
      <c r="AL73" s="49" t="str">
        <f>IF(Table2[[#This Row],[TradedValue5]]&gt;Table2[[#This Row],[TradedValue3]],"Y","N")</f>
        <v>Y</v>
      </c>
      <c r="AM73" s="49" t="str">
        <f>IF(Table2[[#This Row],[TradedValue5]]&gt;Table2[[#This Row],[TradedValue4]],"Y","N")</f>
        <v>Y</v>
      </c>
      <c r="AN73" s="1">
        <f t="shared" si="84"/>
        <v>-0.59</v>
      </c>
      <c r="AO73" s="1">
        <f t="shared" si="85"/>
        <v>0.12999999999999995</v>
      </c>
      <c r="AP73" s="1">
        <f t="shared" si="86"/>
        <v>-1.9999999999999962E-2</v>
      </c>
      <c r="AQ73" s="1">
        <f t="shared" si="87"/>
        <v>0.27</v>
      </c>
      <c r="AR73" s="1">
        <f>VLOOKUP(A73,symbol_2[[symbol]:[DelPer1]],5,)</f>
        <v>57.28</v>
      </c>
      <c r="AS73" s="1">
        <f>VLOOKUP(A73,symbol_2[[symbol]:[DelPer2]],9,)</f>
        <v>38.39</v>
      </c>
      <c r="AT73" s="1">
        <f>VLOOKUP(A73,symbol_2[[symbol]:[DelPer3]],13,)</f>
        <v>33.409999999999997</v>
      </c>
      <c r="AU73" s="1">
        <f>VLOOKUP(A73,symbol_2[[symbol]:[DelPer4]],17,)</f>
        <v>30.22</v>
      </c>
      <c r="AV73" s="1">
        <f>VLOOKUP(A73,symbol_2[[symbol]:[DelPer5]],21,)</f>
        <v>43.62</v>
      </c>
      <c r="AW73" s="49" t="str">
        <f t="shared" si="88"/>
        <v>N</v>
      </c>
      <c r="AX73" s="49" t="str">
        <f t="shared" si="89"/>
        <v>N</v>
      </c>
      <c r="AY73" s="49" t="str">
        <f t="shared" si="90"/>
        <v>N</v>
      </c>
      <c r="AZ73" s="49" t="str">
        <f t="shared" si="91"/>
        <v>Y</v>
      </c>
      <c r="BA73" s="1">
        <f t="shared" si="92"/>
        <v>-18.89</v>
      </c>
      <c r="BB73" s="1">
        <f t="shared" si="93"/>
        <v>-4.980000000000004</v>
      </c>
      <c r="BC73" s="1">
        <f t="shared" si="94"/>
        <v>-3.1899999999999977</v>
      </c>
      <c r="BD73" s="1">
        <f t="shared" si="95"/>
        <v>13.399999999999999</v>
      </c>
    </row>
    <row r="74" spans="1:56" hidden="1" x14ac:dyDescent="0.35">
      <c r="A74" s="116" t="s">
        <v>169</v>
      </c>
      <c r="B74" s="1" t="s">
        <v>1006</v>
      </c>
      <c r="C74" s="1" t="s">
        <v>52</v>
      </c>
      <c r="D74" s="1" t="s">
        <v>199</v>
      </c>
      <c r="E74" s="1">
        <f>VLOOKUP(A74,symbol_2[[symbol]:[Price1]],2,)</f>
        <v>124.15</v>
      </c>
      <c r="F74" s="1">
        <f>VLOOKUP(A74,symbol_2[[symbol]:[Price2]],6,)</f>
        <v>121.55</v>
      </c>
      <c r="G74" s="1">
        <f>VLOOKUP(A74,symbol_2[[symbol]:[Price3]],10,)</f>
        <v>128.30000000000001</v>
      </c>
      <c r="H74" s="1">
        <f>VLOOKUP(A74,symbol_2[[symbol]:[Price4]],14,)</f>
        <v>131.94999999999999</v>
      </c>
      <c r="I74" s="1">
        <f>VLOOKUP(A74,symbol_2[[symbol]:[Price5]],18,)</f>
        <v>136.55000000000001</v>
      </c>
      <c r="J74" s="49" t="str">
        <f t="shared" si="72"/>
        <v>N</v>
      </c>
      <c r="K74" s="49" t="str">
        <f t="shared" si="73"/>
        <v>Y</v>
      </c>
      <c r="L74" s="49" t="str">
        <f t="shared" si="74"/>
        <v>Y</v>
      </c>
      <c r="M74" s="49" t="str">
        <f t="shared" si="75"/>
        <v>Y</v>
      </c>
      <c r="N74" s="52">
        <f t="shared" si="76"/>
        <v>-2.0942408376963417</v>
      </c>
      <c r="O74" s="52">
        <f t="shared" si="77"/>
        <v>5.5532702591526242</v>
      </c>
      <c r="P74" s="52">
        <f t="shared" si="78"/>
        <v>2.8448947778643623</v>
      </c>
      <c r="Q74" s="52">
        <f t="shared" si="79"/>
        <v>3.4861690034104007</v>
      </c>
      <c r="R74" s="1">
        <f>VLOOKUP(A74,symbol_2[[symbol]:[TV1]],3,)</f>
        <v>20.190000000000001</v>
      </c>
      <c r="S74" s="1">
        <f>VLOOKUP(A74,symbol_2[[symbol]:[TV2]],7,)</f>
        <v>13.06</v>
      </c>
      <c r="T74" s="1">
        <f>VLOOKUP(A74,symbol_2[[symbol]:[TV3]],11,)</f>
        <v>16.23</v>
      </c>
      <c r="U74" s="1">
        <f>VLOOKUP(A74,symbol_2[[symbol]:[TV4]],15,)</f>
        <v>20.37</v>
      </c>
      <c r="V74" s="1">
        <f>VLOOKUP(A74,symbol_2[[symbol]:[TV5]],19,)</f>
        <v>17.739999999999998</v>
      </c>
      <c r="W74" s="1" t="str">
        <f t="shared" si="80"/>
        <v>N</v>
      </c>
      <c r="X74" s="1" t="str">
        <f t="shared" si="81"/>
        <v>Y</v>
      </c>
      <c r="Y74" s="1" t="str">
        <f t="shared" si="82"/>
        <v>Y</v>
      </c>
      <c r="Z74" s="1" t="str">
        <f t="shared" si="83"/>
        <v>N</v>
      </c>
      <c r="AA74" s="1">
        <f>VLOOKUP(A76,symbol_2[[symbol]:[TradedValue1]],4,)</f>
        <v>1240.8800000000001</v>
      </c>
      <c r="AB74" s="1">
        <f>VLOOKUP(A74,symbol_2[[symbol]:[TradedValue2]],8,)</f>
        <v>1606.9</v>
      </c>
      <c r="AC74" s="1">
        <f>VLOOKUP(A74,symbol_2[[symbol]:[TradedValue3]],12,)</f>
        <v>2027.2</v>
      </c>
      <c r="AD74" s="1">
        <f>VLOOKUP(A74,symbol_2[[symbol]:[TradedValue4]],16,)</f>
        <v>2738.21</v>
      </c>
      <c r="AE74" s="1">
        <f>VLOOKUP(A74,symbol_2[[symbol]:[TradedValue5]],20,)</f>
        <v>2409.9</v>
      </c>
      <c r="AF74" s="1">
        <f>Table2[[#This Row],[TradedValue2]]-Table2[[#This Row],[TradedValue1]]</f>
        <v>366.02</v>
      </c>
      <c r="AG74" s="1">
        <f>Table2[[#This Row],[TradedValue3]]-Table2[[#This Row],[TradedValue2]]</f>
        <v>420.29999999999995</v>
      </c>
      <c r="AH74" s="1">
        <f>Table2[[#This Row],[TradedValue4]]-Table2[[#This Row],[TradedValue3]]</f>
        <v>711.01</v>
      </c>
      <c r="AI74" s="1">
        <f>Table2[[#This Row],[TradedValue5]]-Table2[[#This Row],[TradedValue4]]</f>
        <v>-328.30999999999995</v>
      </c>
      <c r="AJ74" s="49" t="str">
        <f>IF(Table2[[#This Row],[TradedValue2]]&gt;Table2[[#This Row],[TradedValue1]],"Y","N")</f>
        <v>Y</v>
      </c>
      <c r="AK74" s="49" t="str">
        <f>IF(Table2[[#This Row],[TradedValue3]]&gt;Table2[[#This Row],[TradedValue2]],"Y","N")</f>
        <v>Y</v>
      </c>
      <c r="AL74" s="49" t="str">
        <f>IF(Table2[[#This Row],[TradedValue5]]&gt;Table2[[#This Row],[TradedValue3]],"Y","N")</f>
        <v>Y</v>
      </c>
      <c r="AM74" s="49" t="str">
        <f>IF(Table2[[#This Row],[TradedValue5]]&gt;Table2[[#This Row],[TradedValue4]],"Y","N")</f>
        <v>N</v>
      </c>
      <c r="AN74" s="1">
        <f t="shared" si="84"/>
        <v>-7.1300000000000008</v>
      </c>
      <c r="AO74" s="1">
        <f t="shared" si="85"/>
        <v>3.17</v>
      </c>
      <c r="AP74" s="1">
        <f t="shared" si="86"/>
        <v>4.1400000000000006</v>
      </c>
      <c r="AQ74" s="1">
        <f t="shared" si="87"/>
        <v>-2.6300000000000026</v>
      </c>
      <c r="AR74" s="1">
        <f>VLOOKUP(A74,symbol_2[[symbol]:[DelPer1]],5,)</f>
        <v>16.010000000000002</v>
      </c>
      <c r="AS74" s="1">
        <f>VLOOKUP(A74,symbol_2[[symbol]:[DelPer2]],9,)</f>
        <v>14.08</v>
      </c>
      <c r="AT74" s="1">
        <f>VLOOKUP(A74,symbol_2[[symbol]:[DelPer3]],13,)</f>
        <v>12.02</v>
      </c>
      <c r="AU74" s="1">
        <f>VLOOKUP(A74,symbol_2[[symbol]:[DelPer4]],17,)</f>
        <v>17.559999999999999</v>
      </c>
      <c r="AV74" s="1">
        <f>VLOOKUP(A74,symbol_2[[symbol]:[DelPer5]],21,)</f>
        <v>10.48</v>
      </c>
      <c r="AW74" s="49" t="str">
        <f t="shared" si="88"/>
        <v>N</v>
      </c>
      <c r="AX74" s="49" t="str">
        <f t="shared" si="89"/>
        <v>N</v>
      </c>
      <c r="AY74" s="49" t="str">
        <f t="shared" si="90"/>
        <v>Y</v>
      </c>
      <c r="AZ74" s="49" t="str">
        <f t="shared" si="91"/>
        <v>N</v>
      </c>
      <c r="BA74" s="1">
        <f t="shared" si="92"/>
        <v>-1.9300000000000015</v>
      </c>
      <c r="BB74" s="1">
        <f t="shared" si="93"/>
        <v>-2.0600000000000005</v>
      </c>
      <c r="BC74" s="1">
        <f t="shared" si="94"/>
        <v>5.5399999999999991</v>
      </c>
      <c r="BD74" s="1">
        <f t="shared" si="95"/>
        <v>-7.0799999999999983</v>
      </c>
    </row>
    <row r="75" spans="1:56" hidden="1" x14ac:dyDescent="0.35">
      <c r="A75" s="116" t="s">
        <v>160</v>
      </c>
      <c r="B75" s="1" t="s">
        <v>1007</v>
      </c>
      <c r="C75" s="1" t="s">
        <v>52</v>
      </c>
      <c r="D75" s="1" t="s">
        <v>199</v>
      </c>
      <c r="E75" s="1">
        <f>VLOOKUP(A75,symbol_2[[symbol]:[Price1]],2,)</f>
        <v>236</v>
      </c>
      <c r="F75" s="1">
        <f>VLOOKUP(A75,symbol_2[[symbol]:[Price2]],6,)</f>
        <v>240.3</v>
      </c>
      <c r="G75" s="1">
        <f>VLOOKUP(A75,symbol_2[[symbol]:[Price3]],10,)</f>
        <v>237</v>
      </c>
      <c r="H75" s="1">
        <f>VLOOKUP(A75,symbol_2[[symbol]:[Price4]],14,)</f>
        <v>238.3</v>
      </c>
      <c r="I75" s="1">
        <f>VLOOKUP(A75,symbol_2[[symbol]:[Price5]],18,)</f>
        <v>242.1</v>
      </c>
      <c r="J75" s="49" t="str">
        <f t="shared" si="72"/>
        <v>Y</v>
      </c>
      <c r="K75" s="49" t="str">
        <f t="shared" si="73"/>
        <v>N</v>
      </c>
      <c r="L75" s="49" t="str">
        <f t="shared" si="74"/>
        <v>Y</v>
      </c>
      <c r="M75" s="49" t="str">
        <f t="shared" si="75"/>
        <v>Y</v>
      </c>
      <c r="N75" s="52">
        <f t="shared" si="76"/>
        <v>1.8220338983050897</v>
      </c>
      <c r="O75" s="52">
        <f t="shared" si="77"/>
        <v>-1.3732833957553106</v>
      </c>
      <c r="P75" s="52">
        <f t="shared" si="78"/>
        <v>0.5485232067510597</v>
      </c>
      <c r="Q75" s="52">
        <f t="shared" si="79"/>
        <v>1.5946286193873196</v>
      </c>
      <c r="R75" s="1">
        <f>VLOOKUP(A75,symbol_2[[symbol]:[TV1]],3,)</f>
        <v>4.78</v>
      </c>
      <c r="S75" s="1">
        <f>VLOOKUP(A75,symbol_2[[symbol]:[TV2]],7,)</f>
        <v>2.0099999999999998</v>
      </c>
      <c r="T75" s="1">
        <f>VLOOKUP(A75,symbol_2[[symbol]:[TV3]],11,)</f>
        <v>2.4500000000000002</v>
      </c>
      <c r="U75" s="1">
        <f>VLOOKUP(A75,symbol_2[[symbol]:[TV4]],15,)</f>
        <v>2.2599999999999998</v>
      </c>
      <c r="V75" s="1">
        <f>VLOOKUP(A75,symbol_2[[symbol]:[TV5]],19,)</f>
        <v>3.57</v>
      </c>
      <c r="W75" s="1" t="str">
        <f t="shared" si="80"/>
        <v>N</v>
      </c>
      <c r="X75" s="1" t="str">
        <f t="shared" si="81"/>
        <v>Y</v>
      </c>
      <c r="Y75" s="1" t="str">
        <f t="shared" si="82"/>
        <v>N</v>
      </c>
      <c r="Z75" s="1" t="str">
        <f t="shared" si="83"/>
        <v>Y</v>
      </c>
      <c r="AA75" s="1">
        <f>VLOOKUP(A77,symbol_2[[symbol]:[TradedValue1]],4,)</f>
        <v>582.25</v>
      </c>
      <c r="AB75" s="1">
        <f>VLOOKUP(A75,symbol_2[[symbol]:[TradedValue2]],8,)</f>
        <v>481.2</v>
      </c>
      <c r="AC75" s="1">
        <f>VLOOKUP(A75,symbol_2[[symbol]:[TradedValue3]],12,)</f>
        <v>579.57000000000005</v>
      </c>
      <c r="AD75" s="1">
        <f>VLOOKUP(A75,symbol_2[[symbol]:[TradedValue4]],16,)</f>
        <v>543.71</v>
      </c>
      <c r="AE75" s="1">
        <f>VLOOKUP(A75,symbol_2[[symbol]:[TradedValue5]],20,)</f>
        <v>869.16</v>
      </c>
      <c r="AF75" s="1">
        <f>Table2[[#This Row],[TradedValue2]]-Table2[[#This Row],[TradedValue1]]</f>
        <v>-101.05000000000001</v>
      </c>
      <c r="AG75" s="1">
        <f>Table2[[#This Row],[TradedValue3]]-Table2[[#This Row],[TradedValue2]]</f>
        <v>98.370000000000061</v>
      </c>
      <c r="AH75" s="1">
        <f>Table2[[#This Row],[TradedValue4]]-Table2[[#This Row],[TradedValue3]]</f>
        <v>-35.860000000000014</v>
      </c>
      <c r="AI75" s="1">
        <f>Table2[[#This Row],[TradedValue5]]-Table2[[#This Row],[TradedValue4]]</f>
        <v>325.44999999999993</v>
      </c>
      <c r="AJ75" s="49" t="str">
        <f>IF(Table2[[#This Row],[TradedValue2]]&gt;Table2[[#This Row],[TradedValue1]],"Y","N")</f>
        <v>N</v>
      </c>
      <c r="AK75" s="49" t="str">
        <f>IF(Table2[[#This Row],[TradedValue3]]&gt;Table2[[#This Row],[TradedValue2]],"Y","N")</f>
        <v>Y</v>
      </c>
      <c r="AL75" s="49" t="str">
        <f>IF(Table2[[#This Row],[TradedValue5]]&gt;Table2[[#This Row],[TradedValue3]],"Y","N")</f>
        <v>Y</v>
      </c>
      <c r="AM75" s="49" t="str">
        <f>IF(Table2[[#This Row],[TradedValue5]]&gt;Table2[[#This Row],[TradedValue4]],"Y","N")</f>
        <v>Y</v>
      </c>
      <c r="AN75" s="1">
        <f t="shared" si="84"/>
        <v>-2.7700000000000005</v>
      </c>
      <c r="AO75" s="1">
        <f t="shared" si="85"/>
        <v>0.44000000000000039</v>
      </c>
      <c r="AP75" s="1">
        <f t="shared" si="86"/>
        <v>-0.19000000000000039</v>
      </c>
      <c r="AQ75" s="1">
        <f t="shared" si="87"/>
        <v>1.31</v>
      </c>
      <c r="AR75" s="1">
        <f>VLOOKUP(A75,symbol_2[[symbol]:[DelPer1]],5,)</f>
        <v>67.33</v>
      </c>
      <c r="AS75" s="1">
        <f>VLOOKUP(A75,symbol_2[[symbol]:[DelPer2]],9,)</f>
        <v>43.53</v>
      </c>
      <c r="AT75" s="1">
        <f>VLOOKUP(A75,symbol_2[[symbol]:[DelPer3]],13,)</f>
        <v>61.53</v>
      </c>
      <c r="AU75" s="1">
        <f>VLOOKUP(A75,symbol_2[[symbol]:[DelPer4]],17,)</f>
        <v>50.7</v>
      </c>
      <c r="AV75" s="1">
        <f>VLOOKUP(A75,symbol_2[[symbol]:[DelPer5]],21,)</f>
        <v>55.1</v>
      </c>
      <c r="AW75" s="49" t="str">
        <f t="shared" si="88"/>
        <v>N</v>
      </c>
      <c r="AX75" s="49" t="str">
        <f t="shared" si="89"/>
        <v>Y</v>
      </c>
      <c r="AY75" s="49" t="str">
        <f t="shared" si="90"/>
        <v>N</v>
      </c>
      <c r="AZ75" s="49" t="str">
        <f t="shared" si="91"/>
        <v>Y</v>
      </c>
      <c r="BA75" s="1">
        <f t="shared" si="92"/>
        <v>-23.799999999999997</v>
      </c>
      <c r="BB75" s="1">
        <f t="shared" si="93"/>
        <v>18</v>
      </c>
      <c r="BC75" s="1">
        <f t="shared" si="94"/>
        <v>-10.829999999999998</v>
      </c>
      <c r="BD75" s="1">
        <f t="shared" si="95"/>
        <v>4.3999999999999986</v>
      </c>
    </row>
    <row r="76" spans="1:56" hidden="1" x14ac:dyDescent="0.35">
      <c r="A76" s="116" t="s">
        <v>170</v>
      </c>
      <c r="B76" s="1" t="s">
        <v>1025</v>
      </c>
      <c r="C76" s="1" t="s">
        <v>52</v>
      </c>
      <c r="D76" s="1" t="s">
        <v>199</v>
      </c>
      <c r="E76" s="1">
        <f>VLOOKUP(A76,symbol_2[[symbol]:[Price1]],2,)</f>
        <v>121.4</v>
      </c>
      <c r="F76" s="1">
        <f>VLOOKUP(A76,symbol_2[[symbol]:[Price2]],6,)</f>
        <v>118.25</v>
      </c>
      <c r="G76" s="1">
        <f>VLOOKUP(A76,symbol_2[[symbol]:[Price3]],10,)</f>
        <v>121.35</v>
      </c>
      <c r="H76" s="1">
        <f>VLOOKUP(A76,symbol_2[[symbol]:[Price4]],14,)</f>
        <v>114.45</v>
      </c>
      <c r="I76" s="1">
        <f>VLOOKUP(A76,symbol_2[[symbol]:[Price5]],18,)</f>
        <v>111.9</v>
      </c>
      <c r="J76" s="49" t="str">
        <f t="shared" si="72"/>
        <v>N</v>
      </c>
      <c r="K76" s="49" t="str">
        <f t="shared" si="73"/>
        <v>Y</v>
      </c>
      <c r="L76" s="49" t="str">
        <f t="shared" si="74"/>
        <v>N</v>
      </c>
      <c r="M76" s="49" t="str">
        <f t="shared" si="75"/>
        <v>N</v>
      </c>
      <c r="N76" s="52">
        <f t="shared" si="76"/>
        <v>-2.5947281713344363</v>
      </c>
      <c r="O76" s="52">
        <f t="shared" si="77"/>
        <v>2.6215644820295934</v>
      </c>
      <c r="P76" s="52">
        <f t="shared" si="78"/>
        <v>-5.6860321384425152</v>
      </c>
      <c r="Q76" s="52">
        <f t="shared" si="79"/>
        <v>-2.22804718217562</v>
      </c>
      <c r="R76" s="1">
        <f>VLOOKUP(A76,symbol_2[[symbol]:[TV1]],3,)</f>
        <v>10.58</v>
      </c>
      <c r="S76" s="1">
        <f>VLOOKUP(A76,symbol_2[[symbol]:[TV2]],7,)</f>
        <v>8.75</v>
      </c>
      <c r="T76" s="1">
        <f>VLOOKUP(A76,symbol_2[[symbol]:[TV3]],11,)</f>
        <v>7.46</v>
      </c>
      <c r="U76" s="1">
        <f>VLOOKUP(A76,symbol_2[[symbol]:[TV4]],15,)</f>
        <v>14.64</v>
      </c>
      <c r="V76" s="1">
        <f>VLOOKUP(A76,symbol_2[[symbol]:[TV5]],19,)</f>
        <v>10.16</v>
      </c>
      <c r="W76" s="1" t="str">
        <f t="shared" si="80"/>
        <v>N</v>
      </c>
      <c r="X76" s="1" t="str">
        <f t="shared" si="81"/>
        <v>N</v>
      </c>
      <c r="Y76" s="1" t="str">
        <f t="shared" si="82"/>
        <v>Y</v>
      </c>
      <c r="Z76" s="1" t="str">
        <f t="shared" si="83"/>
        <v>N</v>
      </c>
      <c r="AA76" s="1">
        <f>VLOOKUP(A78,symbol_2[[symbol]:[TradedValue1]],4,)</f>
        <v>4308.45</v>
      </c>
      <c r="AB76" s="1">
        <f>VLOOKUP(A76,symbol_2[[symbol]:[TradedValue2]],8,)</f>
        <v>1045.3599999999999</v>
      </c>
      <c r="AC76" s="1">
        <f>VLOOKUP(A76,symbol_2[[symbol]:[TradedValue3]],12,)</f>
        <v>890.01</v>
      </c>
      <c r="AD76" s="1">
        <f>VLOOKUP(A76,symbol_2[[symbol]:[TradedValue4]],16,)</f>
        <v>1767.15</v>
      </c>
      <c r="AE76" s="1">
        <f>VLOOKUP(A76,symbol_2[[symbol]:[TradedValue5]],20,)</f>
        <v>1153.4100000000001</v>
      </c>
      <c r="AF76" s="1">
        <f>Table2[[#This Row],[TradedValue2]]-Table2[[#This Row],[TradedValue1]]</f>
        <v>-3263.09</v>
      </c>
      <c r="AG76" s="1">
        <f>Table2[[#This Row],[TradedValue3]]-Table2[[#This Row],[TradedValue2]]</f>
        <v>-155.34999999999991</v>
      </c>
      <c r="AH76" s="1">
        <f>Table2[[#This Row],[TradedValue4]]-Table2[[#This Row],[TradedValue3]]</f>
        <v>877.1400000000001</v>
      </c>
      <c r="AI76" s="1">
        <f>Table2[[#This Row],[TradedValue5]]-Table2[[#This Row],[TradedValue4]]</f>
        <v>-613.74</v>
      </c>
      <c r="AJ76" s="49" t="str">
        <f>IF(Table2[[#This Row],[TradedValue2]]&gt;Table2[[#This Row],[TradedValue1]],"Y","N")</f>
        <v>N</v>
      </c>
      <c r="AK76" s="49" t="str">
        <f>IF(Table2[[#This Row],[TradedValue3]]&gt;Table2[[#This Row],[TradedValue2]],"Y","N")</f>
        <v>N</v>
      </c>
      <c r="AL76" s="49" t="str">
        <f>IF(Table2[[#This Row],[TradedValue5]]&gt;Table2[[#This Row],[TradedValue3]],"Y","N")</f>
        <v>Y</v>
      </c>
      <c r="AM76" s="49" t="str">
        <f>IF(Table2[[#This Row],[TradedValue5]]&gt;Table2[[#This Row],[TradedValue4]],"Y","N")</f>
        <v>N</v>
      </c>
      <c r="AN76" s="1">
        <f t="shared" si="84"/>
        <v>-1.83</v>
      </c>
      <c r="AO76" s="1">
        <f t="shared" si="85"/>
        <v>-1.29</v>
      </c>
      <c r="AP76" s="1">
        <f t="shared" si="86"/>
        <v>7.1800000000000006</v>
      </c>
      <c r="AQ76" s="1">
        <f t="shared" si="87"/>
        <v>-4.4800000000000004</v>
      </c>
      <c r="AR76" s="1">
        <f>VLOOKUP(A76,symbol_2[[symbol]:[DelPer1]],5,)</f>
        <v>15.45</v>
      </c>
      <c r="AS76" s="1">
        <f>VLOOKUP(A76,symbol_2[[symbol]:[DelPer2]],9,)</f>
        <v>13.92</v>
      </c>
      <c r="AT76" s="1">
        <f>VLOOKUP(A76,symbol_2[[symbol]:[DelPer3]],13,)</f>
        <v>15.42</v>
      </c>
      <c r="AU76" s="1">
        <f>VLOOKUP(A76,symbol_2[[symbol]:[DelPer4]],17,)</f>
        <v>22.98</v>
      </c>
      <c r="AV76" s="1">
        <f>VLOOKUP(A76,symbol_2[[symbol]:[DelPer5]],21,)</f>
        <v>27.39</v>
      </c>
      <c r="AW76" s="49" t="str">
        <f t="shared" si="88"/>
        <v>N</v>
      </c>
      <c r="AX76" s="49" t="str">
        <f t="shared" si="89"/>
        <v>Y</v>
      </c>
      <c r="AY76" s="49" t="str">
        <f t="shared" si="90"/>
        <v>Y</v>
      </c>
      <c r="AZ76" s="49" t="str">
        <f t="shared" si="91"/>
        <v>Y</v>
      </c>
      <c r="BA76" s="1">
        <f t="shared" si="92"/>
        <v>-1.5299999999999994</v>
      </c>
      <c r="BB76" s="1">
        <f t="shared" si="93"/>
        <v>1.5</v>
      </c>
      <c r="BC76" s="1">
        <f t="shared" si="94"/>
        <v>7.5600000000000005</v>
      </c>
      <c r="BD76" s="1">
        <f t="shared" si="95"/>
        <v>4.41</v>
      </c>
    </row>
    <row r="77" spans="1:56" hidden="1" x14ac:dyDescent="0.35">
      <c r="A77" s="1" t="s">
        <v>82</v>
      </c>
      <c r="B77" s="1" t="s">
        <v>1014</v>
      </c>
      <c r="C77" s="1" t="s">
        <v>52</v>
      </c>
      <c r="D77" s="1" t="s">
        <v>199</v>
      </c>
      <c r="E77" s="1">
        <f>VLOOKUP(A77,symbol_2[[symbol]:[Price1]],2,)</f>
        <v>1008.25</v>
      </c>
      <c r="F77" s="1">
        <f>VLOOKUP(A77,symbol_2[[symbol]:[Price2]],6,)</f>
        <v>983.3</v>
      </c>
      <c r="G77" s="1">
        <f>VLOOKUP(A77,symbol_2[[symbol]:[Price3]],10,)</f>
        <v>993.55</v>
      </c>
      <c r="H77" s="1">
        <f>VLOOKUP(A77,symbol_2[[symbol]:[Price4]],14,)</f>
        <v>982.75</v>
      </c>
      <c r="I77" s="1">
        <f>VLOOKUP(A77,symbol_2[[symbol]:[Price5]],18,)</f>
        <v>1040.0999999999999</v>
      </c>
      <c r="J77" s="49" t="str">
        <f t="shared" si="72"/>
        <v>N</v>
      </c>
      <c r="K77" s="49" t="str">
        <f t="shared" si="73"/>
        <v>Y</v>
      </c>
      <c r="L77" s="49" t="str">
        <f t="shared" si="74"/>
        <v>N</v>
      </c>
      <c r="M77" s="49" t="str">
        <f t="shared" si="75"/>
        <v>Y</v>
      </c>
      <c r="N77" s="52">
        <f t="shared" si="76"/>
        <v>-2.4745846764195436</v>
      </c>
      <c r="O77" s="52">
        <f t="shared" si="77"/>
        <v>1.0424082172277027</v>
      </c>
      <c r="P77" s="52">
        <f t="shared" si="78"/>
        <v>-1.0870112223843746</v>
      </c>
      <c r="Q77" s="52">
        <f t="shared" si="79"/>
        <v>5.8356652251335444</v>
      </c>
      <c r="R77" s="1">
        <f>VLOOKUP(A77,symbol_2[[symbol]:[TV1]],3,)</f>
        <v>0.59</v>
      </c>
      <c r="S77" s="1">
        <f>VLOOKUP(A77,symbol_2[[symbol]:[TV2]],7,)</f>
        <v>0.44</v>
      </c>
      <c r="T77" s="1">
        <f>VLOOKUP(A77,symbol_2[[symbol]:[TV3]],11,)</f>
        <v>0.43</v>
      </c>
      <c r="U77" s="1">
        <f>VLOOKUP(A77,symbol_2[[symbol]:[TV4]],15,)</f>
        <v>0.61</v>
      </c>
      <c r="V77" s="1">
        <f>VLOOKUP(A77,symbol_2[[symbol]:[TV5]],19,)</f>
        <v>0.86</v>
      </c>
      <c r="W77" s="1" t="str">
        <f t="shared" si="80"/>
        <v>N</v>
      </c>
      <c r="X77" s="1" t="str">
        <f t="shared" si="81"/>
        <v>N</v>
      </c>
      <c r="Y77" s="1" t="str">
        <f t="shared" si="82"/>
        <v>Y</v>
      </c>
      <c r="Z77" s="1" t="str">
        <f t="shared" si="83"/>
        <v>Y</v>
      </c>
      <c r="AA77" s="1">
        <f>VLOOKUP(A79,symbol_2[[symbol]:[TradedValue1]],4,)</f>
        <v>717.42</v>
      </c>
      <c r="AB77" s="1">
        <f>VLOOKUP(A77,symbol_2[[symbol]:[TradedValue2]],8,)</f>
        <v>438.12</v>
      </c>
      <c r="AC77" s="1">
        <f>VLOOKUP(A77,symbol_2[[symbol]:[TradedValue3]],12,)</f>
        <v>425.62</v>
      </c>
      <c r="AD77" s="1">
        <f>VLOOKUP(A77,symbol_2[[symbol]:[TradedValue4]],16,)</f>
        <v>606.70000000000005</v>
      </c>
      <c r="AE77" s="1">
        <f>VLOOKUP(A77,symbol_2[[symbol]:[TradedValue5]],20,)</f>
        <v>872.48</v>
      </c>
      <c r="AF77" s="1">
        <f>Table2[[#This Row],[TradedValue2]]-Table2[[#This Row],[TradedValue1]]</f>
        <v>-279.29999999999995</v>
      </c>
      <c r="AG77" s="1">
        <f>Table2[[#This Row],[TradedValue3]]-Table2[[#This Row],[TradedValue2]]</f>
        <v>-12.5</v>
      </c>
      <c r="AH77" s="1">
        <f>Table2[[#This Row],[TradedValue4]]-Table2[[#This Row],[TradedValue3]]</f>
        <v>181.08000000000004</v>
      </c>
      <c r="AI77" s="1">
        <f>Table2[[#This Row],[TradedValue5]]-Table2[[#This Row],[TradedValue4]]</f>
        <v>265.77999999999997</v>
      </c>
      <c r="AJ77" s="49" t="str">
        <f>IF(Table2[[#This Row],[TradedValue2]]&gt;Table2[[#This Row],[TradedValue1]],"Y","N")</f>
        <v>N</v>
      </c>
      <c r="AK77" s="49" t="str">
        <f>IF(Table2[[#This Row],[TradedValue3]]&gt;Table2[[#This Row],[TradedValue2]],"Y","N")</f>
        <v>N</v>
      </c>
      <c r="AL77" s="49" t="str">
        <f>IF(Table2[[#This Row],[TradedValue5]]&gt;Table2[[#This Row],[TradedValue3]],"Y","N")</f>
        <v>Y</v>
      </c>
      <c r="AM77" s="49" t="str">
        <f>IF(Table2[[#This Row],[TradedValue5]]&gt;Table2[[#This Row],[TradedValue4]],"Y","N")</f>
        <v>Y</v>
      </c>
      <c r="AN77" s="1">
        <f t="shared" si="84"/>
        <v>-0.14999999999999997</v>
      </c>
      <c r="AO77" s="1">
        <f t="shared" si="85"/>
        <v>-1.0000000000000009E-2</v>
      </c>
      <c r="AP77" s="1">
        <f t="shared" si="86"/>
        <v>0.18</v>
      </c>
      <c r="AQ77" s="1">
        <f t="shared" si="87"/>
        <v>0.25</v>
      </c>
      <c r="AR77" s="1">
        <f>VLOOKUP(A77,symbol_2[[symbol]:[DelPer1]],5,)</f>
        <v>14.74</v>
      </c>
      <c r="AS77" s="1">
        <f>VLOOKUP(A77,symbol_2[[symbol]:[DelPer2]],9,)</f>
        <v>13.1</v>
      </c>
      <c r="AT77" s="1">
        <f>VLOOKUP(A77,symbol_2[[symbol]:[DelPer3]],13,)</f>
        <v>21.39</v>
      </c>
      <c r="AU77" s="1">
        <f>VLOOKUP(A77,symbol_2[[symbol]:[DelPer4]],17,)</f>
        <v>25.88</v>
      </c>
      <c r="AV77" s="1">
        <f>VLOOKUP(A77,symbol_2[[symbol]:[DelPer5]],21,)</f>
        <v>20.67</v>
      </c>
      <c r="AW77" s="49" t="str">
        <f t="shared" si="88"/>
        <v>N</v>
      </c>
      <c r="AX77" s="49" t="str">
        <f t="shared" si="89"/>
        <v>Y</v>
      </c>
      <c r="AY77" s="49" t="str">
        <f t="shared" si="90"/>
        <v>Y</v>
      </c>
      <c r="AZ77" s="49" t="str">
        <f t="shared" si="91"/>
        <v>N</v>
      </c>
      <c r="BA77" s="1">
        <f t="shared" si="92"/>
        <v>-1.6400000000000006</v>
      </c>
      <c r="BB77" s="1">
        <f t="shared" si="93"/>
        <v>8.2900000000000009</v>
      </c>
      <c r="BC77" s="1">
        <f t="shared" si="94"/>
        <v>4.4899999999999984</v>
      </c>
      <c r="BD77" s="1">
        <f t="shared" si="95"/>
        <v>-5.2099999999999973</v>
      </c>
    </row>
    <row r="78" spans="1:56" hidden="1" x14ac:dyDescent="0.35">
      <c r="A78" s="1" t="s">
        <v>2</v>
      </c>
      <c r="B78" s="1" t="s">
        <v>1018</v>
      </c>
      <c r="C78" s="1" t="s">
        <v>52</v>
      </c>
      <c r="D78" s="1" t="s">
        <v>199</v>
      </c>
      <c r="E78" s="1">
        <f>VLOOKUP(A78,symbol_2[[symbol]:[Price1]],2,)</f>
        <v>400.1</v>
      </c>
      <c r="F78" s="1">
        <f>VLOOKUP(A78,symbol_2[[symbol]:[Price2]],6,)</f>
        <v>387.6</v>
      </c>
      <c r="G78" s="1">
        <f>VLOOKUP(A78,symbol_2[[symbol]:[Price3]],10,)</f>
        <v>385.95</v>
      </c>
      <c r="H78" s="1">
        <f>VLOOKUP(A78,symbol_2[[symbol]:[Price4]],14,)</f>
        <v>407.55</v>
      </c>
      <c r="I78" s="1">
        <f>VLOOKUP(A78,symbol_2[[symbol]:[Price5]],18,)</f>
        <v>410.25</v>
      </c>
      <c r="J78" s="49" t="str">
        <f t="shared" si="72"/>
        <v>N</v>
      </c>
      <c r="K78" s="49" t="str">
        <f t="shared" si="73"/>
        <v>N</v>
      </c>
      <c r="L78" s="49" t="str">
        <f t="shared" si="74"/>
        <v>Y</v>
      </c>
      <c r="M78" s="49" t="str">
        <f t="shared" si="75"/>
        <v>Y</v>
      </c>
      <c r="N78" s="52">
        <f t="shared" si="76"/>
        <v>-3.1242189452636837</v>
      </c>
      <c r="O78" s="52">
        <f t="shared" si="77"/>
        <v>-0.42569659442725333</v>
      </c>
      <c r="P78" s="52">
        <f t="shared" si="78"/>
        <v>5.5965798678585372</v>
      </c>
      <c r="Q78" s="52">
        <f t="shared" si="79"/>
        <v>0.66249539933750179</v>
      </c>
      <c r="R78" s="1">
        <f>VLOOKUP(A78,symbol_2[[symbol]:[TV1]],3,)</f>
        <v>10.97</v>
      </c>
      <c r="S78" s="1">
        <f>VLOOKUP(A78,symbol_2[[symbol]:[TV2]],7,)</f>
        <v>9.1199999999999992</v>
      </c>
      <c r="T78" s="1">
        <f>VLOOKUP(A78,symbol_2[[symbol]:[TV3]],11,)</f>
        <v>4.54</v>
      </c>
      <c r="U78" s="1">
        <f>VLOOKUP(A78,symbol_2[[symbol]:[TV4]],15,)</f>
        <v>23.02</v>
      </c>
      <c r="V78" s="1">
        <f>VLOOKUP(A78,symbol_2[[symbol]:[TV5]],19,)</f>
        <v>9.27</v>
      </c>
      <c r="W78" s="1" t="str">
        <f t="shared" si="80"/>
        <v>N</v>
      </c>
      <c r="X78" s="1" t="str">
        <f t="shared" si="81"/>
        <v>N</v>
      </c>
      <c r="Y78" s="1" t="str">
        <f t="shared" si="82"/>
        <v>Y</v>
      </c>
      <c r="Z78" s="1" t="str">
        <f t="shared" si="83"/>
        <v>N</v>
      </c>
      <c r="AA78" s="1">
        <f>VLOOKUP(A78,symbol_2[[symbol]:[TradedValue1]],4,)</f>
        <v>4308.45</v>
      </c>
      <c r="AB78" s="1">
        <f>VLOOKUP(A78,symbol_2[[symbol]:[TradedValue2]],8,)</f>
        <v>3594.85</v>
      </c>
      <c r="AC78" s="1">
        <f>VLOOKUP(A78,symbol_2[[symbol]:[TradedValue3]],12,)</f>
        <v>1752.35</v>
      </c>
      <c r="AD78" s="1">
        <f>VLOOKUP(A78,symbol_2[[symbol]:[TradedValue4]],16,)</f>
        <v>9479.86</v>
      </c>
      <c r="AE78" s="1">
        <f>VLOOKUP(A78,symbol_2[[symbol]:[TradedValue5]],20,)</f>
        <v>3762.39</v>
      </c>
      <c r="AF78" s="1">
        <f>Table2[[#This Row],[TradedValue2]]-Table2[[#This Row],[TradedValue1]]</f>
        <v>-713.59999999999991</v>
      </c>
      <c r="AG78" s="1">
        <f>Table2[[#This Row],[TradedValue3]]-Table2[[#This Row],[TradedValue2]]</f>
        <v>-1842.5</v>
      </c>
      <c r="AH78" s="1">
        <f>Table2[[#This Row],[TradedValue4]]-Table2[[#This Row],[TradedValue3]]</f>
        <v>7727.51</v>
      </c>
      <c r="AI78" s="1">
        <f>Table2[[#This Row],[TradedValue5]]-Table2[[#This Row],[TradedValue4]]</f>
        <v>-5717.4700000000012</v>
      </c>
      <c r="AJ78" s="49" t="str">
        <f>IF(Table2[[#This Row],[TradedValue2]]&gt;Table2[[#This Row],[TradedValue1]],"Y","N")</f>
        <v>N</v>
      </c>
      <c r="AK78" s="49" t="str">
        <f>IF(Table2[[#This Row],[TradedValue3]]&gt;Table2[[#This Row],[TradedValue2]],"Y","N")</f>
        <v>N</v>
      </c>
      <c r="AL78" s="49" t="str">
        <f>IF(Table2[[#This Row],[TradedValue5]]&gt;Table2[[#This Row],[TradedValue3]],"Y","N")</f>
        <v>Y</v>
      </c>
      <c r="AM78" s="49" t="str">
        <f>IF(Table2[[#This Row],[TradedValue5]]&gt;Table2[[#This Row],[TradedValue4]],"Y","N")</f>
        <v>N</v>
      </c>
      <c r="AN78" s="1">
        <f t="shared" si="84"/>
        <v>-1.8500000000000014</v>
      </c>
      <c r="AO78" s="1">
        <f t="shared" si="85"/>
        <v>-4.5799999999999992</v>
      </c>
      <c r="AP78" s="1">
        <f t="shared" si="86"/>
        <v>18.48</v>
      </c>
      <c r="AQ78" s="1">
        <f t="shared" si="87"/>
        <v>-13.75</v>
      </c>
      <c r="AR78" s="1">
        <f>VLOOKUP(A78,symbol_2[[symbol]:[DelPer1]],5,)</f>
        <v>39.96</v>
      </c>
      <c r="AS78" s="1">
        <f>VLOOKUP(A78,symbol_2[[symbol]:[DelPer2]],9,)</f>
        <v>26.91</v>
      </c>
      <c r="AT78" s="1">
        <f>VLOOKUP(A78,symbol_2[[symbol]:[DelPer3]],13,)</f>
        <v>28.22</v>
      </c>
      <c r="AU78" s="1">
        <f>VLOOKUP(A78,symbol_2[[symbol]:[DelPer4]],17,)</f>
        <v>32.01</v>
      </c>
      <c r="AV78" s="1">
        <f>VLOOKUP(A78,symbol_2[[symbol]:[DelPer5]],21,)</f>
        <v>35.89</v>
      </c>
      <c r="AW78" s="49" t="str">
        <f t="shared" si="88"/>
        <v>N</v>
      </c>
      <c r="AX78" s="49" t="str">
        <f t="shared" si="89"/>
        <v>Y</v>
      </c>
      <c r="AY78" s="49" t="str">
        <f t="shared" si="90"/>
        <v>Y</v>
      </c>
      <c r="AZ78" s="49" t="str">
        <f t="shared" si="91"/>
        <v>Y</v>
      </c>
      <c r="BA78" s="1">
        <f t="shared" si="92"/>
        <v>-13.05</v>
      </c>
      <c r="BB78" s="1">
        <f t="shared" si="93"/>
        <v>1.3099999999999987</v>
      </c>
      <c r="BC78" s="1">
        <f t="shared" si="94"/>
        <v>3.7899999999999991</v>
      </c>
      <c r="BD78" s="1">
        <f t="shared" si="95"/>
        <v>3.8800000000000026</v>
      </c>
    </row>
    <row r="79" spans="1:56" hidden="1" x14ac:dyDescent="0.35">
      <c r="A79" s="108" t="s">
        <v>88</v>
      </c>
      <c r="B79" s="1" t="s">
        <v>1017</v>
      </c>
      <c r="C79" s="1" t="s">
        <v>52</v>
      </c>
      <c r="D79" s="1" t="s">
        <v>199</v>
      </c>
      <c r="E79" s="1">
        <f>VLOOKUP(A79,symbol_2[[symbol]:[Price1]],2,)</f>
        <v>1168.25</v>
      </c>
      <c r="F79" s="1">
        <f>VLOOKUP(A79,symbol_2[[symbol]:[Price2]],6,)</f>
        <v>1157.9000000000001</v>
      </c>
      <c r="G79" s="1">
        <f>VLOOKUP(A79,symbol_2[[symbol]:[Price3]],10,)</f>
        <v>1151.4000000000001</v>
      </c>
      <c r="H79" s="1">
        <f>VLOOKUP(A79,symbol_2[[symbol]:[Price4]],14,)</f>
        <v>1153.3</v>
      </c>
      <c r="I79" s="1">
        <f>VLOOKUP(A79,symbol_2[[symbol]:[Price5]],18,)</f>
        <v>1161.5999999999999</v>
      </c>
      <c r="J79" s="109" t="str">
        <f t="shared" si="72"/>
        <v>N</v>
      </c>
      <c r="K79" s="109" t="str">
        <f t="shared" si="73"/>
        <v>N</v>
      </c>
      <c r="L79" s="109" t="str">
        <f t="shared" si="74"/>
        <v>Y</v>
      </c>
      <c r="M79" s="109" t="str">
        <f t="shared" si="75"/>
        <v>Y</v>
      </c>
      <c r="N79" s="110">
        <f t="shared" si="76"/>
        <v>-0.88594050930878754</v>
      </c>
      <c r="O79" s="110">
        <f t="shared" si="77"/>
        <v>-0.56136108472234214</v>
      </c>
      <c r="P79" s="110">
        <f t="shared" si="78"/>
        <v>0.16501650165015316</v>
      </c>
      <c r="Q79" s="110">
        <f t="shared" si="79"/>
        <v>0.71967397901673058</v>
      </c>
      <c r="R79" s="1">
        <f>VLOOKUP(A79,symbol_2[[symbol]:[TV1]],3,)</f>
        <v>0.62</v>
      </c>
      <c r="S79" s="1">
        <f>VLOOKUP(A79,symbol_2[[symbol]:[TV2]],7,)</f>
        <v>0.34</v>
      </c>
      <c r="T79" s="1">
        <f>VLOOKUP(A79,symbol_2[[symbol]:[TV3]],11,)</f>
        <v>0.14000000000000001</v>
      </c>
      <c r="U79" s="1">
        <f>VLOOKUP(A79,symbol_2[[symbol]:[TV4]],15,)</f>
        <v>0.34</v>
      </c>
      <c r="V79" s="1">
        <f>VLOOKUP(A79,symbol_2[[symbol]:[TV5]],19,)</f>
        <v>0.16</v>
      </c>
      <c r="W79" s="1" t="str">
        <f t="shared" si="80"/>
        <v>N</v>
      </c>
      <c r="X79" s="1" t="str">
        <f t="shared" si="81"/>
        <v>N</v>
      </c>
      <c r="Y79" s="1" t="str">
        <f t="shared" si="82"/>
        <v>Y</v>
      </c>
      <c r="Z79" s="1" t="str">
        <f t="shared" si="83"/>
        <v>N</v>
      </c>
      <c r="AA79" s="1">
        <f>VLOOKUP(A79,symbol_2[[symbol]:[TradedValue1]],4,)</f>
        <v>717.42</v>
      </c>
      <c r="AB79" s="1">
        <f>VLOOKUP(A79,symbol_2[[symbol]:[TradedValue2]],8,)</f>
        <v>398.29</v>
      </c>
      <c r="AC79" s="1">
        <f>VLOOKUP(A79,symbol_2[[symbol]:[TradedValue3]],12,)</f>
        <v>159.82</v>
      </c>
      <c r="AD79" s="1">
        <f>VLOOKUP(A79,symbol_2[[symbol]:[TradedValue4]],16,)</f>
        <v>394.53</v>
      </c>
      <c r="AE79" s="1">
        <f>VLOOKUP(A79,symbol_2[[symbol]:[TradedValue5]],20,)</f>
        <v>186.72</v>
      </c>
      <c r="AF79" s="1">
        <f>Table2[[#This Row],[TradedValue2]]-Table2[[#This Row],[TradedValue1]]</f>
        <v>-319.12999999999994</v>
      </c>
      <c r="AG79" s="1">
        <f>Table2[[#This Row],[TradedValue3]]-Table2[[#This Row],[TradedValue2]]</f>
        <v>-238.47000000000003</v>
      </c>
      <c r="AH79" s="1">
        <f>Table2[[#This Row],[TradedValue4]]-Table2[[#This Row],[TradedValue3]]</f>
        <v>234.70999999999998</v>
      </c>
      <c r="AI79" s="1">
        <f>Table2[[#This Row],[TradedValue5]]-Table2[[#This Row],[TradedValue4]]</f>
        <v>-207.80999999999997</v>
      </c>
      <c r="AJ79" s="109" t="str">
        <f>IF(Table2[[#This Row],[TradedValue2]]&gt;Table2[[#This Row],[TradedValue1]],"Y","N")</f>
        <v>N</v>
      </c>
      <c r="AK79" s="109" t="str">
        <f>IF(Table2[[#This Row],[TradedValue3]]&gt;Table2[[#This Row],[TradedValue2]],"Y","N")</f>
        <v>N</v>
      </c>
      <c r="AL79" s="109" t="str">
        <f>IF(Table2[[#This Row],[TradedValue5]]&gt;Table2[[#This Row],[TradedValue3]],"Y","N")</f>
        <v>Y</v>
      </c>
      <c r="AM79" s="109" t="str">
        <f>IF(Table2[[#This Row],[TradedValue5]]&gt;Table2[[#This Row],[TradedValue4]],"Y","N")</f>
        <v>N</v>
      </c>
      <c r="AN79" s="1">
        <f t="shared" si="84"/>
        <v>-0.27999999999999997</v>
      </c>
      <c r="AO79" s="1">
        <f t="shared" si="85"/>
        <v>-0.2</v>
      </c>
      <c r="AP79" s="1">
        <f t="shared" si="86"/>
        <v>0.2</v>
      </c>
      <c r="AQ79" s="1">
        <f t="shared" si="87"/>
        <v>-0.18000000000000002</v>
      </c>
      <c r="AR79" s="1">
        <f>VLOOKUP(A79,symbol_2[[symbol]:[DelPer1]],5,)</f>
        <v>63.16</v>
      </c>
      <c r="AS79" s="1">
        <f>VLOOKUP(A79,symbol_2[[symbol]:[DelPer2]],9,)</f>
        <v>49.81</v>
      </c>
      <c r="AT79" s="1">
        <f>VLOOKUP(A79,symbol_2[[symbol]:[DelPer3]],13,)</f>
        <v>20.48</v>
      </c>
      <c r="AU79" s="1">
        <f>VLOOKUP(A79,symbol_2[[symbol]:[DelPer4]],17,)</f>
        <v>47.33</v>
      </c>
      <c r="AV79" s="1">
        <f>VLOOKUP(A79,symbol_2[[symbol]:[DelPer5]],21,)</f>
        <v>33.78</v>
      </c>
      <c r="AW79" s="109" t="str">
        <f t="shared" si="88"/>
        <v>N</v>
      </c>
      <c r="AX79" s="109" t="str">
        <f t="shared" si="89"/>
        <v>N</v>
      </c>
      <c r="AY79" s="109" t="str">
        <f t="shared" si="90"/>
        <v>Y</v>
      </c>
      <c r="AZ79" s="109" t="str">
        <f t="shared" si="91"/>
        <v>N</v>
      </c>
      <c r="BA79" s="1">
        <f t="shared" si="92"/>
        <v>-13.349999999999994</v>
      </c>
      <c r="BB79" s="1">
        <f t="shared" si="93"/>
        <v>-29.330000000000002</v>
      </c>
      <c r="BC79" s="1">
        <f t="shared" si="94"/>
        <v>26.849999999999998</v>
      </c>
      <c r="BD79" s="1">
        <f t="shared" si="95"/>
        <v>-13.549999999999997</v>
      </c>
    </row>
    <row r="80" spans="1:56" hidden="1" x14ac:dyDescent="0.35">
      <c r="A80" s="1" t="s">
        <v>4</v>
      </c>
      <c r="B80" s="1" t="s">
        <v>1016</v>
      </c>
      <c r="C80" s="1" t="s">
        <v>52</v>
      </c>
      <c r="D80" s="1" t="s">
        <v>199</v>
      </c>
      <c r="E80" s="1">
        <f>VLOOKUP(A80,symbol_2[[symbol]:[Price1]],2,)</f>
        <v>1373.95</v>
      </c>
      <c r="F80" s="1">
        <f>VLOOKUP(A80,symbol_2[[symbol]:[Price2]],6,)</f>
        <v>1357.75</v>
      </c>
      <c r="G80" s="1">
        <f>VLOOKUP(A80,symbol_2[[symbol]:[Price3]],10,)</f>
        <v>1368.45</v>
      </c>
      <c r="H80" s="1">
        <f>VLOOKUP(A80,symbol_2[[symbol]:[Price4]],14,)</f>
        <v>1367.75</v>
      </c>
      <c r="I80" s="1">
        <f>VLOOKUP(A80,symbol_2[[symbol]:[Price5]],18,)</f>
        <v>1384.5</v>
      </c>
      <c r="J80" s="49" t="str">
        <f t="shared" si="72"/>
        <v>N</v>
      </c>
      <c r="K80" s="49" t="str">
        <f t="shared" si="73"/>
        <v>Y</v>
      </c>
      <c r="L80" s="49" t="str">
        <f t="shared" si="74"/>
        <v>N</v>
      </c>
      <c r="M80" s="49" t="str">
        <f t="shared" si="75"/>
        <v>Y</v>
      </c>
      <c r="N80" s="52">
        <f t="shared" si="76"/>
        <v>-1.1790822082317438</v>
      </c>
      <c r="O80" s="52">
        <f t="shared" si="77"/>
        <v>0.78806849567299186</v>
      </c>
      <c r="P80" s="52">
        <f t="shared" si="78"/>
        <v>-5.1152764076147862E-2</v>
      </c>
      <c r="Q80" s="52">
        <f t="shared" si="79"/>
        <v>1.2246390056662402</v>
      </c>
      <c r="R80" s="1">
        <f>VLOOKUP(A80,symbol_2[[symbol]:[TV1]],3,)</f>
        <v>0.98</v>
      </c>
      <c r="S80" s="1">
        <f>VLOOKUP(A80,symbol_2[[symbol]:[TV2]],7,)</f>
        <v>1.17</v>
      </c>
      <c r="T80" s="1">
        <f>VLOOKUP(A80,symbol_2[[symbol]:[TV3]],11,)</f>
        <v>0.84</v>
      </c>
      <c r="U80" s="1">
        <f>VLOOKUP(A80,symbol_2[[symbol]:[TV4]],15,)</f>
        <v>1.53</v>
      </c>
      <c r="V80" s="1">
        <f>VLOOKUP(A80,symbol_2[[symbol]:[TV5]],19,)</f>
        <v>0.98</v>
      </c>
      <c r="W80" s="1" t="str">
        <f t="shared" si="80"/>
        <v>Y</v>
      </c>
      <c r="X80" s="1" t="str">
        <f t="shared" si="81"/>
        <v>N</v>
      </c>
      <c r="Y80" s="1" t="str">
        <f t="shared" si="82"/>
        <v>Y</v>
      </c>
      <c r="Z80" s="1" t="str">
        <f t="shared" si="83"/>
        <v>N</v>
      </c>
      <c r="AA80" s="1">
        <f>VLOOKUP(A82,symbol_2[[symbol]:[TradedValue1]],4,)</f>
        <v>321.18</v>
      </c>
      <c r="AB80" s="1">
        <f>VLOOKUP(A80,symbol_2[[symbol]:[TradedValue2]],8,)</f>
        <v>1595.47</v>
      </c>
      <c r="AC80" s="1">
        <f>VLOOKUP(A80,symbol_2[[symbol]:[TradedValue3]],12,)</f>
        <v>1147.1300000000001</v>
      </c>
      <c r="AD80" s="1">
        <f>VLOOKUP(A80,symbol_2[[symbol]:[TradedValue4]],16,)</f>
        <v>2097.15</v>
      </c>
      <c r="AE80" s="1">
        <f>VLOOKUP(A80,symbol_2[[symbol]:[TradedValue5]],20,)</f>
        <v>1361.63</v>
      </c>
      <c r="AF80" s="1">
        <f>Table2[[#This Row],[TradedValue2]]-Table2[[#This Row],[TradedValue1]]</f>
        <v>1274.29</v>
      </c>
      <c r="AG80" s="1">
        <f>Table2[[#This Row],[TradedValue3]]-Table2[[#This Row],[TradedValue2]]</f>
        <v>-448.33999999999992</v>
      </c>
      <c r="AH80" s="1">
        <f>Table2[[#This Row],[TradedValue4]]-Table2[[#This Row],[TradedValue3]]</f>
        <v>950.02</v>
      </c>
      <c r="AI80" s="1">
        <f>Table2[[#This Row],[TradedValue5]]-Table2[[#This Row],[TradedValue4]]</f>
        <v>-735.52</v>
      </c>
      <c r="AJ80" s="49" t="str">
        <f>IF(Table2[[#This Row],[TradedValue2]]&gt;Table2[[#This Row],[TradedValue1]],"Y","N")</f>
        <v>Y</v>
      </c>
      <c r="AK80" s="49" t="str">
        <f>IF(Table2[[#This Row],[TradedValue3]]&gt;Table2[[#This Row],[TradedValue2]],"Y","N")</f>
        <v>N</v>
      </c>
      <c r="AL80" s="49" t="str">
        <f>IF(Table2[[#This Row],[TradedValue5]]&gt;Table2[[#This Row],[TradedValue3]],"Y","N")</f>
        <v>Y</v>
      </c>
      <c r="AM80" s="49" t="str">
        <f>IF(Table2[[#This Row],[TradedValue5]]&gt;Table2[[#This Row],[TradedValue4]],"Y","N")</f>
        <v>N</v>
      </c>
      <c r="AN80" s="1">
        <f t="shared" si="84"/>
        <v>0.18999999999999995</v>
      </c>
      <c r="AO80" s="1">
        <f t="shared" si="85"/>
        <v>-0.32999999999999996</v>
      </c>
      <c r="AP80" s="1">
        <f t="shared" si="86"/>
        <v>0.69000000000000006</v>
      </c>
      <c r="AQ80" s="1">
        <f t="shared" si="87"/>
        <v>-0.55000000000000004</v>
      </c>
      <c r="AR80" s="1">
        <f>VLOOKUP(A80,symbol_2[[symbol]:[DelPer1]],5,)</f>
        <v>49.83</v>
      </c>
      <c r="AS80" s="1">
        <f>VLOOKUP(A80,symbol_2[[symbol]:[DelPer2]],9,)</f>
        <v>54.94</v>
      </c>
      <c r="AT80" s="1">
        <f>VLOOKUP(A80,symbol_2[[symbol]:[DelPer3]],13,)</f>
        <v>55.35</v>
      </c>
      <c r="AU80" s="1">
        <f>VLOOKUP(A80,symbol_2[[symbol]:[DelPer4]],17,)</f>
        <v>65.17</v>
      </c>
      <c r="AV80" s="1">
        <f>VLOOKUP(A80,symbol_2[[symbol]:[DelPer5]],21,)</f>
        <v>40.159999999999997</v>
      </c>
      <c r="AW80" s="49" t="str">
        <f t="shared" si="88"/>
        <v>Y</v>
      </c>
      <c r="AX80" s="49" t="str">
        <f t="shared" si="89"/>
        <v>Y</v>
      </c>
      <c r="AY80" s="49" t="str">
        <f t="shared" si="90"/>
        <v>Y</v>
      </c>
      <c r="AZ80" s="49" t="str">
        <f t="shared" si="91"/>
        <v>N</v>
      </c>
      <c r="BA80" s="1">
        <f t="shared" si="92"/>
        <v>5.1099999999999994</v>
      </c>
      <c r="BB80" s="1">
        <f t="shared" si="93"/>
        <v>0.41000000000000369</v>
      </c>
      <c r="BC80" s="1">
        <f t="shared" si="94"/>
        <v>9.82</v>
      </c>
      <c r="BD80" s="1">
        <f t="shared" si="95"/>
        <v>-25.010000000000005</v>
      </c>
    </row>
    <row r="81" spans="1:56" hidden="1" x14ac:dyDescent="0.35">
      <c r="A81" s="116" t="s">
        <v>152</v>
      </c>
      <c r="B81" s="1" t="s">
        <v>1010</v>
      </c>
      <c r="C81" s="1" t="s">
        <v>52</v>
      </c>
      <c r="D81" s="1" t="s">
        <v>199</v>
      </c>
      <c r="E81" s="1">
        <f>VLOOKUP(A81,symbol_2[[symbol]:[Price1]],2,)</f>
        <v>1268.5999999999999</v>
      </c>
      <c r="F81" s="1">
        <f>VLOOKUP(A81,symbol_2[[symbol]:[Price2]],6,)</f>
        <v>1292.3499999999999</v>
      </c>
      <c r="G81" s="1">
        <f>VLOOKUP(A81,symbol_2[[symbol]:[Price3]],10,)</f>
        <v>1284</v>
      </c>
      <c r="H81" s="1">
        <f>VLOOKUP(A81,symbol_2[[symbol]:[Price4]],14,)</f>
        <v>1281.75</v>
      </c>
      <c r="I81" s="1">
        <f>VLOOKUP(A81,symbol_2[[symbol]:[Price5]],18,)</f>
        <v>1268.0999999999999</v>
      </c>
      <c r="J81" s="49" t="str">
        <f t="shared" si="72"/>
        <v>Y</v>
      </c>
      <c r="K81" s="49" t="str">
        <f t="shared" si="73"/>
        <v>N</v>
      </c>
      <c r="L81" s="49" t="str">
        <f t="shared" si="74"/>
        <v>N</v>
      </c>
      <c r="M81" s="49" t="str">
        <f t="shared" si="75"/>
        <v>N</v>
      </c>
      <c r="N81" s="52">
        <f t="shared" si="76"/>
        <v>1.8721425193126282</v>
      </c>
      <c r="O81" s="52">
        <f t="shared" si="77"/>
        <v>-0.64610979997677942</v>
      </c>
      <c r="P81" s="52">
        <f t="shared" si="78"/>
        <v>-0.17523364485981308</v>
      </c>
      <c r="Q81" s="52">
        <f t="shared" si="79"/>
        <v>-1.0649502633118855</v>
      </c>
      <c r="R81" s="1">
        <f>VLOOKUP(A81,symbol_2[[symbol]:[TV1]],3,)</f>
        <v>0.16</v>
      </c>
      <c r="S81" s="1">
        <f>VLOOKUP(A81,symbol_2[[symbol]:[TV2]],7,)</f>
        <v>0.68</v>
      </c>
      <c r="T81" s="1">
        <f>VLOOKUP(A81,symbol_2[[symbol]:[TV3]],11,)</f>
        <v>0.35</v>
      </c>
      <c r="U81" s="1">
        <f>VLOOKUP(A81,symbol_2[[symbol]:[TV4]],15,)</f>
        <v>0.25</v>
      </c>
      <c r="V81" s="1">
        <f>VLOOKUP(A81,symbol_2[[symbol]:[TV5]],19,)</f>
        <v>0.54</v>
      </c>
      <c r="W81" s="1" t="str">
        <f t="shared" si="80"/>
        <v>Y</v>
      </c>
      <c r="X81" s="1" t="str">
        <f t="shared" si="81"/>
        <v>N</v>
      </c>
      <c r="Y81" s="1" t="str">
        <f t="shared" si="82"/>
        <v>N</v>
      </c>
      <c r="Z81" s="1" t="str">
        <f t="shared" si="83"/>
        <v>Y</v>
      </c>
      <c r="AA81" s="1">
        <f>VLOOKUP(A81,symbol_2[[symbol]:[TradedValue1]],4,)</f>
        <v>202.39</v>
      </c>
      <c r="AB81" s="1">
        <f>VLOOKUP(A81,symbol_2[[symbol]:[TradedValue2]],8,)</f>
        <v>873.38</v>
      </c>
      <c r="AC81" s="1">
        <f>VLOOKUP(A81,symbol_2[[symbol]:[TradedValue3]],12,)</f>
        <v>445.86</v>
      </c>
      <c r="AD81" s="1">
        <f>VLOOKUP(A81,symbol_2[[symbol]:[TradedValue4]],16,)</f>
        <v>322.94</v>
      </c>
      <c r="AE81" s="1">
        <f>VLOOKUP(A81,symbol_2[[symbol]:[TradedValue5]],20,)</f>
        <v>688.06</v>
      </c>
      <c r="AF81" s="1">
        <f>Table2[[#This Row],[TradedValue2]]-Table2[[#This Row],[TradedValue1]]</f>
        <v>670.99</v>
      </c>
      <c r="AG81" s="1">
        <f>Table2[[#This Row],[TradedValue3]]-Table2[[#This Row],[TradedValue2]]</f>
        <v>-427.52</v>
      </c>
      <c r="AH81" s="1">
        <f>Table2[[#This Row],[TradedValue4]]-Table2[[#This Row],[TradedValue3]]</f>
        <v>-122.92000000000002</v>
      </c>
      <c r="AI81" s="1">
        <f>Table2[[#This Row],[TradedValue5]]-Table2[[#This Row],[TradedValue4]]</f>
        <v>365.11999999999995</v>
      </c>
      <c r="AJ81" s="49" t="str">
        <f>IF(Table2[[#This Row],[TradedValue2]]&gt;Table2[[#This Row],[TradedValue1]],"Y","N")</f>
        <v>Y</v>
      </c>
      <c r="AK81" s="49" t="str">
        <f>IF(Table2[[#This Row],[TradedValue3]]&gt;Table2[[#This Row],[TradedValue2]],"Y","N")</f>
        <v>N</v>
      </c>
      <c r="AL81" s="49" t="str">
        <f>IF(Table2[[#This Row],[TradedValue5]]&gt;Table2[[#This Row],[TradedValue3]],"Y","N")</f>
        <v>Y</v>
      </c>
      <c r="AM81" s="49" t="str">
        <f>IF(Table2[[#This Row],[TradedValue5]]&gt;Table2[[#This Row],[TradedValue4]],"Y","N")</f>
        <v>Y</v>
      </c>
      <c r="AN81" s="1">
        <f t="shared" si="84"/>
        <v>0.52</v>
      </c>
      <c r="AO81" s="1">
        <f t="shared" si="85"/>
        <v>-0.33000000000000007</v>
      </c>
      <c r="AP81" s="1">
        <f t="shared" si="86"/>
        <v>-9.9999999999999978E-2</v>
      </c>
      <c r="AQ81" s="1">
        <f t="shared" si="87"/>
        <v>0.29000000000000004</v>
      </c>
      <c r="AR81" s="1">
        <f>VLOOKUP(A81,symbol_2[[symbol]:[DelPer1]],5,)</f>
        <v>48.21</v>
      </c>
      <c r="AS81" s="1">
        <f>VLOOKUP(A81,symbol_2[[symbol]:[DelPer2]],9,)</f>
        <v>47.86</v>
      </c>
      <c r="AT81" s="1">
        <f>VLOOKUP(A81,symbol_2[[symbol]:[DelPer3]],13,)</f>
        <v>59.95</v>
      </c>
      <c r="AU81" s="1">
        <f>VLOOKUP(A81,symbol_2[[symbol]:[DelPer4]],17,)</f>
        <v>52.62</v>
      </c>
      <c r="AV81" s="1">
        <f>VLOOKUP(A81,symbol_2[[symbol]:[DelPer5]],21,)</f>
        <v>67.05</v>
      </c>
      <c r="AW81" s="49" t="str">
        <f t="shared" si="88"/>
        <v>N</v>
      </c>
      <c r="AX81" s="49" t="str">
        <f t="shared" si="89"/>
        <v>Y</v>
      </c>
      <c r="AY81" s="49" t="str">
        <f t="shared" si="90"/>
        <v>N</v>
      </c>
      <c r="AZ81" s="49" t="str">
        <f t="shared" si="91"/>
        <v>Y</v>
      </c>
      <c r="BA81" s="1">
        <f t="shared" si="92"/>
        <v>-0.35000000000000142</v>
      </c>
      <c r="BB81" s="1">
        <f t="shared" si="93"/>
        <v>12.090000000000003</v>
      </c>
      <c r="BC81" s="1">
        <f t="shared" si="94"/>
        <v>-7.3300000000000054</v>
      </c>
      <c r="BD81" s="1">
        <f t="shared" si="95"/>
        <v>14.43</v>
      </c>
    </row>
    <row r="82" spans="1:56" hidden="1" x14ac:dyDescent="0.35">
      <c r="A82" s="108" t="s">
        <v>59</v>
      </c>
      <c r="B82" s="1" t="s">
        <v>1006</v>
      </c>
      <c r="C82" s="1" t="s">
        <v>52</v>
      </c>
      <c r="D82" s="1" t="s">
        <v>199</v>
      </c>
      <c r="E82" s="1">
        <f>VLOOKUP(A82,symbol_2[[symbol]:[Price1]],2,)</f>
        <v>46.35</v>
      </c>
      <c r="F82" s="1">
        <f>VLOOKUP(A82,symbol_2[[symbol]:[Price2]],6,)</f>
        <v>45.15</v>
      </c>
      <c r="G82" s="1">
        <f>VLOOKUP(A82,symbol_2[[symbol]:[Price3]],10,)</f>
        <v>47.9</v>
      </c>
      <c r="H82" s="1">
        <f>VLOOKUP(A82,symbol_2[[symbol]:[Price4]],14,)</f>
        <v>45.6</v>
      </c>
      <c r="I82" s="1">
        <f>VLOOKUP(A82,symbol_2[[symbol]:[Price5]],18,)</f>
        <v>47.4</v>
      </c>
      <c r="J82" s="109" t="str">
        <f t="shared" si="72"/>
        <v>N</v>
      </c>
      <c r="K82" s="109" t="str">
        <f t="shared" si="73"/>
        <v>Y</v>
      </c>
      <c r="L82" s="109" t="str">
        <f t="shared" si="74"/>
        <v>N</v>
      </c>
      <c r="M82" s="109" t="str">
        <f t="shared" si="75"/>
        <v>Y</v>
      </c>
      <c r="N82" s="110">
        <f t="shared" si="76"/>
        <v>-2.5889967637540514</v>
      </c>
      <c r="O82" s="110">
        <f t="shared" si="77"/>
        <v>6.0908084163898115</v>
      </c>
      <c r="P82" s="110">
        <f t="shared" si="78"/>
        <v>-4.8016701461377815</v>
      </c>
      <c r="Q82" s="110">
        <f t="shared" si="79"/>
        <v>3.9473684210526252</v>
      </c>
      <c r="R82" s="1">
        <f>VLOOKUP(A82,symbol_2[[symbol]:[TV1]],3,)</f>
        <v>7.05</v>
      </c>
      <c r="S82" s="1">
        <f>VLOOKUP(A82,symbol_2[[symbol]:[TV2]],7,)</f>
        <v>5.12</v>
      </c>
      <c r="T82" s="1">
        <f>VLOOKUP(A82,symbol_2[[symbol]:[TV3]],11,)</f>
        <v>6.83</v>
      </c>
      <c r="U82" s="1">
        <f>VLOOKUP(A82,symbol_2[[symbol]:[TV4]],15,)</f>
        <v>10.14</v>
      </c>
      <c r="V82" s="1">
        <f>VLOOKUP(A82,symbol_2[[symbol]:[TV5]],19,)</f>
        <v>5.82</v>
      </c>
      <c r="W82" s="1" t="str">
        <f t="shared" si="80"/>
        <v>N</v>
      </c>
      <c r="X82" s="1" t="str">
        <f t="shared" si="81"/>
        <v>Y</v>
      </c>
      <c r="Y82" s="1" t="str">
        <f t="shared" si="82"/>
        <v>Y</v>
      </c>
      <c r="Z82" s="1" t="str">
        <f t="shared" si="83"/>
        <v>N</v>
      </c>
      <c r="AA82" s="1">
        <f>VLOOKUP(A84,symbol_2[[symbol]:[TradedValue1]],4,)</f>
        <v>1004.95</v>
      </c>
      <c r="AB82" s="1">
        <f>VLOOKUP(A82,symbol_2[[symbol]:[TradedValue2]],8,)</f>
        <v>233.9</v>
      </c>
      <c r="AC82" s="1">
        <f>VLOOKUP(A82,symbol_2[[symbol]:[TradedValue3]],12,)</f>
        <v>318.63</v>
      </c>
      <c r="AD82" s="1">
        <f>VLOOKUP(A82,symbol_2[[symbol]:[TradedValue4]],16,)</f>
        <v>484.91</v>
      </c>
      <c r="AE82" s="1">
        <f>VLOOKUP(A82,symbol_2[[symbol]:[TradedValue5]],20,)</f>
        <v>272.14999999999998</v>
      </c>
      <c r="AF82" s="1">
        <f>Table2[[#This Row],[TradedValue2]]-Table2[[#This Row],[TradedValue1]]</f>
        <v>-771.05000000000007</v>
      </c>
      <c r="AG82" s="1">
        <f>Table2[[#This Row],[TradedValue3]]-Table2[[#This Row],[TradedValue2]]</f>
        <v>84.72999999999999</v>
      </c>
      <c r="AH82" s="1">
        <f>Table2[[#This Row],[TradedValue4]]-Table2[[#This Row],[TradedValue3]]</f>
        <v>166.28000000000003</v>
      </c>
      <c r="AI82" s="1">
        <f>Table2[[#This Row],[TradedValue5]]-Table2[[#This Row],[TradedValue4]]</f>
        <v>-212.76000000000005</v>
      </c>
      <c r="AJ82" s="109" t="str">
        <f>IF(Table2[[#This Row],[TradedValue2]]&gt;Table2[[#This Row],[TradedValue1]],"Y","N")</f>
        <v>N</v>
      </c>
      <c r="AK82" s="109" t="str">
        <f>IF(Table2[[#This Row],[TradedValue3]]&gt;Table2[[#This Row],[TradedValue2]],"Y","N")</f>
        <v>Y</v>
      </c>
      <c r="AL82" s="109" t="str">
        <f>IF(Table2[[#This Row],[TradedValue5]]&gt;Table2[[#This Row],[TradedValue3]],"Y","N")</f>
        <v>N</v>
      </c>
      <c r="AM82" s="109" t="str">
        <f>IF(Table2[[#This Row],[TradedValue5]]&gt;Table2[[#This Row],[TradedValue4]],"Y","N")</f>
        <v>N</v>
      </c>
      <c r="AN82" s="1">
        <f t="shared" si="84"/>
        <v>-1.9299999999999997</v>
      </c>
      <c r="AO82" s="1">
        <f t="shared" si="85"/>
        <v>1.71</v>
      </c>
      <c r="AP82" s="1">
        <f t="shared" si="86"/>
        <v>3.3100000000000005</v>
      </c>
      <c r="AQ82" s="1">
        <f t="shared" si="87"/>
        <v>-4.32</v>
      </c>
      <c r="AR82" s="1">
        <f>VLOOKUP(A82,symbol_2[[symbol]:[DelPer1]],5,)</f>
        <v>13.79</v>
      </c>
      <c r="AS82" s="1">
        <f>VLOOKUP(A82,symbol_2[[symbol]:[DelPer2]],9,)</f>
        <v>13.81</v>
      </c>
      <c r="AT82" s="1">
        <f>VLOOKUP(A82,symbol_2[[symbol]:[DelPer3]],13,)</f>
        <v>15.2</v>
      </c>
      <c r="AU82" s="1">
        <f>VLOOKUP(A82,symbol_2[[symbol]:[DelPer4]],17,)</f>
        <v>14.39</v>
      </c>
      <c r="AV82" s="1">
        <f>VLOOKUP(A82,symbol_2[[symbol]:[DelPer5]],21,)</f>
        <v>12.85</v>
      </c>
      <c r="AW82" s="109" t="str">
        <f t="shared" si="88"/>
        <v>Y</v>
      </c>
      <c r="AX82" s="109" t="str">
        <f t="shared" si="89"/>
        <v>Y</v>
      </c>
      <c r="AY82" s="109" t="str">
        <f t="shared" si="90"/>
        <v>N</v>
      </c>
      <c r="AZ82" s="109" t="str">
        <f t="shared" si="91"/>
        <v>N</v>
      </c>
      <c r="BA82" s="1">
        <f t="shared" si="92"/>
        <v>2.000000000000135E-2</v>
      </c>
      <c r="BB82" s="1">
        <f t="shared" si="93"/>
        <v>1.3899999999999988</v>
      </c>
      <c r="BC82" s="1">
        <f t="shared" si="94"/>
        <v>-0.80999999999999872</v>
      </c>
      <c r="BD82" s="1">
        <f t="shared" si="95"/>
        <v>-1.5400000000000009</v>
      </c>
    </row>
    <row r="83" spans="1:56" hidden="1" x14ac:dyDescent="0.35">
      <c r="A83" s="116" t="s">
        <v>155</v>
      </c>
      <c r="B83" s="1" t="s">
        <v>1007</v>
      </c>
      <c r="C83" s="1" t="s">
        <v>52</v>
      </c>
      <c r="D83" s="1" t="s">
        <v>199</v>
      </c>
      <c r="E83" s="1">
        <f>VLOOKUP(A83,symbol_2[[symbol]:[Price1]],2,)</f>
        <v>182.4</v>
      </c>
      <c r="F83" s="1">
        <f>VLOOKUP(A83,symbol_2[[symbol]:[Price2]],6,)</f>
        <v>181.9</v>
      </c>
      <c r="G83" s="1">
        <f>VLOOKUP(A83,symbol_2[[symbol]:[Price3]],10,)</f>
        <v>182.35</v>
      </c>
      <c r="H83" s="1">
        <f>VLOOKUP(A83,symbol_2[[symbol]:[Price4]],14,)</f>
        <v>184</v>
      </c>
      <c r="I83" s="1">
        <f>VLOOKUP(A83,symbol_2[[symbol]:[Price5]],18,)</f>
        <v>184.3</v>
      </c>
      <c r="J83" s="49" t="str">
        <f t="shared" si="72"/>
        <v>N</v>
      </c>
      <c r="K83" s="49" t="str">
        <f t="shared" si="73"/>
        <v>Y</v>
      </c>
      <c r="L83" s="49" t="str">
        <f t="shared" si="74"/>
        <v>Y</v>
      </c>
      <c r="M83" s="49" t="str">
        <f t="shared" si="75"/>
        <v>Y</v>
      </c>
      <c r="N83" s="52">
        <f t="shared" si="76"/>
        <v>-0.27412280701754382</v>
      </c>
      <c r="O83" s="52">
        <f t="shared" si="77"/>
        <v>0.24738867509620047</v>
      </c>
      <c r="P83" s="52">
        <f t="shared" si="78"/>
        <v>0.90485330408555287</v>
      </c>
      <c r="Q83" s="52">
        <f t="shared" si="79"/>
        <v>0.16304347826087573</v>
      </c>
      <c r="R83" s="1">
        <f>VLOOKUP(A83,symbol_2[[symbol]:[TV1]],3,)</f>
        <v>2.64</v>
      </c>
      <c r="S83" s="1">
        <f>VLOOKUP(A83,symbol_2[[symbol]:[TV2]],7,)</f>
        <v>0.97</v>
      </c>
      <c r="T83" s="1">
        <f>VLOOKUP(A83,symbol_2[[symbol]:[TV3]],11,)</f>
        <v>1.27</v>
      </c>
      <c r="U83" s="1">
        <f>VLOOKUP(A83,symbol_2[[symbol]:[TV4]],15,)</f>
        <v>2.29</v>
      </c>
      <c r="V83" s="1">
        <f>VLOOKUP(A83,symbol_2[[symbol]:[TV5]],19,)</f>
        <v>0.98</v>
      </c>
      <c r="W83" s="1" t="str">
        <f t="shared" si="80"/>
        <v>N</v>
      </c>
      <c r="X83" s="1" t="str">
        <f t="shared" si="81"/>
        <v>Y</v>
      </c>
      <c r="Y83" s="1" t="str">
        <f t="shared" si="82"/>
        <v>Y</v>
      </c>
      <c r="Z83" s="1" t="str">
        <f t="shared" si="83"/>
        <v>N</v>
      </c>
      <c r="AA83" s="1">
        <f>VLOOKUP(A83,symbol_2[[symbol]:[TradedValue1]],4,)</f>
        <v>480.6</v>
      </c>
      <c r="AB83" s="1">
        <f>VLOOKUP(A83,symbol_2[[symbol]:[TradedValue2]],8,)</f>
        <v>177.27</v>
      </c>
      <c r="AC83" s="1">
        <f>VLOOKUP(A83,symbol_2[[symbol]:[TradedValue3]],12,)</f>
        <v>232.91</v>
      </c>
      <c r="AD83" s="1">
        <f>VLOOKUP(A83,symbol_2[[symbol]:[TradedValue4]],16,)</f>
        <v>421.43</v>
      </c>
      <c r="AE83" s="1">
        <f>VLOOKUP(A83,symbol_2[[symbol]:[TradedValue5]],20,)</f>
        <v>180.33</v>
      </c>
      <c r="AF83" s="1">
        <f>Table2[[#This Row],[TradedValue2]]-Table2[[#This Row],[TradedValue1]]</f>
        <v>-303.33000000000004</v>
      </c>
      <c r="AG83" s="1">
        <f>Table2[[#This Row],[TradedValue3]]-Table2[[#This Row],[TradedValue2]]</f>
        <v>55.639999999999986</v>
      </c>
      <c r="AH83" s="1">
        <f>Table2[[#This Row],[TradedValue4]]-Table2[[#This Row],[TradedValue3]]</f>
        <v>188.52</v>
      </c>
      <c r="AI83" s="1">
        <f>Table2[[#This Row],[TradedValue5]]-Table2[[#This Row],[TradedValue4]]</f>
        <v>-241.1</v>
      </c>
      <c r="AJ83" s="49" t="str">
        <f>IF(Table2[[#This Row],[TradedValue2]]&gt;Table2[[#This Row],[TradedValue1]],"Y","N")</f>
        <v>N</v>
      </c>
      <c r="AK83" s="49" t="str">
        <f>IF(Table2[[#This Row],[TradedValue3]]&gt;Table2[[#This Row],[TradedValue2]],"Y","N")</f>
        <v>Y</v>
      </c>
      <c r="AL83" s="49" t="str">
        <f>IF(Table2[[#This Row],[TradedValue5]]&gt;Table2[[#This Row],[TradedValue3]],"Y","N")</f>
        <v>N</v>
      </c>
      <c r="AM83" s="49" t="str">
        <f>IF(Table2[[#This Row],[TradedValue5]]&gt;Table2[[#This Row],[TradedValue4]],"Y","N")</f>
        <v>N</v>
      </c>
      <c r="AN83" s="1">
        <f t="shared" si="84"/>
        <v>-1.6700000000000002</v>
      </c>
      <c r="AO83" s="1">
        <f t="shared" si="85"/>
        <v>0.30000000000000004</v>
      </c>
      <c r="AP83" s="1">
        <f t="shared" si="86"/>
        <v>1.02</v>
      </c>
      <c r="AQ83" s="1">
        <f t="shared" si="87"/>
        <v>-1.31</v>
      </c>
      <c r="AR83" s="1">
        <f>VLOOKUP(A83,symbol_2[[symbol]:[DelPer1]],5,)</f>
        <v>34.18</v>
      </c>
      <c r="AS83" s="1">
        <f>VLOOKUP(A83,symbol_2[[symbol]:[DelPer2]],9,)</f>
        <v>43.56</v>
      </c>
      <c r="AT83" s="1">
        <f>VLOOKUP(A83,symbol_2[[symbol]:[DelPer3]],13,)</f>
        <v>38.159999999999997</v>
      </c>
      <c r="AU83" s="1">
        <f>VLOOKUP(A83,symbol_2[[symbol]:[DelPer4]],17,)</f>
        <v>55.76</v>
      </c>
      <c r="AV83" s="1">
        <f>VLOOKUP(A83,symbol_2[[symbol]:[DelPer5]],21,)</f>
        <v>38.97</v>
      </c>
      <c r="AW83" s="49" t="str">
        <f t="shared" si="88"/>
        <v>Y</v>
      </c>
      <c r="AX83" s="49" t="str">
        <f t="shared" si="89"/>
        <v>N</v>
      </c>
      <c r="AY83" s="49" t="str">
        <f t="shared" si="90"/>
        <v>Y</v>
      </c>
      <c r="AZ83" s="49" t="str">
        <f t="shared" si="91"/>
        <v>N</v>
      </c>
      <c r="BA83" s="1">
        <f t="shared" si="92"/>
        <v>9.3800000000000026</v>
      </c>
      <c r="BB83" s="1">
        <f t="shared" si="93"/>
        <v>-5.4000000000000057</v>
      </c>
      <c r="BC83" s="1">
        <f t="shared" si="94"/>
        <v>17.600000000000001</v>
      </c>
      <c r="BD83" s="1">
        <f t="shared" si="95"/>
        <v>-16.79</v>
      </c>
    </row>
    <row r="84" spans="1:56" hidden="1" x14ac:dyDescent="0.35">
      <c r="A84" s="116" t="s">
        <v>138</v>
      </c>
      <c r="B84" s="1" t="s">
        <v>1011</v>
      </c>
      <c r="C84" s="1" t="s">
        <v>52</v>
      </c>
      <c r="D84" s="1" t="s">
        <v>199</v>
      </c>
      <c r="E84" s="1">
        <f>VLOOKUP(A84,symbol_2[[symbol]:[Price1]],2,)</f>
        <v>553.45000000000005</v>
      </c>
      <c r="F84" s="1">
        <f>VLOOKUP(A84,symbol_2[[symbol]:[Price2]],6,)</f>
        <v>551.15</v>
      </c>
      <c r="G84" s="1">
        <f>VLOOKUP(A84,symbol_2[[symbol]:[Price3]],10,)</f>
        <v>542.79999999999995</v>
      </c>
      <c r="H84" s="1">
        <f>VLOOKUP(A84,symbol_2[[symbol]:[Price4]],14,)</f>
        <v>534.20000000000005</v>
      </c>
      <c r="I84" s="1">
        <f>VLOOKUP(A84,symbol_2[[symbol]:[Price5]],18,)</f>
        <v>547.95000000000005</v>
      </c>
      <c r="J84" s="49" t="str">
        <f t="shared" si="72"/>
        <v>N</v>
      </c>
      <c r="K84" s="49" t="str">
        <f t="shared" si="73"/>
        <v>N</v>
      </c>
      <c r="L84" s="49" t="str">
        <f t="shared" si="74"/>
        <v>N</v>
      </c>
      <c r="M84" s="49" t="str">
        <f t="shared" si="75"/>
        <v>Y</v>
      </c>
      <c r="N84" s="52">
        <f t="shared" si="76"/>
        <v>-0.41557502936129159</v>
      </c>
      <c r="O84" s="52">
        <f t="shared" si="77"/>
        <v>-1.5150140615077605</v>
      </c>
      <c r="P84" s="52">
        <f t="shared" si="78"/>
        <v>-1.5843773028739701</v>
      </c>
      <c r="Q84" s="52">
        <f t="shared" si="79"/>
        <v>2.5739423436915012</v>
      </c>
      <c r="R84" s="1">
        <f>VLOOKUP(A84,symbol_2[[symbol]:[TV1]],3,)</f>
        <v>1.83</v>
      </c>
      <c r="S84" s="1">
        <f>VLOOKUP(A84,symbol_2[[symbol]:[TV2]],7,)</f>
        <v>2.79</v>
      </c>
      <c r="T84" s="1">
        <f>VLOOKUP(A84,symbol_2[[symbol]:[TV3]],11,)</f>
        <v>0.87</v>
      </c>
      <c r="U84" s="1">
        <f>VLOOKUP(A84,symbol_2[[symbol]:[TV4]],15,)</f>
        <v>1.04</v>
      </c>
      <c r="V84" s="1">
        <f>VLOOKUP(A84,symbol_2[[symbol]:[TV5]],19,)</f>
        <v>1.01</v>
      </c>
      <c r="W84" s="1" t="str">
        <f t="shared" si="80"/>
        <v>Y</v>
      </c>
      <c r="X84" s="1" t="str">
        <f t="shared" si="81"/>
        <v>N</v>
      </c>
      <c r="Y84" s="1" t="str">
        <f t="shared" si="82"/>
        <v>Y</v>
      </c>
      <c r="Z84" s="1" t="str">
        <f t="shared" si="83"/>
        <v>N</v>
      </c>
      <c r="AA84" s="1">
        <f>VLOOKUP(A84,symbol_2[[symbol]:[TradedValue1]],4,)</f>
        <v>1004.95</v>
      </c>
      <c r="AB84" s="1">
        <f>VLOOKUP(A84,symbol_2[[symbol]:[TradedValue2]],8,)</f>
        <v>1538.71</v>
      </c>
      <c r="AC84" s="1">
        <f>VLOOKUP(A84,symbol_2[[symbol]:[TradedValue3]],12,)</f>
        <v>471.39</v>
      </c>
      <c r="AD84" s="1">
        <f>VLOOKUP(A84,symbol_2[[symbol]:[TradedValue4]],16,)</f>
        <v>561.67999999999995</v>
      </c>
      <c r="AE84" s="1">
        <f>VLOOKUP(A84,symbol_2[[symbol]:[TradedValue5]],20,)</f>
        <v>547.89</v>
      </c>
      <c r="AF84" s="1">
        <f>Table2[[#This Row],[TradedValue2]]-Table2[[#This Row],[TradedValue1]]</f>
        <v>533.76</v>
      </c>
      <c r="AG84" s="1">
        <f>Table2[[#This Row],[TradedValue3]]-Table2[[#This Row],[TradedValue2]]</f>
        <v>-1067.3200000000002</v>
      </c>
      <c r="AH84" s="1">
        <f>Table2[[#This Row],[TradedValue4]]-Table2[[#This Row],[TradedValue3]]</f>
        <v>90.289999999999964</v>
      </c>
      <c r="AI84" s="1">
        <f>Table2[[#This Row],[TradedValue5]]-Table2[[#This Row],[TradedValue4]]</f>
        <v>-13.789999999999964</v>
      </c>
      <c r="AJ84" s="49" t="str">
        <f>IF(Table2[[#This Row],[TradedValue2]]&gt;Table2[[#This Row],[TradedValue1]],"Y","N")</f>
        <v>Y</v>
      </c>
      <c r="AK84" s="49" t="str">
        <f>IF(Table2[[#This Row],[TradedValue3]]&gt;Table2[[#This Row],[TradedValue2]],"Y","N")</f>
        <v>N</v>
      </c>
      <c r="AL84" s="49" t="str">
        <f>IF(Table2[[#This Row],[TradedValue5]]&gt;Table2[[#This Row],[TradedValue3]],"Y","N")</f>
        <v>Y</v>
      </c>
      <c r="AM84" s="49" t="str">
        <f>IF(Table2[[#This Row],[TradedValue5]]&gt;Table2[[#This Row],[TradedValue4]],"Y","N")</f>
        <v>N</v>
      </c>
      <c r="AN84" s="1">
        <f t="shared" si="84"/>
        <v>0.96</v>
      </c>
      <c r="AO84" s="1">
        <f t="shared" si="85"/>
        <v>-1.92</v>
      </c>
      <c r="AP84" s="1">
        <f t="shared" si="86"/>
        <v>0.17000000000000004</v>
      </c>
      <c r="AQ84" s="1">
        <f t="shared" si="87"/>
        <v>-3.0000000000000027E-2</v>
      </c>
      <c r="AR84" s="1">
        <f>VLOOKUP(A84,symbol_2[[symbol]:[DelPer1]],5,)</f>
        <v>38.61</v>
      </c>
      <c r="AS84" s="1">
        <f>VLOOKUP(A84,symbol_2[[symbol]:[DelPer2]],9,)</f>
        <v>41.94</v>
      </c>
      <c r="AT84" s="1">
        <f>VLOOKUP(A84,symbol_2[[symbol]:[DelPer3]],13,)</f>
        <v>35.659999999999997</v>
      </c>
      <c r="AU84" s="1">
        <f>VLOOKUP(A84,symbol_2[[symbol]:[DelPer4]],17,)</f>
        <v>30.63</v>
      </c>
      <c r="AV84" s="1">
        <f>VLOOKUP(A84,symbol_2[[symbol]:[DelPer5]],21,)</f>
        <v>38.1</v>
      </c>
      <c r="AW84" s="49" t="str">
        <f t="shared" si="88"/>
        <v>Y</v>
      </c>
      <c r="AX84" s="49" t="str">
        <f t="shared" si="89"/>
        <v>N</v>
      </c>
      <c r="AY84" s="49" t="str">
        <f t="shared" si="90"/>
        <v>N</v>
      </c>
      <c r="AZ84" s="49" t="str">
        <f t="shared" si="91"/>
        <v>Y</v>
      </c>
      <c r="BA84" s="1">
        <f t="shared" si="92"/>
        <v>3.3299999999999983</v>
      </c>
      <c r="BB84" s="1">
        <f t="shared" si="93"/>
        <v>-6.2800000000000011</v>
      </c>
      <c r="BC84" s="1">
        <f t="shared" si="94"/>
        <v>-5.0299999999999976</v>
      </c>
      <c r="BD84" s="1">
        <f t="shared" si="95"/>
        <v>7.4700000000000024</v>
      </c>
    </row>
    <row r="85" spans="1:56" hidden="1" x14ac:dyDescent="0.35">
      <c r="A85" s="108" t="s">
        <v>198</v>
      </c>
      <c r="B85" s="1" t="s">
        <v>1009</v>
      </c>
      <c r="C85" s="1" t="s">
        <v>52</v>
      </c>
      <c r="D85" s="1" t="s">
        <v>199</v>
      </c>
      <c r="E85" s="1">
        <f>VLOOKUP(A85,symbol_2[[symbol]:[Price1]],2,)</f>
        <v>387.7</v>
      </c>
      <c r="F85" s="1">
        <f>VLOOKUP(A85,symbol_2[[symbol]:[Price2]],6,)</f>
        <v>383.8</v>
      </c>
      <c r="G85" s="1">
        <f>VLOOKUP(A85,symbol_2[[symbol]:[Price3]],10,)</f>
        <v>394.3</v>
      </c>
      <c r="H85" s="1">
        <f>VLOOKUP(A85,symbol_2[[symbol]:[Price4]],14,)</f>
        <v>391.35</v>
      </c>
      <c r="I85" s="1">
        <f>VLOOKUP(A85,symbol_2[[symbol]:[Price5]],18,)</f>
        <v>407.1</v>
      </c>
      <c r="J85" s="109" t="str">
        <f t="shared" si="72"/>
        <v>N</v>
      </c>
      <c r="K85" s="109" t="str">
        <f t="shared" si="73"/>
        <v>Y</v>
      </c>
      <c r="L85" s="109" t="str">
        <f t="shared" si="74"/>
        <v>N</v>
      </c>
      <c r="M85" s="109" t="str">
        <f t="shared" si="75"/>
        <v>Y</v>
      </c>
      <c r="N85" s="110">
        <f t="shared" si="76"/>
        <v>-1.0059324219757486</v>
      </c>
      <c r="O85" s="110">
        <f t="shared" si="77"/>
        <v>2.7357998957790515</v>
      </c>
      <c r="P85" s="110">
        <f t="shared" si="78"/>
        <v>-0.74816129850367452</v>
      </c>
      <c r="Q85" s="110">
        <f t="shared" si="79"/>
        <v>4.0245304714449981</v>
      </c>
      <c r="R85" s="1">
        <f>VLOOKUP(A85,symbol_2[[symbol]:[TV1]],3,)</f>
        <v>1.24</v>
      </c>
      <c r="S85" s="1">
        <f>VLOOKUP(A85,symbol_2[[symbol]:[TV2]],7,)</f>
        <v>1.34</v>
      </c>
      <c r="T85" s="1">
        <f>VLOOKUP(A85,symbol_2[[symbol]:[TV3]],11,)</f>
        <v>1.34</v>
      </c>
      <c r="U85" s="1">
        <f>VLOOKUP(A85,symbol_2[[symbol]:[TV4]],15,)</f>
        <v>0.9</v>
      </c>
      <c r="V85" s="1">
        <f>VLOOKUP(A85,symbol_2[[symbol]:[TV5]],19,)</f>
        <v>0.98</v>
      </c>
      <c r="W85" s="1" t="str">
        <f t="shared" si="80"/>
        <v>Y</v>
      </c>
      <c r="X85" s="1" t="str">
        <f t="shared" si="81"/>
        <v>N</v>
      </c>
      <c r="Y85" s="1" t="str">
        <f t="shared" si="82"/>
        <v>N</v>
      </c>
      <c r="Z85" s="1" t="str">
        <f t="shared" si="83"/>
        <v>Y</v>
      </c>
      <c r="AA85" s="1">
        <f>VLOOKUP(A85,symbol_2[[symbol]:[TradedValue1]],4,)</f>
        <v>474.65</v>
      </c>
      <c r="AB85" s="1">
        <f>VLOOKUP(A85,symbol_2[[symbol]:[TradedValue2]],8,)</f>
        <v>524.19000000000005</v>
      </c>
      <c r="AC85" s="1">
        <f>VLOOKUP(A85,symbol_2[[symbol]:[TradedValue3]],12,)</f>
        <v>525.64</v>
      </c>
      <c r="AD85" s="1">
        <f>VLOOKUP(A85,symbol_2[[symbol]:[TradedValue4]],16,)</f>
        <v>358.22</v>
      </c>
      <c r="AE85" s="1">
        <f>VLOOKUP(A85,symbol_2[[symbol]:[TradedValue5]],20,)</f>
        <v>394.56</v>
      </c>
      <c r="AF85" s="1">
        <f>Table2[[#This Row],[TradedValue2]]-Table2[[#This Row],[TradedValue1]]</f>
        <v>49.540000000000077</v>
      </c>
      <c r="AG85" s="1">
        <f>Table2[[#This Row],[TradedValue3]]-Table2[[#This Row],[TradedValue2]]</f>
        <v>1.4499999999999318</v>
      </c>
      <c r="AH85" s="1">
        <f>Table2[[#This Row],[TradedValue4]]-Table2[[#This Row],[TradedValue3]]</f>
        <v>-167.41999999999996</v>
      </c>
      <c r="AI85" s="1">
        <f>Table2[[#This Row],[TradedValue5]]-Table2[[#This Row],[TradedValue4]]</f>
        <v>36.339999999999975</v>
      </c>
      <c r="AJ85" s="109" t="str">
        <f>IF(Table2[[#This Row],[TradedValue2]]&gt;Table2[[#This Row],[TradedValue1]],"Y","N")</f>
        <v>Y</v>
      </c>
      <c r="AK85" s="109" t="str">
        <f>IF(Table2[[#This Row],[TradedValue3]]&gt;Table2[[#This Row],[TradedValue2]],"Y","N")</f>
        <v>Y</v>
      </c>
      <c r="AL85" s="109" t="str">
        <f>IF(Table2[[#This Row],[TradedValue5]]&gt;Table2[[#This Row],[TradedValue3]],"Y","N")</f>
        <v>N</v>
      </c>
      <c r="AM85" s="109" t="str">
        <f>IF(Table2[[#This Row],[TradedValue5]]&gt;Table2[[#This Row],[TradedValue4]],"Y","N")</f>
        <v>Y</v>
      </c>
      <c r="AN85" s="1">
        <f t="shared" si="84"/>
        <v>0.10000000000000009</v>
      </c>
      <c r="AO85" s="1">
        <f t="shared" si="85"/>
        <v>0</v>
      </c>
      <c r="AP85" s="1">
        <f t="shared" si="86"/>
        <v>-0.44000000000000006</v>
      </c>
      <c r="AQ85" s="1">
        <f t="shared" si="87"/>
        <v>7.999999999999996E-2</v>
      </c>
      <c r="AR85" s="1">
        <f>VLOOKUP(A85,symbol_2[[symbol]:[DelPer1]],5,)</f>
        <v>16.32</v>
      </c>
      <c r="AS85" s="1">
        <f>VLOOKUP(A85,symbol_2[[symbol]:[DelPer2]],9,)</f>
        <v>9.41</v>
      </c>
      <c r="AT85" s="1">
        <f>VLOOKUP(A85,symbol_2[[symbol]:[DelPer3]],13,)</f>
        <v>13.73</v>
      </c>
      <c r="AU85" s="1">
        <f>VLOOKUP(A85,symbol_2[[symbol]:[DelPer4]],17,)</f>
        <v>11.71</v>
      </c>
      <c r="AV85" s="1">
        <f>VLOOKUP(A85,symbol_2[[symbol]:[DelPer5]],21,)</f>
        <v>19.559999999999999</v>
      </c>
      <c r="AW85" s="109" t="str">
        <f t="shared" si="88"/>
        <v>N</v>
      </c>
      <c r="AX85" s="109" t="str">
        <f t="shared" si="89"/>
        <v>Y</v>
      </c>
      <c r="AY85" s="109" t="str">
        <f t="shared" si="90"/>
        <v>N</v>
      </c>
      <c r="AZ85" s="109" t="str">
        <f t="shared" si="91"/>
        <v>Y</v>
      </c>
      <c r="BA85" s="1">
        <f t="shared" si="92"/>
        <v>-6.91</v>
      </c>
      <c r="BB85" s="1">
        <f t="shared" si="93"/>
        <v>4.32</v>
      </c>
      <c r="BC85" s="1">
        <f t="shared" si="94"/>
        <v>-2.0199999999999996</v>
      </c>
      <c r="BD85" s="1">
        <f t="shared" si="95"/>
        <v>7.8499999999999979</v>
      </c>
    </row>
    <row r="86" spans="1:56" hidden="1" x14ac:dyDescent="0.35">
      <c r="A86" s="1" t="s">
        <v>95</v>
      </c>
      <c r="B86" s="1" t="s">
        <v>1009</v>
      </c>
      <c r="C86" s="1" t="s">
        <v>52</v>
      </c>
      <c r="D86" s="1" t="s">
        <v>199</v>
      </c>
      <c r="E86" s="1">
        <f>VLOOKUP(A86,symbol_2[[symbol]:[Price1]],2,)</f>
        <v>1659.7</v>
      </c>
      <c r="F86" s="1">
        <f>VLOOKUP(A86,symbol_2[[symbol]:[Price2]],6,)</f>
        <v>1696.5</v>
      </c>
      <c r="G86" s="1">
        <f>VLOOKUP(A86,symbol_2[[symbol]:[Price3]],10,)</f>
        <v>1680.2</v>
      </c>
      <c r="H86" s="1">
        <f>VLOOKUP(A86,symbol_2[[symbol]:[Price4]],14,)</f>
        <v>1732.45</v>
      </c>
      <c r="I86" s="1">
        <f>VLOOKUP(A86,symbol_2[[symbol]:[Price5]],18,)</f>
        <v>1765.65</v>
      </c>
      <c r="J86" s="49" t="str">
        <f t="shared" si="72"/>
        <v>Y</v>
      </c>
      <c r="K86" s="49" t="str">
        <f t="shared" si="73"/>
        <v>N</v>
      </c>
      <c r="L86" s="49" t="str">
        <f t="shared" si="74"/>
        <v>Y</v>
      </c>
      <c r="M86" s="49" t="str">
        <f t="shared" si="75"/>
        <v>Y</v>
      </c>
      <c r="N86" s="52">
        <f t="shared" si="76"/>
        <v>2.2172681809965629</v>
      </c>
      <c r="O86" s="52">
        <f t="shared" si="77"/>
        <v>-0.9608016504568202</v>
      </c>
      <c r="P86" s="52">
        <f t="shared" si="78"/>
        <v>3.1097488394238781</v>
      </c>
      <c r="Q86" s="52">
        <f t="shared" si="79"/>
        <v>1.9163612225461077</v>
      </c>
      <c r="R86" s="1">
        <f>VLOOKUP(A86,symbol_2[[symbol]:[TV1]],3,)</f>
        <v>0.48</v>
      </c>
      <c r="S86" s="1">
        <f>VLOOKUP(A86,symbol_2[[symbol]:[TV2]],7,)</f>
        <v>0.49</v>
      </c>
      <c r="T86" s="1">
        <f>VLOOKUP(A86,symbol_2[[symbol]:[TV3]],11,)</f>
        <v>0.34</v>
      </c>
      <c r="U86" s="1">
        <f>VLOOKUP(A86,symbol_2[[symbol]:[TV4]],15,)</f>
        <v>0.54</v>
      </c>
      <c r="V86" s="1">
        <f>VLOOKUP(A86,symbol_2[[symbol]:[TV5]],19,)</f>
        <v>0.56999999999999995</v>
      </c>
      <c r="W86" s="1" t="str">
        <f t="shared" si="80"/>
        <v>Y</v>
      </c>
      <c r="X86" s="1" t="str">
        <f t="shared" si="81"/>
        <v>N</v>
      </c>
      <c r="Y86" s="1" t="str">
        <f t="shared" si="82"/>
        <v>Y</v>
      </c>
      <c r="Z86" s="1" t="str">
        <f t="shared" si="83"/>
        <v>Y</v>
      </c>
      <c r="AA86" s="1">
        <f>VLOOKUP(A86,symbol_2[[symbol]:[TradedValue1]],4,)</f>
        <v>799.85</v>
      </c>
      <c r="AB86" s="1">
        <f>VLOOKUP(A86,symbol_2[[symbol]:[TradedValue2]],8,)</f>
        <v>838.82</v>
      </c>
      <c r="AC86" s="1">
        <f>VLOOKUP(A86,symbol_2[[symbol]:[TradedValue3]],12,)</f>
        <v>575.70000000000005</v>
      </c>
      <c r="AD86" s="1">
        <f>VLOOKUP(A86,symbol_2[[symbol]:[TradedValue4]],16,)</f>
        <v>934.62</v>
      </c>
      <c r="AE86" s="1">
        <f>VLOOKUP(A86,symbol_2[[symbol]:[TradedValue5]],20,)</f>
        <v>1004.88</v>
      </c>
      <c r="AF86" s="1">
        <f>Table2[[#This Row],[TradedValue2]]-Table2[[#This Row],[TradedValue1]]</f>
        <v>38.970000000000027</v>
      </c>
      <c r="AG86" s="1">
        <f>Table2[[#This Row],[TradedValue3]]-Table2[[#This Row],[TradedValue2]]</f>
        <v>-263.12</v>
      </c>
      <c r="AH86" s="1">
        <f>Table2[[#This Row],[TradedValue4]]-Table2[[#This Row],[TradedValue3]]</f>
        <v>358.91999999999996</v>
      </c>
      <c r="AI86" s="1">
        <f>Table2[[#This Row],[TradedValue5]]-Table2[[#This Row],[TradedValue4]]</f>
        <v>70.259999999999991</v>
      </c>
      <c r="AJ86" s="49" t="str">
        <f>IF(Table2[[#This Row],[TradedValue2]]&gt;Table2[[#This Row],[TradedValue1]],"Y","N")</f>
        <v>Y</v>
      </c>
      <c r="AK86" s="49" t="str">
        <f>IF(Table2[[#This Row],[TradedValue3]]&gt;Table2[[#This Row],[TradedValue2]],"Y","N")</f>
        <v>N</v>
      </c>
      <c r="AL86" s="49" t="str">
        <f>IF(Table2[[#This Row],[TradedValue5]]&gt;Table2[[#This Row],[TradedValue3]],"Y","N")</f>
        <v>Y</v>
      </c>
      <c r="AM86" s="49" t="str">
        <f>IF(Table2[[#This Row],[TradedValue5]]&gt;Table2[[#This Row],[TradedValue4]],"Y","N")</f>
        <v>Y</v>
      </c>
      <c r="AN86" s="1">
        <f t="shared" si="84"/>
        <v>1.0000000000000009E-2</v>
      </c>
      <c r="AO86" s="1">
        <f t="shared" si="85"/>
        <v>-0.14999999999999997</v>
      </c>
      <c r="AP86" s="1">
        <f t="shared" si="86"/>
        <v>0.2</v>
      </c>
      <c r="AQ86" s="1">
        <f t="shared" si="87"/>
        <v>2.9999999999999916E-2</v>
      </c>
      <c r="AR86" s="1">
        <f>VLOOKUP(A86,symbol_2[[symbol]:[DelPer1]],5,)</f>
        <v>49.76</v>
      </c>
      <c r="AS86" s="1">
        <f>VLOOKUP(A86,symbol_2[[symbol]:[DelPer2]],9,)</f>
        <v>29.63</v>
      </c>
      <c r="AT86" s="1">
        <f>VLOOKUP(A86,symbol_2[[symbol]:[DelPer3]],13,)</f>
        <v>34.26</v>
      </c>
      <c r="AU86" s="1">
        <f>VLOOKUP(A86,symbol_2[[symbol]:[DelPer4]],17,)</f>
        <v>37.46</v>
      </c>
      <c r="AV86" s="1">
        <f>VLOOKUP(A86,symbol_2[[symbol]:[DelPer5]],21,)</f>
        <v>25.23</v>
      </c>
      <c r="AW86" s="49" t="str">
        <f t="shared" si="88"/>
        <v>N</v>
      </c>
      <c r="AX86" s="49" t="str">
        <f t="shared" si="89"/>
        <v>Y</v>
      </c>
      <c r="AY86" s="49" t="str">
        <f t="shared" si="90"/>
        <v>Y</v>
      </c>
      <c r="AZ86" s="49" t="str">
        <f t="shared" si="91"/>
        <v>N</v>
      </c>
      <c r="BA86" s="1">
        <f t="shared" si="92"/>
        <v>-20.13</v>
      </c>
      <c r="BB86" s="1">
        <f t="shared" si="93"/>
        <v>4.629999999999999</v>
      </c>
      <c r="BC86" s="1">
        <f t="shared" si="94"/>
        <v>3.2000000000000028</v>
      </c>
      <c r="BD86" s="1">
        <f t="shared" si="95"/>
        <v>-12.23</v>
      </c>
    </row>
    <row r="87" spans="1:56" hidden="1" x14ac:dyDescent="0.35">
      <c r="A87" s="116" t="s">
        <v>142</v>
      </c>
      <c r="B87" s="1" t="s">
        <v>1010</v>
      </c>
      <c r="C87" s="1" t="s">
        <v>52</v>
      </c>
      <c r="D87" s="1" t="s">
        <v>199</v>
      </c>
      <c r="E87" s="1">
        <f>VLOOKUP(A87,symbol_2[[symbol]:[Price1]],2,)</f>
        <v>980.05</v>
      </c>
      <c r="F87" s="1">
        <f>VLOOKUP(A87,symbol_2[[symbol]:[Price2]],6,)</f>
        <v>980.1</v>
      </c>
      <c r="G87" s="1">
        <f>VLOOKUP(A87,symbol_2[[symbol]:[Price3]],10,)</f>
        <v>981.9</v>
      </c>
      <c r="H87" s="1">
        <f>VLOOKUP(A87,symbol_2[[symbol]:[Price4]],14,)</f>
        <v>979.85</v>
      </c>
      <c r="I87" s="1">
        <f>VLOOKUP(A87,symbol_2[[symbol]:[Price5]],18,)</f>
        <v>980.05</v>
      </c>
      <c r="J87" s="49" t="str">
        <f t="shared" si="72"/>
        <v>Y</v>
      </c>
      <c r="K87" s="49" t="str">
        <f t="shared" si="73"/>
        <v>Y</v>
      </c>
      <c r="L87" s="49" t="str">
        <f t="shared" si="74"/>
        <v>N</v>
      </c>
      <c r="M87" s="49" t="str">
        <f t="shared" si="75"/>
        <v>Y</v>
      </c>
      <c r="N87" s="52">
        <f t="shared" si="76"/>
        <v>5.1017805214089301E-3</v>
      </c>
      <c r="O87" s="52">
        <f t="shared" si="77"/>
        <v>0.18365472910926992</v>
      </c>
      <c r="P87" s="52">
        <f t="shared" si="78"/>
        <v>-0.20877889805478708</v>
      </c>
      <c r="Q87" s="52">
        <f t="shared" si="79"/>
        <v>2.041128744194844E-2</v>
      </c>
      <c r="R87" s="1">
        <f>VLOOKUP(A87,symbol_2[[symbol]:[TV1]],3,)</f>
        <v>0.3</v>
      </c>
      <c r="S87" s="1">
        <f>VLOOKUP(A87,symbol_2[[symbol]:[TV2]],7,)</f>
        <v>0.23</v>
      </c>
      <c r="T87" s="1">
        <f>VLOOKUP(A87,symbol_2[[symbol]:[TV3]],11,)</f>
        <v>0.38</v>
      </c>
      <c r="U87" s="1">
        <f>VLOOKUP(A87,symbol_2[[symbol]:[TV4]],15,)</f>
        <v>0.59</v>
      </c>
      <c r="V87" s="1">
        <f>VLOOKUP(A87,symbol_2[[symbol]:[TV5]],19,)</f>
        <v>2.7</v>
      </c>
      <c r="W87" s="1" t="str">
        <f t="shared" si="80"/>
        <v>N</v>
      </c>
      <c r="X87" s="1" t="str">
        <f t="shared" si="81"/>
        <v>Y</v>
      </c>
      <c r="Y87" s="1" t="str">
        <f t="shared" si="82"/>
        <v>Y</v>
      </c>
      <c r="Z87" s="1" t="str">
        <f t="shared" si="83"/>
        <v>Y</v>
      </c>
      <c r="AA87" s="1">
        <f>VLOOKUP(A87,symbol_2[[symbol]:[TradedValue1]],4,)</f>
        <v>290.68</v>
      </c>
      <c r="AB87" s="1">
        <f>VLOOKUP(A87,symbol_2[[symbol]:[TradedValue2]],8,)</f>
        <v>224.69</v>
      </c>
      <c r="AC87" s="1">
        <f>VLOOKUP(A87,symbol_2[[symbol]:[TradedValue3]],12,)</f>
        <v>375.53</v>
      </c>
      <c r="AD87" s="1">
        <f>VLOOKUP(A87,symbol_2[[symbol]:[TradedValue4]],16,)</f>
        <v>580.4</v>
      </c>
      <c r="AE87" s="1">
        <f>VLOOKUP(A87,symbol_2[[symbol]:[TradedValue5]],20,)</f>
        <v>2641.81</v>
      </c>
      <c r="AF87" s="1">
        <f>Table2[[#This Row],[TradedValue2]]-Table2[[#This Row],[TradedValue1]]</f>
        <v>-65.990000000000009</v>
      </c>
      <c r="AG87" s="1">
        <f>Table2[[#This Row],[TradedValue3]]-Table2[[#This Row],[TradedValue2]]</f>
        <v>150.83999999999997</v>
      </c>
      <c r="AH87" s="1">
        <f>Table2[[#This Row],[TradedValue4]]-Table2[[#This Row],[TradedValue3]]</f>
        <v>204.87</v>
      </c>
      <c r="AI87" s="1">
        <f>Table2[[#This Row],[TradedValue5]]-Table2[[#This Row],[TradedValue4]]</f>
        <v>2061.41</v>
      </c>
      <c r="AJ87" s="49" t="str">
        <f>IF(Table2[[#This Row],[TradedValue2]]&gt;Table2[[#This Row],[TradedValue1]],"Y","N")</f>
        <v>N</v>
      </c>
      <c r="AK87" s="49" t="str">
        <f>IF(Table2[[#This Row],[TradedValue3]]&gt;Table2[[#This Row],[TradedValue2]],"Y","N")</f>
        <v>Y</v>
      </c>
      <c r="AL87" s="49" t="str">
        <f>IF(Table2[[#This Row],[TradedValue5]]&gt;Table2[[#This Row],[TradedValue3]],"Y","N")</f>
        <v>Y</v>
      </c>
      <c r="AM87" s="49" t="str">
        <f>IF(Table2[[#This Row],[TradedValue5]]&gt;Table2[[#This Row],[TradedValue4]],"Y","N")</f>
        <v>Y</v>
      </c>
      <c r="AN87" s="1">
        <f t="shared" si="84"/>
        <v>-6.9999999999999979E-2</v>
      </c>
      <c r="AO87" s="1">
        <f t="shared" si="85"/>
        <v>0.15</v>
      </c>
      <c r="AP87" s="1">
        <f t="shared" si="86"/>
        <v>0.20999999999999996</v>
      </c>
      <c r="AQ87" s="1">
        <f t="shared" si="87"/>
        <v>2.1100000000000003</v>
      </c>
      <c r="AR87" s="1">
        <f>VLOOKUP(A87,symbol_2[[symbol]:[DelPer1]],5,)</f>
        <v>43.74</v>
      </c>
      <c r="AS87" s="1">
        <f>VLOOKUP(A87,symbol_2[[symbol]:[DelPer2]],9,)</f>
        <v>50.83</v>
      </c>
      <c r="AT87" s="1">
        <f>VLOOKUP(A87,symbol_2[[symbol]:[DelPer3]],13,)</f>
        <v>36.29</v>
      </c>
      <c r="AU87" s="1">
        <f>VLOOKUP(A87,symbol_2[[symbol]:[DelPer4]],17,)</f>
        <v>74.87</v>
      </c>
      <c r="AV87" s="1">
        <f>VLOOKUP(A87,symbol_2[[symbol]:[DelPer5]],21,)</f>
        <v>94.12</v>
      </c>
      <c r="AW87" s="49" t="str">
        <f t="shared" si="88"/>
        <v>Y</v>
      </c>
      <c r="AX87" s="49" t="str">
        <f t="shared" si="89"/>
        <v>N</v>
      </c>
      <c r="AY87" s="49" t="str">
        <f t="shared" si="90"/>
        <v>Y</v>
      </c>
      <c r="AZ87" s="49" t="str">
        <f t="shared" si="91"/>
        <v>Y</v>
      </c>
      <c r="BA87" s="1">
        <f t="shared" si="92"/>
        <v>7.0899999999999963</v>
      </c>
      <c r="BB87" s="1">
        <f t="shared" si="93"/>
        <v>-14.54</v>
      </c>
      <c r="BC87" s="1">
        <f t="shared" si="94"/>
        <v>38.580000000000005</v>
      </c>
      <c r="BD87" s="1">
        <f t="shared" si="95"/>
        <v>19.25</v>
      </c>
    </row>
    <row r="88" spans="1:56" hidden="1" x14ac:dyDescent="0.35">
      <c r="A88" s="1" t="s">
        <v>73</v>
      </c>
      <c r="B88" s="1" t="s">
        <v>1020</v>
      </c>
      <c r="C88" s="1" t="s">
        <v>52</v>
      </c>
      <c r="D88" s="1" t="s">
        <v>199</v>
      </c>
      <c r="E88" s="1">
        <f>VLOOKUP(A88,symbol_2[[symbol]:[Price1]],2,)</f>
        <v>486.1</v>
      </c>
      <c r="F88" s="1">
        <f>VLOOKUP(A88,symbol_2[[symbol]:[Price2]],6,)</f>
        <v>469.3</v>
      </c>
      <c r="G88" s="1">
        <f>VLOOKUP(A88,symbol_2[[symbol]:[Price3]],10,)</f>
        <v>465.4</v>
      </c>
      <c r="H88" s="1">
        <f>VLOOKUP(A88,symbol_2[[symbol]:[Price4]],14,)</f>
        <v>460.3</v>
      </c>
      <c r="I88" s="1">
        <f>VLOOKUP(A88,symbol_2[[symbol]:[Price5]],18,)</f>
        <v>478.2</v>
      </c>
      <c r="J88" s="49" t="str">
        <f t="shared" si="72"/>
        <v>N</v>
      </c>
      <c r="K88" s="49" t="str">
        <f t="shared" si="73"/>
        <v>N</v>
      </c>
      <c r="L88" s="49" t="str">
        <f t="shared" si="74"/>
        <v>N</v>
      </c>
      <c r="M88" s="49" t="str">
        <f t="shared" si="75"/>
        <v>Y</v>
      </c>
      <c r="N88" s="52">
        <f t="shared" si="76"/>
        <v>-3.4560789960913412</v>
      </c>
      <c r="O88" s="52">
        <f t="shared" si="77"/>
        <v>-0.83102493074792982</v>
      </c>
      <c r="P88" s="52">
        <f t="shared" si="78"/>
        <v>-1.0958315427589098</v>
      </c>
      <c r="Q88" s="52">
        <f t="shared" si="79"/>
        <v>3.888768194655654</v>
      </c>
      <c r="R88" s="1">
        <f>VLOOKUP(A88,symbol_2[[symbol]:[TV1]],3,)</f>
        <v>5.61</v>
      </c>
      <c r="S88" s="1">
        <f>VLOOKUP(A88,symbol_2[[symbol]:[TV2]],7,)</f>
        <v>2.42</v>
      </c>
      <c r="T88" s="1">
        <f>VLOOKUP(A88,symbol_2[[symbol]:[TV3]],11,)</f>
        <v>0.94</v>
      </c>
      <c r="U88" s="1">
        <f>VLOOKUP(A88,symbol_2[[symbol]:[TV4]],15,)</f>
        <v>1.24</v>
      </c>
      <c r="V88" s="1">
        <f>VLOOKUP(A88,symbol_2[[symbol]:[TV5]],19,)</f>
        <v>1.76</v>
      </c>
      <c r="W88" s="1" t="str">
        <f t="shared" si="80"/>
        <v>N</v>
      </c>
      <c r="X88" s="1" t="str">
        <f t="shared" si="81"/>
        <v>N</v>
      </c>
      <c r="Y88" s="1" t="str">
        <f t="shared" si="82"/>
        <v>Y</v>
      </c>
      <c r="Z88" s="1" t="str">
        <f t="shared" si="83"/>
        <v>Y</v>
      </c>
      <c r="AA88" s="1">
        <f>VLOOKUP(A90,symbol_2[[symbol]:[TradedValue1]],4,)</f>
        <v>864.43</v>
      </c>
      <c r="AB88" s="1">
        <f>VLOOKUP(A88,symbol_2[[symbol]:[TradedValue2]],8,)</f>
        <v>1135.69</v>
      </c>
      <c r="AC88" s="1">
        <f>VLOOKUP(A88,symbol_2[[symbol]:[TradedValue3]],12,)</f>
        <v>435.18</v>
      </c>
      <c r="AD88" s="1">
        <f>VLOOKUP(A88,symbol_2[[symbol]:[TradedValue4]],16,)</f>
        <v>580.42999999999995</v>
      </c>
      <c r="AE88" s="1">
        <f>VLOOKUP(A88,symbol_2[[symbol]:[TradedValue5]],20,)</f>
        <v>828.48</v>
      </c>
      <c r="AF88" s="1">
        <f>Table2[[#This Row],[TradedValue2]]-Table2[[#This Row],[TradedValue1]]</f>
        <v>271.2600000000001</v>
      </c>
      <c r="AG88" s="1">
        <f>Table2[[#This Row],[TradedValue3]]-Table2[[#This Row],[TradedValue2]]</f>
        <v>-700.51</v>
      </c>
      <c r="AH88" s="1">
        <f>Table2[[#This Row],[TradedValue4]]-Table2[[#This Row],[TradedValue3]]</f>
        <v>145.24999999999994</v>
      </c>
      <c r="AI88" s="1">
        <f>Table2[[#This Row],[TradedValue5]]-Table2[[#This Row],[TradedValue4]]</f>
        <v>248.05000000000007</v>
      </c>
      <c r="AJ88" s="49" t="str">
        <f>IF(Table2[[#This Row],[TradedValue2]]&gt;Table2[[#This Row],[TradedValue1]],"Y","N")</f>
        <v>Y</v>
      </c>
      <c r="AK88" s="49" t="str">
        <f>IF(Table2[[#This Row],[TradedValue3]]&gt;Table2[[#This Row],[TradedValue2]],"Y","N")</f>
        <v>N</v>
      </c>
      <c r="AL88" s="49" t="str">
        <f>IF(Table2[[#This Row],[TradedValue5]]&gt;Table2[[#This Row],[TradedValue3]],"Y","N")</f>
        <v>Y</v>
      </c>
      <c r="AM88" s="49" t="str">
        <f>IF(Table2[[#This Row],[TradedValue5]]&gt;Table2[[#This Row],[TradedValue4]],"Y","N")</f>
        <v>Y</v>
      </c>
      <c r="AN88" s="1">
        <f t="shared" si="84"/>
        <v>-3.1900000000000004</v>
      </c>
      <c r="AO88" s="1">
        <f t="shared" si="85"/>
        <v>-1.48</v>
      </c>
      <c r="AP88" s="1">
        <f t="shared" si="86"/>
        <v>0.30000000000000004</v>
      </c>
      <c r="AQ88" s="1">
        <f t="shared" si="87"/>
        <v>0.52</v>
      </c>
      <c r="AR88" s="1">
        <f>VLOOKUP(A88,symbol_2[[symbol]:[DelPer1]],5,)</f>
        <v>26.6</v>
      </c>
      <c r="AS88" s="1">
        <f>VLOOKUP(A88,symbol_2[[symbol]:[DelPer2]],9,)</f>
        <v>26.22</v>
      </c>
      <c r="AT88" s="1">
        <f>VLOOKUP(A88,symbol_2[[symbol]:[DelPer3]],13,)</f>
        <v>34.909999999999997</v>
      </c>
      <c r="AU88" s="1">
        <f>VLOOKUP(A88,symbol_2[[symbol]:[DelPer4]],17,)</f>
        <v>32.270000000000003</v>
      </c>
      <c r="AV88" s="1">
        <f>VLOOKUP(A88,symbol_2[[symbol]:[DelPer5]],21,)</f>
        <v>43.31</v>
      </c>
      <c r="AW88" s="49" t="str">
        <f t="shared" si="88"/>
        <v>N</v>
      </c>
      <c r="AX88" s="49" t="str">
        <f t="shared" si="89"/>
        <v>Y</v>
      </c>
      <c r="AY88" s="49" t="str">
        <f t="shared" si="90"/>
        <v>N</v>
      </c>
      <c r="AZ88" s="49" t="str">
        <f t="shared" si="91"/>
        <v>Y</v>
      </c>
      <c r="BA88" s="1">
        <f t="shared" si="92"/>
        <v>-0.38000000000000256</v>
      </c>
      <c r="BB88" s="1">
        <f t="shared" si="93"/>
        <v>8.6899999999999977</v>
      </c>
      <c r="BC88" s="1">
        <f t="shared" si="94"/>
        <v>-2.6399999999999935</v>
      </c>
      <c r="BD88" s="1">
        <f t="shared" si="95"/>
        <v>11.04</v>
      </c>
    </row>
    <row r="89" spans="1:56" hidden="1" x14ac:dyDescent="0.35">
      <c r="A89" s="1" t="s">
        <v>181</v>
      </c>
      <c r="B89" s="1" t="s">
        <v>1018</v>
      </c>
      <c r="C89" s="1" t="s">
        <v>52</v>
      </c>
      <c r="D89" s="1" t="str">
        <f>VLOOKUP(A89,'High Beta'!A14:B63,2,)</f>
        <v>Y</v>
      </c>
      <c r="E89" s="1">
        <f>VLOOKUP(A89,symbol_2[[symbol]:[Price1]],2,)</f>
        <v>5.85</v>
      </c>
      <c r="F89" s="1">
        <f>VLOOKUP(A89,symbol_2[[symbol]:[Price2]],6,)</f>
        <v>5.55</v>
      </c>
      <c r="G89" s="1">
        <f>VLOOKUP(A89,symbol_2[[symbol]:[Price3]],10,)</f>
        <v>5.6</v>
      </c>
      <c r="H89" s="1">
        <f>VLOOKUP(A89,symbol_2[[symbol]:[Price4]],14,)</f>
        <v>5.4</v>
      </c>
      <c r="I89" s="1">
        <f>VLOOKUP(A89,symbol_2[[symbol]:[Price5]],18,)</f>
        <v>5.7</v>
      </c>
      <c r="J89" s="49" t="str">
        <f t="shared" si="72"/>
        <v>N</v>
      </c>
      <c r="K89" s="49" t="str">
        <f t="shared" si="73"/>
        <v>Y</v>
      </c>
      <c r="L89" s="49" t="str">
        <f t="shared" si="74"/>
        <v>N</v>
      </c>
      <c r="M89" s="49" t="str">
        <f t="shared" si="75"/>
        <v>Y</v>
      </c>
      <c r="N89" s="52">
        <f t="shared" si="76"/>
        <v>-5.1282051282051251</v>
      </c>
      <c r="O89" s="52">
        <f t="shared" si="77"/>
        <v>0.90090090090089781</v>
      </c>
      <c r="P89" s="52">
        <f t="shared" si="78"/>
        <v>-3.5714285714285587</v>
      </c>
      <c r="Q89" s="52">
        <f t="shared" si="79"/>
        <v>5.5555555555555518</v>
      </c>
      <c r="R89" s="1">
        <f>VLOOKUP(A89,symbol_2[[symbol]:[TV1]],3,)</f>
        <v>51.63</v>
      </c>
      <c r="S89" s="1">
        <f>VLOOKUP(A89,symbol_2[[symbol]:[TV2]],7,)</f>
        <v>60.89</v>
      </c>
      <c r="T89" s="1">
        <f>VLOOKUP(A89,symbol_2[[symbol]:[TV3]],11,)</f>
        <v>38.1</v>
      </c>
      <c r="U89" s="1">
        <f>VLOOKUP(A89,symbol_2[[symbol]:[TV4]],15,)</f>
        <v>60.69</v>
      </c>
      <c r="V89" s="1">
        <f>VLOOKUP(A89,symbol_2[[symbol]:[TV5]],19,)</f>
        <v>50.96</v>
      </c>
      <c r="W89" s="1" t="str">
        <f t="shared" si="80"/>
        <v>Y</v>
      </c>
      <c r="X89" s="1" t="str">
        <f t="shared" si="81"/>
        <v>N</v>
      </c>
      <c r="Y89" s="1" t="str">
        <f t="shared" si="82"/>
        <v>Y</v>
      </c>
      <c r="Z89" s="1" t="str">
        <f t="shared" si="83"/>
        <v>N</v>
      </c>
      <c r="AA89" s="1">
        <f>VLOOKUP(A89,symbol_2[[symbol]:[TradedValue1]],4,)</f>
        <v>292.66000000000003</v>
      </c>
      <c r="AB89" s="1">
        <f>VLOOKUP(A89,symbol_2[[symbol]:[TradedValue2]],8,)</f>
        <v>348.78</v>
      </c>
      <c r="AC89" s="1">
        <f>VLOOKUP(A89,symbol_2[[symbol]:[TradedValue3]],12,)</f>
        <v>210.45</v>
      </c>
      <c r="AD89" s="1">
        <f>VLOOKUP(A89,symbol_2[[symbol]:[TradedValue4]],16,)</f>
        <v>337.17</v>
      </c>
      <c r="AE89" s="1">
        <f>VLOOKUP(A89,symbol_2[[symbol]:[TradedValue5]],20,)</f>
        <v>285.52</v>
      </c>
      <c r="AF89" s="1">
        <f>Table2[[#This Row],[TradedValue2]]-Table2[[#This Row],[TradedValue1]]</f>
        <v>56.119999999999948</v>
      </c>
      <c r="AG89" s="1">
        <f>Table2[[#This Row],[TradedValue3]]-Table2[[#This Row],[TradedValue2]]</f>
        <v>-138.32999999999998</v>
      </c>
      <c r="AH89" s="1">
        <f>Table2[[#This Row],[TradedValue4]]-Table2[[#This Row],[TradedValue3]]</f>
        <v>126.72000000000003</v>
      </c>
      <c r="AI89" s="1">
        <f>Table2[[#This Row],[TradedValue5]]-Table2[[#This Row],[TradedValue4]]</f>
        <v>-51.650000000000034</v>
      </c>
      <c r="AJ89" s="49" t="str">
        <f>IF(Table2[[#This Row],[TradedValue2]]&gt;Table2[[#This Row],[TradedValue1]],"Y","N")</f>
        <v>Y</v>
      </c>
      <c r="AK89" s="49" t="str">
        <f>IF(Table2[[#This Row],[TradedValue3]]&gt;Table2[[#This Row],[TradedValue2]],"Y","N")</f>
        <v>N</v>
      </c>
      <c r="AL89" s="49" t="str">
        <f>IF(Table2[[#This Row],[TradedValue5]]&gt;Table2[[#This Row],[TradedValue3]],"Y","N")</f>
        <v>Y</v>
      </c>
      <c r="AM89" s="49" t="str">
        <f>IF(Table2[[#This Row],[TradedValue5]]&gt;Table2[[#This Row],[TradedValue4]],"Y","N")</f>
        <v>N</v>
      </c>
      <c r="AN89" s="1">
        <f t="shared" si="84"/>
        <v>9.259999999999998</v>
      </c>
      <c r="AO89" s="1">
        <f t="shared" si="85"/>
        <v>-22.79</v>
      </c>
      <c r="AP89" s="1">
        <f t="shared" si="86"/>
        <v>22.589999999999996</v>
      </c>
      <c r="AQ89" s="1">
        <f t="shared" si="87"/>
        <v>-9.7299999999999969</v>
      </c>
      <c r="AR89" s="1">
        <f>VLOOKUP(A89,symbol_2[[symbol]:[DelPer1]],5,)</f>
        <v>31.91</v>
      </c>
      <c r="AS89" s="1">
        <f>VLOOKUP(A89,symbol_2[[symbol]:[DelPer2]],9,)</f>
        <v>24.74</v>
      </c>
      <c r="AT89" s="1">
        <f>VLOOKUP(A89,symbol_2[[symbol]:[DelPer3]],13,)</f>
        <v>26.89</v>
      </c>
      <c r="AU89" s="1">
        <f>VLOOKUP(A89,symbol_2[[symbol]:[DelPer4]],17,)</f>
        <v>29.85</v>
      </c>
      <c r="AV89" s="1">
        <f>VLOOKUP(A89,symbol_2[[symbol]:[DelPer5]],21,)</f>
        <v>21.27</v>
      </c>
      <c r="AW89" s="49" t="str">
        <f t="shared" si="88"/>
        <v>N</v>
      </c>
      <c r="AX89" s="49" t="str">
        <f t="shared" si="89"/>
        <v>Y</v>
      </c>
      <c r="AY89" s="49" t="str">
        <f t="shared" si="90"/>
        <v>Y</v>
      </c>
      <c r="AZ89" s="49" t="str">
        <f t="shared" si="91"/>
        <v>N</v>
      </c>
      <c r="BA89" s="1">
        <f t="shared" si="92"/>
        <v>-7.1700000000000017</v>
      </c>
      <c r="BB89" s="1">
        <f t="shared" si="93"/>
        <v>2.1500000000000021</v>
      </c>
      <c r="BC89" s="1">
        <f t="shared" si="94"/>
        <v>2.9600000000000009</v>
      </c>
      <c r="BD89" s="1">
        <f t="shared" si="95"/>
        <v>-8.5800000000000018</v>
      </c>
    </row>
    <row r="90" spans="1:56" hidden="1" x14ac:dyDescent="0.35">
      <c r="A90" s="1" t="s">
        <v>157</v>
      </c>
      <c r="B90" s="1" t="s">
        <v>1020</v>
      </c>
      <c r="C90" s="1" t="s">
        <v>52</v>
      </c>
      <c r="D90" s="1" t="s">
        <v>199</v>
      </c>
      <c r="E90" s="1">
        <f>VLOOKUP(A90,symbol_2[[symbol]:[Price1]],2,)</f>
        <v>22464.799999999999</v>
      </c>
      <c r="F90" s="1">
        <f>VLOOKUP(A90,symbol_2[[symbol]:[Price2]],6,)</f>
        <v>22190.9</v>
      </c>
      <c r="G90" s="1">
        <f>VLOOKUP(A90,symbol_2[[symbol]:[Price3]],10,)</f>
        <v>22504.5</v>
      </c>
      <c r="H90" s="1">
        <f>VLOOKUP(A90,symbol_2[[symbol]:[Price4]],14,)</f>
        <v>21787.75</v>
      </c>
      <c r="I90" s="1">
        <f>VLOOKUP(A90,symbol_2[[symbol]:[Price5]],18,)</f>
        <v>21944.05</v>
      </c>
      <c r="J90" s="49" t="str">
        <f t="shared" si="72"/>
        <v>N</v>
      </c>
      <c r="K90" s="49" t="str">
        <f t="shared" si="73"/>
        <v>Y</v>
      </c>
      <c r="L90" s="49" t="str">
        <f t="shared" si="74"/>
        <v>N</v>
      </c>
      <c r="M90" s="49" t="str">
        <f t="shared" si="75"/>
        <v>Y</v>
      </c>
      <c r="N90" s="52">
        <f t="shared" si="76"/>
        <v>-1.2192407677789154</v>
      </c>
      <c r="O90" s="52">
        <f t="shared" si="77"/>
        <v>1.4131918939745505</v>
      </c>
      <c r="P90" s="52">
        <f t="shared" si="78"/>
        <v>-3.1849185718411874</v>
      </c>
      <c r="Q90" s="52">
        <f t="shared" si="79"/>
        <v>0.71737558949409308</v>
      </c>
      <c r="R90" s="1">
        <f>VLOOKUP(A90,symbol_2[[symbol]:[TV1]],3,)</f>
        <v>0.04</v>
      </c>
      <c r="S90" s="1">
        <f>VLOOKUP(A90,symbol_2[[symbol]:[TV2]],7,)</f>
        <v>0.03</v>
      </c>
      <c r="T90" s="1">
        <f>VLOOKUP(A90,symbol_2[[symbol]:[TV3]],11,)</f>
        <v>0.03</v>
      </c>
      <c r="U90" s="1">
        <f>VLOOKUP(A90,symbol_2[[symbol]:[TV4]],15,)</f>
        <v>0.04</v>
      </c>
      <c r="V90" s="1">
        <f>VLOOKUP(A90,symbol_2[[symbol]:[TV5]],19,)</f>
        <v>0.06</v>
      </c>
      <c r="W90" s="1" t="str">
        <f t="shared" si="80"/>
        <v>N</v>
      </c>
      <c r="X90" s="1" t="str">
        <f t="shared" si="81"/>
        <v>N</v>
      </c>
      <c r="Y90" s="1" t="str">
        <f t="shared" si="82"/>
        <v>Y</v>
      </c>
      <c r="Z90" s="1" t="str">
        <f t="shared" si="83"/>
        <v>Y</v>
      </c>
      <c r="AA90" s="1">
        <f>VLOOKUP(A90,symbol_2[[symbol]:[TradedValue1]],4,)</f>
        <v>864.43</v>
      </c>
      <c r="AB90" s="1">
        <f>VLOOKUP(A90,symbol_2[[symbol]:[TradedValue2]],8,)</f>
        <v>589.25</v>
      </c>
      <c r="AC90" s="1">
        <f>VLOOKUP(A90,symbol_2[[symbol]:[TradedValue3]],12,)</f>
        <v>567.89</v>
      </c>
      <c r="AD90" s="1">
        <f>VLOOKUP(A90,symbol_2[[symbol]:[TradedValue4]],16,)</f>
        <v>955.45</v>
      </c>
      <c r="AE90" s="1">
        <f>VLOOKUP(A90,symbol_2[[symbol]:[TradedValue5]],20,)</f>
        <v>1404.11</v>
      </c>
      <c r="AF90" s="1">
        <f>Table2[[#This Row],[TradedValue2]]-Table2[[#This Row],[TradedValue1]]</f>
        <v>-275.17999999999995</v>
      </c>
      <c r="AG90" s="1">
        <f>Table2[[#This Row],[TradedValue3]]-Table2[[#This Row],[TradedValue2]]</f>
        <v>-21.360000000000014</v>
      </c>
      <c r="AH90" s="1">
        <f>Table2[[#This Row],[TradedValue4]]-Table2[[#This Row],[TradedValue3]]</f>
        <v>387.56000000000006</v>
      </c>
      <c r="AI90" s="1">
        <f>Table2[[#This Row],[TradedValue5]]-Table2[[#This Row],[TradedValue4]]</f>
        <v>448.65999999999985</v>
      </c>
      <c r="AJ90" s="49" t="str">
        <f>IF(Table2[[#This Row],[TradedValue2]]&gt;Table2[[#This Row],[TradedValue1]],"Y","N")</f>
        <v>N</v>
      </c>
      <c r="AK90" s="49" t="str">
        <f>IF(Table2[[#This Row],[TradedValue3]]&gt;Table2[[#This Row],[TradedValue2]],"Y","N")</f>
        <v>N</v>
      </c>
      <c r="AL90" s="49" t="str">
        <f>IF(Table2[[#This Row],[TradedValue5]]&gt;Table2[[#This Row],[TradedValue3]],"Y","N")</f>
        <v>Y</v>
      </c>
      <c r="AM90" s="49" t="str">
        <f>IF(Table2[[#This Row],[TradedValue5]]&gt;Table2[[#This Row],[TradedValue4]],"Y","N")</f>
        <v>Y</v>
      </c>
      <c r="AN90" s="1">
        <f t="shared" si="84"/>
        <v>-1.0000000000000002E-2</v>
      </c>
      <c r="AO90" s="1">
        <f t="shared" si="85"/>
        <v>0</v>
      </c>
      <c r="AP90" s="1">
        <f t="shared" si="86"/>
        <v>1.0000000000000002E-2</v>
      </c>
      <c r="AQ90" s="1">
        <f t="shared" si="87"/>
        <v>1.9999999999999997E-2</v>
      </c>
      <c r="AR90" s="1">
        <f>VLOOKUP(A90,symbol_2[[symbol]:[DelPer1]],5,)</f>
        <v>35.909999999999997</v>
      </c>
      <c r="AS90" s="1">
        <f>VLOOKUP(A90,symbol_2[[symbol]:[DelPer2]],9,)</f>
        <v>25.75</v>
      </c>
      <c r="AT90" s="1">
        <f>VLOOKUP(A90,symbol_2[[symbol]:[DelPer3]],13,)</f>
        <v>44.56</v>
      </c>
      <c r="AU90" s="1">
        <f>VLOOKUP(A90,symbol_2[[symbol]:[DelPer4]],17,)</f>
        <v>37.590000000000003</v>
      </c>
      <c r="AV90" s="1">
        <f>VLOOKUP(A90,symbol_2[[symbol]:[DelPer5]],21,)</f>
        <v>41.58</v>
      </c>
      <c r="AW90" s="49" t="str">
        <f t="shared" si="88"/>
        <v>N</v>
      </c>
      <c r="AX90" s="49" t="str">
        <f t="shared" si="89"/>
        <v>Y</v>
      </c>
      <c r="AY90" s="49" t="str">
        <f t="shared" si="90"/>
        <v>N</v>
      </c>
      <c r="AZ90" s="49" t="str">
        <f t="shared" si="91"/>
        <v>Y</v>
      </c>
      <c r="BA90" s="1">
        <f t="shared" si="92"/>
        <v>-10.159999999999997</v>
      </c>
      <c r="BB90" s="1">
        <f t="shared" si="93"/>
        <v>18.810000000000002</v>
      </c>
      <c r="BC90" s="1">
        <f t="shared" si="94"/>
        <v>-6.9699999999999989</v>
      </c>
      <c r="BD90" s="1">
        <f t="shared" si="95"/>
        <v>3.9899999999999949</v>
      </c>
    </row>
    <row r="91" spans="1:56" hidden="1" x14ac:dyDescent="0.35">
      <c r="A91" s="1" t="s">
        <v>159</v>
      </c>
      <c r="B91" s="1" t="s">
        <v>1009</v>
      </c>
      <c r="C91" s="1" t="s">
        <v>52</v>
      </c>
      <c r="D91" s="1" t="s">
        <v>199</v>
      </c>
      <c r="E91" s="1">
        <f>VLOOKUP(A91,symbol_2[[symbol]:[Price1]],2,)</f>
        <v>2287.85</v>
      </c>
      <c r="F91" s="1">
        <f>VLOOKUP(A91,symbol_2[[symbol]:[Price2]],6,)</f>
        <v>2228.4</v>
      </c>
      <c r="G91" s="1">
        <f>VLOOKUP(A91,symbol_2[[symbol]:[Price3]],10,)</f>
        <v>2184.6999999999998</v>
      </c>
      <c r="H91" s="1">
        <f>VLOOKUP(A91,symbol_2[[symbol]:[Price4]],14,)</f>
        <v>2166.4</v>
      </c>
      <c r="I91" s="1">
        <f>VLOOKUP(A91,symbol_2[[symbol]:[Price5]],18,)</f>
        <v>2199.25</v>
      </c>
      <c r="J91" s="49" t="str">
        <f t="shared" si="72"/>
        <v>N</v>
      </c>
      <c r="K91" s="49" t="str">
        <f t="shared" si="73"/>
        <v>N</v>
      </c>
      <c r="L91" s="49" t="str">
        <f t="shared" si="74"/>
        <v>N</v>
      </c>
      <c r="M91" s="49" t="str">
        <f t="shared" si="75"/>
        <v>Y</v>
      </c>
      <c r="N91" s="52">
        <f t="shared" si="76"/>
        <v>-2.5985095176694197</v>
      </c>
      <c r="O91" s="52">
        <f t="shared" si="77"/>
        <v>-1.9610482857655838</v>
      </c>
      <c r="P91" s="52">
        <f t="shared" si="78"/>
        <v>-0.83764361239528218</v>
      </c>
      <c r="Q91" s="52">
        <f t="shared" si="79"/>
        <v>1.5163404726735557</v>
      </c>
      <c r="R91" s="1">
        <f>VLOOKUP(A91,symbol_2[[symbol]:[TV1]],3,)</f>
        <v>1.28</v>
      </c>
      <c r="S91" s="1">
        <f>VLOOKUP(A91,symbol_2[[symbol]:[TV2]],7,)</f>
        <v>1.31</v>
      </c>
      <c r="T91" s="1">
        <f>VLOOKUP(A91,symbol_2[[symbol]:[TV3]],11,)</f>
        <v>0.94</v>
      </c>
      <c r="U91" s="1">
        <f>VLOOKUP(A91,symbol_2[[symbol]:[TV4]],15,)</f>
        <v>1.5</v>
      </c>
      <c r="V91" s="1">
        <f>VLOOKUP(A91,symbol_2[[symbol]:[TV5]],19,)</f>
        <v>0.54</v>
      </c>
      <c r="W91" s="1" t="str">
        <f t="shared" si="80"/>
        <v>Y</v>
      </c>
      <c r="X91" s="1" t="str">
        <f t="shared" si="81"/>
        <v>N</v>
      </c>
      <c r="Y91" s="1" t="str">
        <f t="shared" si="82"/>
        <v>Y</v>
      </c>
      <c r="Z91" s="1" t="str">
        <f t="shared" si="83"/>
        <v>N</v>
      </c>
      <c r="AA91" s="1">
        <f>VLOOKUP(A91,symbol_2[[symbol]:[TradedValue1]],4,)</f>
        <v>2910.53</v>
      </c>
      <c r="AB91" s="1">
        <f>VLOOKUP(A91,symbol_2[[symbol]:[TradedValue2]],8,)</f>
        <v>2989.91</v>
      </c>
      <c r="AC91" s="1">
        <f>VLOOKUP(A91,symbol_2[[symbol]:[TradedValue3]],12,)</f>
        <v>2047.22</v>
      </c>
      <c r="AD91" s="1">
        <f>VLOOKUP(A91,symbol_2[[symbol]:[TradedValue4]],16,)</f>
        <v>3326.3</v>
      </c>
      <c r="AE91" s="1">
        <f>VLOOKUP(A91,symbol_2[[symbol]:[TradedValue5]],20,)</f>
        <v>1177.5899999999999</v>
      </c>
      <c r="AF91" s="1">
        <f>Table2[[#This Row],[TradedValue2]]-Table2[[#This Row],[TradedValue1]]</f>
        <v>79.379999999999654</v>
      </c>
      <c r="AG91" s="1">
        <f>Table2[[#This Row],[TradedValue3]]-Table2[[#This Row],[TradedValue2]]</f>
        <v>-942.68999999999983</v>
      </c>
      <c r="AH91" s="1">
        <f>Table2[[#This Row],[TradedValue4]]-Table2[[#This Row],[TradedValue3]]</f>
        <v>1279.0800000000002</v>
      </c>
      <c r="AI91" s="1">
        <f>Table2[[#This Row],[TradedValue5]]-Table2[[#This Row],[TradedValue4]]</f>
        <v>-2148.71</v>
      </c>
      <c r="AJ91" s="49" t="str">
        <f>IF(Table2[[#This Row],[TradedValue2]]&gt;Table2[[#This Row],[TradedValue1]],"Y","N")</f>
        <v>Y</v>
      </c>
      <c r="AK91" s="49" t="str">
        <f>IF(Table2[[#This Row],[TradedValue3]]&gt;Table2[[#This Row],[TradedValue2]],"Y","N")</f>
        <v>N</v>
      </c>
      <c r="AL91" s="49" t="str">
        <f>IF(Table2[[#This Row],[TradedValue5]]&gt;Table2[[#This Row],[TradedValue3]],"Y","N")</f>
        <v>N</v>
      </c>
      <c r="AM91" s="49" t="str">
        <f>IF(Table2[[#This Row],[TradedValue5]]&gt;Table2[[#This Row],[TradedValue4]],"Y","N")</f>
        <v>N</v>
      </c>
      <c r="AN91" s="1">
        <f t="shared" si="84"/>
        <v>3.0000000000000027E-2</v>
      </c>
      <c r="AO91" s="1">
        <f t="shared" si="85"/>
        <v>-0.37000000000000011</v>
      </c>
      <c r="AP91" s="1">
        <f t="shared" si="86"/>
        <v>0.56000000000000005</v>
      </c>
      <c r="AQ91" s="1">
        <f t="shared" si="87"/>
        <v>-0.96</v>
      </c>
      <c r="AR91" s="1">
        <f>VLOOKUP(A91,symbol_2[[symbol]:[DelPer1]],5,)</f>
        <v>56.19</v>
      </c>
      <c r="AS91" s="1">
        <f>VLOOKUP(A91,symbol_2[[symbol]:[DelPer2]],9,)</f>
        <v>37.56</v>
      </c>
      <c r="AT91" s="1">
        <f>VLOOKUP(A91,symbol_2[[symbol]:[DelPer3]],13,)</f>
        <v>46.1</v>
      </c>
      <c r="AU91" s="1">
        <f>VLOOKUP(A91,symbol_2[[symbol]:[DelPer4]],17,)</f>
        <v>54.91</v>
      </c>
      <c r="AV91" s="1">
        <f>VLOOKUP(A91,symbol_2[[symbol]:[DelPer5]],21,)</f>
        <v>41.92</v>
      </c>
      <c r="AW91" s="49" t="str">
        <f t="shared" si="88"/>
        <v>N</v>
      </c>
      <c r="AX91" s="49" t="str">
        <f t="shared" si="89"/>
        <v>Y</v>
      </c>
      <c r="AY91" s="49" t="str">
        <f t="shared" si="90"/>
        <v>Y</v>
      </c>
      <c r="AZ91" s="49" t="str">
        <f t="shared" si="91"/>
        <v>N</v>
      </c>
      <c r="BA91" s="1">
        <f t="shared" si="92"/>
        <v>-18.629999999999995</v>
      </c>
      <c r="BB91" s="1">
        <f t="shared" si="93"/>
        <v>8.5399999999999991</v>
      </c>
      <c r="BC91" s="1">
        <f t="shared" si="94"/>
        <v>8.8099999999999952</v>
      </c>
      <c r="BD91" s="1">
        <f t="shared" si="95"/>
        <v>-12.989999999999995</v>
      </c>
    </row>
    <row r="92" spans="1:56" hidden="1" x14ac:dyDescent="0.35">
      <c r="A92" s="1" t="s">
        <v>76</v>
      </c>
      <c r="B92" s="1" t="s">
        <v>1011</v>
      </c>
      <c r="C92" s="1" t="s">
        <v>52</v>
      </c>
      <c r="D92" s="1" t="s">
        <v>199</v>
      </c>
      <c r="E92" s="1">
        <f>VLOOKUP(A92,symbol_2[[symbol]:[Price1]],2,)</f>
        <v>2801.2</v>
      </c>
      <c r="F92" s="1">
        <f>VLOOKUP(A92,symbol_2[[symbol]:[Price2]],6,)</f>
        <v>2848.7</v>
      </c>
      <c r="G92" s="1">
        <f>VLOOKUP(A92,symbol_2[[symbol]:[Price3]],10,)</f>
        <v>2852.65</v>
      </c>
      <c r="H92" s="1">
        <f>VLOOKUP(A92,symbol_2[[symbol]:[Price4]],14,)</f>
        <v>2838.7</v>
      </c>
      <c r="I92" s="1">
        <f>VLOOKUP(A92,symbol_2[[symbol]:[Price5]],18,)</f>
        <v>2851.05</v>
      </c>
      <c r="J92" s="49" t="str">
        <f t="shared" si="72"/>
        <v>Y</v>
      </c>
      <c r="K92" s="49" t="str">
        <f t="shared" si="73"/>
        <v>Y</v>
      </c>
      <c r="L92" s="49" t="str">
        <f t="shared" si="74"/>
        <v>N</v>
      </c>
      <c r="M92" s="49" t="str">
        <f t="shared" si="75"/>
        <v>Y</v>
      </c>
      <c r="N92" s="52">
        <f t="shared" si="76"/>
        <v>1.6957018420676855</v>
      </c>
      <c r="O92" s="52">
        <f t="shared" si="77"/>
        <v>0.13865973953032165</v>
      </c>
      <c r="P92" s="52">
        <f t="shared" si="78"/>
        <v>-0.48901898234975449</v>
      </c>
      <c r="Q92" s="52">
        <f t="shared" si="79"/>
        <v>0.43505830133513101</v>
      </c>
      <c r="R92" s="1">
        <f>VLOOKUP(A92,symbol_2[[symbol]:[TV1]],3,)</f>
        <v>0.44</v>
      </c>
      <c r="S92" s="1">
        <f>VLOOKUP(A92,symbol_2[[symbol]:[TV2]],7,)</f>
        <v>0.49</v>
      </c>
      <c r="T92" s="1">
        <f>VLOOKUP(A92,symbol_2[[symbol]:[TV3]],11,)</f>
        <v>0.39</v>
      </c>
      <c r="U92" s="1">
        <f>VLOOKUP(A92,symbol_2[[symbol]:[TV4]],15,)</f>
        <v>0.26</v>
      </c>
      <c r="V92" s="1">
        <f>VLOOKUP(A92,symbol_2[[symbol]:[TV5]],19,)</f>
        <v>0.23</v>
      </c>
      <c r="W92" s="1" t="str">
        <f t="shared" si="80"/>
        <v>Y</v>
      </c>
      <c r="X92" s="1" t="str">
        <f t="shared" si="81"/>
        <v>N</v>
      </c>
      <c r="Y92" s="1" t="str">
        <f t="shared" si="82"/>
        <v>N</v>
      </c>
      <c r="Z92" s="1" t="str">
        <f t="shared" si="83"/>
        <v>N</v>
      </c>
      <c r="AA92" s="1">
        <f>VLOOKUP(A92,symbol_2[[symbol]:[TradedValue1]],4,)</f>
        <v>1240.29</v>
      </c>
      <c r="AB92" s="1">
        <f>VLOOKUP(A92,symbol_2[[symbol]:[TradedValue2]],8,)</f>
        <v>1396.17</v>
      </c>
      <c r="AC92" s="1">
        <f>VLOOKUP(A92,symbol_2[[symbol]:[TradedValue3]],12,)</f>
        <v>1122.67</v>
      </c>
      <c r="AD92" s="1">
        <f>VLOOKUP(A92,symbol_2[[symbol]:[TradedValue4]],16,)</f>
        <v>752.47</v>
      </c>
      <c r="AE92" s="1">
        <f>VLOOKUP(A92,symbol_2[[symbol]:[TradedValue5]],20,)</f>
        <v>647.78</v>
      </c>
      <c r="AF92" s="1">
        <f>Table2[[#This Row],[TradedValue2]]-Table2[[#This Row],[TradedValue1]]</f>
        <v>155.88000000000011</v>
      </c>
      <c r="AG92" s="1">
        <f>Table2[[#This Row],[TradedValue3]]-Table2[[#This Row],[TradedValue2]]</f>
        <v>-273.5</v>
      </c>
      <c r="AH92" s="1">
        <f>Table2[[#This Row],[TradedValue4]]-Table2[[#This Row],[TradedValue3]]</f>
        <v>-370.20000000000005</v>
      </c>
      <c r="AI92" s="1">
        <f>Table2[[#This Row],[TradedValue5]]-Table2[[#This Row],[TradedValue4]]</f>
        <v>-104.69000000000005</v>
      </c>
      <c r="AJ92" s="49" t="str">
        <f>IF(Table2[[#This Row],[TradedValue2]]&gt;Table2[[#This Row],[TradedValue1]],"Y","N")</f>
        <v>Y</v>
      </c>
      <c r="AK92" s="49" t="str">
        <f>IF(Table2[[#This Row],[TradedValue3]]&gt;Table2[[#This Row],[TradedValue2]],"Y","N")</f>
        <v>N</v>
      </c>
      <c r="AL92" s="49" t="str">
        <f>IF(Table2[[#This Row],[TradedValue5]]&gt;Table2[[#This Row],[TradedValue3]],"Y","N")</f>
        <v>N</v>
      </c>
      <c r="AM92" s="49" t="str">
        <f>IF(Table2[[#This Row],[TradedValue5]]&gt;Table2[[#This Row],[TradedValue4]],"Y","N")</f>
        <v>N</v>
      </c>
      <c r="AN92" s="1">
        <f t="shared" si="84"/>
        <v>4.9999999999999989E-2</v>
      </c>
      <c r="AO92" s="1">
        <f t="shared" si="85"/>
        <v>-9.9999999999999978E-2</v>
      </c>
      <c r="AP92" s="1">
        <f t="shared" si="86"/>
        <v>-0.13</v>
      </c>
      <c r="AQ92" s="1">
        <f t="shared" si="87"/>
        <v>-0.03</v>
      </c>
      <c r="AR92" s="1">
        <f>VLOOKUP(A92,symbol_2[[symbol]:[DelPer1]],5,)</f>
        <v>54.38</v>
      </c>
      <c r="AS92" s="1">
        <f>VLOOKUP(A92,symbol_2[[symbol]:[DelPer2]],9,)</f>
        <v>39.479999999999997</v>
      </c>
      <c r="AT92" s="1">
        <f>VLOOKUP(A92,symbol_2[[symbol]:[DelPer3]],13,)</f>
        <v>46.69</v>
      </c>
      <c r="AU92" s="1">
        <f>VLOOKUP(A92,symbol_2[[symbol]:[DelPer4]],17,)</f>
        <v>45.57</v>
      </c>
      <c r="AV92" s="1">
        <f>VLOOKUP(A92,symbol_2[[symbol]:[DelPer5]],21,)</f>
        <v>38.67</v>
      </c>
      <c r="AW92" s="49" t="str">
        <f t="shared" si="88"/>
        <v>N</v>
      </c>
      <c r="AX92" s="49" t="str">
        <f t="shared" si="89"/>
        <v>Y</v>
      </c>
      <c r="AY92" s="49" t="str">
        <f t="shared" si="90"/>
        <v>N</v>
      </c>
      <c r="AZ92" s="49" t="str">
        <f t="shared" si="91"/>
        <v>N</v>
      </c>
      <c r="BA92" s="1">
        <f t="shared" si="92"/>
        <v>-14.900000000000006</v>
      </c>
      <c r="BB92" s="1">
        <f t="shared" si="93"/>
        <v>7.2100000000000009</v>
      </c>
      <c r="BC92" s="1">
        <f t="shared" si="94"/>
        <v>-1.1199999999999974</v>
      </c>
      <c r="BD92" s="1">
        <f t="shared" si="95"/>
        <v>-6.8999999999999986</v>
      </c>
    </row>
    <row r="93" spans="1:56" hidden="1" x14ac:dyDescent="0.35">
      <c r="A93" s="1" t="s">
        <v>162</v>
      </c>
      <c r="B93" s="1" t="s">
        <v>1016</v>
      </c>
      <c r="C93" s="1" t="s">
        <v>52</v>
      </c>
      <c r="D93" s="1" t="s">
        <v>199</v>
      </c>
      <c r="E93" s="1">
        <f>VLOOKUP(A93,symbol_2[[symbol]:[Price1]],2,)</f>
        <v>1217</v>
      </c>
      <c r="F93" s="1">
        <f>VLOOKUP(A93,symbol_2[[symbol]:[Price2]],6,)</f>
        <v>1199.8499999999999</v>
      </c>
      <c r="G93" s="1">
        <f>VLOOKUP(A93,symbol_2[[symbol]:[Price3]],10,)</f>
        <v>1211.5999999999999</v>
      </c>
      <c r="H93" s="1">
        <f>VLOOKUP(A93,symbol_2[[symbol]:[Price4]],14,)</f>
        <v>1199.5999999999999</v>
      </c>
      <c r="I93" s="1">
        <f>VLOOKUP(A93,symbol_2[[symbol]:[Price5]],18,)</f>
        <v>1237.5999999999999</v>
      </c>
      <c r="J93" s="49" t="str">
        <f t="shared" si="72"/>
        <v>N</v>
      </c>
      <c r="K93" s="49" t="str">
        <f t="shared" si="73"/>
        <v>Y</v>
      </c>
      <c r="L93" s="49" t="str">
        <f t="shared" si="74"/>
        <v>N</v>
      </c>
      <c r="M93" s="49" t="str">
        <f t="shared" si="75"/>
        <v>Y</v>
      </c>
      <c r="N93" s="52">
        <f t="shared" si="76"/>
        <v>-1.4092029580936805</v>
      </c>
      <c r="O93" s="52">
        <f t="shared" si="77"/>
        <v>0.97928907780139196</v>
      </c>
      <c r="P93" s="52">
        <f t="shared" si="78"/>
        <v>-0.99042588312974589</v>
      </c>
      <c r="Q93" s="52">
        <f t="shared" si="79"/>
        <v>3.167722574191397</v>
      </c>
      <c r="R93" s="1">
        <f>VLOOKUP(A93,symbol_2[[symbol]:[TV1]],3,)</f>
        <v>0.76</v>
      </c>
      <c r="S93" s="1">
        <f>VLOOKUP(A93,symbol_2[[symbol]:[TV2]],7,)</f>
        <v>0.53</v>
      </c>
      <c r="T93" s="1">
        <f>VLOOKUP(A93,symbol_2[[symbol]:[TV3]],11,)</f>
        <v>0.4</v>
      </c>
      <c r="U93" s="1">
        <f>VLOOKUP(A93,symbol_2[[symbol]:[TV4]],15,)</f>
        <v>0.51</v>
      </c>
      <c r="V93" s="1">
        <f>VLOOKUP(A93,symbol_2[[symbol]:[TV5]],19,)</f>
        <v>0.99</v>
      </c>
      <c r="W93" s="1" t="str">
        <f t="shared" si="80"/>
        <v>N</v>
      </c>
      <c r="X93" s="1" t="str">
        <f t="shared" si="81"/>
        <v>N</v>
      </c>
      <c r="Y93" s="1" t="str">
        <f t="shared" si="82"/>
        <v>Y</v>
      </c>
      <c r="Z93" s="1" t="str">
        <f t="shared" si="83"/>
        <v>Y</v>
      </c>
      <c r="AA93" s="1">
        <f>VLOOKUP(A93,symbol_2[[symbol]:[TradedValue1]],4,)</f>
        <v>911.7</v>
      </c>
      <c r="AB93" s="1">
        <f>VLOOKUP(A93,symbol_2[[symbol]:[TradedValue2]],8,)</f>
        <v>632.37</v>
      </c>
      <c r="AC93" s="1">
        <f>VLOOKUP(A93,symbol_2[[symbol]:[TradedValue3]],12,)</f>
        <v>481.81</v>
      </c>
      <c r="AD93" s="1">
        <f>VLOOKUP(A93,symbol_2[[symbol]:[TradedValue4]],16,)</f>
        <v>618.13</v>
      </c>
      <c r="AE93" s="1">
        <f>VLOOKUP(A93,symbol_2[[symbol]:[TradedValue5]],20,)</f>
        <v>1214.54</v>
      </c>
      <c r="AF93" s="1">
        <f>Table2[[#This Row],[TradedValue2]]-Table2[[#This Row],[TradedValue1]]</f>
        <v>-279.33000000000004</v>
      </c>
      <c r="AG93" s="1">
        <f>Table2[[#This Row],[TradedValue3]]-Table2[[#This Row],[TradedValue2]]</f>
        <v>-150.56</v>
      </c>
      <c r="AH93" s="1">
        <f>Table2[[#This Row],[TradedValue4]]-Table2[[#This Row],[TradedValue3]]</f>
        <v>136.32</v>
      </c>
      <c r="AI93" s="1">
        <f>Table2[[#This Row],[TradedValue5]]-Table2[[#This Row],[TradedValue4]]</f>
        <v>596.41</v>
      </c>
      <c r="AJ93" s="49" t="str">
        <f>IF(Table2[[#This Row],[TradedValue2]]&gt;Table2[[#This Row],[TradedValue1]],"Y","N")</f>
        <v>N</v>
      </c>
      <c r="AK93" s="49" t="str">
        <f>IF(Table2[[#This Row],[TradedValue3]]&gt;Table2[[#This Row],[TradedValue2]],"Y","N")</f>
        <v>N</v>
      </c>
      <c r="AL93" s="49" t="str">
        <f>IF(Table2[[#This Row],[TradedValue5]]&gt;Table2[[#This Row],[TradedValue3]],"Y","N")</f>
        <v>Y</v>
      </c>
      <c r="AM93" s="49" t="str">
        <f>IF(Table2[[#This Row],[TradedValue5]]&gt;Table2[[#This Row],[TradedValue4]],"Y","N")</f>
        <v>Y</v>
      </c>
      <c r="AN93" s="1">
        <f t="shared" si="84"/>
        <v>-0.22999999999999998</v>
      </c>
      <c r="AO93" s="1">
        <f t="shared" si="85"/>
        <v>-0.13</v>
      </c>
      <c r="AP93" s="1">
        <f t="shared" si="86"/>
        <v>0.10999999999999999</v>
      </c>
      <c r="AQ93" s="1">
        <f t="shared" si="87"/>
        <v>0.48</v>
      </c>
      <c r="AR93" s="1">
        <f>VLOOKUP(A93,symbol_2[[symbol]:[DelPer1]],5,)</f>
        <v>33.18</v>
      </c>
      <c r="AS93" s="1">
        <f>VLOOKUP(A93,symbol_2[[symbol]:[DelPer2]],9,)</f>
        <v>37.57</v>
      </c>
      <c r="AT93" s="1">
        <f>VLOOKUP(A93,symbol_2[[symbol]:[DelPer3]],13,)</f>
        <v>38.200000000000003</v>
      </c>
      <c r="AU93" s="1">
        <f>VLOOKUP(A93,symbol_2[[symbol]:[DelPer4]],17,)</f>
        <v>46.21</v>
      </c>
      <c r="AV93" s="1">
        <f>VLOOKUP(A93,symbol_2[[symbol]:[DelPer5]],21,)</f>
        <v>51.95</v>
      </c>
      <c r="AW93" s="49" t="str">
        <f t="shared" si="88"/>
        <v>Y</v>
      </c>
      <c r="AX93" s="49" t="str">
        <f t="shared" si="89"/>
        <v>Y</v>
      </c>
      <c r="AY93" s="49" t="str">
        <f t="shared" si="90"/>
        <v>Y</v>
      </c>
      <c r="AZ93" s="49" t="str">
        <f t="shared" si="91"/>
        <v>Y</v>
      </c>
      <c r="BA93" s="1">
        <f t="shared" si="92"/>
        <v>4.3900000000000006</v>
      </c>
      <c r="BB93" s="1">
        <f t="shared" si="93"/>
        <v>0.63000000000000256</v>
      </c>
      <c r="BC93" s="1">
        <f t="shared" si="94"/>
        <v>8.009999999999998</v>
      </c>
      <c r="BD93" s="1">
        <f t="shared" si="95"/>
        <v>5.740000000000002</v>
      </c>
    </row>
    <row r="94" spans="1:56" hidden="1" x14ac:dyDescent="0.35">
      <c r="A94" s="1" t="s">
        <v>134</v>
      </c>
      <c r="B94" s="1" t="s">
        <v>1006</v>
      </c>
      <c r="C94" s="1" t="s">
        <v>52</v>
      </c>
      <c r="D94" s="1" t="s">
        <v>199</v>
      </c>
      <c r="E94" s="1">
        <f>VLOOKUP(A94,symbol_2[[symbol]:[Price1]],2,)</f>
        <v>532</v>
      </c>
      <c r="F94" s="1">
        <f>VLOOKUP(A94,symbol_2[[symbol]:[Price2]],6,)</f>
        <v>526.6</v>
      </c>
      <c r="G94" s="1">
        <f>VLOOKUP(A94,symbol_2[[symbol]:[Price3]],10,)</f>
        <v>527.95000000000005</v>
      </c>
      <c r="H94" s="1">
        <f>VLOOKUP(A94,symbol_2[[symbol]:[Price4]],14,)</f>
        <v>530.70000000000005</v>
      </c>
      <c r="I94" s="1">
        <f>VLOOKUP(A94,symbol_2[[symbol]:[Price5]],18,)</f>
        <v>538.54999999999995</v>
      </c>
      <c r="J94" s="49" t="str">
        <f t="shared" si="72"/>
        <v>N</v>
      </c>
      <c r="K94" s="49" t="str">
        <f t="shared" si="73"/>
        <v>Y</v>
      </c>
      <c r="L94" s="49" t="str">
        <f t="shared" si="74"/>
        <v>Y</v>
      </c>
      <c r="M94" s="49" t="str">
        <f t="shared" si="75"/>
        <v>Y</v>
      </c>
      <c r="N94" s="52">
        <f t="shared" si="76"/>
        <v>-1.0150375939849581</v>
      </c>
      <c r="O94" s="52">
        <f t="shared" si="77"/>
        <v>0.25636156475503658</v>
      </c>
      <c r="P94" s="52">
        <f t="shared" si="78"/>
        <v>0.52088265934274081</v>
      </c>
      <c r="Q94" s="52">
        <f t="shared" si="79"/>
        <v>1.4791784435650854</v>
      </c>
      <c r="R94" s="1">
        <f>VLOOKUP(A94,symbol_2[[symbol]:[TV1]],3,)</f>
        <v>1.73</v>
      </c>
      <c r="S94" s="1">
        <f>VLOOKUP(A94,symbol_2[[symbol]:[TV2]],7,)</f>
        <v>1.49</v>
      </c>
      <c r="T94" s="1">
        <f>VLOOKUP(A94,symbol_2[[symbol]:[TV3]],11,)</f>
        <v>1.34</v>
      </c>
      <c r="U94" s="1">
        <f>VLOOKUP(A94,symbol_2[[symbol]:[TV4]],15,)</f>
        <v>2.4300000000000002</v>
      </c>
      <c r="V94" s="1">
        <f>VLOOKUP(A94,symbol_2[[symbol]:[TV5]],19,)</f>
        <v>1.33</v>
      </c>
      <c r="W94" s="1" t="str">
        <f t="shared" si="80"/>
        <v>N</v>
      </c>
      <c r="X94" s="1" t="str">
        <f t="shared" si="81"/>
        <v>N</v>
      </c>
      <c r="Y94" s="1" t="str">
        <f t="shared" si="82"/>
        <v>Y</v>
      </c>
      <c r="Z94" s="1" t="str">
        <f t="shared" si="83"/>
        <v>N</v>
      </c>
      <c r="AA94" s="1">
        <f>VLOOKUP(A96,symbol_2[[symbol]:[TradedValue1]],4,)</f>
        <v>1710.63</v>
      </c>
      <c r="AB94" s="1">
        <f>VLOOKUP(A94,symbol_2[[symbol]:[TradedValue2]],8,)</f>
        <v>792.79</v>
      </c>
      <c r="AC94" s="1">
        <f>VLOOKUP(A94,symbol_2[[symbol]:[TradedValue3]],12,)</f>
        <v>709.65</v>
      </c>
      <c r="AD94" s="1">
        <f>VLOOKUP(A94,symbol_2[[symbol]:[TradedValue4]],16,)</f>
        <v>1322.56</v>
      </c>
      <c r="AE94" s="1">
        <f>VLOOKUP(A94,symbol_2[[symbol]:[TradedValue5]],20,)</f>
        <v>713.64</v>
      </c>
      <c r="AF94" s="1">
        <f>Table2[[#This Row],[TradedValue2]]-Table2[[#This Row],[TradedValue1]]</f>
        <v>-917.84000000000015</v>
      </c>
      <c r="AG94" s="1">
        <f>Table2[[#This Row],[TradedValue3]]-Table2[[#This Row],[TradedValue2]]</f>
        <v>-83.139999999999986</v>
      </c>
      <c r="AH94" s="1">
        <f>Table2[[#This Row],[TradedValue4]]-Table2[[#This Row],[TradedValue3]]</f>
        <v>612.91</v>
      </c>
      <c r="AI94" s="1">
        <f>Table2[[#This Row],[TradedValue5]]-Table2[[#This Row],[TradedValue4]]</f>
        <v>-608.91999999999996</v>
      </c>
      <c r="AJ94" s="49" t="str">
        <f>IF(Table2[[#This Row],[TradedValue2]]&gt;Table2[[#This Row],[TradedValue1]],"Y","N")</f>
        <v>N</v>
      </c>
      <c r="AK94" s="49" t="str">
        <f>IF(Table2[[#This Row],[TradedValue3]]&gt;Table2[[#This Row],[TradedValue2]],"Y","N")</f>
        <v>N</v>
      </c>
      <c r="AL94" s="49" t="str">
        <f>IF(Table2[[#This Row],[TradedValue5]]&gt;Table2[[#This Row],[TradedValue3]],"Y","N")</f>
        <v>Y</v>
      </c>
      <c r="AM94" s="49" t="str">
        <f>IF(Table2[[#This Row],[TradedValue5]]&gt;Table2[[#This Row],[TradedValue4]],"Y","N")</f>
        <v>N</v>
      </c>
      <c r="AN94" s="1">
        <f t="shared" si="84"/>
        <v>-0.24</v>
      </c>
      <c r="AO94" s="1">
        <f t="shared" si="85"/>
        <v>-0.14999999999999991</v>
      </c>
      <c r="AP94" s="1">
        <f t="shared" si="86"/>
        <v>1.0900000000000001</v>
      </c>
      <c r="AQ94" s="1">
        <f t="shared" si="87"/>
        <v>-1.1000000000000001</v>
      </c>
      <c r="AR94" s="1">
        <f>VLOOKUP(A94,symbol_2[[symbol]:[DelPer1]],5,)</f>
        <v>32.049999999999997</v>
      </c>
      <c r="AS94" s="1">
        <f>VLOOKUP(A94,symbol_2[[symbol]:[DelPer2]],9,)</f>
        <v>33.53</v>
      </c>
      <c r="AT94" s="1">
        <f>VLOOKUP(A94,symbol_2[[symbol]:[DelPer3]],13,)</f>
        <v>31.09</v>
      </c>
      <c r="AU94" s="1">
        <f>VLOOKUP(A94,symbol_2[[symbol]:[DelPer4]],17,)</f>
        <v>41.46</v>
      </c>
      <c r="AV94" s="1">
        <f>VLOOKUP(A94,symbol_2[[symbol]:[DelPer5]],21,)</f>
        <v>40.590000000000003</v>
      </c>
      <c r="AW94" s="49" t="str">
        <f t="shared" si="88"/>
        <v>Y</v>
      </c>
      <c r="AX94" s="49" t="str">
        <f t="shared" si="89"/>
        <v>N</v>
      </c>
      <c r="AY94" s="49" t="str">
        <f t="shared" si="90"/>
        <v>Y</v>
      </c>
      <c r="AZ94" s="49" t="str">
        <f t="shared" si="91"/>
        <v>N</v>
      </c>
      <c r="BA94" s="1">
        <f t="shared" si="92"/>
        <v>1.480000000000004</v>
      </c>
      <c r="BB94" s="1">
        <f t="shared" si="93"/>
        <v>-2.4400000000000013</v>
      </c>
      <c r="BC94" s="1">
        <f t="shared" si="94"/>
        <v>10.370000000000001</v>
      </c>
      <c r="BD94" s="1">
        <f t="shared" si="95"/>
        <v>-0.86999999999999744</v>
      </c>
    </row>
    <row r="95" spans="1:56" hidden="1" x14ac:dyDescent="0.35">
      <c r="A95" s="116" t="s">
        <v>164</v>
      </c>
      <c r="B95" s="1" t="s">
        <v>1019</v>
      </c>
      <c r="C95" s="1" t="s">
        <v>52</v>
      </c>
      <c r="D95" s="1" t="s">
        <v>199</v>
      </c>
      <c r="E95" s="1">
        <f>VLOOKUP(A95,symbol_2[[symbol]:[Price1]],2,)</f>
        <v>1806</v>
      </c>
      <c r="F95" s="1">
        <f>VLOOKUP(A95,symbol_2[[symbol]:[Price2]],6,)</f>
        <v>1812.05</v>
      </c>
      <c r="G95" s="1">
        <f>VLOOKUP(A95,symbol_2[[symbol]:[Price3]],10,)</f>
        <v>1756.15</v>
      </c>
      <c r="H95" s="1">
        <f>VLOOKUP(A95,symbol_2[[symbol]:[Price4]],14,)</f>
        <v>1766.85</v>
      </c>
      <c r="I95" s="1">
        <f>VLOOKUP(A95,symbol_2[[symbol]:[Price5]],18,)</f>
        <v>1708.4</v>
      </c>
      <c r="J95" s="49" t="str">
        <f t="shared" si="72"/>
        <v>Y</v>
      </c>
      <c r="K95" s="49" t="str">
        <f t="shared" si="73"/>
        <v>N</v>
      </c>
      <c r="L95" s="49" t="str">
        <f t="shared" si="74"/>
        <v>Y</v>
      </c>
      <c r="M95" s="49" t="str">
        <f t="shared" si="75"/>
        <v>N</v>
      </c>
      <c r="N95" s="52">
        <f t="shared" si="76"/>
        <v>0.33499446290143708</v>
      </c>
      <c r="O95" s="52">
        <f t="shared" si="77"/>
        <v>-3.084903838194303</v>
      </c>
      <c r="P95" s="52">
        <f t="shared" si="78"/>
        <v>0.60928736155794305</v>
      </c>
      <c r="Q95" s="52">
        <f t="shared" si="79"/>
        <v>-3.308147267736357</v>
      </c>
      <c r="R95" s="1">
        <f>VLOOKUP(A95,symbol_2[[symbol]:[TV1]],3,)</f>
        <v>0.3</v>
      </c>
      <c r="S95" s="1">
        <f>VLOOKUP(A95,symbol_2[[symbol]:[TV2]],7,)</f>
        <v>0.23</v>
      </c>
      <c r="T95" s="1">
        <f>VLOOKUP(A95,symbol_2[[symbol]:[TV3]],11,)</f>
        <v>0.3</v>
      </c>
      <c r="U95" s="1">
        <f>VLOOKUP(A95,symbol_2[[symbol]:[TV4]],15,)</f>
        <v>0.21</v>
      </c>
      <c r="V95" s="1">
        <f>VLOOKUP(A95,symbol_2[[symbol]:[TV5]],19,)</f>
        <v>0.5</v>
      </c>
      <c r="W95" s="1" t="str">
        <f t="shared" si="80"/>
        <v>N</v>
      </c>
      <c r="X95" s="1" t="str">
        <f t="shared" si="81"/>
        <v>Y</v>
      </c>
      <c r="Y95" s="1" t="str">
        <f t="shared" si="82"/>
        <v>N</v>
      </c>
      <c r="Z95" s="1" t="str">
        <f t="shared" si="83"/>
        <v>Y</v>
      </c>
      <c r="AA95" s="1">
        <f>VLOOKUP(A97,symbol_2[[symbol]:[TradedValue1]],4,)</f>
        <v>755.72</v>
      </c>
      <c r="AB95" s="1">
        <f>VLOOKUP(A95,symbol_2[[symbol]:[TradedValue2]],8,)</f>
        <v>407.14</v>
      </c>
      <c r="AC95" s="1">
        <f>VLOOKUP(A95,symbol_2[[symbol]:[TradedValue3]],12,)</f>
        <v>538.74</v>
      </c>
      <c r="AD95" s="1">
        <f>VLOOKUP(A95,symbol_2[[symbol]:[TradedValue4]],16,)</f>
        <v>372.74</v>
      </c>
      <c r="AE95" s="1">
        <f>VLOOKUP(A95,symbol_2[[symbol]:[TradedValue5]],20,)</f>
        <v>861.58</v>
      </c>
      <c r="AF95" s="1">
        <f>Table2[[#This Row],[TradedValue2]]-Table2[[#This Row],[TradedValue1]]</f>
        <v>-348.58000000000004</v>
      </c>
      <c r="AG95" s="1">
        <f>Table2[[#This Row],[TradedValue3]]-Table2[[#This Row],[TradedValue2]]</f>
        <v>131.60000000000002</v>
      </c>
      <c r="AH95" s="1">
        <f>Table2[[#This Row],[TradedValue4]]-Table2[[#This Row],[TradedValue3]]</f>
        <v>-166</v>
      </c>
      <c r="AI95" s="1">
        <f>Table2[[#This Row],[TradedValue5]]-Table2[[#This Row],[TradedValue4]]</f>
        <v>488.84000000000003</v>
      </c>
      <c r="AJ95" s="49" t="str">
        <f>IF(Table2[[#This Row],[TradedValue2]]&gt;Table2[[#This Row],[TradedValue1]],"Y","N")</f>
        <v>N</v>
      </c>
      <c r="AK95" s="49" t="str">
        <f>IF(Table2[[#This Row],[TradedValue3]]&gt;Table2[[#This Row],[TradedValue2]],"Y","N")</f>
        <v>Y</v>
      </c>
      <c r="AL95" s="49" t="str">
        <f>IF(Table2[[#This Row],[TradedValue5]]&gt;Table2[[#This Row],[TradedValue3]],"Y","N")</f>
        <v>Y</v>
      </c>
      <c r="AM95" s="49" t="str">
        <f>IF(Table2[[#This Row],[TradedValue5]]&gt;Table2[[#This Row],[TradedValue4]],"Y","N")</f>
        <v>Y</v>
      </c>
      <c r="AN95" s="1">
        <f t="shared" si="84"/>
        <v>-6.9999999999999979E-2</v>
      </c>
      <c r="AO95" s="1">
        <f t="shared" si="85"/>
        <v>6.9999999999999979E-2</v>
      </c>
      <c r="AP95" s="1">
        <f t="shared" si="86"/>
        <v>-0.09</v>
      </c>
      <c r="AQ95" s="1">
        <f t="shared" si="87"/>
        <v>0.29000000000000004</v>
      </c>
      <c r="AR95" s="1">
        <f>VLOOKUP(A95,symbol_2[[symbol]:[DelPer1]],5,)</f>
        <v>25.18</v>
      </c>
      <c r="AS95" s="1">
        <f>VLOOKUP(A95,symbol_2[[symbol]:[DelPer2]],9,)</f>
        <v>18.13</v>
      </c>
      <c r="AT95" s="1">
        <f>VLOOKUP(A95,symbol_2[[symbol]:[DelPer3]],13,)</f>
        <v>23.92</v>
      </c>
      <c r="AU95" s="1">
        <f>VLOOKUP(A95,symbol_2[[symbol]:[DelPer4]],17,)</f>
        <v>26.31</v>
      </c>
      <c r="AV95" s="1">
        <f>VLOOKUP(A95,symbol_2[[symbol]:[DelPer5]],21,)</f>
        <v>30.75</v>
      </c>
      <c r="AW95" s="49" t="str">
        <f t="shared" si="88"/>
        <v>N</v>
      </c>
      <c r="AX95" s="49" t="str">
        <f t="shared" si="89"/>
        <v>Y</v>
      </c>
      <c r="AY95" s="49" t="str">
        <f t="shared" si="90"/>
        <v>Y</v>
      </c>
      <c r="AZ95" s="49" t="str">
        <f t="shared" si="91"/>
        <v>Y</v>
      </c>
      <c r="BA95" s="1">
        <f t="shared" si="92"/>
        <v>-7.0500000000000007</v>
      </c>
      <c r="BB95" s="1">
        <f t="shared" si="93"/>
        <v>5.7900000000000027</v>
      </c>
      <c r="BC95" s="1">
        <f t="shared" si="94"/>
        <v>2.389999999999997</v>
      </c>
      <c r="BD95" s="1">
        <f t="shared" si="95"/>
        <v>4.4400000000000013</v>
      </c>
    </row>
    <row r="96" spans="1:56" hidden="1" x14ac:dyDescent="0.35">
      <c r="A96" s="1" t="s">
        <v>107</v>
      </c>
      <c r="B96" s="1" t="s">
        <v>1015</v>
      </c>
      <c r="C96" s="1" t="s">
        <v>52</v>
      </c>
      <c r="D96" s="1" t="s">
        <v>199</v>
      </c>
      <c r="E96" s="1">
        <f>VLOOKUP(A96,symbol_2[[symbol]:[Price1]],2,)</f>
        <v>890.3</v>
      </c>
      <c r="F96" s="1">
        <f>VLOOKUP(A96,symbol_2[[symbol]:[Price2]],6,)</f>
        <v>865.6</v>
      </c>
      <c r="G96" s="1">
        <f>VLOOKUP(A96,symbol_2[[symbol]:[Price3]],10,)</f>
        <v>857.35</v>
      </c>
      <c r="H96" s="1">
        <f>VLOOKUP(A96,symbol_2[[symbol]:[Price4]],14,)</f>
        <v>886.55</v>
      </c>
      <c r="I96" s="1">
        <f>VLOOKUP(A96,symbol_2[[symbol]:[Price5]],18,)</f>
        <v>910.05</v>
      </c>
      <c r="J96" s="49" t="str">
        <f t="shared" si="72"/>
        <v>N</v>
      </c>
      <c r="K96" s="49" t="str">
        <f t="shared" si="73"/>
        <v>N</v>
      </c>
      <c r="L96" s="49" t="str">
        <f t="shared" si="74"/>
        <v>Y</v>
      </c>
      <c r="M96" s="49" t="str">
        <f t="shared" si="75"/>
        <v>Y</v>
      </c>
      <c r="N96" s="52">
        <f t="shared" si="76"/>
        <v>-2.774345726159714</v>
      </c>
      <c r="O96" s="52">
        <f t="shared" si="77"/>
        <v>-0.95309611829944541</v>
      </c>
      <c r="P96" s="52">
        <f t="shared" si="78"/>
        <v>3.4058435877996072</v>
      </c>
      <c r="Q96" s="52">
        <f t="shared" si="79"/>
        <v>2.6507247194179686</v>
      </c>
      <c r="R96" s="1">
        <f>VLOOKUP(A96,symbol_2[[symbol]:[TV1]],3,)</f>
        <v>1.95</v>
      </c>
      <c r="S96" s="1">
        <f>VLOOKUP(A96,symbol_2[[symbol]:[TV2]],7,)</f>
        <v>1.27</v>
      </c>
      <c r="T96" s="1">
        <f>VLOOKUP(A96,symbol_2[[symbol]:[TV3]],11,)</f>
        <v>1.36</v>
      </c>
      <c r="U96" s="1">
        <f>VLOOKUP(A96,symbol_2[[symbol]:[TV4]],15,)</f>
        <v>3.42</v>
      </c>
      <c r="V96" s="1">
        <f>VLOOKUP(A96,symbol_2[[symbol]:[TV5]],19,)</f>
        <v>2.19</v>
      </c>
      <c r="W96" s="1" t="str">
        <f t="shared" si="80"/>
        <v>N</v>
      </c>
      <c r="X96" s="1" t="str">
        <f t="shared" si="81"/>
        <v>Y</v>
      </c>
      <c r="Y96" s="1" t="str">
        <f t="shared" si="82"/>
        <v>Y</v>
      </c>
      <c r="Z96" s="1" t="str">
        <f t="shared" si="83"/>
        <v>N</v>
      </c>
      <c r="AA96" s="1">
        <f>VLOOKUP(A98,symbol_2[[symbol]:[TradedValue1]],4,)</f>
        <v>266.08</v>
      </c>
      <c r="AB96" s="1">
        <f>VLOOKUP(A96,symbol_2[[symbol]:[TradedValue2]],8,)</f>
        <v>1105.71</v>
      </c>
      <c r="AC96" s="1">
        <f>VLOOKUP(A96,symbol_2[[symbol]:[TradedValue3]],12,)</f>
        <v>1170.01</v>
      </c>
      <c r="AD96" s="1">
        <f>VLOOKUP(A96,symbol_2[[symbol]:[TradedValue4]],16,)</f>
        <v>3029.69</v>
      </c>
      <c r="AE96" s="1">
        <f>VLOOKUP(A96,symbol_2[[symbol]:[TradedValue5]],20,)</f>
        <v>1969.99</v>
      </c>
      <c r="AF96" s="1">
        <f>Table2[[#This Row],[TradedValue2]]-Table2[[#This Row],[TradedValue1]]</f>
        <v>839.63000000000011</v>
      </c>
      <c r="AG96" s="1">
        <f>Table2[[#This Row],[TradedValue3]]-Table2[[#This Row],[TradedValue2]]</f>
        <v>64.299999999999955</v>
      </c>
      <c r="AH96" s="1">
        <f>Table2[[#This Row],[TradedValue4]]-Table2[[#This Row],[TradedValue3]]</f>
        <v>1859.68</v>
      </c>
      <c r="AI96" s="1">
        <f>Table2[[#This Row],[TradedValue5]]-Table2[[#This Row],[TradedValue4]]</f>
        <v>-1059.7</v>
      </c>
      <c r="AJ96" s="49" t="str">
        <f>IF(Table2[[#This Row],[TradedValue2]]&gt;Table2[[#This Row],[TradedValue1]],"Y","N")</f>
        <v>Y</v>
      </c>
      <c r="AK96" s="49" t="str">
        <f>IF(Table2[[#This Row],[TradedValue3]]&gt;Table2[[#This Row],[TradedValue2]],"Y","N")</f>
        <v>Y</v>
      </c>
      <c r="AL96" s="49" t="str">
        <f>IF(Table2[[#This Row],[TradedValue5]]&gt;Table2[[#This Row],[TradedValue3]],"Y","N")</f>
        <v>Y</v>
      </c>
      <c r="AM96" s="49" t="str">
        <f>IF(Table2[[#This Row],[TradedValue5]]&gt;Table2[[#This Row],[TradedValue4]],"Y","N")</f>
        <v>N</v>
      </c>
      <c r="AN96" s="1">
        <f t="shared" si="84"/>
        <v>-0.67999999999999994</v>
      </c>
      <c r="AO96" s="1">
        <f t="shared" si="85"/>
        <v>9.000000000000008E-2</v>
      </c>
      <c r="AP96" s="1">
        <f t="shared" si="86"/>
        <v>2.0599999999999996</v>
      </c>
      <c r="AQ96" s="1">
        <f t="shared" si="87"/>
        <v>-1.23</v>
      </c>
      <c r="AR96" s="1">
        <f>VLOOKUP(A96,symbol_2[[symbol]:[DelPer1]],5,)</f>
        <v>49.39</v>
      </c>
      <c r="AS96" s="1">
        <f>VLOOKUP(A96,symbol_2[[symbol]:[DelPer2]],9,)</f>
        <v>47.52</v>
      </c>
      <c r="AT96" s="1">
        <f>VLOOKUP(A96,symbol_2[[symbol]:[DelPer3]],13,)</f>
        <v>49.8</v>
      </c>
      <c r="AU96" s="1">
        <f>VLOOKUP(A96,symbol_2[[symbol]:[DelPer4]],17,)</f>
        <v>45.66</v>
      </c>
      <c r="AV96" s="1">
        <f>VLOOKUP(A96,symbol_2[[symbol]:[DelPer5]],21,)</f>
        <v>37.299999999999997</v>
      </c>
      <c r="AW96" s="49" t="str">
        <f t="shared" si="88"/>
        <v>N</v>
      </c>
      <c r="AX96" s="49" t="str">
        <f t="shared" si="89"/>
        <v>Y</v>
      </c>
      <c r="AY96" s="49" t="str">
        <f t="shared" si="90"/>
        <v>N</v>
      </c>
      <c r="AZ96" s="49" t="str">
        <f t="shared" si="91"/>
        <v>N</v>
      </c>
      <c r="BA96" s="1">
        <f t="shared" si="92"/>
        <v>-1.8699999999999974</v>
      </c>
      <c r="BB96" s="1">
        <f t="shared" si="93"/>
        <v>2.279999999999994</v>
      </c>
      <c r="BC96" s="1">
        <f t="shared" si="94"/>
        <v>-4.1400000000000006</v>
      </c>
      <c r="BD96" s="1">
        <f t="shared" si="95"/>
        <v>-8.36</v>
      </c>
    </row>
    <row r="97" spans="1:56" hidden="1" x14ac:dyDescent="0.35">
      <c r="A97" s="1" t="s">
        <v>137</v>
      </c>
      <c r="B97" s="1" t="s">
        <v>1017</v>
      </c>
      <c r="C97" s="1" t="s">
        <v>52</v>
      </c>
      <c r="D97" s="1" t="s">
        <v>199</v>
      </c>
      <c r="E97" s="1">
        <f>VLOOKUP(A97,symbol_2[[symbol]:[Price1]],2,)</f>
        <v>363.45</v>
      </c>
      <c r="F97" s="1">
        <f>VLOOKUP(A97,symbol_2[[symbol]:[Price2]],6,)</f>
        <v>361.35</v>
      </c>
      <c r="G97" s="1">
        <f>VLOOKUP(A97,symbol_2[[symbol]:[Price3]],10,)</f>
        <v>363.85</v>
      </c>
      <c r="H97" s="1">
        <f>VLOOKUP(A97,symbol_2[[symbol]:[Price4]],14,)</f>
        <v>360.75</v>
      </c>
      <c r="I97" s="1">
        <f>VLOOKUP(A97,symbol_2[[symbol]:[Price5]],18,)</f>
        <v>363.15</v>
      </c>
      <c r="J97" s="49" t="str">
        <f t="shared" si="72"/>
        <v>N</v>
      </c>
      <c r="K97" s="49" t="str">
        <f t="shared" si="73"/>
        <v>Y</v>
      </c>
      <c r="L97" s="49" t="str">
        <f t="shared" si="74"/>
        <v>N</v>
      </c>
      <c r="M97" s="49" t="str">
        <f t="shared" si="75"/>
        <v>Y</v>
      </c>
      <c r="N97" s="52">
        <f t="shared" si="76"/>
        <v>-0.57779612051175289</v>
      </c>
      <c r="O97" s="52">
        <f t="shared" si="77"/>
        <v>0.69185000691849996</v>
      </c>
      <c r="P97" s="52">
        <f t="shared" si="78"/>
        <v>-0.85199945032294144</v>
      </c>
      <c r="Q97" s="52">
        <f t="shared" si="79"/>
        <v>0.66528066528065899</v>
      </c>
      <c r="R97" s="1">
        <f>VLOOKUP(A97,symbol_2[[symbol]:[TV1]],3,)</f>
        <v>2.0699999999999998</v>
      </c>
      <c r="S97" s="1">
        <f>VLOOKUP(A97,symbol_2[[symbol]:[TV2]],7,)</f>
        <v>4.04</v>
      </c>
      <c r="T97" s="1">
        <f>VLOOKUP(A97,symbol_2[[symbol]:[TV3]],11,)</f>
        <v>2.2400000000000002</v>
      </c>
      <c r="U97" s="1">
        <f>VLOOKUP(A97,symbol_2[[symbol]:[TV4]],15,)</f>
        <v>1.94</v>
      </c>
      <c r="V97" s="1">
        <f>VLOOKUP(A97,symbol_2[[symbol]:[TV5]],19,)</f>
        <v>2.5099999999999998</v>
      </c>
      <c r="W97" s="1" t="str">
        <f t="shared" si="80"/>
        <v>Y</v>
      </c>
      <c r="X97" s="1" t="str">
        <f t="shared" si="81"/>
        <v>N</v>
      </c>
      <c r="Y97" s="1" t="str">
        <f t="shared" si="82"/>
        <v>N</v>
      </c>
      <c r="Z97" s="1" t="str">
        <f t="shared" si="83"/>
        <v>Y</v>
      </c>
      <c r="AA97" s="1">
        <f>VLOOKUP(A99,symbol_2[[symbol]:[TradedValue1]],4,)</f>
        <v>449.68</v>
      </c>
      <c r="AB97" s="1">
        <f>VLOOKUP(A97,symbol_2[[symbol]:[TradedValue2]],8,)</f>
        <v>1460.4</v>
      </c>
      <c r="AC97" s="1">
        <f>VLOOKUP(A97,symbol_2[[symbol]:[TradedValue3]],12,)</f>
        <v>814.18</v>
      </c>
      <c r="AD97" s="1">
        <f>VLOOKUP(A97,symbol_2[[symbol]:[TradedValue4]],16,)</f>
        <v>702.96</v>
      </c>
      <c r="AE97" s="1">
        <f>VLOOKUP(A97,symbol_2[[symbol]:[TradedValue5]],20,)</f>
        <v>907.58</v>
      </c>
      <c r="AF97" s="1">
        <f>Table2[[#This Row],[TradedValue2]]-Table2[[#This Row],[TradedValue1]]</f>
        <v>1010.72</v>
      </c>
      <c r="AG97" s="1">
        <f>Table2[[#This Row],[TradedValue3]]-Table2[[#This Row],[TradedValue2]]</f>
        <v>-646.22000000000014</v>
      </c>
      <c r="AH97" s="1">
        <f>Table2[[#This Row],[TradedValue4]]-Table2[[#This Row],[TradedValue3]]</f>
        <v>-111.21999999999991</v>
      </c>
      <c r="AI97" s="1">
        <f>Table2[[#This Row],[TradedValue5]]-Table2[[#This Row],[TradedValue4]]</f>
        <v>204.62</v>
      </c>
      <c r="AJ97" s="49" t="str">
        <f>IF(Table2[[#This Row],[TradedValue2]]&gt;Table2[[#This Row],[TradedValue1]],"Y","N")</f>
        <v>Y</v>
      </c>
      <c r="AK97" s="49" t="str">
        <f>IF(Table2[[#This Row],[TradedValue3]]&gt;Table2[[#This Row],[TradedValue2]],"Y","N")</f>
        <v>N</v>
      </c>
      <c r="AL97" s="49" t="str">
        <f>IF(Table2[[#This Row],[TradedValue5]]&gt;Table2[[#This Row],[TradedValue3]],"Y","N")</f>
        <v>Y</v>
      </c>
      <c r="AM97" s="49" t="str">
        <f>IF(Table2[[#This Row],[TradedValue5]]&gt;Table2[[#This Row],[TradedValue4]],"Y","N")</f>
        <v>Y</v>
      </c>
      <c r="AN97" s="1">
        <f t="shared" si="84"/>
        <v>1.9700000000000002</v>
      </c>
      <c r="AO97" s="1">
        <f t="shared" si="85"/>
        <v>-1.7999999999999998</v>
      </c>
      <c r="AP97" s="1">
        <f t="shared" si="86"/>
        <v>-0.30000000000000027</v>
      </c>
      <c r="AQ97" s="1">
        <f t="shared" si="87"/>
        <v>0.56999999999999984</v>
      </c>
      <c r="AR97" s="1">
        <f>VLOOKUP(A97,symbol_2[[symbol]:[DelPer1]],5,)</f>
        <v>63.27</v>
      </c>
      <c r="AS97" s="1">
        <f>VLOOKUP(A97,symbol_2[[symbol]:[DelPer2]],9,)</f>
        <v>86.89</v>
      </c>
      <c r="AT97" s="1">
        <f>VLOOKUP(A97,symbol_2[[symbol]:[DelPer3]],13,)</f>
        <v>55.12</v>
      </c>
      <c r="AU97" s="1">
        <f>VLOOKUP(A97,symbol_2[[symbol]:[DelPer4]],17,)</f>
        <v>53.2</v>
      </c>
      <c r="AV97" s="1">
        <f>VLOOKUP(A97,symbol_2[[symbol]:[DelPer5]],21,)</f>
        <v>61.49</v>
      </c>
      <c r="AW97" s="49" t="str">
        <f t="shared" si="88"/>
        <v>Y</v>
      </c>
      <c r="AX97" s="49" t="str">
        <f t="shared" si="89"/>
        <v>N</v>
      </c>
      <c r="AY97" s="49" t="str">
        <f t="shared" si="90"/>
        <v>N</v>
      </c>
      <c r="AZ97" s="49" t="str">
        <f t="shared" si="91"/>
        <v>Y</v>
      </c>
      <c r="BA97" s="1">
        <f t="shared" si="92"/>
        <v>23.619999999999997</v>
      </c>
      <c r="BB97" s="1">
        <f t="shared" si="93"/>
        <v>-31.770000000000003</v>
      </c>
      <c r="BC97" s="1">
        <f t="shared" si="94"/>
        <v>-1.9199999999999946</v>
      </c>
      <c r="BD97" s="1">
        <f t="shared" si="95"/>
        <v>8.2899999999999991</v>
      </c>
    </row>
    <row r="98" spans="1:56" hidden="1" x14ac:dyDescent="0.35">
      <c r="A98" s="1" t="s">
        <v>110</v>
      </c>
      <c r="B98" s="1" t="s">
        <v>1010</v>
      </c>
      <c r="C98" s="1" t="s">
        <v>52</v>
      </c>
      <c r="D98" s="1" t="s">
        <v>199</v>
      </c>
      <c r="E98" s="1">
        <f>VLOOKUP(A98,symbol_2[[symbol]:[Price1]],2,)</f>
        <v>357.05</v>
      </c>
      <c r="F98" s="1">
        <f>VLOOKUP(A98,symbol_2[[symbol]:[Price2]],6,)</f>
        <v>357.85</v>
      </c>
      <c r="G98" s="1">
        <f>VLOOKUP(A98,symbol_2[[symbol]:[Price3]],10,)</f>
        <v>356.7</v>
      </c>
      <c r="H98" s="1">
        <f>VLOOKUP(A98,symbol_2[[symbol]:[Price4]],14,)</f>
        <v>356.15</v>
      </c>
      <c r="I98" s="1">
        <f>VLOOKUP(A98,symbol_2[[symbol]:[Price5]],18,)</f>
        <v>351.05</v>
      </c>
      <c r="J98" s="49" t="str">
        <f t="shared" ref="J98:J129" si="96">IF(F98&gt;E98,"Y","N")</f>
        <v>Y</v>
      </c>
      <c r="K98" s="49" t="str">
        <f t="shared" ref="K98:K129" si="97">IF(G98&gt;F98,"Y","N")</f>
        <v>N</v>
      </c>
      <c r="L98" s="49" t="str">
        <f t="shared" ref="L98:L129" si="98">IF(H98&gt;G98,"Y","N")</f>
        <v>N</v>
      </c>
      <c r="M98" s="49" t="str">
        <f t="shared" ref="M98:M129" si="99">IF(I98&gt;H98,"Y","N")</f>
        <v>N</v>
      </c>
      <c r="N98" s="52">
        <f t="shared" ref="N98:N129" si="100">((F98-E98)/E98)*100</f>
        <v>0.22405825514634123</v>
      </c>
      <c r="O98" s="52">
        <f t="shared" ref="O98:O129" si="101">((G98-F98)/F98)*100</f>
        <v>-0.3213636998742585</v>
      </c>
      <c r="P98" s="52">
        <f t="shared" ref="P98:P129" si="102">((H98-G98)/G98)*100</f>
        <v>-0.15419119708438783</v>
      </c>
      <c r="Q98" s="52">
        <f t="shared" ref="Q98:Q129" si="103">((I98-H98)/H98)*100</f>
        <v>-1.4319809069212315</v>
      </c>
      <c r="R98" s="1">
        <f>VLOOKUP(A98,symbol_2[[symbol]:[TV1]],3,)</f>
        <v>0.75</v>
      </c>
      <c r="S98" s="1">
        <f>VLOOKUP(A98,symbol_2[[symbol]:[TV2]],7,)</f>
        <v>1.1399999999999999</v>
      </c>
      <c r="T98" s="1">
        <f>VLOOKUP(A98,symbol_2[[symbol]:[TV3]],11,)</f>
        <v>0.36</v>
      </c>
      <c r="U98" s="1">
        <f>VLOOKUP(A98,symbol_2[[symbol]:[TV4]],15,)</f>
        <v>0.49</v>
      </c>
      <c r="V98" s="1">
        <f>VLOOKUP(A98,symbol_2[[symbol]:[TV5]],19,)</f>
        <v>0.63</v>
      </c>
      <c r="W98" s="1" t="str">
        <f t="shared" ref="W98:W129" si="104">IF(S98&gt;R98,"Y","N")</f>
        <v>Y</v>
      </c>
      <c r="X98" s="1" t="str">
        <f t="shared" ref="X98:X129" si="105">IF(T98&gt;S98,"Y","N")</f>
        <v>N</v>
      </c>
      <c r="Y98" s="1" t="str">
        <f t="shared" ref="Y98:Y129" si="106">IF(U98&gt;T98,"Y","N")</f>
        <v>Y</v>
      </c>
      <c r="Z98" s="1" t="str">
        <f t="shared" ref="Z98:Z129" si="107">IF(V98&gt;U98,"Y","N")</f>
        <v>Y</v>
      </c>
      <c r="AA98" s="1">
        <f>VLOOKUP(A98,symbol_2[[symbol]:[TradedValue1]],4,)</f>
        <v>266.08</v>
      </c>
      <c r="AB98" s="1">
        <f>VLOOKUP(A98,symbol_2[[symbol]:[TradedValue2]],8,)</f>
        <v>412.15</v>
      </c>
      <c r="AC98" s="1">
        <f>VLOOKUP(A98,symbol_2[[symbol]:[TradedValue3]],12,)</f>
        <v>128.38999999999999</v>
      </c>
      <c r="AD98" s="1">
        <f>VLOOKUP(A98,symbol_2[[symbol]:[TradedValue4]],16,)</f>
        <v>176.77</v>
      </c>
      <c r="AE98" s="1">
        <f>VLOOKUP(A98,symbol_2[[symbol]:[TradedValue5]],20,)</f>
        <v>220.01</v>
      </c>
      <c r="AF98" s="1">
        <f>Table2[[#This Row],[TradedValue2]]-Table2[[#This Row],[TradedValue1]]</f>
        <v>146.07</v>
      </c>
      <c r="AG98" s="1">
        <f>Table2[[#This Row],[TradedValue3]]-Table2[[#This Row],[TradedValue2]]</f>
        <v>-283.76</v>
      </c>
      <c r="AH98" s="1">
        <f>Table2[[#This Row],[TradedValue4]]-Table2[[#This Row],[TradedValue3]]</f>
        <v>48.380000000000024</v>
      </c>
      <c r="AI98" s="1">
        <f>Table2[[#This Row],[TradedValue5]]-Table2[[#This Row],[TradedValue4]]</f>
        <v>43.239999999999981</v>
      </c>
      <c r="AJ98" s="49" t="str">
        <f>IF(Table2[[#This Row],[TradedValue2]]&gt;Table2[[#This Row],[TradedValue1]],"Y","N")</f>
        <v>Y</v>
      </c>
      <c r="AK98" s="49" t="str">
        <f>IF(Table2[[#This Row],[TradedValue3]]&gt;Table2[[#This Row],[TradedValue2]],"Y","N")</f>
        <v>N</v>
      </c>
      <c r="AL98" s="49" t="str">
        <f>IF(Table2[[#This Row],[TradedValue5]]&gt;Table2[[#This Row],[TradedValue3]],"Y","N")</f>
        <v>Y</v>
      </c>
      <c r="AM98" s="49" t="str">
        <f>IF(Table2[[#This Row],[TradedValue5]]&gt;Table2[[#This Row],[TradedValue4]],"Y","N")</f>
        <v>Y</v>
      </c>
      <c r="AN98" s="1">
        <f t="shared" ref="AN98:AN129" si="108">S98-R98</f>
        <v>0.3899999999999999</v>
      </c>
      <c r="AO98" s="1">
        <f t="shared" ref="AO98:AO129" si="109">T98-S98</f>
        <v>-0.77999999999999992</v>
      </c>
      <c r="AP98" s="1">
        <f t="shared" ref="AP98:AP129" si="110">U98-T98</f>
        <v>0.13</v>
      </c>
      <c r="AQ98" s="1">
        <f t="shared" ref="AQ98:AQ129" si="111">V98-U98</f>
        <v>0.14000000000000001</v>
      </c>
      <c r="AR98" s="1">
        <f>VLOOKUP(A98,symbol_2[[symbol]:[DelPer1]],5,)</f>
        <v>44</v>
      </c>
      <c r="AS98" s="1">
        <f>VLOOKUP(A98,symbol_2[[symbol]:[DelPer2]],9,)</f>
        <v>26.56</v>
      </c>
      <c r="AT98" s="1">
        <f>VLOOKUP(A98,symbol_2[[symbol]:[DelPer3]],13,)</f>
        <v>21.77</v>
      </c>
      <c r="AU98" s="1">
        <f>VLOOKUP(A98,symbol_2[[symbol]:[DelPer4]],17,)</f>
        <v>53.07</v>
      </c>
      <c r="AV98" s="1">
        <f>VLOOKUP(A98,symbol_2[[symbol]:[DelPer5]],21,)</f>
        <v>42.22</v>
      </c>
      <c r="AW98" s="49" t="str">
        <f t="shared" ref="AW98:AW129" si="112">IF(AS98&gt;AR98,"Y","N")</f>
        <v>N</v>
      </c>
      <c r="AX98" s="49" t="str">
        <f t="shared" ref="AX98:AX129" si="113">IF(AT98&gt;AS98,"Y","N")</f>
        <v>N</v>
      </c>
      <c r="AY98" s="49" t="str">
        <f t="shared" ref="AY98:AY129" si="114">IF(AU98&gt;AT98,"Y","N")</f>
        <v>Y</v>
      </c>
      <c r="AZ98" s="49" t="str">
        <f t="shared" ref="AZ98:AZ129" si="115">IF(AV98&gt;AU98,"Y","N")</f>
        <v>N</v>
      </c>
      <c r="BA98" s="1">
        <f t="shared" ref="BA98:BA129" si="116">AS98-AR98</f>
        <v>-17.440000000000001</v>
      </c>
      <c r="BB98" s="1">
        <f t="shared" ref="BB98:BB129" si="117">AT98-AS98</f>
        <v>-4.7899999999999991</v>
      </c>
      <c r="BC98" s="1">
        <f t="shared" ref="BC98:BC129" si="118">AU98-AT98</f>
        <v>31.3</v>
      </c>
      <c r="BD98" s="1">
        <f t="shared" ref="BD98:BD129" si="119">AV98-AU98</f>
        <v>-10.850000000000001</v>
      </c>
    </row>
    <row r="99" spans="1:56" hidden="1" x14ac:dyDescent="0.35">
      <c r="A99" s="1" t="s">
        <v>121</v>
      </c>
      <c r="B99" s="1" t="s">
        <v>1022</v>
      </c>
      <c r="C99" s="1" t="s">
        <v>52</v>
      </c>
      <c r="D99" s="1" t="s">
        <v>199</v>
      </c>
      <c r="E99" s="1">
        <f>VLOOKUP(A99,symbol_2[[symbol]:[Price1]],2,)</f>
        <v>45.8</v>
      </c>
      <c r="F99" s="1">
        <f>VLOOKUP(A99,symbol_2[[symbol]:[Price2]],6,)</f>
        <v>45.3</v>
      </c>
      <c r="G99" s="1">
        <f>VLOOKUP(A99,symbol_2[[symbol]:[Price3]],10,)</f>
        <v>45.85</v>
      </c>
      <c r="H99" s="1">
        <f>VLOOKUP(A99,symbol_2[[symbol]:[Price4]],14,)</f>
        <v>44.9</v>
      </c>
      <c r="I99" s="1">
        <f>VLOOKUP(A99,symbol_2[[symbol]:[Price5]],18,)</f>
        <v>46.1</v>
      </c>
      <c r="J99" s="49" t="str">
        <f t="shared" si="96"/>
        <v>N</v>
      </c>
      <c r="K99" s="49" t="str">
        <f t="shared" si="97"/>
        <v>Y</v>
      </c>
      <c r="L99" s="49" t="str">
        <f t="shared" si="98"/>
        <v>N</v>
      </c>
      <c r="M99" s="49" t="str">
        <f t="shared" si="99"/>
        <v>Y</v>
      </c>
      <c r="N99" s="52">
        <f t="shared" si="100"/>
        <v>-1.0917030567685591</v>
      </c>
      <c r="O99" s="52">
        <f t="shared" si="101"/>
        <v>1.2141280353200978</v>
      </c>
      <c r="P99" s="52">
        <f t="shared" si="102"/>
        <v>-2.0719738276990247</v>
      </c>
      <c r="Q99" s="52">
        <f t="shared" si="103"/>
        <v>2.672605790645886</v>
      </c>
      <c r="R99" s="1">
        <f>VLOOKUP(A99,symbol_2[[symbol]:[TV1]],3,)</f>
        <v>9.91</v>
      </c>
      <c r="S99" s="1">
        <f>VLOOKUP(A99,symbol_2[[symbol]:[TV2]],7,)</f>
        <v>4.45</v>
      </c>
      <c r="T99" s="1">
        <f>VLOOKUP(A99,symbol_2[[symbol]:[TV3]],11,)</f>
        <v>4.62</v>
      </c>
      <c r="U99" s="1">
        <f>VLOOKUP(A99,symbol_2[[symbol]:[TV4]],15,)</f>
        <v>4.88</v>
      </c>
      <c r="V99" s="1">
        <f>VLOOKUP(A99,symbol_2[[symbol]:[TV5]],19,)</f>
        <v>4.33</v>
      </c>
      <c r="W99" s="1" t="str">
        <f t="shared" si="104"/>
        <v>N</v>
      </c>
      <c r="X99" s="1" t="str">
        <f t="shared" si="105"/>
        <v>Y</v>
      </c>
      <c r="Y99" s="1" t="str">
        <f t="shared" si="106"/>
        <v>Y</v>
      </c>
      <c r="Z99" s="1" t="str">
        <f t="shared" si="107"/>
        <v>N</v>
      </c>
      <c r="AA99" s="1">
        <f>VLOOKUP(A99,symbol_2[[symbol]:[TradedValue1]],4,)</f>
        <v>449.68</v>
      </c>
      <c r="AB99" s="1">
        <f>VLOOKUP(A99,symbol_2[[symbol]:[TradedValue2]],8,)</f>
        <v>200.54</v>
      </c>
      <c r="AC99" s="1">
        <f>VLOOKUP(A99,symbol_2[[symbol]:[TradedValue3]],12,)</f>
        <v>210.11</v>
      </c>
      <c r="AD99" s="1">
        <f>VLOOKUP(A99,symbol_2[[symbol]:[TradedValue4]],16,)</f>
        <v>224.88</v>
      </c>
      <c r="AE99" s="1">
        <f>VLOOKUP(A99,symbol_2[[symbol]:[TradedValue5]],20,)</f>
        <v>198.39</v>
      </c>
      <c r="AF99" s="1">
        <f>Table2[[#This Row],[TradedValue2]]-Table2[[#This Row],[TradedValue1]]</f>
        <v>-249.14000000000001</v>
      </c>
      <c r="AG99" s="1">
        <f>Table2[[#This Row],[TradedValue3]]-Table2[[#This Row],[TradedValue2]]</f>
        <v>9.5700000000000216</v>
      </c>
      <c r="AH99" s="1">
        <f>Table2[[#This Row],[TradedValue4]]-Table2[[#This Row],[TradedValue3]]</f>
        <v>14.769999999999982</v>
      </c>
      <c r="AI99" s="1">
        <f>Table2[[#This Row],[TradedValue5]]-Table2[[#This Row],[TradedValue4]]</f>
        <v>-26.490000000000009</v>
      </c>
      <c r="AJ99" s="49" t="str">
        <f>IF(Table2[[#This Row],[TradedValue2]]&gt;Table2[[#This Row],[TradedValue1]],"Y","N")</f>
        <v>N</v>
      </c>
      <c r="AK99" s="49" t="str">
        <f>IF(Table2[[#This Row],[TradedValue3]]&gt;Table2[[#This Row],[TradedValue2]],"Y","N")</f>
        <v>Y</v>
      </c>
      <c r="AL99" s="49" t="str">
        <f>IF(Table2[[#This Row],[TradedValue5]]&gt;Table2[[#This Row],[TradedValue3]],"Y","N")</f>
        <v>N</v>
      </c>
      <c r="AM99" s="49" t="str">
        <f>IF(Table2[[#This Row],[TradedValue5]]&gt;Table2[[#This Row],[TradedValue4]],"Y","N")</f>
        <v>N</v>
      </c>
      <c r="AN99" s="1">
        <f t="shared" si="108"/>
        <v>-5.46</v>
      </c>
      <c r="AO99" s="1">
        <f t="shared" si="109"/>
        <v>0.16999999999999993</v>
      </c>
      <c r="AP99" s="1">
        <f t="shared" si="110"/>
        <v>0.25999999999999979</v>
      </c>
      <c r="AQ99" s="1">
        <f t="shared" si="111"/>
        <v>-0.54999999999999982</v>
      </c>
      <c r="AR99" s="1">
        <f>VLOOKUP(A99,symbol_2[[symbol]:[DelPer1]],5,)</f>
        <v>21.45</v>
      </c>
      <c r="AS99" s="1">
        <f>VLOOKUP(A99,symbol_2[[symbol]:[DelPer2]],9,)</f>
        <v>15.97</v>
      </c>
      <c r="AT99" s="1">
        <f>VLOOKUP(A99,symbol_2[[symbol]:[DelPer3]],13,)</f>
        <v>20.57</v>
      </c>
      <c r="AU99" s="1">
        <f>VLOOKUP(A99,symbol_2[[symbol]:[DelPer4]],17,)</f>
        <v>18.91</v>
      </c>
      <c r="AV99" s="1">
        <f>VLOOKUP(A99,symbol_2[[symbol]:[DelPer5]],21,)</f>
        <v>17.5</v>
      </c>
      <c r="AW99" s="49" t="str">
        <f t="shared" si="112"/>
        <v>N</v>
      </c>
      <c r="AX99" s="49" t="str">
        <f t="shared" si="113"/>
        <v>Y</v>
      </c>
      <c r="AY99" s="49" t="str">
        <f t="shared" si="114"/>
        <v>N</v>
      </c>
      <c r="AZ99" s="49" t="str">
        <f t="shared" si="115"/>
        <v>N</v>
      </c>
      <c r="BA99" s="1">
        <f t="shared" si="116"/>
        <v>-5.4799999999999986</v>
      </c>
      <c r="BB99" s="1">
        <f t="shared" si="117"/>
        <v>4.5999999999999996</v>
      </c>
      <c r="BC99" s="1">
        <f t="shared" si="118"/>
        <v>-1.6600000000000001</v>
      </c>
      <c r="BD99" s="1">
        <f t="shared" si="119"/>
        <v>-1.4100000000000001</v>
      </c>
    </row>
    <row r="100" spans="1:56" hidden="1" x14ac:dyDescent="0.35">
      <c r="A100" s="1" t="s">
        <v>131</v>
      </c>
      <c r="B100" s="1" t="s">
        <v>1022</v>
      </c>
      <c r="C100" s="1" t="s">
        <v>52</v>
      </c>
      <c r="D100" s="1" t="s">
        <v>199</v>
      </c>
      <c r="E100" s="1">
        <f>VLOOKUP(A100,symbol_2[[symbol]:[Price1]],2,)</f>
        <v>477.35</v>
      </c>
      <c r="F100" s="1">
        <f>VLOOKUP(A100,symbol_2[[symbol]:[Price2]],6,)</f>
        <v>466.7</v>
      </c>
      <c r="G100" s="1">
        <f>VLOOKUP(A100,symbol_2[[symbol]:[Price3]],10,)</f>
        <v>477.55</v>
      </c>
      <c r="H100" s="1">
        <f>VLOOKUP(A100,symbol_2[[symbol]:[Price4]],14,)</f>
        <v>466.05</v>
      </c>
      <c r="I100" s="1">
        <f>VLOOKUP(A100,symbol_2[[symbol]:[Price5]],18,)</f>
        <v>487.35</v>
      </c>
      <c r="J100" s="49" t="str">
        <f t="shared" si="96"/>
        <v>N</v>
      </c>
      <c r="K100" s="49" t="str">
        <f t="shared" si="97"/>
        <v>Y</v>
      </c>
      <c r="L100" s="49" t="str">
        <f t="shared" si="98"/>
        <v>N</v>
      </c>
      <c r="M100" s="49" t="str">
        <f t="shared" si="99"/>
        <v>Y</v>
      </c>
      <c r="N100" s="52">
        <f t="shared" si="100"/>
        <v>-2.2310673510003212</v>
      </c>
      <c r="O100" s="52">
        <f t="shared" si="101"/>
        <v>2.3248339404328311</v>
      </c>
      <c r="P100" s="52">
        <f t="shared" si="102"/>
        <v>-2.4081248036854781</v>
      </c>
      <c r="Q100" s="52">
        <f t="shared" si="103"/>
        <v>4.5703250724171252</v>
      </c>
      <c r="R100" s="1">
        <f>VLOOKUP(A100,symbol_2[[symbol]:[TV1]],3,)</f>
        <v>0.15</v>
      </c>
      <c r="S100" s="1">
        <f>VLOOKUP(A100,symbol_2[[symbol]:[TV2]],7,)</f>
        <v>0.13</v>
      </c>
      <c r="T100" s="1">
        <f>VLOOKUP(A100,symbol_2[[symbol]:[TV3]],11,)</f>
        <v>0.2</v>
      </c>
      <c r="U100" s="1">
        <f>VLOOKUP(A100,symbol_2[[symbol]:[TV4]],15,)</f>
        <v>0.15</v>
      </c>
      <c r="V100" s="1">
        <f>VLOOKUP(A100,symbol_2[[symbol]:[TV5]],19,)</f>
        <v>0.18</v>
      </c>
      <c r="W100" s="1" t="str">
        <f t="shared" si="104"/>
        <v>N</v>
      </c>
      <c r="X100" s="1" t="str">
        <f t="shared" si="105"/>
        <v>Y</v>
      </c>
      <c r="Y100" s="1" t="str">
        <f t="shared" si="106"/>
        <v>N</v>
      </c>
      <c r="Z100" s="1" t="str">
        <f t="shared" si="107"/>
        <v>Y</v>
      </c>
      <c r="AA100" s="1">
        <f>VLOOKUP(A102,symbol_2[[symbol]:[TradedValue1]],4,)</f>
        <v>2881.4</v>
      </c>
      <c r="AB100" s="1">
        <f>VLOOKUP(A100,symbol_2[[symbol]:[TradedValue2]],8,)</f>
        <v>60</v>
      </c>
      <c r="AC100" s="1">
        <f>VLOOKUP(A100,symbol_2[[symbol]:[TradedValue3]],12,)</f>
        <v>93.79</v>
      </c>
      <c r="AD100" s="1">
        <f>VLOOKUP(A100,symbol_2[[symbol]:[TradedValue4]],16,)</f>
        <v>73.239999999999995</v>
      </c>
      <c r="AE100" s="1">
        <f>VLOOKUP(A100,symbol_2[[symbol]:[TradedValue5]],20,)</f>
        <v>88.79</v>
      </c>
      <c r="AF100" s="1">
        <f>Table2[[#This Row],[TradedValue2]]-Table2[[#This Row],[TradedValue1]]</f>
        <v>-2821.4</v>
      </c>
      <c r="AG100" s="1">
        <f>Table2[[#This Row],[TradedValue3]]-Table2[[#This Row],[TradedValue2]]</f>
        <v>33.790000000000006</v>
      </c>
      <c r="AH100" s="1">
        <f>Table2[[#This Row],[TradedValue4]]-Table2[[#This Row],[TradedValue3]]</f>
        <v>-20.550000000000011</v>
      </c>
      <c r="AI100" s="1">
        <f>Table2[[#This Row],[TradedValue5]]-Table2[[#This Row],[TradedValue4]]</f>
        <v>15.550000000000011</v>
      </c>
      <c r="AJ100" s="49" t="str">
        <f>IF(Table2[[#This Row],[TradedValue2]]&gt;Table2[[#This Row],[TradedValue1]],"Y","N")</f>
        <v>N</v>
      </c>
      <c r="AK100" s="49" t="str">
        <f>IF(Table2[[#This Row],[TradedValue3]]&gt;Table2[[#This Row],[TradedValue2]],"Y","N")</f>
        <v>Y</v>
      </c>
      <c r="AL100" s="49" t="str">
        <f>IF(Table2[[#This Row],[TradedValue5]]&gt;Table2[[#This Row],[TradedValue3]],"Y","N")</f>
        <v>N</v>
      </c>
      <c r="AM100" s="49" t="str">
        <f>IF(Table2[[#This Row],[TradedValue5]]&gt;Table2[[#This Row],[TradedValue4]],"Y","N")</f>
        <v>Y</v>
      </c>
      <c r="AN100" s="1">
        <f t="shared" si="108"/>
        <v>-1.999999999999999E-2</v>
      </c>
      <c r="AO100" s="1">
        <f t="shared" si="109"/>
        <v>7.0000000000000007E-2</v>
      </c>
      <c r="AP100" s="1">
        <f t="shared" si="110"/>
        <v>-5.0000000000000017E-2</v>
      </c>
      <c r="AQ100" s="1">
        <f t="shared" si="111"/>
        <v>0.03</v>
      </c>
      <c r="AR100" s="1">
        <f>VLOOKUP(A100,symbol_2[[symbol]:[DelPer1]],5,)</f>
        <v>18.72</v>
      </c>
      <c r="AS100" s="1">
        <f>VLOOKUP(A100,symbol_2[[symbol]:[DelPer2]],9,)</f>
        <v>16.73</v>
      </c>
      <c r="AT100" s="1">
        <f>VLOOKUP(A100,symbol_2[[symbol]:[DelPer3]],13,)</f>
        <v>16.899999999999999</v>
      </c>
      <c r="AU100" s="1">
        <f>VLOOKUP(A100,symbol_2[[symbol]:[DelPer4]],17,)</f>
        <v>21.08</v>
      </c>
      <c r="AV100" s="1">
        <f>VLOOKUP(A100,symbol_2[[symbol]:[DelPer5]],21,)</f>
        <v>19.36</v>
      </c>
      <c r="AW100" s="49" t="str">
        <f t="shared" si="112"/>
        <v>N</v>
      </c>
      <c r="AX100" s="49" t="str">
        <f t="shared" si="113"/>
        <v>Y</v>
      </c>
      <c r="AY100" s="49" t="str">
        <f t="shared" si="114"/>
        <v>Y</v>
      </c>
      <c r="AZ100" s="49" t="str">
        <f t="shared" si="115"/>
        <v>N</v>
      </c>
      <c r="BA100" s="1">
        <f t="shared" si="116"/>
        <v>-1.9899999999999984</v>
      </c>
      <c r="BB100" s="1">
        <f t="shared" si="117"/>
        <v>0.16999999999999815</v>
      </c>
      <c r="BC100" s="1">
        <f t="shared" si="118"/>
        <v>4.18</v>
      </c>
      <c r="BD100" s="1">
        <f t="shared" si="119"/>
        <v>-1.7199999999999989</v>
      </c>
    </row>
    <row r="101" spans="1:56" hidden="1" x14ac:dyDescent="0.35">
      <c r="A101" s="115" t="s">
        <v>119</v>
      </c>
      <c r="B101" s="1" t="s">
        <v>1006</v>
      </c>
      <c r="C101" s="1" t="s">
        <v>52</v>
      </c>
      <c r="D101" s="1" t="s">
        <v>199</v>
      </c>
      <c r="E101" s="1">
        <f>VLOOKUP(A101,symbol_2[[symbol]:[Price1]],2,)</f>
        <v>254.4</v>
      </c>
      <c r="F101" s="1">
        <f>VLOOKUP(A101,symbol_2[[symbol]:[Price2]],6,)</f>
        <v>247.2</v>
      </c>
      <c r="G101" s="1">
        <f>VLOOKUP(A101,symbol_2[[symbol]:[Price3]],10,)</f>
        <v>247.75</v>
      </c>
      <c r="H101" s="1">
        <f>VLOOKUP(A101,symbol_2[[symbol]:[Price4]],14,)</f>
        <v>253.3</v>
      </c>
      <c r="I101" s="1">
        <f>VLOOKUP(A101,symbol_2[[symbol]:[Price5]],18,)</f>
        <v>265.39999999999998</v>
      </c>
      <c r="J101" s="109" t="str">
        <f t="shared" si="96"/>
        <v>N</v>
      </c>
      <c r="K101" s="109" t="str">
        <f t="shared" si="97"/>
        <v>Y</v>
      </c>
      <c r="L101" s="109" t="str">
        <f t="shared" si="98"/>
        <v>Y</v>
      </c>
      <c r="M101" s="109" t="str">
        <f t="shared" si="99"/>
        <v>Y</v>
      </c>
      <c r="N101" s="110">
        <f t="shared" si="100"/>
        <v>-2.8301886792452895</v>
      </c>
      <c r="O101" s="110">
        <f t="shared" si="101"/>
        <v>0.22249190938511787</v>
      </c>
      <c r="P101" s="110">
        <f t="shared" si="102"/>
        <v>2.2401614530777039</v>
      </c>
      <c r="Q101" s="110">
        <f t="shared" si="103"/>
        <v>4.776944334780878</v>
      </c>
      <c r="R101" s="1">
        <f>VLOOKUP(A101,symbol_2[[symbol]:[TV1]],3,)</f>
        <v>1.87</v>
      </c>
      <c r="S101" s="1">
        <f>VLOOKUP(A101,symbol_2[[symbol]:[TV2]],7,)</f>
        <v>1.43</v>
      </c>
      <c r="T101" s="1">
        <f>VLOOKUP(A101,symbol_2[[symbol]:[TV3]],11,)</f>
        <v>1.0900000000000001</v>
      </c>
      <c r="U101" s="1">
        <f>VLOOKUP(A101,symbol_2[[symbol]:[TV4]],15,)</f>
        <v>3.97</v>
      </c>
      <c r="V101" s="1">
        <f>VLOOKUP(A101,symbol_2[[symbol]:[TV5]],19,)</f>
        <v>1.97</v>
      </c>
      <c r="W101" s="1" t="str">
        <f t="shared" si="104"/>
        <v>N</v>
      </c>
      <c r="X101" s="1" t="str">
        <f t="shared" si="105"/>
        <v>N</v>
      </c>
      <c r="Y101" s="1" t="str">
        <f t="shared" si="106"/>
        <v>Y</v>
      </c>
      <c r="Z101" s="1" t="str">
        <f t="shared" si="107"/>
        <v>N</v>
      </c>
      <c r="AA101" s="1">
        <f>VLOOKUP(A101,symbol_2[[symbol]:[TradedValue1]],4,)</f>
        <v>471.8</v>
      </c>
      <c r="AB101" s="1">
        <f>VLOOKUP(A101,symbol_2[[symbol]:[TradedValue2]],8,)</f>
        <v>357.65</v>
      </c>
      <c r="AC101" s="1">
        <f>VLOOKUP(A101,symbol_2[[symbol]:[TradedValue3]],12,)</f>
        <v>268.85000000000002</v>
      </c>
      <c r="AD101" s="1">
        <f>VLOOKUP(A101,symbol_2[[symbol]:[TradedValue4]],16,)</f>
        <v>1038</v>
      </c>
      <c r="AE101" s="1">
        <f>VLOOKUP(A101,symbol_2[[symbol]:[TradedValue5]],20,)</f>
        <v>515.71</v>
      </c>
      <c r="AF101" s="1">
        <f>Table2[[#This Row],[TradedValue2]]-Table2[[#This Row],[TradedValue1]]</f>
        <v>-114.15000000000003</v>
      </c>
      <c r="AG101" s="1">
        <f>Table2[[#This Row],[TradedValue3]]-Table2[[#This Row],[TradedValue2]]</f>
        <v>-88.799999999999955</v>
      </c>
      <c r="AH101" s="1">
        <f>Table2[[#This Row],[TradedValue4]]-Table2[[#This Row],[TradedValue3]]</f>
        <v>769.15</v>
      </c>
      <c r="AI101" s="1">
        <f>Table2[[#This Row],[TradedValue5]]-Table2[[#This Row],[TradedValue4]]</f>
        <v>-522.29</v>
      </c>
      <c r="AJ101" s="109" t="str">
        <f>IF(Table2[[#This Row],[TradedValue2]]&gt;Table2[[#This Row],[TradedValue1]],"Y","N")</f>
        <v>N</v>
      </c>
      <c r="AK101" s="109" t="str">
        <f>IF(Table2[[#This Row],[TradedValue3]]&gt;Table2[[#This Row],[TradedValue2]],"Y","N")</f>
        <v>N</v>
      </c>
      <c r="AL101" s="109" t="str">
        <f>IF(Table2[[#This Row],[TradedValue5]]&gt;Table2[[#This Row],[TradedValue3]],"Y","N")</f>
        <v>Y</v>
      </c>
      <c r="AM101" s="109" t="str">
        <f>IF(Table2[[#This Row],[TradedValue5]]&gt;Table2[[#This Row],[TradedValue4]],"Y","N")</f>
        <v>N</v>
      </c>
      <c r="AN101" s="1">
        <f t="shared" si="108"/>
        <v>-0.44000000000000017</v>
      </c>
      <c r="AO101" s="1">
        <f t="shared" si="109"/>
        <v>-0.33999999999999986</v>
      </c>
      <c r="AP101" s="1">
        <f t="shared" si="110"/>
        <v>2.88</v>
      </c>
      <c r="AQ101" s="1">
        <f t="shared" si="111"/>
        <v>-2</v>
      </c>
      <c r="AR101" s="1">
        <f>VLOOKUP(A101,symbol_2[[symbol]:[DelPer1]],5,)</f>
        <v>14.99</v>
      </c>
      <c r="AS101" s="1">
        <f>VLOOKUP(A101,symbol_2[[symbol]:[DelPer2]],9,)</f>
        <v>14.32</v>
      </c>
      <c r="AT101" s="1">
        <f>VLOOKUP(A101,symbol_2[[symbol]:[DelPer3]],13,)</f>
        <v>10.06</v>
      </c>
      <c r="AU101" s="1">
        <f>VLOOKUP(A101,symbol_2[[symbol]:[DelPer4]],17,)</f>
        <v>19.12</v>
      </c>
      <c r="AV101" s="1">
        <f>VLOOKUP(A101,symbol_2[[symbol]:[DelPer5]],21,)</f>
        <v>9.66</v>
      </c>
      <c r="AW101" s="109" t="str">
        <f t="shared" si="112"/>
        <v>N</v>
      </c>
      <c r="AX101" s="109" t="str">
        <f t="shared" si="113"/>
        <v>N</v>
      </c>
      <c r="AY101" s="109" t="str">
        <f t="shared" si="114"/>
        <v>Y</v>
      </c>
      <c r="AZ101" s="109" t="str">
        <f t="shared" si="115"/>
        <v>N</v>
      </c>
      <c r="BA101" s="1">
        <f t="shared" si="116"/>
        <v>-0.66999999999999993</v>
      </c>
      <c r="BB101" s="1">
        <f t="shared" si="117"/>
        <v>-4.26</v>
      </c>
      <c r="BC101" s="1">
        <f t="shared" si="118"/>
        <v>9.06</v>
      </c>
      <c r="BD101" s="1">
        <f t="shared" si="119"/>
        <v>-9.4600000000000009</v>
      </c>
    </row>
    <row r="102" spans="1:56" hidden="1" x14ac:dyDescent="0.35">
      <c r="A102" s="1" t="s">
        <v>101</v>
      </c>
      <c r="B102" s="1" t="s">
        <v>1006</v>
      </c>
      <c r="C102" s="1" t="s">
        <v>52</v>
      </c>
      <c r="D102" s="1" t="s">
        <v>199</v>
      </c>
      <c r="E102" s="1">
        <f>VLOOKUP(A102,symbol_2[[symbol]:[Price1]],2,)</f>
        <v>103.6</v>
      </c>
      <c r="F102" s="1">
        <f>VLOOKUP(A102,symbol_2[[symbol]:[Price2]],6,)</f>
        <v>101.3</v>
      </c>
      <c r="G102" s="1">
        <f>VLOOKUP(A102,symbol_2[[symbol]:[Price3]],10,)</f>
        <v>101.4</v>
      </c>
      <c r="H102" s="1">
        <f>VLOOKUP(A102,symbol_2[[symbol]:[Price4]],14,)</f>
        <v>102.35</v>
      </c>
      <c r="I102" s="1">
        <f>VLOOKUP(A102,symbol_2[[symbol]:[Price5]],18,)</f>
        <v>105.7</v>
      </c>
      <c r="J102" s="49" t="str">
        <f t="shared" si="96"/>
        <v>N</v>
      </c>
      <c r="K102" s="49" t="str">
        <f t="shared" si="97"/>
        <v>Y</v>
      </c>
      <c r="L102" s="49" t="str">
        <f t="shared" si="98"/>
        <v>Y</v>
      </c>
      <c r="M102" s="49" t="str">
        <f t="shared" si="99"/>
        <v>Y</v>
      </c>
      <c r="N102" s="52">
        <f t="shared" si="100"/>
        <v>-2.2200772200772172</v>
      </c>
      <c r="O102" s="52">
        <f t="shared" si="101"/>
        <v>9.8716683119455612E-2</v>
      </c>
      <c r="P102" s="52">
        <f t="shared" si="102"/>
        <v>0.93688362919131019</v>
      </c>
      <c r="Q102" s="52">
        <f t="shared" si="103"/>
        <v>3.2730825598436821</v>
      </c>
      <c r="R102" s="1">
        <f>VLOOKUP(A102,symbol_2[[symbol]:[TV1]],3,)</f>
        <v>27.74</v>
      </c>
      <c r="S102" s="1">
        <f>VLOOKUP(A102,symbol_2[[symbol]:[TV2]],7,)</f>
        <v>10.27</v>
      </c>
      <c r="T102" s="1">
        <f>VLOOKUP(A102,symbol_2[[symbol]:[TV3]],11,)</f>
        <v>14.23</v>
      </c>
      <c r="U102" s="1">
        <f>VLOOKUP(A102,symbol_2[[symbol]:[TV4]],15,)</f>
        <v>30.33</v>
      </c>
      <c r="V102" s="1">
        <f>VLOOKUP(A102,symbol_2[[symbol]:[TV5]],19,)</f>
        <v>22.33</v>
      </c>
      <c r="W102" s="1" t="str">
        <f t="shared" si="104"/>
        <v>N</v>
      </c>
      <c r="X102" s="1" t="str">
        <f t="shared" si="105"/>
        <v>Y</v>
      </c>
      <c r="Y102" s="1" t="str">
        <f t="shared" si="106"/>
        <v>Y</v>
      </c>
      <c r="Z102" s="1" t="str">
        <f t="shared" si="107"/>
        <v>N</v>
      </c>
      <c r="AA102" s="1">
        <f>VLOOKUP(A102,symbol_2[[symbol]:[TradedValue1]],4,)</f>
        <v>2881.4</v>
      </c>
      <c r="AB102" s="1">
        <f>VLOOKUP(A102,symbol_2[[symbol]:[TradedValue2]],8,)</f>
        <v>1050.27</v>
      </c>
      <c r="AC102" s="1">
        <f>VLOOKUP(A102,symbol_2[[symbol]:[TradedValue3]],12,)</f>
        <v>1446.27</v>
      </c>
      <c r="AD102" s="1">
        <f>VLOOKUP(A102,symbol_2[[symbol]:[TradedValue4]],16,)</f>
        <v>3167.35</v>
      </c>
      <c r="AE102" s="1">
        <f>VLOOKUP(A102,symbol_2[[symbol]:[TradedValue5]],20,)</f>
        <v>2330.9499999999998</v>
      </c>
      <c r="AF102" s="1">
        <f>Table2[[#This Row],[TradedValue2]]-Table2[[#This Row],[TradedValue1]]</f>
        <v>-1831.13</v>
      </c>
      <c r="AG102" s="1">
        <f>Table2[[#This Row],[TradedValue3]]-Table2[[#This Row],[TradedValue2]]</f>
        <v>396</v>
      </c>
      <c r="AH102" s="1">
        <f>Table2[[#This Row],[TradedValue4]]-Table2[[#This Row],[TradedValue3]]</f>
        <v>1721.08</v>
      </c>
      <c r="AI102" s="1">
        <f>Table2[[#This Row],[TradedValue5]]-Table2[[#This Row],[TradedValue4]]</f>
        <v>-836.40000000000009</v>
      </c>
      <c r="AJ102" s="49" t="str">
        <f>IF(Table2[[#This Row],[TradedValue2]]&gt;Table2[[#This Row],[TradedValue1]],"Y","N")</f>
        <v>N</v>
      </c>
      <c r="AK102" s="49" t="str">
        <f>IF(Table2[[#This Row],[TradedValue3]]&gt;Table2[[#This Row],[TradedValue2]],"Y","N")</f>
        <v>Y</v>
      </c>
      <c r="AL102" s="49" t="str">
        <f>IF(Table2[[#This Row],[TradedValue5]]&gt;Table2[[#This Row],[TradedValue3]],"Y","N")</f>
        <v>Y</v>
      </c>
      <c r="AM102" s="49" t="str">
        <f>IF(Table2[[#This Row],[TradedValue5]]&gt;Table2[[#This Row],[TradedValue4]],"Y","N")</f>
        <v>N</v>
      </c>
      <c r="AN102" s="1">
        <f t="shared" si="108"/>
        <v>-17.47</v>
      </c>
      <c r="AO102" s="1">
        <f t="shared" si="109"/>
        <v>3.9600000000000009</v>
      </c>
      <c r="AP102" s="1">
        <f t="shared" si="110"/>
        <v>16.099999999999998</v>
      </c>
      <c r="AQ102" s="1">
        <f t="shared" si="111"/>
        <v>-8</v>
      </c>
      <c r="AR102" s="1">
        <f>VLOOKUP(A102,symbol_2[[symbol]:[DelPer1]],5,)</f>
        <v>36.97</v>
      </c>
      <c r="AS102" s="1">
        <f>VLOOKUP(A102,symbol_2[[symbol]:[DelPer2]],9,)</f>
        <v>25.46</v>
      </c>
      <c r="AT102" s="1">
        <f>VLOOKUP(A102,symbol_2[[symbol]:[DelPer3]],13,)</f>
        <v>46.68</v>
      </c>
      <c r="AU102" s="1">
        <f>VLOOKUP(A102,symbol_2[[symbol]:[DelPer4]],17,)</f>
        <v>32.21</v>
      </c>
      <c r="AV102" s="1">
        <f>VLOOKUP(A102,symbol_2[[symbol]:[DelPer5]],21,)</f>
        <v>41.61</v>
      </c>
      <c r="AW102" s="49" t="str">
        <f t="shared" si="112"/>
        <v>N</v>
      </c>
      <c r="AX102" s="49" t="str">
        <f t="shared" si="113"/>
        <v>Y</v>
      </c>
      <c r="AY102" s="49" t="str">
        <f t="shared" si="114"/>
        <v>N</v>
      </c>
      <c r="AZ102" s="49" t="str">
        <f t="shared" si="115"/>
        <v>Y</v>
      </c>
      <c r="BA102" s="1">
        <f t="shared" si="116"/>
        <v>-11.509999999999998</v>
      </c>
      <c r="BB102" s="1">
        <f t="shared" si="117"/>
        <v>21.22</v>
      </c>
      <c r="BC102" s="1">
        <f t="shared" si="118"/>
        <v>-14.469999999999999</v>
      </c>
      <c r="BD102" s="1">
        <f t="shared" si="119"/>
        <v>9.3999999999999986</v>
      </c>
    </row>
    <row r="103" spans="1:56" hidden="1" x14ac:dyDescent="0.35">
      <c r="A103" s="1" t="s">
        <v>101</v>
      </c>
      <c r="B103" s="1" t="s">
        <v>1006</v>
      </c>
      <c r="C103" s="1" t="s">
        <v>52</v>
      </c>
      <c r="D103" s="1" t="s">
        <v>199</v>
      </c>
      <c r="E103" s="1">
        <f>VLOOKUP(A103,symbol_2[[symbol]:[Price1]],2,)</f>
        <v>103.6</v>
      </c>
      <c r="F103" s="1">
        <f>VLOOKUP(A103,symbol_2[[symbol]:[Price2]],6,)</f>
        <v>101.3</v>
      </c>
      <c r="G103" s="1">
        <f>VLOOKUP(A103,symbol_2[[symbol]:[Price3]],10,)</f>
        <v>101.4</v>
      </c>
      <c r="H103" s="1">
        <f>VLOOKUP(A103,symbol_2[[symbol]:[Price4]],14,)</f>
        <v>102.35</v>
      </c>
      <c r="I103" s="1">
        <f>VLOOKUP(A103,symbol_2[[symbol]:[Price5]],18,)</f>
        <v>105.7</v>
      </c>
      <c r="J103" s="49" t="str">
        <f t="shared" si="96"/>
        <v>N</v>
      </c>
      <c r="K103" s="49" t="str">
        <f t="shared" si="97"/>
        <v>Y</v>
      </c>
      <c r="L103" s="49" t="str">
        <f t="shared" si="98"/>
        <v>Y</v>
      </c>
      <c r="M103" s="49" t="str">
        <f t="shared" si="99"/>
        <v>Y</v>
      </c>
      <c r="N103" s="52">
        <f t="shared" si="100"/>
        <v>-2.2200772200772172</v>
      </c>
      <c r="O103" s="52">
        <f t="shared" si="101"/>
        <v>9.8716683119455612E-2</v>
      </c>
      <c r="P103" s="52">
        <f t="shared" si="102"/>
        <v>0.93688362919131019</v>
      </c>
      <c r="Q103" s="52">
        <f t="shared" si="103"/>
        <v>3.2730825598436821</v>
      </c>
      <c r="R103" s="1">
        <f>VLOOKUP(A103,symbol_2[[symbol]:[TV1]],3,)</f>
        <v>27.74</v>
      </c>
      <c r="S103" s="1">
        <f>VLOOKUP(A103,symbol_2[[symbol]:[TV2]],7,)</f>
        <v>10.27</v>
      </c>
      <c r="T103" s="1">
        <f>VLOOKUP(A103,symbol_2[[symbol]:[TV3]],11,)</f>
        <v>14.23</v>
      </c>
      <c r="U103" s="1">
        <f>VLOOKUP(A103,symbol_2[[symbol]:[TV4]],15,)</f>
        <v>30.33</v>
      </c>
      <c r="V103" s="1">
        <f>VLOOKUP(A103,symbol_2[[symbol]:[TV5]],19,)</f>
        <v>22.33</v>
      </c>
      <c r="W103" s="1" t="str">
        <f t="shared" si="104"/>
        <v>N</v>
      </c>
      <c r="X103" s="1" t="str">
        <f t="shared" si="105"/>
        <v>Y</v>
      </c>
      <c r="Y103" s="1" t="str">
        <f t="shared" si="106"/>
        <v>Y</v>
      </c>
      <c r="Z103" s="1" t="str">
        <f t="shared" si="107"/>
        <v>N</v>
      </c>
      <c r="AA103" s="1">
        <f>VLOOKUP(A103,symbol_2[[symbol]:[TradedValue1]],4,)</f>
        <v>2881.4</v>
      </c>
      <c r="AB103" s="1">
        <f>VLOOKUP(A103,symbol_2[[symbol]:[TradedValue2]],8,)</f>
        <v>1050.27</v>
      </c>
      <c r="AC103" s="1">
        <f>VLOOKUP(A103,symbol_2[[symbol]:[TradedValue3]],12,)</f>
        <v>1446.27</v>
      </c>
      <c r="AD103" s="1">
        <f>VLOOKUP(A103,symbol_2[[symbol]:[TradedValue4]],16,)</f>
        <v>3167.35</v>
      </c>
      <c r="AE103" s="1">
        <f>VLOOKUP(A103,symbol_2[[symbol]:[TradedValue5]],20,)</f>
        <v>2330.9499999999998</v>
      </c>
      <c r="AF103" s="1">
        <f>Table2[[#This Row],[TradedValue2]]-Table2[[#This Row],[TradedValue1]]</f>
        <v>-1831.13</v>
      </c>
      <c r="AG103" s="1">
        <f>Table2[[#This Row],[TradedValue3]]-Table2[[#This Row],[TradedValue2]]</f>
        <v>396</v>
      </c>
      <c r="AH103" s="1">
        <f>Table2[[#This Row],[TradedValue4]]-Table2[[#This Row],[TradedValue3]]</f>
        <v>1721.08</v>
      </c>
      <c r="AI103" s="1">
        <f>Table2[[#This Row],[TradedValue5]]-Table2[[#This Row],[TradedValue4]]</f>
        <v>-836.40000000000009</v>
      </c>
      <c r="AJ103" s="49" t="str">
        <f>IF(Table2[[#This Row],[TradedValue2]]&gt;Table2[[#This Row],[TradedValue1]],"Y","N")</f>
        <v>N</v>
      </c>
      <c r="AK103" s="49" t="str">
        <f>IF(Table2[[#This Row],[TradedValue3]]&gt;Table2[[#This Row],[TradedValue2]],"Y","N")</f>
        <v>Y</v>
      </c>
      <c r="AL103" s="49" t="str">
        <f>IF(Table2[[#This Row],[TradedValue5]]&gt;Table2[[#This Row],[TradedValue3]],"Y","N")</f>
        <v>Y</v>
      </c>
      <c r="AM103" s="49" t="str">
        <f>IF(Table2[[#This Row],[TradedValue5]]&gt;Table2[[#This Row],[TradedValue4]],"Y","N")</f>
        <v>N</v>
      </c>
      <c r="AN103" s="1">
        <f t="shared" si="108"/>
        <v>-17.47</v>
      </c>
      <c r="AO103" s="1">
        <f t="shared" si="109"/>
        <v>3.9600000000000009</v>
      </c>
      <c r="AP103" s="1">
        <f t="shared" si="110"/>
        <v>16.099999999999998</v>
      </c>
      <c r="AQ103" s="1">
        <f t="shared" si="111"/>
        <v>-8</v>
      </c>
      <c r="AR103" s="1">
        <f>VLOOKUP(A103,symbol_2[[symbol]:[DelPer1]],5,)</f>
        <v>36.97</v>
      </c>
      <c r="AS103" s="1">
        <f>VLOOKUP(A103,symbol_2[[symbol]:[DelPer2]],9,)</f>
        <v>25.46</v>
      </c>
      <c r="AT103" s="1">
        <f>VLOOKUP(A103,symbol_2[[symbol]:[DelPer3]],13,)</f>
        <v>46.68</v>
      </c>
      <c r="AU103" s="1">
        <f>VLOOKUP(A103,symbol_2[[symbol]:[DelPer4]],17,)</f>
        <v>32.21</v>
      </c>
      <c r="AV103" s="1">
        <f>VLOOKUP(A103,symbol_2[[symbol]:[DelPer5]],21,)</f>
        <v>41.61</v>
      </c>
      <c r="AW103" s="49" t="str">
        <f t="shared" si="112"/>
        <v>N</v>
      </c>
      <c r="AX103" s="49" t="str">
        <f t="shared" si="113"/>
        <v>Y</v>
      </c>
      <c r="AY103" s="49" t="str">
        <f t="shared" si="114"/>
        <v>N</v>
      </c>
      <c r="AZ103" s="49" t="str">
        <f t="shared" si="115"/>
        <v>Y</v>
      </c>
      <c r="BA103" s="1">
        <f t="shared" si="116"/>
        <v>-11.509999999999998</v>
      </c>
      <c r="BB103" s="1">
        <f t="shared" si="117"/>
        <v>21.22</v>
      </c>
      <c r="BC103" s="1">
        <f t="shared" si="118"/>
        <v>-14.469999999999999</v>
      </c>
      <c r="BD103" s="1">
        <f t="shared" si="119"/>
        <v>9.3999999999999986</v>
      </c>
    </row>
    <row r="104" spans="1:56" hidden="1" x14ac:dyDescent="0.35">
      <c r="A104" s="116" t="s">
        <v>177</v>
      </c>
      <c r="B104" s="1" t="s">
        <v>1020</v>
      </c>
      <c r="C104" s="1" t="s">
        <v>52</v>
      </c>
      <c r="D104" s="1" t="s">
        <v>199</v>
      </c>
      <c r="E104" s="1">
        <f>VLOOKUP(A104,symbol_2[[symbol]:[Price1]],2,)</f>
        <v>2918.3</v>
      </c>
      <c r="F104" s="1">
        <f>VLOOKUP(A104,symbol_2[[symbol]:[Price2]],6,)</f>
        <v>2960.15</v>
      </c>
      <c r="G104" s="1">
        <f>VLOOKUP(A104,symbol_2[[symbol]:[Price3]],10,)</f>
        <v>2931.95</v>
      </c>
      <c r="H104" s="1">
        <f>VLOOKUP(A104,symbol_2[[symbol]:[Price4]],14,)</f>
        <v>2892.65</v>
      </c>
      <c r="I104" s="1">
        <f>VLOOKUP(A104,symbol_2[[symbol]:[Price5]],18,)</f>
        <v>2867</v>
      </c>
      <c r="J104" s="49" t="str">
        <f t="shared" si="96"/>
        <v>Y</v>
      </c>
      <c r="K104" s="49" t="str">
        <f t="shared" si="97"/>
        <v>N</v>
      </c>
      <c r="L104" s="49" t="str">
        <f t="shared" si="98"/>
        <v>N</v>
      </c>
      <c r="M104" s="49" t="str">
        <f t="shared" si="99"/>
        <v>N</v>
      </c>
      <c r="N104" s="52">
        <f t="shared" si="100"/>
        <v>1.4340540725764968</v>
      </c>
      <c r="O104" s="52">
        <f t="shared" si="101"/>
        <v>-0.95265442629597386</v>
      </c>
      <c r="P104" s="52">
        <f t="shared" si="102"/>
        <v>-1.3404048500144863</v>
      </c>
      <c r="Q104" s="52">
        <f t="shared" si="103"/>
        <v>-0.88673016092510637</v>
      </c>
      <c r="R104" s="1">
        <f>VLOOKUP(A104,symbol_2[[symbol]:[TV1]],3,)</f>
        <v>0.36</v>
      </c>
      <c r="S104" s="1">
        <f>VLOOKUP(A104,symbol_2[[symbol]:[TV2]],7,)</f>
        <v>0.5</v>
      </c>
      <c r="T104" s="1">
        <f>VLOOKUP(A104,symbol_2[[symbol]:[TV3]],11,)</f>
        <v>0.2</v>
      </c>
      <c r="U104" s="1">
        <f>VLOOKUP(A104,symbol_2[[symbol]:[TV4]],15,)</f>
        <v>0.35</v>
      </c>
      <c r="V104" s="1">
        <f>VLOOKUP(A104,symbol_2[[symbol]:[TV5]],19,)</f>
        <v>0.28999999999999998</v>
      </c>
      <c r="W104" s="1" t="str">
        <f t="shared" si="104"/>
        <v>Y</v>
      </c>
      <c r="X104" s="1" t="str">
        <f t="shared" si="105"/>
        <v>N</v>
      </c>
      <c r="Y104" s="1" t="str">
        <f t="shared" si="106"/>
        <v>Y</v>
      </c>
      <c r="Z104" s="1" t="str">
        <f t="shared" si="107"/>
        <v>N</v>
      </c>
      <c r="AA104"/>
      <c r="AB104" s="1">
        <f>VLOOKUP(A104,symbol_2[[symbol]:[TradedValue2]],8,)</f>
        <v>1470.64</v>
      </c>
      <c r="AC104" s="1">
        <f>VLOOKUP(A104,symbol_2[[symbol]:[TradedValue3]],12,)</f>
        <v>596.99</v>
      </c>
      <c r="AD104" s="1">
        <f>VLOOKUP(A104,symbol_2[[symbol]:[TradedValue4]],16,)</f>
        <v>1015.09</v>
      </c>
      <c r="AE104" s="1">
        <f>VLOOKUP(A104,symbol_2[[symbol]:[TradedValue5]],20,)</f>
        <v>844.1</v>
      </c>
      <c r="AF104" s="1">
        <f>Table2[[#This Row],[TradedValue2]]-Table2[[#This Row],[TradedValue1]]</f>
        <v>1470.64</v>
      </c>
      <c r="AG104" s="1">
        <f>Table2[[#This Row],[TradedValue3]]-Table2[[#This Row],[TradedValue2]]</f>
        <v>-873.65000000000009</v>
      </c>
      <c r="AH104" s="1">
        <f>Table2[[#This Row],[TradedValue4]]-Table2[[#This Row],[TradedValue3]]</f>
        <v>418.1</v>
      </c>
      <c r="AI104" s="1">
        <f>Table2[[#This Row],[TradedValue5]]-Table2[[#This Row],[TradedValue4]]</f>
        <v>-170.99</v>
      </c>
      <c r="AJ104" s="49" t="str">
        <f>IF(Table2[[#This Row],[TradedValue2]]&gt;Table2[[#This Row],[TradedValue1]],"Y","N")</f>
        <v>Y</v>
      </c>
      <c r="AK104" s="49" t="str">
        <f>IF(Table2[[#This Row],[TradedValue3]]&gt;Table2[[#This Row],[TradedValue2]],"Y","N")</f>
        <v>N</v>
      </c>
      <c r="AL104" s="49" t="str">
        <f>IF(Table2[[#This Row],[TradedValue5]]&gt;Table2[[#This Row],[TradedValue3]],"Y","N")</f>
        <v>Y</v>
      </c>
      <c r="AM104" s="49" t="str">
        <f>IF(Table2[[#This Row],[TradedValue5]]&gt;Table2[[#This Row],[TradedValue4]],"Y","N")</f>
        <v>N</v>
      </c>
      <c r="AN104" s="1">
        <f t="shared" si="108"/>
        <v>0.14000000000000001</v>
      </c>
      <c r="AO104" s="1">
        <f t="shared" si="109"/>
        <v>-0.3</v>
      </c>
      <c r="AP104" s="1">
        <f t="shared" si="110"/>
        <v>0.14999999999999997</v>
      </c>
      <c r="AQ104" s="1">
        <f t="shared" si="111"/>
        <v>-0.06</v>
      </c>
      <c r="AR104" s="1">
        <f>VLOOKUP(A104,symbol_2[[symbol]:[DelPer1]],5,)</f>
        <v>12.93</v>
      </c>
      <c r="AS104" s="1">
        <f>VLOOKUP(A104,symbol_2[[symbol]:[DelPer2]],9,)</f>
        <v>15.07</v>
      </c>
      <c r="AT104" s="1">
        <f>VLOOKUP(A104,symbol_2[[symbol]:[DelPer3]],13,)</f>
        <v>14.83</v>
      </c>
      <c r="AU104" s="1">
        <f>VLOOKUP(A104,symbol_2[[symbol]:[DelPer4]],17,)</f>
        <v>25.9</v>
      </c>
      <c r="AV104" s="1">
        <f>VLOOKUP(A104,symbol_2[[symbol]:[DelPer5]],21,)</f>
        <v>24.89</v>
      </c>
      <c r="AW104" s="49" t="str">
        <f t="shared" si="112"/>
        <v>Y</v>
      </c>
      <c r="AX104" s="49" t="str">
        <f t="shared" si="113"/>
        <v>N</v>
      </c>
      <c r="AY104" s="49" t="str">
        <f t="shared" si="114"/>
        <v>Y</v>
      </c>
      <c r="AZ104" s="49" t="str">
        <f t="shared" si="115"/>
        <v>N</v>
      </c>
      <c r="BA104" s="1">
        <f t="shared" si="116"/>
        <v>2.1400000000000006</v>
      </c>
      <c r="BB104" s="1">
        <f t="shared" si="117"/>
        <v>-0.24000000000000021</v>
      </c>
      <c r="BC104" s="1">
        <f t="shared" si="118"/>
        <v>11.069999999999999</v>
      </c>
      <c r="BD104" s="1">
        <f t="shared" si="119"/>
        <v>-1.009999999999998</v>
      </c>
    </row>
    <row r="105" spans="1:56" hidden="1" x14ac:dyDescent="0.35">
      <c r="A105" s="116" t="s">
        <v>124</v>
      </c>
      <c r="B105" s="1" t="s">
        <v>1021</v>
      </c>
      <c r="C105" s="1" t="s">
        <v>52</v>
      </c>
      <c r="D105" s="1" t="str">
        <f>VLOOKUP(A105,'High Beta'!A26:B75,2,)</f>
        <v>Y</v>
      </c>
      <c r="E105" s="1">
        <f>VLOOKUP(A105,symbol_2[[symbol]:[Price1]],2,)</f>
        <v>165.15</v>
      </c>
      <c r="F105" s="1">
        <f>VLOOKUP(A105,symbol_2[[symbol]:[Price2]],6,)</f>
        <v>163.35</v>
      </c>
      <c r="G105" s="1">
        <f>VLOOKUP(A105,symbol_2[[symbol]:[Price3]],10,)</f>
        <v>152.4</v>
      </c>
      <c r="H105" s="1">
        <f>VLOOKUP(A105,symbol_2[[symbol]:[Price4]],14,)</f>
        <v>152.05000000000001</v>
      </c>
      <c r="I105" s="1">
        <f>VLOOKUP(A105,symbol_2[[symbol]:[Price5]],18,)</f>
        <v>160.94999999999999</v>
      </c>
      <c r="J105" s="49" t="str">
        <f t="shared" si="96"/>
        <v>N</v>
      </c>
      <c r="K105" s="49" t="str">
        <f t="shared" si="97"/>
        <v>N</v>
      </c>
      <c r="L105" s="49" t="str">
        <f t="shared" si="98"/>
        <v>N</v>
      </c>
      <c r="M105" s="49" t="str">
        <f t="shared" si="99"/>
        <v>Y</v>
      </c>
      <c r="N105" s="52">
        <f t="shared" si="100"/>
        <v>-1.0899182561307972</v>
      </c>
      <c r="O105" s="52">
        <f t="shared" si="101"/>
        <v>-6.7033976124885157</v>
      </c>
      <c r="P105" s="52">
        <f t="shared" si="102"/>
        <v>-0.22965879265091491</v>
      </c>
      <c r="Q105" s="52">
        <f t="shared" si="103"/>
        <v>5.8533377178559531</v>
      </c>
      <c r="R105" s="1">
        <f>VLOOKUP(A105,symbol_2[[symbol]:[TV1]],3,)</f>
        <v>7.22</v>
      </c>
      <c r="S105" s="1">
        <f>VLOOKUP(A105,symbol_2[[symbol]:[TV2]],7,)</f>
        <v>8.08</v>
      </c>
      <c r="T105" s="1">
        <f>VLOOKUP(A105,symbol_2[[symbol]:[TV3]],11,)</f>
        <v>33.590000000000003</v>
      </c>
      <c r="U105" s="1">
        <f>VLOOKUP(A105,symbol_2[[symbol]:[TV4]],15,)</f>
        <v>10.06</v>
      </c>
      <c r="V105" s="1">
        <f>VLOOKUP(A105,symbol_2[[symbol]:[TV5]],19,)</f>
        <v>12.23</v>
      </c>
      <c r="W105" s="1" t="str">
        <f t="shared" si="104"/>
        <v>Y</v>
      </c>
      <c r="X105" s="1" t="str">
        <f t="shared" si="105"/>
        <v>Y</v>
      </c>
      <c r="Y105" s="1" t="str">
        <f t="shared" si="106"/>
        <v>N</v>
      </c>
      <c r="Z105" s="1" t="str">
        <f t="shared" si="107"/>
        <v>Y</v>
      </c>
      <c r="AA105" s="1">
        <f>VLOOKUP(A107,symbol_2[[symbol]:[TradedValue1]],4,)</f>
        <v>3404.12</v>
      </c>
      <c r="AB105" s="1">
        <f>VLOOKUP(A105,symbol_2[[symbol]:[TradedValue2]],8,)</f>
        <v>1330.5</v>
      </c>
      <c r="AC105" s="1">
        <f>VLOOKUP(A105,symbol_2[[symbol]:[TradedValue3]],12,)</f>
        <v>5014.0200000000004</v>
      </c>
      <c r="AD105" s="1">
        <f>VLOOKUP(A105,symbol_2[[symbol]:[TradedValue4]],16,)</f>
        <v>1548.76</v>
      </c>
      <c r="AE105" s="1">
        <f>VLOOKUP(A105,symbol_2[[symbol]:[TradedValue5]],20,)</f>
        <v>1922.07</v>
      </c>
      <c r="AF105" s="1">
        <f>Table2[[#This Row],[TradedValue2]]-Table2[[#This Row],[TradedValue1]]</f>
        <v>-2073.62</v>
      </c>
      <c r="AG105" s="1">
        <f>Table2[[#This Row],[TradedValue3]]-Table2[[#This Row],[TradedValue2]]</f>
        <v>3683.5200000000004</v>
      </c>
      <c r="AH105" s="1">
        <f>Table2[[#This Row],[TradedValue4]]-Table2[[#This Row],[TradedValue3]]</f>
        <v>-3465.26</v>
      </c>
      <c r="AI105" s="1">
        <f>Table2[[#This Row],[TradedValue5]]-Table2[[#This Row],[TradedValue4]]</f>
        <v>373.30999999999995</v>
      </c>
      <c r="AJ105" s="49" t="str">
        <f>IF(Table2[[#This Row],[TradedValue2]]&gt;Table2[[#This Row],[TradedValue1]],"Y","N")</f>
        <v>N</v>
      </c>
      <c r="AK105" s="49" t="str">
        <f>IF(Table2[[#This Row],[TradedValue3]]&gt;Table2[[#This Row],[TradedValue2]],"Y","N")</f>
        <v>Y</v>
      </c>
      <c r="AL105" s="49" t="str">
        <f>IF(Table2[[#This Row],[TradedValue5]]&gt;Table2[[#This Row],[TradedValue3]],"Y","N")</f>
        <v>N</v>
      </c>
      <c r="AM105" s="49" t="str">
        <f>IF(Table2[[#This Row],[TradedValue5]]&gt;Table2[[#This Row],[TradedValue4]],"Y","N")</f>
        <v>Y</v>
      </c>
      <c r="AN105" s="1">
        <f t="shared" si="108"/>
        <v>0.86000000000000032</v>
      </c>
      <c r="AO105" s="1">
        <f t="shared" si="109"/>
        <v>25.510000000000005</v>
      </c>
      <c r="AP105" s="1">
        <f t="shared" si="110"/>
        <v>-23.53</v>
      </c>
      <c r="AQ105" s="1">
        <f t="shared" si="111"/>
        <v>2.17</v>
      </c>
      <c r="AR105" s="1">
        <f>VLOOKUP(A105,symbol_2[[symbol]:[DelPer1]],5,)</f>
        <v>10.86</v>
      </c>
      <c r="AS105" s="1">
        <f>VLOOKUP(A105,symbol_2[[symbol]:[DelPer2]],9,)</f>
        <v>26.56</v>
      </c>
      <c r="AT105" s="1">
        <f>VLOOKUP(A105,symbol_2[[symbol]:[DelPer3]],13,)</f>
        <v>14.44</v>
      </c>
      <c r="AU105" s="1">
        <f>VLOOKUP(A105,symbol_2[[symbol]:[DelPer4]],17,)</f>
        <v>17.170000000000002</v>
      </c>
      <c r="AV105" s="1">
        <f>VLOOKUP(A105,symbol_2[[symbol]:[DelPer5]],21,)</f>
        <v>12.33</v>
      </c>
      <c r="AW105" s="49" t="str">
        <f t="shared" si="112"/>
        <v>Y</v>
      </c>
      <c r="AX105" s="49" t="str">
        <f t="shared" si="113"/>
        <v>N</v>
      </c>
      <c r="AY105" s="49" t="str">
        <f t="shared" si="114"/>
        <v>Y</v>
      </c>
      <c r="AZ105" s="49" t="str">
        <f t="shared" si="115"/>
        <v>N</v>
      </c>
      <c r="BA105" s="1">
        <f t="shared" si="116"/>
        <v>15.7</v>
      </c>
      <c r="BB105" s="1">
        <f t="shared" si="117"/>
        <v>-12.12</v>
      </c>
      <c r="BC105" s="1">
        <f t="shared" si="118"/>
        <v>2.7300000000000022</v>
      </c>
      <c r="BD105" s="1">
        <f t="shared" si="119"/>
        <v>-4.8400000000000016</v>
      </c>
    </row>
    <row r="106" spans="1:56" x14ac:dyDescent="0.35">
      <c r="A106" s="1" t="s">
        <v>175</v>
      </c>
      <c r="B106" s="1" t="s">
        <v>1018</v>
      </c>
      <c r="C106" s="1" t="s">
        <v>52</v>
      </c>
      <c r="D106" s="1" t="s">
        <v>199</v>
      </c>
      <c r="E106" s="1">
        <f>VLOOKUP(A106,symbol_2[[symbol]:[Price1]],2,)</f>
        <v>1192.0999999999999</v>
      </c>
      <c r="F106" s="1">
        <f>VLOOKUP(A106,symbol_2[[symbol]:[Price2]],6,)</f>
        <v>1183.05</v>
      </c>
      <c r="G106" s="1">
        <f>VLOOKUP(A106,symbol_2[[symbol]:[Price3]],10,)</f>
        <v>1169</v>
      </c>
      <c r="H106" s="1">
        <f>VLOOKUP(A106,symbol_2[[symbol]:[Price4]],14,)</f>
        <v>1184.8</v>
      </c>
      <c r="I106" s="1">
        <f>VLOOKUP(A106,symbol_2[[symbol]:[Price5]],18,)</f>
        <v>1218.95</v>
      </c>
      <c r="J106" s="49" t="str">
        <f t="shared" si="96"/>
        <v>N</v>
      </c>
      <c r="K106" s="49" t="str">
        <f t="shared" si="97"/>
        <v>N</v>
      </c>
      <c r="L106" s="49" t="str">
        <f t="shared" si="98"/>
        <v>Y</v>
      </c>
      <c r="M106" s="49" t="str">
        <f t="shared" si="99"/>
        <v>Y</v>
      </c>
      <c r="N106" s="52">
        <f t="shared" si="100"/>
        <v>-0.75916449962251109</v>
      </c>
      <c r="O106" s="52">
        <f t="shared" si="101"/>
        <v>-1.1876083005790081</v>
      </c>
      <c r="P106" s="52">
        <f t="shared" si="102"/>
        <v>1.3515825491873357</v>
      </c>
      <c r="Q106" s="52">
        <f t="shared" si="103"/>
        <v>2.8823430114787385</v>
      </c>
      <c r="R106" s="1">
        <f>VLOOKUP(A106,symbol_2[[symbol]:[TV1]],3,)</f>
        <v>0.41</v>
      </c>
      <c r="S106" s="1">
        <f>VLOOKUP(A106,symbol_2[[symbol]:[TV2]],7,)</f>
        <v>0.79</v>
      </c>
      <c r="T106" s="1">
        <f>VLOOKUP(A106,symbol_2[[symbol]:[TV3]],11,)</f>
        <v>0.33</v>
      </c>
      <c r="U106" s="1">
        <f>VLOOKUP(A106,symbol_2[[symbol]:[TV4]],15,)</f>
        <v>0.56000000000000005</v>
      </c>
      <c r="V106" s="1">
        <f>VLOOKUP(A106,symbol_2[[symbol]:[TV5]],19,)</f>
        <v>0.56999999999999995</v>
      </c>
      <c r="W106" s="1" t="str">
        <f t="shared" si="104"/>
        <v>Y</v>
      </c>
      <c r="X106" s="1" t="str">
        <f t="shared" si="105"/>
        <v>N</v>
      </c>
      <c r="Y106" s="1" t="str">
        <f t="shared" si="106"/>
        <v>Y</v>
      </c>
      <c r="Z106" s="1" t="str">
        <f t="shared" si="107"/>
        <v>Y</v>
      </c>
      <c r="AA106" s="1">
        <f>VLOOKUP(A106,symbol_2[[symbol]:[TradedValue1]],4,)</f>
        <v>482.8</v>
      </c>
      <c r="AB106" s="1">
        <f>VLOOKUP(A106,symbol_2[[symbol]:[TradedValue2]],8,)</f>
        <v>950.6</v>
      </c>
      <c r="AC106" s="1">
        <f>VLOOKUP(A106,symbol_2[[symbol]:[TradedValue3]],12,)</f>
        <v>385.04</v>
      </c>
      <c r="AD106" s="1">
        <f>VLOOKUP(A106,symbol_2[[symbol]:[TradedValue4]],16,)</f>
        <v>676.6</v>
      </c>
      <c r="AE106" s="1">
        <f>VLOOKUP(A106,symbol_2[[symbol]:[TradedValue5]],20,)</f>
        <v>683.73</v>
      </c>
      <c r="AF106" s="1">
        <f>Table2[[#This Row],[TradedValue2]]-Table2[[#This Row],[TradedValue1]]</f>
        <v>467.8</v>
      </c>
      <c r="AG106" s="1">
        <f>Table2[[#This Row],[TradedValue3]]-Table2[[#This Row],[TradedValue2]]</f>
        <v>-565.55999999999995</v>
      </c>
      <c r="AH106" s="1">
        <f>Table2[[#This Row],[TradedValue4]]-Table2[[#This Row],[TradedValue3]]</f>
        <v>291.56</v>
      </c>
      <c r="AI106" s="1">
        <f>Table2[[#This Row],[TradedValue5]]-Table2[[#This Row],[TradedValue4]]</f>
        <v>7.1299999999999955</v>
      </c>
      <c r="AJ106" s="49" t="str">
        <f>IF(Table2[[#This Row],[TradedValue2]]&gt;Table2[[#This Row],[TradedValue1]],"Y","N")</f>
        <v>Y</v>
      </c>
      <c r="AK106" s="49" t="str">
        <f>IF(Table2[[#This Row],[TradedValue3]]&gt;Table2[[#This Row],[TradedValue2]],"Y","N")</f>
        <v>N</v>
      </c>
      <c r="AL106" s="49" t="str">
        <f>IF(Table2[[#This Row],[TradedValue5]]&gt;Table2[[#This Row],[TradedValue3]],"Y","N")</f>
        <v>Y</v>
      </c>
      <c r="AM106" s="49" t="str">
        <f>IF(Table2[[#This Row],[TradedValue5]]&gt;Table2[[#This Row],[TradedValue4]],"Y","N")</f>
        <v>Y</v>
      </c>
      <c r="AN106" s="1">
        <f t="shared" si="108"/>
        <v>0.38000000000000006</v>
      </c>
      <c r="AO106" s="1">
        <f t="shared" si="109"/>
        <v>-0.46</v>
      </c>
      <c r="AP106" s="1">
        <f t="shared" si="110"/>
        <v>0.23000000000000004</v>
      </c>
      <c r="AQ106" s="1">
        <f t="shared" si="111"/>
        <v>9.9999999999998979E-3</v>
      </c>
      <c r="AR106" s="1">
        <f>VLOOKUP(A106,symbol_2[[symbol]:[DelPer1]],5,)</f>
        <v>29.33</v>
      </c>
      <c r="AS106" s="1">
        <f>VLOOKUP(A106,symbol_2[[symbol]:[DelPer2]],9,)</f>
        <v>31.8</v>
      </c>
      <c r="AT106" s="1">
        <f>VLOOKUP(A106,symbol_2[[symbol]:[DelPer3]],13,)</f>
        <v>30.95</v>
      </c>
      <c r="AU106" s="1">
        <f>VLOOKUP(A106,symbol_2[[symbol]:[DelPer4]],17,)</f>
        <v>38.450000000000003</v>
      </c>
      <c r="AV106" s="1">
        <f>VLOOKUP(A106,symbol_2[[symbol]:[DelPer5]],21,)</f>
        <v>48.29</v>
      </c>
      <c r="AW106" s="49" t="str">
        <f t="shared" si="112"/>
        <v>Y</v>
      </c>
      <c r="AX106" s="49" t="str">
        <f t="shared" si="113"/>
        <v>N</v>
      </c>
      <c r="AY106" s="49" t="str">
        <f t="shared" si="114"/>
        <v>Y</v>
      </c>
      <c r="AZ106" s="49" t="str">
        <f t="shared" si="115"/>
        <v>Y</v>
      </c>
      <c r="BA106" s="1">
        <f t="shared" si="116"/>
        <v>2.4700000000000024</v>
      </c>
      <c r="BB106" s="1">
        <f t="shared" si="117"/>
        <v>-0.85000000000000142</v>
      </c>
      <c r="BC106" s="1">
        <f t="shared" si="118"/>
        <v>7.5000000000000036</v>
      </c>
      <c r="BD106" s="1">
        <f t="shared" si="119"/>
        <v>9.8399999999999963</v>
      </c>
    </row>
    <row r="107" spans="1:56" hidden="1" x14ac:dyDescent="0.35">
      <c r="A107" s="116" t="s">
        <v>93</v>
      </c>
      <c r="B107" s="1" t="s">
        <v>1006</v>
      </c>
      <c r="C107" s="1" t="s">
        <v>52</v>
      </c>
      <c r="D107" s="1" t="s">
        <v>199</v>
      </c>
      <c r="E107" s="1">
        <f>VLOOKUP(A107,symbol_2[[symbol]:[Price1]],2,)</f>
        <v>124.85</v>
      </c>
      <c r="F107" s="1">
        <f>VLOOKUP(A107,symbol_2[[symbol]:[Price2]],6,)</f>
        <v>130</v>
      </c>
      <c r="G107" s="1">
        <f>VLOOKUP(A107,symbol_2[[symbol]:[Price3]],10,)</f>
        <v>117.55</v>
      </c>
      <c r="H107" s="1">
        <f>VLOOKUP(A107,symbol_2[[symbol]:[Price4]],14,)</f>
        <v>115.75</v>
      </c>
      <c r="I107" s="1">
        <f>VLOOKUP(A107,symbol_2[[symbol]:[Price5]],18,)</f>
        <v>120.6</v>
      </c>
      <c r="J107" s="49" t="str">
        <f t="shared" si="96"/>
        <v>Y</v>
      </c>
      <c r="K107" s="49" t="str">
        <f t="shared" si="97"/>
        <v>N</v>
      </c>
      <c r="L107" s="49" t="str">
        <f t="shared" si="98"/>
        <v>N</v>
      </c>
      <c r="M107" s="49" t="str">
        <f t="shared" si="99"/>
        <v>Y</v>
      </c>
      <c r="N107" s="52">
        <f t="shared" si="100"/>
        <v>4.1249499399279177</v>
      </c>
      <c r="O107" s="52">
        <f t="shared" si="101"/>
        <v>-9.5769230769230784</v>
      </c>
      <c r="P107" s="52">
        <f t="shared" si="102"/>
        <v>-1.5312632922160758</v>
      </c>
      <c r="Q107" s="52">
        <f t="shared" si="103"/>
        <v>4.1900647948164096</v>
      </c>
      <c r="R107" s="1">
        <f>VLOOKUP(A107,symbol_2[[symbol]:[TV1]],3,)</f>
        <v>27.6</v>
      </c>
      <c r="S107" s="1">
        <f>VLOOKUP(A107,symbol_2[[symbol]:[TV2]],7,)</f>
        <v>24.78</v>
      </c>
      <c r="T107" s="1">
        <f>VLOOKUP(A107,symbol_2[[symbol]:[TV3]],11,)</f>
        <v>59.92</v>
      </c>
      <c r="U107" s="1">
        <f>VLOOKUP(A107,symbol_2[[symbol]:[TV4]],15,)</f>
        <v>19.62</v>
      </c>
      <c r="V107" s="1">
        <f>VLOOKUP(A107,symbol_2[[symbol]:[TV5]],19,)</f>
        <v>17.8</v>
      </c>
      <c r="W107" s="1" t="str">
        <f t="shared" si="104"/>
        <v>N</v>
      </c>
      <c r="X107" s="1" t="str">
        <f t="shared" si="105"/>
        <v>Y</v>
      </c>
      <c r="Y107" s="1" t="str">
        <f t="shared" si="106"/>
        <v>N</v>
      </c>
      <c r="Z107" s="1" t="str">
        <f t="shared" si="107"/>
        <v>N</v>
      </c>
      <c r="AA107" s="1">
        <f>VLOOKUP(A109,symbol_2[[symbol]:[TradedValue1]],4,)</f>
        <v>277.54000000000002</v>
      </c>
      <c r="AB107" s="1">
        <f>VLOOKUP(A107,symbol_2[[symbol]:[TradedValue2]],8,)</f>
        <v>3164.4</v>
      </c>
      <c r="AC107" s="1">
        <f>VLOOKUP(A107,symbol_2[[symbol]:[TradedValue3]],12,)</f>
        <v>6889.96</v>
      </c>
      <c r="AD107" s="1">
        <f>VLOOKUP(A107,symbol_2[[symbol]:[TradedValue4]],16,)</f>
        <v>2356.9299999999998</v>
      </c>
      <c r="AE107" s="1">
        <f>VLOOKUP(A107,symbol_2[[symbol]:[TradedValue5]],20,)</f>
        <v>2121.86</v>
      </c>
      <c r="AF107" s="1">
        <f>Table2[[#This Row],[TradedValue2]]-Table2[[#This Row],[TradedValue1]]</f>
        <v>2886.86</v>
      </c>
      <c r="AG107" s="1">
        <f>Table2[[#This Row],[TradedValue3]]-Table2[[#This Row],[TradedValue2]]</f>
        <v>3725.56</v>
      </c>
      <c r="AH107" s="1">
        <f>Table2[[#This Row],[TradedValue4]]-Table2[[#This Row],[TradedValue3]]</f>
        <v>-4533.0300000000007</v>
      </c>
      <c r="AI107" s="1">
        <f>Table2[[#This Row],[TradedValue5]]-Table2[[#This Row],[TradedValue4]]</f>
        <v>-235.06999999999971</v>
      </c>
      <c r="AJ107" s="49" t="str">
        <f>IF(Table2[[#This Row],[TradedValue2]]&gt;Table2[[#This Row],[TradedValue1]],"Y","N")</f>
        <v>Y</v>
      </c>
      <c r="AK107" s="49" t="str">
        <f>IF(Table2[[#This Row],[TradedValue3]]&gt;Table2[[#This Row],[TradedValue2]],"Y","N")</f>
        <v>Y</v>
      </c>
      <c r="AL107" s="49" t="str">
        <f>IF(Table2[[#This Row],[TradedValue5]]&gt;Table2[[#This Row],[TradedValue3]],"Y","N")</f>
        <v>N</v>
      </c>
      <c r="AM107" s="49" t="str">
        <f>IF(Table2[[#This Row],[TradedValue5]]&gt;Table2[[#This Row],[TradedValue4]],"Y","N")</f>
        <v>N</v>
      </c>
      <c r="AN107" s="1">
        <f t="shared" si="108"/>
        <v>-2.8200000000000003</v>
      </c>
      <c r="AO107" s="1">
        <f t="shared" si="109"/>
        <v>35.14</v>
      </c>
      <c r="AP107" s="1">
        <f t="shared" si="110"/>
        <v>-40.299999999999997</v>
      </c>
      <c r="AQ107" s="1">
        <f t="shared" si="111"/>
        <v>-1.8200000000000003</v>
      </c>
      <c r="AR107" s="1">
        <f>VLOOKUP(A107,symbol_2[[symbol]:[DelPer1]],5,)</f>
        <v>17.54</v>
      </c>
      <c r="AS107" s="1">
        <f>VLOOKUP(A107,symbol_2[[symbol]:[DelPer2]],9,)</f>
        <v>9.89</v>
      </c>
      <c r="AT107" s="1">
        <f>VLOOKUP(A107,symbol_2[[symbol]:[DelPer3]],13,)</f>
        <v>7.48</v>
      </c>
      <c r="AU107" s="1">
        <f>VLOOKUP(A107,symbol_2[[symbol]:[DelPer4]],17,)</f>
        <v>16.29</v>
      </c>
      <c r="AV107" s="1">
        <f>VLOOKUP(A107,symbol_2[[symbol]:[DelPer5]],21,)</f>
        <v>15.82</v>
      </c>
      <c r="AW107" s="49" t="str">
        <f t="shared" si="112"/>
        <v>N</v>
      </c>
      <c r="AX107" s="49" t="str">
        <f t="shared" si="113"/>
        <v>N</v>
      </c>
      <c r="AY107" s="49" t="str">
        <f t="shared" si="114"/>
        <v>Y</v>
      </c>
      <c r="AZ107" s="49" t="str">
        <f t="shared" si="115"/>
        <v>N</v>
      </c>
      <c r="BA107" s="1">
        <f t="shared" si="116"/>
        <v>-7.6499999999999986</v>
      </c>
      <c r="BB107" s="1">
        <f t="shared" si="117"/>
        <v>-2.41</v>
      </c>
      <c r="BC107" s="1">
        <f t="shared" si="118"/>
        <v>8.8099999999999987</v>
      </c>
      <c r="BD107" s="1">
        <f t="shared" si="119"/>
        <v>-0.46999999999999886</v>
      </c>
    </row>
    <row r="108" spans="1:56" hidden="1" x14ac:dyDescent="0.35">
      <c r="A108" s="116" t="s">
        <v>92</v>
      </c>
      <c r="B108" s="1" t="s">
        <v>1006</v>
      </c>
      <c r="C108" s="1" t="s">
        <v>52</v>
      </c>
      <c r="D108" s="1" t="s">
        <v>199</v>
      </c>
      <c r="E108" s="1">
        <f>VLOOKUP(A108,symbol_2[[symbol]:[Price1]],2,)</f>
        <v>230.5</v>
      </c>
      <c r="F108" s="1">
        <f>VLOOKUP(A108,symbol_2[[symbol]:[Price2]],6,)</f>
        <v>229.2</v>
      </c>
      <c r="G108" s="1">
        <f>VLOOKUP(A108,symbol_2[[symbol]:[Price3]],10,)</f>
        <v>230.25</v>
      </c>
      <c r="H108" s="1">
        <f>VLOOKUP(A108,symbol_2[[symbol]:[Price4]],14,)</f>
        <v>228</v>
      </c>
      <c r="I108" s="1">
        <f>VLOOKUP(A108,symbol_2[[symbol]:[Price5]],18,)</f>
        <v>233.65</v>
      </c>
      <c r="J108" s="49" t="str">
        <f t="shared" si="96"/>
        <v>N</v>
      </c>
      <c r="K108" s="49" t="str">
        <f t="shared" si="97"/>
        <v>Y</v>
      </c>
      <c r="L108" s="49" t="str">
        <f t="shared" si="98"/>
        <v>N</v>
      </c>
      <c r="M108" s="49" t="str">
        <f t="shared" si="99"/>
        <v>Y</v>
      </c>
      <c r="N108" s="52">
        <f t="shared" si="100"/>
        <v>-0.56399132321041712</v>
      </c>
      <c r="O108" s="52">
        <f t="shared" si="101"/>
        <v>0.45811518324607831</v>
      </c>
      <c r="P108" s="52">
        <f t="shared" si="102"/>
        <v>-0.97719869706840379</v>
      </c>
      <c r="Q108" s="52">
        <f t="shared" si="103"/>
        <v>2.478070175438599</v>
      </c>
      <c r="R108" s="1">
        <f>VLOOKUP(A108,symbol_2[[symbol]:[TV1]],3,)</f>
        <v>3.76</v>
      </c>
      <c r="S108" s="1">
        <f>VLOOKUP(A108,symbol_2[[symbol]:[TV2]],7,)</f>
        <v>2.69</v>
      </c>
      <c r="T108" s="1">
        <f>VLOOKUP(A108,symbol_2[[symbol]:[TV3]],11,)</f>
        <v>1.67</v>
      </c>
      <c r="U108" s="1">
        <f>VLOOKUP(A108,symbol_2[[symbol]:[TV4]],15,)</f>
        <v>1.51</v>
      </c>
      <c r="V108" s="1">
        <f>VLOOKUP(A108,symbol_2[[symbol]:[TV5]],19,)</f>
        <v>1.99</v>
      </c>
      <c r="W108" s="1" t="str">
        <f t="shared" si="104"/>
        <v>N</v>
      </c>
      <c r="X108" s="1" t="str">
        <f t="shared" si="105"/>
        <v>N</v>
      </c>
      <c r="Y108" s="1" t="str">
        <f t="shared" si="106"/>
        <v>N</v>
      </c>
      <c r="Z108" s="1" t="str">
        <f t="shared" si="107"/>
        <v>Y</v>
      </c>
      <c r="AA108" s="1">
        <f>VLOOKUP(A108,symbol_2[[symbol]:[TradedValue1]],4,)</f>
        <v>861.58</v>
      </c>
      <c r="AB108" s="1">
        <f>VLOOKUP(A108,symbol_2[[symbol]:[TradedValue2]],8,)</f>
        <v>618.19000000000005</v>
      </c>
      <c r="AC108" s="1">
        <f>VLOOKUP(A108,symbol_2[[symbol]:[TradedValue3]],12,)</f>
        <v>384.19</v>
      </c>
      <c r="AD108" s="1">
        <f>VLOOKUP(A108,symbol_2[[symbol]:[TradedValue4]],16,)</f>
        <v>348.42</v>
      </c>
      <c r="AE108" s="1">
        <f>VLOOKUP(A108,symbol_2[[symbol]:[TradedValue5]],20,)</f>
        <v>463.01</v>
      </c>
      <c r="AF108" s="1">
        <f>Table2[[#This Row],[TradedValue2]]-Table2[[#This Row],[TradedValue1]]</f>
        <v>-243.39</v>
      </c>
      <c r="AG108" s="1">
        <f>Table2[[#This Row],[TradedValue3]]-Table2[[#This Row],[TradedValue2]]</f>
        <v>-234.00000000000006</v>
      </c>
      <c r="AH108" s="1">
        <f>Table2[[#This Row],[TradedValue4]]-Table2[[#This Row],[TradedValue3]]</f>
        <v>-35.769999999999982</v>
      </c>
      <c r="AI108" s="1">
        <f>Table2[[#This Row],[TradedValue5]]-Table2[[#This Row],[TradedValue4]]</f>
        <v>114.58999999999997</v>
      </c>
      <c r="AJ108" s="49" t="str">
        <f>IF(Table2[[#This Row],[TradedValue2]]&gt;Table2[[#This Row],[TradedValue1]],"Y","N")</f>
        <v>N</v>
      </c>
      <c r="AK108" s="49" t="str">
        <f>IF(Table2[[#This Row],[TradedValue3]]&gt;Table2[[#This Row],[TradedValue2]],"Y","N")</f>
        <v>N</v>
      </c>
      <c r="AL108" s="49" t="str">
        <f>IF(Table2[[#This Row],[TradedValue5]]&gt;Table2[[#This Row],[TradedValue3]],"Y","N")</f>
        <v>Y</v>
      </c>
      <c r="AM108" s="49" t="str">
        <f>IF(Table2[[#This Row],[TradedValue5]]&gt;Table2[[#This Row],[TradedValue4]],"Y","N")</f>
        <v>Y</v>
      </c>
      <c r="AN108" s="1">
        <f t="shared" si="108"/>
        <v>-1.0699999999999998</v>
      </c>
      <c r="AO108" s="1">
        <f t="shared" si="109"/>
        <v>-1.02</v>
      </c>
      <c r="AP108" s="1">
        <f t="shared" si="110"/>
        <v>-0.15999999999999992</v>
      </c>
      <c r="AQ108" s="1">
        <f t="shared" si="111"/>
        <v>0.48</v>
      </c>
      <c r="AR108" s="1">
        <f>VLOOKUP(A108,symbol_2[[symbol]:[DelPer1]],5,)</f>
        <v>37.369999999999997</v>
      </c>
      <c r="AS108" s="1">
        <f>VLOOKUP(A108,symbol_2[[symbol]:[DelPer2]],9,)</f>
        <v>33.33</v>
      </c>
      <c r="AT108" s="1">
        <f>VLOOKUP(A108,symbol_2[[symbol]:[DelPer3]],13,)</f>
        <v>41.17</v>
      </c>
      <c r="AU108" s="1">
        <f>VLOOKUP(A108,symbol_2[[symbol]:[DelPer4]],17,)</f>
        <v>24.99</v>
      </c>
      <c r="AV108" s="1">
        <f>VLOOKUP(A108,symbol_2[[symbol]:[DelPer5]],21,)</f>
        <v>22.5</v>
      </c>
      <c r="AW108" s="49" t="str">
        <f t="shared" si="112"/>
        <v>N</v>
      </c>
      <c r="AX108" s="49" t="str">
        <f t="shared" si="113"/>
        <v>Y</v>
      </c>
      <c r="AY108" s="49" t="str">
        <f t="shared" si="114"/>
        <v>N</v>
      </c>
      <c r="AZ108" s="49" t="str">
        <f t="shared" si="115"/>
        <v>N</v>
      </c>
      <c r="BA108" s="1">
        <f t="shared" si="116"/>
        <v>-4.0399999999999991</v>
      </c>
      <c r="BB108" s="1">
        <f t="shared" si="117"/>
        <v>7.8400000000000034</v>
      </c>
      <c r="BC108" s="1">
        <f t="shared" si="118"/>
        <v>-16.180000000000003</v>
      </c>
      <c r="BD108" s="1">
        <f t="shared" si="119"/>
        <v>-2.4899999999999984</v>
      </c>
    </row>
    <row r="109" spans="1:56" hidden="1" x14ac:dyDescent="0.35">
      <c r="A109" s="1" t="s">
        <v>179</v>
      </c>
      <c r="B109" s="1" t="s">
        <v>1009</v>
      </c>
      <c r="C109" s="1" t="s">
        <v>52</v>
      </c>
      <c r="D109" s="1" t="s">
        <v>199</v>
      </c>
      <c r="E109" s="1">
        <f>VLOOKUP(A109,symbol_2[[symbol]:[Price1]],2,)</f>
        <v>422.25</v>
      </c>
      <c r="F109" s="1">
        <f>VLOOKUP(A109,symbol_2[[symbol]:[Price2]],6,)</f>
        <v>411.75</v>
      </c>
      <c r="G109" s="1">
        <f>VLOOKUP(A109,symbol_2[[symbol]:[Price3]],10,)</f>
        <v>414.25</v>
      </c>
      <c r="H109" s="1">
        <f>VLOOKUP(A109,symbol_2[[symbol]:[Price4]],14,)</f>
        <v>415.1</v>
      </c>
      <c r="I109" s="1">
        <f>VLOOKUP(A109,symbol_2[[symbol]:[Price5]],18,)</f>
        <v>421.45</v>
      </c>
      <c r="J109" s="49" t="str">
        <f t="shared" si="96"/>
        <v>N</v>
      </c>
      <c r="K109" s="49" t="str">
        <f t="shared" si="97"/>
        <v>Y</v>
      </c>
      <c r="L109" s="49" t="str">
        <f t="shared" si="98"/>
        <v>Y</v>
      </c>
      <c r="M109" s="49" t="str">
        <f t="shared" si="99"/>
        <v>Y</v>
      </c>
      <c r="N109" s="52">
        <f t="shared" si="100"/>
        <v>-2.4866785079928952</v>
      </c>
      <c r="O109" s="52">
        <f t="shared" si="101"/>
        <v>0.60716454159077105</v>
      </c>
      <c r="P109" s="52">
        <f t="shared" si="102"/>
        <v>0.20519010259505677</v>
      </c>
      <c r="Q109" s="52">
        <f t="shared" si="103"/>
        <v>1.529751867019987</v>
      </c>
      <c r="R109" s="1">
        <f>VLOOKUP(A109,symbol_2[[symbol]:[TV1]],3,)</f>
        <v>0.66</v>
      </c>
      <c r="S109" s="1">
        <f>VLOOKUP(A109,symbol_2[[symbol]:[TV2]],7,)</f>
        <v>1.78</v>
      </c>
      <c r="T109" s="1">
        <f>VLOOKUP(A109,symbol_2[[symbol]:[TV3]],11,)</f>
        <v>1.1299999999999999</v>
      </c>
      <c r="U109" s="1">
        <f>VLOOKUP(A109,symbol_2[[symbol]:[TV4]],15,)</f>
        <v>0.84</v>
      </c>
      <c r="V109" s="1">
        <f>VLOOKUP(A109,symbol_2[[symbol]:[TV5]],19,)</f>
        <v>0.6</v>
      </c>
      <c r="W109" s="1" t="str">
        <f t="shared" si="104"/>
        <v>Y</v>
      </c>
      <c r="X109" s="1" t="str">
        <f t="shared" si="105"/>
        <v>N</v>
      </c>
      <c r="Y109" s="1" t="str">
        <f t="shared" si="106"/>
        <v>N</v>
      </c>
      <c r="Z109" s="1" t="str">
        <f t="shared" si="107"/>
        <v>N</v>
      </c>
      <c r="AA109" s="1">
        <f>VLOOKUP(A109,symbol_2[[symbol]:[TradedValue1]],4,)</f>
        <v>277.54000000000002</v>
      </c>
      <c r="AB109" s="1">
        <f>VLOOKUP(A109,symbol_2[[symbol]:[TradedValue2]],8,)</f>
        <v>751.53</v>
      </c>
      <c r="AC109" s="1">
        <f>VLOOKUP(A109,symbol_2[[symbol]:[TradedValue3]],12,)</f>
        <v>463.69</v>
      </c>
      <c r="AD109" s="1">
        <f>VLOOKUP(A109,symbol_2[[symbol]:[TradedValue4]],16,)</f>
        <v>352.45</v>
      </c>
      <c r="AE109" s="1">
        <f>VLOOKUP(A109,symbol_2[[symbol]:[TradedValue5]],20,)</f>
        <v>252.66</v>
      </c>
      <c r="AF109" s="1">
        <f>Table2[[#This Row],[TradedValue2]]-Table2[[#This Row],[TradedValue1]]</f>
        <v>473.98999999999995</v>
      </c>
      <c r="AG109" s="1">
        <f>Table2[[#This Row],[TradedValue3]]-Table2[[#This Row],[TradedValue2]]</f>
        <v>-287.83999999999997</v>
      </c>
      <c r="AH109" s="1">
        <f>Table2[[#This Row],[TradedValue4]]-Table2[[#This Row],[TradedValue3]]</f>
        <v>-111.24000000000001</v>
      </c>
      <c r="AI109" s="1">
        <f>Table2[[#This Row],[TradedValue5]]-Table2[[#This Row],[TradedValue4]]</f>
        <v>-99.789999999999992</v>
      </c>
      <c r="AJ109" s="49" t="str">
        <f>IF(Table2[[#This Row],[TradedValue2]]&gt;Table2[[#This Row],[TradedValue1]],"Y","N")</f>
        <v>Y</v>
      </c>
      <c r="AK109" s="49" t="str">
        <f>IF(Table2[[#This Row],[TradedValue3]]&gt;Table2[[#This Row],[TradedValue2]],"Y","N")</f>
        <v>N</v>
      </c>
      <c r="AL109" s="49" t="str">
        <f>IF(Table2[[#This Row],[TradedValue5]]&gt;Table2[[#This Row],[TradedValue3]],"Y","N")</f>
        <v>N</v>
      </c>
      <c r="AM109" s="49" t="str">
        <f>IF(Table2[[#This Row],[TradedValue5]]&gt;Table2[[#This Row],[TradedValue4]],"Y","N")</f>
        <v>N</v>
      </c>
      <c r="AN109" s="1">
        <f t="shared" si="108"/>
        <v>1.1200000000000001</v>
      </c>
      <c r="AO109" s="1">
        <f t="shared" si="109"/>
        <v>-0.65000000000000013</v>
      </c>
      <c r="AP109" s="1">
        <f t="shared" si="110"/>
        <v>-0.28999999999999992</v>
      </c>
      <c r="AQ109" s="1">
        <f t="shared" si="111"/>
        <v>-0.24</v>
      </c>
      <c r="AR109" s="1">
        <f>VLOOKUP(A109,symbol_2[[symbol]:[DelPer1]],5,)</f>
        <v>15.03</v>
      </c>
      <c r="AS109" s="1">
        <f>VLOOKUP(A109,symbol_2[[symbol]:[DelPer2]],9,)</f>
        <v>12.57</v>
      </c>
      <c r="AT109" s="1">
        <f>VLOOKUP(A109,symbol_2[[symbol]:[DelPer3]],13,)</f>
        <v>10.77</v>
      </c>
      <c r="AU109" s="1">
        <f>VLOOKUP(A109,symbol_2[[symbol]:[DelPer4]],17,)</f>
        <v>11.98</v>
      </c>
      <c r="AV109" s="1">
        <f>VLOOKUP(A109,symbol_2[[symbol]:[DelPer5]],21,)</f>
        <v>11.39</v>
      </c>
      <c r="AW109" s="49" t="str">
        <f t="shared" si="112"/>
        <v>N</v>
      </c>
      <c r="AX109" s="49" t="str">
        <f t="shared" si="113"/>
        <v>N</v>
      </c>
      <c r="AY109" s="49" t="str">
        <f t="shared" si="114"/>
        <v>Y</v>
      </c>
      <c r="AZ109" s="49" t="str">
        <f t="shared" si="115"/>
        <v>N</v>
      </c>
      <c r="BA109" s="1">
        <f t="shared" si="116"/>
        <v>-2.4599999999999991</v>
      </c>
      <c r="BB109" s="1">
        <f t="shared" si="117"/>
        <v>-1.8000000000000007</v>
      </c>
      <c r="BC109" s="1">
        <f t="shared" si="118"/>
        <v>1.2100000000000009</v>
      </c>
      <c r="BD109" s="1">
        <f t="shared" si="119"/>
        <v>-0.58999999999999986</v>
      </c>
    </row>
    <row r="110" spans="1:56" hidden="1" x14ac:dyDescent="0.35">
      <c r="A110" s="1" t="s">
        <v>144</v>
      </c>
      <c r="B110" s="1" t="s">
        <v>1014</v>
      </c>
      <c r="C110" s="1" t="s">
        <v>52</v>
      </c>
      <c r="D110" s="1" t="s">
        <v>199</v>
      </c>
      <c r="E110" s="1">
        <f>VLOOKUP(A110,symbol_2[[symbol]:[Price1]],2,)</f>
        <v>54761.3</v>
      </c>
      <c r="F110" s="1">
        <f>VLOOKUP(A110,symbol_2[[symbol]:[Price2]],6,)</f>
        <v>54772.1</v>
      </c>
      <c r="G110" s="1">
        <f>VLOOKUP(A110,symbol_2[[symbol]:[Price3]],10,)</f>
        <v>55123.85</v>
      </c>
      <c r="H110" s="1">
        <f>VLOOKUP(A110,symbol_2[[symbol]:[Price4]],14,)</f>
        <v>54818.3</v>
      </c>
      <c r="I110" s="1">
        <f>VLOOKUP(A110,symbol_2[[symbol]:[Price5]],18,)</f>
        <v>57009.3</v>
      </c>
      <c r="J110" s="49" t="str">
        <f t="shared" si="96"/>
        <v>Y</v>
      </c>
      <c r="K110" s="49" t="str">
        <f t="shared" si="97"/>
        <v>Y</v>
      </c>
      <c r="L110" s="49" t="str">
        <f t="shared" si="98"/>
        <v>N</v>
      </c>
      <c r="M110" s="49" t="str">
        <f t="shared" si="99"/>
        <v>Y</v>
      </c>
      <c r="N110" s="52">
        <f t="shared" si="100"/>
        <v>1.9721956929429421E-2</v>
      </c>
      <c r="O110" s="52">
        <f t="shared" si="101"/>
        <v>0.64220652485480745</v>
      </c>
      <c r="P110" s="52">
        <f t="shared" si="102"/>
        <v>-0.55429727785703586</v>
      </c>
      <c r="Q110" s="52">
        <f t="shared" si="103"/>
        <v>3.99684047115653</v>
      </c>
      <c r="R110" s="1">
        <f>VLOOKUP(A110,symbol_2[[symbol]:[TV1]],3,)</f>
        <v>0.01</v>
      </c>
      <c r="S110" s="1">
        <f>VLOOKUP(A110,symbol_2[[symbol]:[TV2]],7,)</f>
        <v>0.01</v>
      </c>
      <c r="T110" s="1">
        <f>VLOOKUP(A110,symbol_2[[symbol]:[TV3]],11,)</f>
        <v>0</v>
      </c>
      <c r="U110" s="1">
        <f>VLOOKUP(A110,symbol_2[[symbol]:[TV4]],15,)</f>
        <v>0.01</v>
      </c>
      <c r="V110" s="1">
        <f>VLOOKUP(A110,symbol_2[[symbol]:[TV5]],19,)</f>
        <v>0.01</v>
      </c>
      <c r="W110" s="1" t="str">
        <f t="shared" si="104"/>
        <v>N</v>
      </c>
      <c r="X110" s="1" t="str">
        <f t="shared" si="105"/>
        <v>N</v>
      </c>
      <c r="Y110" s="1" t="str">
        <f t="shared" si="106"/>
        <v>Y</v>
      </c>
      <c r="Z110" s="1" t="str">
        <f t="shared" si="107"/>
        <v>N</v>
      </c>
      <c r="AA110" s="1">
        <f>VLOOKUP(A110,symbol_2[[symbol]:[TradedValue1]],4,)</f>
        <v>502.34</v>
      </c>
      <c r="AB110" s="1">
        <f>VLOOKUP(A110,symbol_2[[symbol]:[TradedValue2]],8,)</f>
        <v>306.67</v>
      </c>
      <c r="AC110" s="1">
        <f>VLOOKUP(A110,symbol_2[[symbol]:[TradedValue3]],12,)</f>
        <v>254.17</v>
      </c>
      <c r="AD110" s="1">
        <f>VLOOKUP(A110,symbol_2[[symbol]:[TradedValue4]],16,)</f>
        <v>523.99</v>
      </c>
      <c r="AE110" s="1">
        <f>VLOOKUP(A110,symbol_2[[symbol]:[TradedValue5]],20,)</f>
        <v>472.38</v>
      </c>
      <c r="AF110" s="1">
        <f>Table2[[#This Row],[TradedValue2]]-Table2[[#This Row],[TradedValue1]]</f>
        <v>-195.66999999999996</v>
      </c>
      <c r="AG110" s="1">
        <f>Table2[[#This Row],[TradedValue3]]-Table2[[#This Row],[TradedValue2]]</f>
        <v>-52.500000000000028</v>
      </c>
      <c r="AH110" s="1">
        <f>Table2[[#This Row],[TradedValue4]]-Table2[[#This Row],[TradedValue3]]</f>
        <v>269.82000000000005</v>
      </c>
      <c r="AI110" s="1">
        <f>Table2[[#This Row],[TradedValue5]]-Table2[[#This Row],[TradedValue4]]</f>
        <v>-51.610000000000014</v>
      </c>
      <c r="AJ110" s="49" t="str">
        <f>IF(Table2[[#This Row],[TradedValue2]]&gt;Table2[[#This Row],[TradedValue1]],"Y","N")</f>
        <v>N</v>
      </c>
      <c r="AK110" s="49" t="str">
        <f>IF(Table2[[#This Row],[TradedValue3]]&gt;Table2[[#This Row],[TradedValue2]],"Y","N")</f>
        <v>N</v>
      </c>
      <c r="AL110" s="49" t="str">
        <f>IF(Table2[[#This Row],[TradedValue5]]&gt;Table2[[#This Row],[TradedValue3]],"Y","N")</f>
        <v>Y</v>
      </c>
      <c r="AM110" s="49" t="str">
        <f>IF(Table2[[#This Row],[TradedValue5]]&gt;Table2[[#This Row],[TradedValue4]],"Y","N")</f>
        <v>N</v>
      </c>
      <c r="AN110" s="1">
        <f t="shared" si="108"/>
        <v>0</v>
      </c>
      <c r="AO110" s="1">
        <f t="shared" si="109"/>
        <v>-0.01</v>
      </c>
      <c r="AP110" s="1">
        <f t="shared" si="110"/>
        <v>0.01</v>
      </c>
      <c r="AQ110" s="1">
        <f t="shared" si="111"/>
        <v>0</v>
      </c>
      <c r="AR110" s="1">
        <f>VLOOKUP(A110,symbol_2[[symbol]:[DelPer1]],5,)</f>
        <v>47.94</v>
      </c>
      <c r="AS110" s="1">
        <f>VLOOKUP(A110,symbol_2[[symbol]:[DelPer2]],9,)</f>
        <v>47.13</v>
      </c>
      <c r="AT110" s="1">
        <f>VLOOKUP(A110,symbol_2[[symbol]:[DelPer3]],13,)</f>
        <v>55.87</v>
      </c>
      <c r="AU110" s="1">
        <f>VLOOKUP(A110,symbol_2[[symbol]:[DelPer4]],17,)</f>
        <v>40.26</v>
      </c>
      <c r="AV110" s="1">
        <f>VLOOKUP(A110,symbol_2[[symbol]:[DelPer5]],21,)</f>
        <v>32.700000000000003</v>
      </c>
      <c r="AW110" s="49" t="str">
        <f t="shared" si="112"/>
        <v>N</v>
      </c>
      <c r="AX110" s="49" t="str">
        <f t="shared" si="113"/>
        <v>Y</v>
      </c>
      <c r="AY110" s="49" t="str">
        <f t="shared" si="114"/>
        <v>N</v>
      </c>
      <c r="AZ110" s="49" t="str">
        <f t="shared" si="115"/>
        <v>N</v>
      </c>
      <c r="BA110" s="1">
        <f t="shared" si="116"/>
        <v>-0.80999999999999517</v>
      </c>
      <c r="BB110" s="1">
        <f t="shared" si="117"/>
        <v>8.7399999999999949</v>
      </c>
      <c r="BC110" s="1">
        <f t="shared" si="118"/>
        <v>-15.61</v>
      </c>
      <c r="BD110" s="1">
        <f t="shared" si="119"/>
        <v>-7.5599999999999952</v>
      </c>
    </row>
    <row r="111" spans="1:56" hidden="1" x14ac:dyDescent="0.35">
      <c r="A111" s="115" t="s">
        <v>189</v>
      </c>
      <c r="B111" s="1" t="s">
        <v>1009</v>
      </c>
      <c r="C111" s="1" t="s">
        <v>52</v>
      </c>
      <c r="D111" s="1" t="s">
        <v>199</v>
      </c>
      <c r="E111" s="1">
        <f>VLOOKUP(A111,symbol_2[[symbol]:[Price1]],2,)</f>
        <v>1654.4</v>
      </c>
      <c r="F111" s="1">
        <f>VLOOKUP(A111,symbol_2[[symbol]:[Price2]],6,)</f>
        <v>1601.5</v>
      </c>
      <c r="G111" s="1">
        <f>VLOOKUP(A111,symbol_2[[symbol]:[Price3]],10,)</f>
        <v>1559.5</v>
      </c>
      <c r="H111" s="1">
        <f>VLOOKUP(A111,symbol_2[[symbol]:[Price4]],14,)</f>
        <v>1552.2</v>
      </c>
      <c r="I111" s="1">
        <f>VLOOKUP(A111,symbol_2[[symbol]:[Price5]],18,)</f>
        <v>1528.45</v>
      </c>
      <c r="J111" s="109" t="str">
        <f t="shared" si="96"/>
        <v>N</v>
      </c>
      <c r="K111" s="109" t="str">
        <f t="shared" si="97"/>
        <v>N</v>
      </c>
      <c r="L111" s="109" t="str">
        <f t="shared" si="98"/>
        <v>N</v>
      </c>
      <c r="M111" s="109" t="str">
        <f t="shared" si="99"/>
        <v>N</v>
      </c>
      <c r="N111" s="110">
        <f t="shared" si="100"/>
        <v>-3.197533849129599</v>
      </c>
      <c r="O111" s="110">
        <f t="shared" si="101"/>
        <v>-2.6225413674679987</v>
      </c>
      <c r="P111" s="110">
        <f t="shared" si="102"/>
        <v>-0.46809874959922759</v>
      </c>
      <c r="Q111" s="110">
        <f t="shared" si="103"/>
        <v>-1.530086329081304</v>
      </c>
      <c r="R111" s="1">
        <f>VLOOKUP(A111,symbol_2[[symbol]:[TV1]],3,)</f>
        <v>0.12</v>
      </c>
      <c r="S111" s="1">
        <f>VLOOKUP(A111,symbol_2[[symbol]:[TV2]],7,)</f>
        <v>1.68</v>
      </c>
      <c r="T111" s="1">
        <f>VLOOKUP(A111,symbol_2[[symbol]:[TV3]],11,)</f>
        <v>0.41</v>
      </c>
      <c r="U111" s="1">
        <f>VLOOKUP(A111,symbol_2[[symbol]:[TV4]],15,)</f>
        <v>0.3</v>
      </c>
      <c r="V111" s="1">
        <f>VLOOKUP(A111,symbol_2[[symbol]:[TV5]],19,)</f>
        <v>0.33</v>
      </c>
      <c r="W111" s="1" t="str">
        <f t="shared" si="104"/>
        <v>Y</v>
      </c>
      <c r="X111" s="1" t="str">
        <f t="shared" si="105"/>
        <v>N</v>
      </c>
      <c r="Y111" s="1" t="str">
        <f t="shared" si="106"/>
        <v>N</v>
      </c>
      <c r="Z111" s="1" t="str">
        <f t="shared" si="107"/>
        <v>Y</v>
      </c>
      <c r="AA111" s="1">
        <f>VLOOKUP(A111,symbol_2[[symbol]:[TradedValue1]],4,)</f>
        <v>198.02</v>
      </c>
      <c r="AB111" s="1">
        <f>VLOOKUP(A111,symbol_2[[symbol]:[TradedValue2]],8,)</f>
        <v>2643.67</v>
      </c>
      <c r="AC111" s="1">
        <f>VLOOKUP(A111,symbol_2[[symbol]:[TradedValue3]],12,)</f>
        <v>635.67999999999995</v>
      </c>
      <c r="AD111" s="1">
        <f>VLOOKUP(A111,symbol_2[[symbol]:[TradedValue4]],16,)</f>
        <v>461.84</v>
      </c>
      <c r="AE111" s="1">
        <f>VLOOKUP(A111,symbol_2[[symbol]:[TradedValue5]],20,)</f>
        <v>499.59</v>
      </c>
      <c r="AF111" s="1">
        <f>Table2[[#This Row],[TradedValue2]]-Table2[[#This Row],[TradedValue1]]</f>
        <v>2445.65</v>
      </c>
      <c r="AG111" s="1">
        <f>Table2[[#This Row],[TradedValue3]]-Table2[[#This Row],[TradedValue2]]</f>
        <v>-2007.9900000000002</v>
      </c>
      <c r="AH111" s="1">
        <f>Table2[[#This Row],[TradedValue4]]-Table2[[#This Row],[TradedValue3]]</f>
        <v>-173.83999999999997</v>
      </c>
      <c r="AI111" s="1">
        <f>Table2[[#This Row],[TradedValue5]]-Table2[[#This Row],[TradedValue4]]</f>
        <v>37.75</v>
      </c>
      <c r="AJ111" s="109" t="str">
        <f>IF(Table2[[#This Row],[TradedValue2]]&gt;Table2[[#This Row],[TradedValue1]],"Y","N")</f>
        <v>Y</v>
      </c>
      <c r="AK111" s="109" t="str">
        <f>IF(Table2[[#This Row],[TradedValue3]]&gt;Table2[[#This Row],[TradedValue2]],"Y","N")</f>
        <v>N</v>
      </c>
      <c r="AL111" s="109" t="str">
        <f>IF(Table2[[#This Row],[TradedValue5]]&gt;Table2[[#This Row],[TradedValue3]],"Y","N")</f>
        <v>N</v>
      </c>
      <c r="AM111" s="109" t="str">
        <f>IF(Table2[[#This Row],[TradedValue5]]&gt;Table2[[#This Row],[TradedValue4]],"Y","N")</f>
        <v>Y</v>
      </c>
      <c r="AN111" s="1">
        <f t="shared" si="108"/>
        <v>1.56</v>
      </c>
      <c r="AO111" s="1">
        <f t="shared" si="109"/>
        <v>-1.27</v>
      </c>
      <c r="AP111" s="1">
        <f t="shared" si="110"/>
        <v>-0.10999999999999999</v>
      </c>
      <c r="AQ111" s="1">
        <f t="shared" si="111"/>
        <v>3.0000000000000027E-2</v>
      </c>
      <c r="AR111" s="1">
        <f>VLOOKUP(A111,symbol_2[[symbol]:[DelPer1]],5,)</f>
        <v>36.21</v>
      </c>
      <c r="AS111" s="1">
        <f>VLOOKUP(A111,symbol_2[[symbol]:[DelPer2]],9,)</f>
        <v>30.81</v>
      </c>
      <c r="AT111" s="1">
        <f>VLOOKUP(A111,symbol_2[[symbol]:[DelPer3]],13,)</f>
        <v>32.619999999999997</v>
      </c>
      <c r="AU111" s="1">
        <f>VLOOKUP(A111,symbol_2[[symbol]:[DelPer4]],17,)</f>
        <v>51.26</v>
      </c>
      <c r="AV111" s="1">
        <f>VLOOKUP(A111,symbol_2[[symbol]:[DelPer5]],21,)</f>
        <v>49.08</v>
      </c>
      <c r="AW111" s="109" t="str">
        <f t="shared" si="112"/>
        <v>N</v>
      </c>
      <c r="AX111" s="109" t="str">
        <f t="shared" si="113"/>
        <v>Y</v>
      </c>
      <c r="AY111" s="109" t="str">
        <f t="shared" si="114"/>
        <v>Y</v>
      </c>
      <c r="AZ111" s="109" t="str">
        <f t="shared" si="115"/>
        <v>N</v>
      </c>
      <c r="BA111" s="1">
        <f t="shared" si="116"/>
        <v>-5.4000000000000021</v>
      </c>
      <c r="BB111" s="1">
        <f t="shared" si="117"/>
        <v>1.8099999999999987</v>
      </c>
      <c r="BC111" s="1">
        <f t="shared" si="118"/>
        <v>18.64</v>
      </c>
      <c r="BD111" s="1">
        <f t="shared" si="119"/>
        <v>-2.1799999999999997</v>
      </c>
    </row>
    <row r="112" spans="1:56" hidden="1" x14ac:dyDescent="0.35">
      <c r="A112" s="116" t="s">
        <v>136</v>
      </c>
      <c r="B112" s="1" t="s">
        <v>1006</v>
      </c>
      <c r="C112" s="1" t="s">
        <v>52</v>
      </c>
      <c r="D112" s="1" t="s">
        <v>199</v>
      </c>
      <c r="E112" s="1">
        <f>VLOOKUP(A112,symbol_2[[symbol]:[Price1]],2,)</f>
        <v>125.45</v>
      </c>
      <c r="F112" s="1">
        <f>VLOOKUP(A112,symbol_2[[symbol]:[Price2]],6,)</f>
        <v>126</v>
      </c>
      <c r="G112" s="1">
        <f>VLOOKUP(A112,symbol_2[[symbol]:[Price3]],10,)</f>
        <v>127.5</v>
      </c>
      <c r="H112" s="1">
        <f>VLOOKUP(A112,symbol_2[[symbol]:[Price4]],14,)</f>
        <v>127.9</v>
      </c>
      <c r="I112" s="1">
        <f>VLOOKUP(A112,symbol_2[[symbol]:[Price5]],18,)</f>
        <v>138.19999999999999</v>
      </c>
      <c r="J112" s="49" t="str">
        <f t="shared" si="96"/>
        <v>Y</v>
      </c>
      <c r="K112" s="49" t="str">
        <f t="shared" si="97"/>
        <v>Y</v>
      </c>
      <c r="L112" s="49" t="str">
        <f t="shared" si="98"/>
        <v>Y</v>
      </c>
      <c r="M112" s="49" t="str">
        <f t="shared" si="99"/>
        <v>Y</v>
      </c>
      <c r="N112" s="52">
        <f t="shared" si="100"/>
        <v>0.43842168194499576</v>
      </c>
      <c r="O112" s="52">
        <f t="shared" si="101"/>
        <v>1.1904761904761905</v>
      </c>
      <c r="P112" s="52">
        <f t="shared" si="102"/>
        <v>0.31372549019608287</v>
      </c>
      <c r="Q112" s="52">
        <f t="shared" si="103"/>
        <v>8.0531665363565157</v>
      </c>
      <c r="R112" s="1">
        <f>VLOOKUP(A112,symbol_2[[symbol]:[TV1]],3,)</f>
        <v>3.38</v>
      </c>
      <c r="S112" s="1">
        <f>VLOOKUP(A112,symbol_2[[symbol]:[TV2]],7,)</f>
        <v>4.66</v>
      </c>
      <c r="T112" s="1">
        <f>VLOOKUP(A112,symbol_2[[symbol]:[TV3]],11,)</f>
        <v>3.65</v>
      </c>
      <c r="U112" s="1">
        <f>VLOOKUP(A112,symbol_2[[symbol]:[TV4]],15,)</f>
        <v>3.94</v>
      </c>
      <c r="V112" s="1">
        <f>VLOOKUP(A112,symbol_2[[symbol]:[TV5]],19,)</f>
        <v>9.42</v>
      </c>
      <c r="W112" s="1" t="str">
        <f t="shared" si="104"/>
        <v>Y</v>
      </c>
      <c r="X112" s="1" t="str">
        <f t="shared" si="105"/>
        <v>N</v>
      </c>
      <c r="Y112" s="1" t="str">
        <f t="shared" si="106"/>
        <v>Y</v>
      </c>
      <c r="Z112" s="1" t="str">
        <f t="shared" si="107"/>
        <v>Y</v>
      </c>
      <c r="AA112" s="1">
        <f>VLOOKUP(A112,symbol_2[[symbol]:[TradedValue1]],4,)</f>
        <v>423.75</v>
      </c>
      <c r="AB112" s="1">
        <f>VLOOKUP(A112,symbol_2[[symbol]:[TradedValue2]],8,)</f>
        <v>588.26</v>
      </c>
      <c r="AC112" s="1">
        <f>VLOOKUP(A112,symbol_2[[symbol]:[TradedValue3]],12,)</f>
        <v>464.18</v>
      </c>
      <c r="AD112" s="1">
        <f>VLOOKUP(A112,symbol_2[[symbol]:[TradedValue4]],16,)</f>
        <v>512.08000000000004</v>
      </c>
      <c r="AE112" s="1">
        <f>VLOOKUP(A112,symbol_2[[symbol]:[TradedValue5]],20,)</f>
        <v>1270.22</v>
      </c>
      <c r="AF112" s="1">
        <f>Table2[[#This Row],[TradedValue2]]-Table2[[#This Row],[TradedValue1]]</f>
        <v>164.51</v>
      </c>
      <c r="AG112" s="1">
        <f>Table2[[#This Row],[TradedValue3]]-Table2[[#This Row],[TradedValue2]]</f>
        <v>-124.07999999999998</v>
      </c>
      <c r="AH112" s="1">
        <f>Table2[[#This Row],[TradedValue4]]-Table2[[#This Row],[TradedValue3]]</f>
        <v>47.900000000000034</v>
      </c>
      <c r="AI112" s="1">
        <f>Table2[[#This Row],[TradedValue5]]-Table2[[#This Row],[TradedValue4]]</f>
        <v>758.14</v>
      </c>
      <c r="AJ112" s="49" t="str">
        <f>IF(Table2[[#This Row],[TradedValue2]]&gt;Table2[[#This Row],[TradedValue1]],"Y","N")</f>
        <v>Y</v>
      </c>
      <c r="AK112" s="49" t="str">
        <f>IF(Table2[[#This Row],[TradedValue3]]&gt;Table2[[#This Row],[TradedValue2]],"Y","N")</f>
        <v>N</v>
      </c>
      <c r="AL112" s="49" t="str">
        <f>IF(Table2[[#This Row],[TradedValue5]]&gt;Table2[[#This Row],[TradedValue3]],"Y","N")</f>
        <v>Y</v>
      </c>
      <c r="AM112" s="49" t="str">
        <f>IF(Table2[[#This Row],[TradedValue5]]&gt;Table2[[#This Row],[TradedValue4]],"Y","N")</f>
        <v>Y</v>
      </c>
      <c r="AN112" s="1">
        <f t="shared" si="108"/>
        <v>1.2800000000000002</v>
      </c>
      <c r="AO112" s="1">
        <f t="shared" si="109"/>
        <v>-1.0100000000000002</v>
      </c>
      <c r="AP112" s="1">
        <f t="shared" si="110"/>
        <v>0.29000000000000004</v>
      </c>
      <c r="AQ112" s="1">
        <f t="shared" si="111"/>
        <v>5.48</v>
      </c>
      <c r="AR112" s="1">
        <f>VLOOKUP(A112,symbol_2[[symbol]:[DelPer1]],5,)</f>
        <v>38.4</v>
      </c>
      <c r="AS112" s="1">
        <f>VLOOKUP(A112,symbol_2[[symbol]:[DelPer2]],9,)</f>
        <v>33.479999999999997</v>
      </c>
      <c r="AT112" s="1">
        <f>VLOOKUP(A112,symbol_2[[symbol]:[DelPer3]],13,)</f>
        <v>29.1</v>
      </c>
      <c r="AU112" s="1">
        <f>VLOOKUP(A112,symbol_2[[symbol]:[DelPer4]],17,)</f>
        <v>31.83</v>
      </c>
      <c r="AV112" s="1">
        <f>VLOOKUP(A112,symbol_2[[symbol]:[DelPer5]],21,)</f>
        <v>31.67</v>
      </c>
      <c r="AW112" s="49" t="str">
        <f t="shared" si="112"/>
        <v>N</v>
      </c>
      <c r="AX112" s="49" t="str">
        <f t="shared" si="113"/>
        <v>N</v>
      </c>
      <c r="AY112" s="49" t="str">
        <f t="shared" si="114"/>
        <v>Y</v>
      </c>
      <c r="AZ112" s="49" t="str">
        <f t="shared" si="115"/>
        <v>N</v>
      </c>
      <c r="BA112" s="1">
        <f t="shared" si="116"/>
        <v>-4.9200000000000017</v>
      </c>
      <c r="BB112" s="1">
        <f t="shared" si="117"/>
        <v>-4.3799999999999955</v>
      </c>
      <c r="BC112" s="1">
        <f t="shared" si="118"/>
        <v>2.7299999999999969</v>
      </c>
      <c r="BD112" s="1">
        <f t="shared" si="119"/>
        <v>-0.15999999999999659</v>
      </c>
    </row>
    <row r="113" spans="1:56" x14ac:dyDescent="0.35">
      <c r="A113" s="116" t="s">
        <v>146</v>
      </c>
      <c r="B113" s="1" t="s">
        <v>1006</v>
      </c>
      <c r="C113" s="1" t="s">
        <v>52</v>
      </c>
      <c r="D113" s="1" t="s">
        <v>199</v>
      </c>
      <c r="E113" s="1">
        <f>VLOOKUP(A113,symbol_2[[symbol]:[Price1]],2,)</f>
        <v>618.04999999999995</v>
      </c>
      <c r="F113" s="1">
        <f>VLOOKUP(A113,symbol_2[[symbol]:[Price2]],6,)</f>
        <v>619.54999999999995</v>
      </c>
      <c r="G113" s="1">
        <f>VLOOKUP(A113,symbol_2[[symbol]:[Price3]],10,)</f>
        <v>618.70000000000005</v>
      </c>
      <c r="H113" s="1">
        <f>VLOOKUP(A113,symbol_2[[symbol]:[Price4]],14,)</f>
        <v>620.29999999999995</v>
      </c>
      <c r="I113" s="1">
        <f>VLOOKUP(A113,symbol_2[[symbol]:[Price5]],18,)</f>
        <v>641.75</v>
      </c>
      <c r="J113" s="49" t="str">
        <f t="shared" si="96"/>
        <v>Y</v>
      </c>
      <c r="K113" s="49" t="str">
        <f t="shared" si="97"/>
        <v>N</v>
      </c>
      <c r="L113" s="49" t="str">
        <f t="shared" si="98"/>
        <v>Y</v>
      </c>
      <c r="M113" s="49" t="str">
        <f t="shared" si="99"/>
        <v>Y</v>
      </c>
      <c r="N113" s="52">
        <f t="shared" si="100"/>
        <v>0.2426988107758272</v>
      </c>
      <c r="O113" s="52">
        <f t="shared" si="101"/>
        <v>-0.13719635219109177</v>
      </c>
      <c r="P113" s="52">
        <f t="shared" si="102"/>
        <v>0.25860675610148842</v>
      </c>
      <c r="Q113" s="52">
        <f t="shared" si="103"/>
        <v>3.45800419152024</v>
      </c>
      <c r="R113" s="1">
        <f>VLOOKUP(A113,symbol_2[[symbol]:[TV1]],3,)</f>
        <v>1.71</v>
      </c>
      <c r="S113" s="1">
        <f>VLOOKUP(A113,symbol_2[[symbol]:[TV2]],7,)</f>
        <v>2.5099999999999998</v>
      </c>
      <c r="T113" s="1">
        <f>VLOOKUP(A113,symbol_2[[symbol]:[TV3]],11,)</f>
        <v>0.72</v>
      </c>
      <c r="U113" s="1">
        <f>VLOOKUP(A113,symbol_2[[symbol]:[TV4]],15,)</f>
        <v>1.28</v>
      </c>
      <c r="V113" s="1">
        <f>VLOOKUP(A113,symbol_2[[symbol]:[TV5]],19,)</f>
        <v>1.45</v>
      </c>
      <c r="W113" s="1" t="str">
        <f t="shared" si="104"/>
        <v>Y</v>
      </c>
      <c r="X113" s="1" t="str">
        <f t="shared" si="105"/>
        <v>N</v>
      </c>
      <c r="Y113" s="1" t="str">
        <f t="shared" si="106"/>
        <v>Y</v>
      </c>
      <c r="Z113" s="1" t="str">
        <f t="shared" si="107"/>
        <v>Y</v>
      </c>
      <c r="AA113" s="1">
        <f>VLOOKUP(A113,symbol_2[[symbol]:[TradedValue1]],4,)</f>
        <v>1053.78</v>
      </c>
      <c r="AB113" s="1">
        <f>VLOOKUP(A113,symbol_2[[symbol]:[TradedValue2]],8,)</f>
        <v>1560.32</v>
      </c>
      <c r="AC113" s="1">
        <f>VLOOKUP(A113,symbol_2[[symbol]:[TradedValue3]],12,)</f>
        <v>445.85</v>
      </c>
      <c r="AD113" s="1">
        <f>VLOOKUP(A113,symbol_2[[symbol]:[TradedValue4]],16,)</f>
        <v>810.07</v>
      </c>
      <c r="AE113" s="1">
        <f>VLOOKUP(A113,symbol_2[[symbol]:[TradedValue5]],20,)</f>
        <v>915.38</v>
      </c>
      <c r="AF113" s="1">
        <f>Table2[[#This Row],[TradedValue2]]-Table2[[#This Row],[TradedValue1]]</f>
        <v>506.53999999999996</v>
      </c>
      <c r="AG113" s="1">
        <f>Table2[[#This Row],[TradedValue3]]-Table2[[#This Row],[TradedValue2]]</f>
        <v>-1114.4699999999998</v>
      </c>
      <c r="AH113" s="1">
        <f>Table2[[#This Row],[TradedValue4]]-Table2[[#This Row],[TradedValue3]]</f>
        <v>364.22</v>
      </c>
      <c r="AI113" s="1">
        <f>Table2[[#This Row],[TradedValue5]]-Table2[[#This Row],[TradedValue4]]</f>
        <v>105.30999999999995</v>
      </c>
      <c r="AJ113" s="49" t="str">
        <f>IF(Table2[[#This Row],[TradedValue2]]&gt;Table2[[#This Row],[TradedValue1]],"Y","N")</f>
        <v>Y</v>
      </c>
      <c r="AK113" s="49" t="str">
        <f>IF(Table2[[#This Row],[TradedValue3]]&gt;Table2[[#This Row],[TradedValue2]],"Y","N")</f>
        <v>N</v>
      </c>
      <c r="AL113" s="49" t="str">
        <f>IF(Table2[[#This Row],[TradedValue5]]&gt;Table2[[#This Row],[TradedValue3]],"Y","N")</f>
        <v>Y</v>
      </c>
      <c r="AM113" s="49" t="str">
        <f>IF(Table2[[#This Row],[TradedValue5]]&gt;Table2[[#This Row],[TradedValue4]],"Y","N")</f>
        <v>Y</v>
      </c>
      <c r="AN113" s="1">
        <f t="shared" si="108"/>
        <v>0.79999999999999982</v>
      </c>
      <c r="AO113" s="1">
        <f t="shared" si="109"/>
        <v>-1.7899999999999998</v>
      </c>
      <c r="AP113" s="1">
        <f t="shared" si="110"/>
        <v>0.56000000000000005</v>
      </c>
      <c r="AQ113" s="1">
        <f t="shared" si="111"/>
        <v>0.16999999999999993</v>
      </c>
      <c r="AR113" s="1">
        <f>VLOOKUP(A113,symbol_2[[symbol]:[DelPer1]],5,)</f>
        <v>37.479999999999997</v>
      </c>
      <c r="AS113" s="1">
        <f>VLOOKUP(A113,symbol_2[[symbol]:[DelPer2]],9,)</f>
        <v>47.23</v>
      </c>
      <c r="AT113" s="1">
        <f>VLOOKUP(A113,symbol_2[[symbol]:[DelPer3]],13,)</f>
        <v>33.25</v>
      </c>
      <c r="AU113" s="1">
        <f>VLOOKUP(A113,symbol_2[[symbol]:[DelPer4]],17,)</f>
        <v>33.520000000000003</v>
      </c>
      <c r="AV113" s="1">
        <f>VLOOKUP(A113,symbol_2[[symbol]:[DelPer5]],21,)</f>
        <v>34.42</v>
      </c>
      <c r="AW113" s="49" t="str">
        <f t="shared" si="112"/>
        <v>Y</v>
      </c>
      <c r="AX113" s="49" t="str">
        <f t="shared" si="113"/>
        <v>N</v>
      </c>
      <c r="AY113" s="49" t="str">
        <f t="shared" si="114"/>
        <v>Y</v>
      </c>
      <c r="AZ113" s="49" t="str">
        <f t="shared" si="115"/>
        <v>Y</v>
      </c>
      <c r="BA113" s="1">
        <f t="shared" si="116"/>
        <v>9.75</v>
      </c>
      <c r="BB113" s="1">
        <f t="shared" si="117"/>
        <v>-13.979999999999997</v>
      </c>
      <c r="BC113" s="1">
        <f t="shared" si="118"/>
        <v>0.27000000000000313</v>
      </c>
      <c r="BD113" s="1">
        <f t="shared" si="119"/>
        <v>0.89999999999999858</v>
      </c>
    </row>
    <row r="114" spans="1:56" hidden="1" x14ac:dyDescent="0.35">
      <c r="A114" s="1" t="s">
        <v>102</v>
      </c>
      <c r="B114" s="1" t="s">
        <v>1009</v>
      </c>
      <c r="C114" s="1" t="s">
        <v>52</v>
      </c>
      <c r="D114" s="1" t="s">
        <v>199</v>
      </c>
      <c r="E114" s="1">
        <f>VLOOKUP(A114,symbol_2[[symbol]:[Price1]],2,)</f>
        <v>576.70000000000005</v>
      </c>
      <c r="F114" s="1">
        <f>VLOOKUP(A114,symbol_2[[symbol]:[Price2]],6,)</f>
        <v>575.45000000000005</v>
      </c>
      <c r="G114" s="1">
        <f>VLOOKUP(A114,symbol_2[[symbol]:[Price3]],10,)</f>
        <v>570.04999999999995</v>
      </c>
      <c r="H114" s="1">
        <f>VLOOKUP(A114,symbol_2[[symbol]:[Price4]],14,)</f>
        <v>562.35</v>
      </c>
      <c r="I114" s="1">
        <f>VLOOKUP(A114,symbol_2[[symbol]:[Price5]],18,)</f>
        <v>559</v>
      </c>
      <c r="J114" s="49" t="str">
        <f t="shared" si="96"/>
        <v>N</v>
      </c>
      <c r="K114" s="49" t="str">
        <f t="shared" si="97"/>
        <v>N</v>
      </c>
      <c r="L114" s="49" t="str">
        <f t="shared" si="98"/>
        <v>N</v>
      </c>
      <c r="M114" s="49" t="str">
        <f t="shared" si="99"/>
        <v>N</v>
      </c>
      <c r="N114" s="52">
        <f t="shared" si="100"/>
        <v>-0.21675047685104906</v>
      </c>
      <c r="O114" s="52">
        <f t="shared" si="101"/>
        <v>-0.9383960378834113</v>
      </c>
      <c r="P114" s="52">
        <f t="shared" si="102"/>
        <v>-1.3507587053767094</v>
      </c>
      <c r="Q114" s="52">
        <f t="shared" si="103"/>
        <v>-0.5957144127322882</v>
      </c>
      <c r="R114" s="1">
        <f>VLOOKUP(A114,symbol_2[[symbol]:[TV1]],3,)</f>
        <v>0.38</v>
      </c>
      <c r="S114" s="1">
        <f>VLOOKUP(A114,symbol_2[[symbol]:[TV2]],7,)</f>
        <v>0.52</v>
      </c>
      <c r="T114" s="1">
        <f>VLOOKUP(A114,symbol_2[[symbol]:[TV3]],11,)</f>
        <v>0.47</v>
      </c>
      <c r="U114" s="1">
        <f>VLOOKUP(A114,symbol_2[[symbol]:[TV4]],15,)</f>
        <v>0.78</v>
      </c>
      <c r="V114" s="1">
        <f>VLOOKUP(A114,symbol_2[[symbol]:[TV5]],19,)</f>
        <v>0.71</v>
      </c>
      <c r="W114" s="1" t="str">
        <f t="shared" si="104"/>
        <v>Y</v>
      </c>
      <c r="X114" s="1" t="str">
        <f t="shared" si="105"/>
        <v>N</v>
      </c>
      <c r="Y114" s="1" t="str">
        <f t="shared" si="106"/>
        <v>Y</v>
      </c>
      <c r="Z114" s="1" t="str">
        <f t="shared" si="107"/>
        <v>N</v>
      </c>
      <c r="AA114" s="1">
        <f>VLOOKUP(A116,symbol_2[[symbol]:[TradedValue1]],4,)</f>
        <v>877.1</v>
      </c>
      <c r="AB114" s="1">
        <f>VLOOKUP(A114,symbol_2[[symbol]:[TradedValue2]],8,)</f>
        <v>296.44</v>
      </c>
      <c r="AC114" s="1">
        <f>VLOOKUP(A114,symbol_2[[symbol]:[TradedValue3]],12,)</f>
        <v>267.52</v>
      </c>
      <c r="AD114" s="1">
        <f>VLOOKUP(A114,symbol_2[[symbol]:[TradedValue4]],16,)</f>
        <v>447.28</v>
      </c>
      <c r="AE114" s="1">
        <f>VLOOKUP(A114,symbol_2[[symbol]:[TradedValue5]],20,)</f>
        <v>395.35</v>
      </c>
      <c r="AF114" s="1">
        <f>Table2[[#This Row],[TradedValue2]]-Table2[[#This Row],[TradedValue1]]</f>
        <v>-580.66000000000008</v>
      </c>
      <c r="AG114" s="1">
        <f>Table2[[#This Row],[TradedValue3]]-Table2[[#This Row],[TradedValue2]]</f>
        <v>-28.920000000000016</v>
      </c>
      <c r="AH114" s="1">
        <f>Table2[[#This Row],[TradedValue4]]-Table2[[#This Row],[TradedValue3]]</f>
        <v>179.76</v>
      </c>
      <c r="AI114" s="1">
        <f>Table2[[#This Row],[TradedValue5]]-Table2[[#This Row],[TradedValue4]]</f>
        <v>-51.92999999999995</v>
      </c>
      <c r="AJ114" s="49" t="str">
        <f>IF(Table2[[#This Row],[TradedValue2]]&gt;Table2[[#This Row],[TradedValue1]],"Y","N")</f>
        <v>N</v>
      </c>
      <c r="AK114" s="49" t="str">
        <f>IF(Table2[[#This Row],[TradedValue3]]&gt;Table2[[#This Row],[TradedValue2]],"Y","N")</f>
        <v>N</v>
      </c>
      <c r="AL114" s="49" t="str">
        <f>IF(Table2[[#This Row],[TradedValue5]]&gt;Table2[[#This Row],[TradedValue3]],"Y","N")</f>
        <v>Y</v>
      </c>
      <c r="AM114" s="49" t="str">
        <f>IF(Table2[[#This Row],[TradedValue5]]&gt;Table2[[#This Row],[TradedValue4]],"Y","N")</f>
        <v>N</v>
      </c>
      <c r="AN114" s="1">
        <f t="shared" si="108"/>
        <v>0.14000000000000001</v>
      </c>
      <c r="AO114" s="1">
        <f t="shared" si="109"/>
        <v>-5.0000000000000044E-2</v>
      </c>
      <c r="AP114" s="1">
        <f t="shared" si="110"/>
        <v>0.31000000000000005</v>
      </c>
      <c r="AQ114" s="1">
        <f t="shared" si="111"/>
        <v>-7.0000000000000062E-2</v>
      </c>
      <c r="AR114" s="1">
        <f>VLOOKUP(A114,symbol_2[[symbol]:[DelPer1]],5,)</f>
        <v>32.119999999999997</v>
      </c>
      <c r="AS114" s="1">
        <f>VLOOKUP(A114,symbol_2[[symbol]:[DelPer2]],9,)</f>
        <v>27.43</v>
      </c>
      <c r="AT114" s="1">
        <f>VLOOKUP(A114,symbol_2[[symbol]:[DelPer3]],13,)</f>
        <v>56.39</v>
      </c>
      <c r="AU114" s="1">
        <f>VLOOKUP(A114,symbol_2[[symbol]:[DelPer4]],17,)</f>
        <v>63.91</v>
      </c>
      <c r="AV114" s="1">
        <f>VLOOKUP(A114,symbol_2[[symbol]:[DelPer5]],21,)</f>
        <v>51.04</v>
      </c>
      <c r="AW114" s="49" t="str">
        <f t="shared" si="112"/>
        <v>N</v>
      </c>
      <c r="AX114" s="49" t="str">
        <f t="shared" si="113"/>
        <v>Y</v>
      </c>
      <c r="AY114" s="49" t="str">
        <f t="shared" si="114"/>
        <v>Y</v>
      </c>
      <c r="AZ114" s="49" t="str">
        <f t="shared" si="115"/>
        <v>N</v>
      </c>
      <c r="BA114" s="1">
        <f t="shared" si="116"/>
        <v>-4.6899999999999977</v>
      </c>
      <c r="BB114" s="1">
        <f t="shared" si="117"/>
        <v>28.96</v>
      </c>
      <c r="BC114" s="1">
        <f t="shared" si="118"/>
        <v>7.519999999999996</v>
      </c>
      <c r="BD114" s="1">
        <f t="shared" si="119"/>
        <v>-12.869999999999997</v>
      </c>
    </row>
    <row r="115" spans="1:56" hidden="1" x14ac:dyDescent="0.35">
      <c r="A115" s="115" t="s">
        <v>89</v>
      </c>
      <c r="B115" s="1" t="s">
        <v>1023</v>
      </c>
      <c r="C115" s="1" t="s">
        <v>52</v>
      </c>
      <c r="D115" s="1" t="s">
        <v>199</v>
      </c>
      <c r="E115" s="1">
        <f>VLOOKUP(A115,symbol_2[[symbol]:[Price1]],2,)</f>
        <v>496.85</v>
      </c>
      <c r="F115" s="1">
        <f>VLOOKUP(A115,symbol_2[[symbol]:[Price2]],6,)</f>
        <v>482.85</v>
      </c>
      <c r="G115" s="1">
        <f>VLOOKUP(A115,symbol_2[[symbol]:[Price3]],10,)</f>
        <v>484.75</v>
      </c>
      <c r="H115" s="1">
        <f>VLOOKUP(A115,symbol_2[[symbol]:[Price4]],14,)</f>
        <v>492.1</v>
      </c>
      <c r="I115" s="1">
        <f>VLOOKUP(A115,symbol_2[[symbol]:[Price5]],18,)</f>
        <v>505.55</v>
      </c>
      <c r="J115" s="109" t="str">
        <f t="shared" si="96"/>
        <v>N</v>
      </c>
      <c r="K115" s="109" t="str">
        <f t="shared" si="97"/>
        <v>Y</v>
      </c>
      <c r="L115" s="109" t="str">
        <f t="shared" si="98"/>
        <v>Y</v>
      </c>
      <c r="M115" s="109" t="str">
        <f t="shared" si="99"/>
        <v>Y</v>
      </c>
      <c r="N115" s="110">
        <f t="shared" si="100"/>
        <v>-2.8177518365703933</v>
      </c>
      <c r="O115" s="110">
        <f t="shared" si="101"/>
        <v>0.39349694522107842</v>
      </c>
      <c r="P115" s="110">
        <f t="shared" si="102"/>
        <v>1.5162454873646256</v>
      </c>
      <c r="Q115" s="110">
        <f t="shared" si="103"/>
        <v>2.7331843121316779</v>
      </c>
      <c r="R115" s="1">
        <f>VLOOKUP(A115,symbol_2[[symbol]:[TV1]],3,)</f>
        <v>0.31</v>
      </c>
      <c r="S115" s="1">
        <f>VLOOKUP(A115,symbol_2[[symbol]:[TV2]],7,)</f>
        <v>0.71</v>
      </c>
      <c r="T115" s="1">
        <f>VLOOKUP(A115,symbol_2[[symbol]:[TV3]],11,)</f>
        <v>0.79</v>
      </c>
      <c r="U115" s="1">
        <f>VLOOKUP(A115,symbol_2[[symbol]:[TV4]],15,)</f>
        <v>2.12</v>
      </c>
      <c r="V115" s="1">
        <f>VLOOKUP(A115,symbol_2[[symbol]:[TV5]],19,)</f>
        <v>0.66</v>
      </c>
      <c r="W115" s="1" t="str">
        <f t="shared" si="104"/>
        <v>Y</v>
      </c>
      <c r="X115" s="1" t="str">
        <f t="shared" si="105"/>
        <v>Y</v>
      </c>
      <c r="Y115" s="1" t="str">
        <f t="shared" si="106"/>
        <v>Y</v>
      </c>
      <c r="Z115" s="1" t="str">
        <f t="shared" si="107"/>
        <v>N</v>
      </c>
      <c r="AA115" s="1">
        <f>VLOOKUP(A117,symbol_2[[symbol]:[TradedValue1]],4,)</f>
        <v>1573.08</v>
      </c>
      <c r="AB115" s="1">
        <f>VLOOKUP(A115,symbol_2[[symbol]:[TradedValue2]],8,)</f>
        <v>344.81</v>
      </c>
      <c r="AC115" s="1">
        <f>VLOOKUP(A115,symbol_2[[symbol]:[TradedValue3]],12,)</f>
        <v>379.82</v>
      </c>
      <c r="AD115" s="1">
        <f>VLOOKUP(A115,symbol_2[[symbol]:[TradedValue4]],16,)</f>
        <v>1042.6500000000001</v>
      </c>
      <c r="AE115" s="1">
        <f>VLOOKUP(A115,symbol_2[[symbol]:[TradedValue5]],20,)</f>
        <v>326.98</v>
      </c>
      <c r="AF115" s="1">
        <f>Table2[[#This Row],[TradedValue2]]-Table2[[#This Row],[TradedValue1]]</f>
        <v>-1228.27</v>
      </c>
      <c r="AG115" s="1">
        <f>Table2[[#This Row],[TradedValue3]]-Table2[[#This Row],[TradedValue2]]</f>
        <v>35.009999999999991</v>
      </c>
      <c r="AH115" s="1">
        <f>Table2[[#This Row],[TradedValue4]]-Table2[[#This Row],[TradedValue3]]</f>
        <v>662.83000000000015</v>
      </c>
      <c r="AI115" s="1">
        <f>Table2[[#This Row],[TradedValue5]]-Table2[[#This Row],[TradedValue4]]</f>
        <v>-715.67000000000007</v>
      </c>
      <c r="AJ115" s="109" t="str">
        <f>IF(Table2[[#This Row],[TradedValue2]]&gt;Table2[[#This Row],[TradedValue1]],"Y","N")</f>
        <v>N</v>
      </c>
      <c r="AK115" s="109" t="str">
        <f>IF(Table2[[#This Row],[TradedValue3]]&gt;Table2[[#This Row],[TradedValue2]],"Y","N")</f>
        <v>Y</v>
      </c>
      <c r="AL115" s="109" t="str">
        <f>IF(Table2[[#This Row],[TradedValue5]]&gt;Table2[[#This Row],[TradedValue3]],"Y","N")</f>
        <v>N</v>
      </c>
      <c r="AM115" s="109" t="str">
        <f>IF(Table2[[#This Row],[TradedValue5]]&gt;Table2[[#This Row],[TradedValue4]],"Y","N")</f>
        <v>N</v>
      </c>
      <c r="AN115" s="1">
        <f t="shared" si="108"/>
        <v>0.39999999999999997</v>
      </c>
      <c r="AO115" s="1">
        <f t="shared" si="109"/>
        <v>8.0000000000000071E-2</v>
      </c>
      <c r="AP115" s="1">
        <f t="shared" si="110"/>
        <v>1.33</v>
      </c>
      <c r="AQ115" s="1">
        <f t="shared" si="111"/>
        <v>-1.46</v>
      </c>
      <c r="AR115" s="1">
        <f>VLOOKUP(A115,symbol_2[[symbol]:[DelPer1]],5,)</f>
        <v>32.21</v>
      </c>
      <c r="AS115" s="1">
        <f>VLOOKUP(A115,symbol_2[[symbol]:[DelPer2]],9,)</f>
        <v>56.39</v>
      </c>
      <c r="AT115" s="1">
        <f>VLOOKUP(A115,symbol_2[[symbol]:[DelPer3]],13,)</f>
        <v>65.959999999999994</v>
      </c>
      <c r="AU115" s="1">
        <f>VLOOKUP(A115,symbol_2[[symbol]:[DelPer4]],17,)</f>
        <v>78.849999999999994</v>
      </c>
      <c r="AV115" s="1">
        <f>VLOOKUP(A115,symbol_2[[symbol]:[DelPer5]],21,)</f>
        <v>43.37</v>
      </c>
      <c r="AW115" s="109" t="str">
        <f t="shared" si="112"/>
        <v>Y</v>
      </c>
      <c r="AX115" s="109" t="str">
        <f t="shared" si="113"/>
        <v>Y</v>
      </c>
      <c r="AY115" s="109" t="str">
        <f t="shared" si="114"/>
        <v>Y</v>
      </c>
      <c r="AZ115" s="109" t="str">
        <f t="shared" si="115"/>
        <v>N</v>
      </c>
      <c r="BA115" s="1">
        <f t="shared" si="116"/>
        <v>24.18</v>
      </c>
      <c r="BB115" s="1">
        <f t="shared" si="117"/>
        <v>9.5699999999999932</v>
      </c>
      <c r="BC115" s="1">
        <f t="shared" si="118"/>
        <v>12.89</v>
      </c>
      <c r="BD115" s="1">
        <f t="shared" si="119"/>
        <v>-35.479999999999997</v>
      </c>
    </row>
    <row r="116" spans="1:56" hidden="1" x14ac:dyDescent="0.35">
      <c r="A116" s="116" t="s">
        <v>79</v>
      </c>
      <c r="B116" s="1" t="s">
        <v>1006</v>
      </c>
      <c r="C116" s="1" t="s">
        <v>52</v>
      </c>
      <c r="D116" s="1" t="s">
        <v>199</v>
      </c>
      <c r="E116" s="1">
        <f>VLOOKUP(A116,symbol_2[[symbol]:[Price1]],2,)</f>
        <v>355.1</v>
      </c>
      <c r="F116" s="1">
        <f>VLOOKUP(A116,symbol_2[[symbol]:[Price2]],6,)</f>
        <v>345.2</v>
      </c>
      <c r="G116" s="1">
        <f>VLOOKUP(A116,symbol_2[[symbol]:[Price3]],10,)</f>
        <v>343.05</v>
      </c>
      <c r="H116" s="1">
        <f>VLOOKUP(A116,symbol_2[[symbol]:[Price4]],14,)</f>
        <v>340.45</v>
      </c>
      <c r="I116" s="1">
        <f>VLOOKUP(A116,symbol_2[[symbol]:[Price5]],18,)</f>
        <v>357.7</v>
      </c>
      <c r="J116" s="49" t="str">
        <f t="shared" si="96"/>
        <v>N</v>
      </c>
      <c r="K116" s="49" t="str">
        <f t="shared" si="97"/>
        <v>N</v>
      </c>
      <c r="L116" s="49" t="str">
        <f t="shared" si="98"/>
        <v>N</v>
      </c>
      <c r="M116" s="49" t="str">
        <f t="shared" si="99"/>
        <v>Y</v>
      </c>
      <c r="N116" s="52">
        <f t="shared" si="100"/>
        <v>-2.7879470571670049</v>
      </c>
      <c r="O116" s="52">
        <f t="shared" si="101"/>
        <v>-0.62282734646581028</v>
      </c>
      <c r="P116" s="52">
        <f t="shared" si="102"/>
        <v>-0.75790701063985499</v>
      </c>
      <c r="Q116" s="52">
        <f t="shared" si="103"/>
        <v>5.0668233220737262</v>
      </c>
      <c r="R116" s="1">
        <f>VLOOKUP(A116,symbol_2[[symbol]:[TV1]],3,)</f>
        <v>2.5099999999999998</v>
      </c>
      <c r="S116" s="1">
        <f>VLOOKUP(A116,symbol_2[[symbol]:[TV2]],7,)</f>
        <v>0.85</v>
      </c>
      <c r="T116" s="1">
        <f>VLOOKUP(A116,symbol_2[[symbol]:[TV3]],11,)</f>
        <v>1.01</v>
      </c>
      <c r="U116" s="1">
        <f>VLOOKUP(A116,symbol_2[[symbol]:[TV4]],15,)</f>
        <v>1.1599999999999999</v>
      </c>
      <c r="V116" s="1">
        <f>VLOOKUP(A116,symbol_2[[symbol]:[TV5]],19,)</f>
        <v>1.33</v>
      </c>
      <c r="W116" s="1" t="str">
        <f t="shared" si="104"/>
        <v>N</v>
      </c>
      <c r="X116" s="1" t="str">
        <f t="shared" si="105"/>
        <v>Y</v>
      </c>
      <c r="Y116" s="1" t="str">
        <f t="shared" si="106"/>
        <v>Y</v>
      </c>
      <c r="Z116" s="1" t="str">
        <f t="shared" si="107"/>
        <v>Y</v>
      </c>
      <c r="AA116" s="1">
        <f>VLOOKUP(A116,symbol_2[[symbol]:[TradedValue1]],4,)</f>
        <v>877.1</v>
      </c>
      <c r="AB116" s="1">
        <f>VLOOKUP(A116,symbol_2[[symbol]:[TradedValue2]],8,)</f>
        <v>295.87</v>
      </c>
      <c r="AC116" s="1">
        <f>VLOOKUP(A116,symbol_2[[symbol]:[TradedValue3]],12,)</f>
        <v>345.34</v>
      </c>
      <c r="AD116" s="1">
        <f>VLOOKUP(A116,symbol_2[[symbol]:[TradedValue4]],16,)</f>
        <v>407.3</v>
      </c>
      <c r="AE116" s="1">
        <f>VLOOKUP(A116,symbol_2[[symbol]:[TradedValue5]],20,)</f>
        <v>470.21</v>
      </c>
      <c r="AF116" s="1">
        <f>Table2[[#This Row],[TradedValue2]]-Table2[[#This Row],[TradedValue1]]</f>
        <v>-581.23</v>
      </c>
      <c r="AG116" s="1">
        <f>Table2[[#This Row],[TradedValue3]]-Table2[[#This Row],[TradedValue2]]</f>
        <v>49.46999999999997</v>
      </c>
      <c r="AH116" s="1">
        <f>Table2[[#This Row],[TradedValue4]]-Table2[[#This Row],[TradedValue3]]</f>
        <v>61.960000000000036</v>
      </c>
      <c r="AI116" s="1">
        <f>Table2[[#This Row],[TradedValue5]]-Table2[[#This Row],[TradedValue4]]</f>
        <v>62.909999999999968</v>
      </c>
      <c r="AJ116" s="49" t="str">
        <f>IF(Table2[[#This Row],[TradedValue2]]&gt;Table2[[#This Row],[TradedValue1]],"Y","N")</f>
        <v>N</v>
      </c>
      <c r="AK116" s="49" t="str">
        <f>IF(Table2[[#This Row],[TradedValue3]]&gt;Table2[[#This Row],[TradedValue2]],"Y","N")</f>
        <v>Y</v>
      </c>
      <c r="AL116" s="49" t="str">
        <f>IF(Table2[[#This Row],[TradedValue5]]&gt;Table2[[#This Row],[TradedValue3]],"Y","N")</f>
        <v>Y</v>
      </c>
      <c r="AM116" s="49" t="str">
        <f>IF(Table2[[#This Row],[TradedValue5]]&gt;Table2[[#This Row],[TradedValue4]],"Y","N")</f>
        <v>Y</v>
      </c>
      <c r="AN116" s="1">
        <f t="shared" si="108"/>
        <v>-1.6599999999999997</v>
      </c>
      <c r="AO116" s="1">
        <f t="shared" si="109"/>
        <v>0.16000000000000003</v>
      </c>
      <c r="AP116" s="1">
        <f t="shared" si="110"/>
        <v>0.14999999999999991</v>
      </c>
      <c r="AQ116" s="1">
        <f t="shared" si="111"/>
        <v>0.17000000000000015</v>
      </c>
      <c r="AR116" s="1">
        <f>VLOOKUP(A116,symbol_2[[symbol]:[DelPer1]],5,)</f>
        <v>16.78</v>
      </c>
      <c r="AS116" s="1">
        <f>VLOOKUP(A116,symbol_2[[symbol]:[DelPer2]],9,)</f>
        <v>15.66</v>
      </c>
      <c r="AT116" s="1">
        <f>VLOOKUP(A116,symbol_2[[symbol]:[DelPer3]],13,)</f>
        <v>13.75</v>
      </c>
      <c r="AU116" s="1">
        <f>VLOOKUP(A116,symbol_2[[symbol]:[DelPer4]],17,)</f>
        <v>24.56</v>
      </c>
      <c r="AV116" s="1">
        <f>VLOOKUP(A116,symbol_2[[symbol]:[DelPer5]],21,)</f>
        <v>16.39</v>
      </c>
      <c r="AW116" s="49" t="str">
        <f t="shared" si="112"/>
        <v>N</v>
      </c>
      <c r="AX116" s="49" t="str">
        <f t="shared" si="113"/>
        <v>N</v>
      </c>
      <c r="AY116" s="49" t="str">
        <f t="shared" si="114"/>
        <v>Y</v>
      </c>
      <c r="AZ116" s="49" t="str">
        <f t="shared" si="115"/>
        <v>N</v>
      </c>
      <c r="BA116" s="1">
        <f t="shared" si="116"/>
        <v>-1.120000000000001</v>
      </c>
      <c r="BB116" s="1">
        <f t="shared" si="117"/>
        <v>-1.9100000000000001</v>
      </c>
      <c r="BC116" s="1">
        <f t="shared" si="118"/>
        <v>10.809999999999999</v>
      </c>
      <c r="BD116" s="1">
        <f t="shared" si="119"/>
        <v>-8.1699999999999982</v>
      </c>
    </row>
    <row r="117" spans="1:56" hidden="1" x14ac:dyDescent="0.35">
      <c r="A117" s="1" t="s">
        <v>91</v>
      </c>
      <c r="B117" s="1" t="s">
        <v>1017</v>
      </c>
      <c r="C117" s="1" t="s">
        <v>52</v>
      </c>
      <c r="D117" s="1" t="s">
        <v>199</v>
      </c>
      <c r="E117" s="1">
        <f>VLOOKUP(A117,symbol_2[[symbol]:[Price1]],2,)</f>
        <v>382.4</v>
      </c>
      <c r="F117" s="1">
        <f>VLOOKUP(A117,symbol_2[[symbol]:[Price2]],6,)</f>
        <v>382.95</v>
      </c>
      <c r="G117" s="1">
        <f>VLOOKUP(A117,symbol_2[[symbol]:[Price3]],10,)</f>
        <v>385.65</v>
      </c>
      <c r="H117" s="1">
        <f>VLOOKUP(A117,symbol_2[[symbol]:[Price4]],14,)</f>
        <v>385.45</v>
      </c>
      <c r="I117" s="1">
        <f>VLOOKUP(A117,symbol_2[[symbol]:[Price5]],18,)</f>
        <v>399.05</v>
      </c>
      <c r="J117" s="49" t="str">
        <f t="shared" si="96"/>
        <v>Y</v>
      </c>
      <c r="K117" s="49" t="str">
        <f t="shared" si="97"/>
        <v>Y</v>
      </c>
      <c r="L117" s="49" t="str">
        <f t="shared" si="98"/>
        <v>N</v>
      </c>
      <c r="M117" s="49" t="str">
        <f t="shared" si="99"/>
        <v>Y</v>
      </c>
      <c r="N117" s="52">
        <f t="shared" si="100"/>
        <v>0.14382845188284815</v>
      </c>
      <c r="O117" s="52">
        <f t="shared" si="101"/>
        <v>0.70505287896591951</v>
      </c>
      <c r="P117" s="52">
        <f t="shared" si="102"/>
        <v>-5.1860495267726868E-2</v>
      </c>
      <c r="Q117" s="52">
        <f t="shared" si="103"/>
        <v>3.5283434946166876</v>
      </c>
      <c r="R117" s="1">
        <f>VLOOKUP(A117,symbol_2[[symbol]:[TV1]],3,)</f>
        <v>4.1399999999999997</v>
      </c>
      <c r="S117" s="1">
        <f>VLOOKUP(A117,symbol_2[[symbol]:[TV2]],7,)</f>
        <v>2.95</v>
      </c>
      <c r="T117" s="1">
        <f>VLOOKUP(A117,symbol_2[[symbol]:[TV3]],11,)</f>
        <v>1.81</v>
      </c>
      <c r="U117" s="1">
        <f>VLOOKUP(A117,symbol_2[[symbol]:[TV4]],15,)</f>
        <v>2.48</v>
      </c>
      <c r="V117" s="1">
        <f>VLOOKUP(A117,symbol_2[[symbol]:[TV5]],19,)</f>
        <v>5.82</v>
      </c>
      <c r="W117" s="1" t="str">
        <f t="shared" si="104"/>
        <v>N</v>
      </c>
      <c r="X117" s="1" t="str">
        <f t="shared" si="105"/>
        <v>N</v>
      </c>
      <c r="Y117" s="1" t="str">
        <f t="shared" si="106"/>
        <v>Y</v>
      </c>
      <c r="Z117" s="1" t="str">
        <f t="shared" si="107"/>
        <v>Y</v>
      </c>
      <c r="AA117" s="1">
        <f>VLOOKUP(A117,symbol_2[[symbol]:[TradedValue1]],4,)</f>
        <v>1573.08</v>
      </c>
      <c r="AB117" s="1">
        <f>VLOOKUP(A117,symbol_2[[symbol]:[TradedValue2]],8,)</f>
        <v>1134.8599999999999</v>
      </c>
      <c r="AC117" s="1">
        <f>VLOOKUP(A117,symbol_2[[symbol]:[TradedValue3]],12,)</f>
        <v>696.41</v>
      </c>
      <c r="AD117" s="1">
        <f>VLOOKUP(A117,symbol_2[[symbol]:[TradedValue4]],16,)</f>
        <v>963.31</v>
      </c>
      <c r="AE117" s="1">
        <f>VLOOKUP(A117,symbol_2[[symbol]:[TradedValue5]],20,)</f>
        <v>2317.38</v>
      </c>
      <c r="AF117" s="1">
        <f>Table2[[#This Row],[TradedValue2]]-Table2[[#This Row],[TradedValue1]]</f>
        <v>-438.22</v>
      </c>
      <c r="AG117" s="1">
        <f>Table2[[#This Row],[TradedValue3]]-Table2[[#This Row],[TradedValue2]]</f>
        <v>-438.44999999999993</v>
      </c>
      <c r="AH117" s="1">
        <f>Table2[[#This Row],[TradedValue4]]-Table2[[#This Row],[TradedValue3]]</f>
        <v>266.89999999999998</v>
      </c>
      <c r="AI117" s="1">
        <f>Table2[[#This Row],[TradedValue5]]-Table2[[#This Row],[TradedValue4]]</f>
        <v>1354.0700000000002</v>
      </c>
      <c r="AJ117" s="49" t="str">
        <f>IF(Table2[[#This Row],[TradedValue2]]&gt;Table2[[#This Row],[TradedValue1]],"Y","N")</f>
        <v>N</v>
      </c>
      <c r="AK117" s="49" t="str">
        <f>IF(Table2[[#This Row],[TradedValue3]]&gt;Table2[[#This Row],[TradedValue2]],"Y","N")</f>
        <v>N</v>
      </c>
      <c r="AL117" s="49" t="str">
        <f>IF(Table2[[#This Row],[TradedValue5]]&gt;Table2[[#This Row],[TradedValue3]],"Y","N")</f>
        <v>Y</v>
      </c>
      <c r="AM117" s="49" t="str">
        <f>IF(Table2[[#This Row],[TradedValue5]]&gt;Table2[[#This Row],[TradedValue4]],"Y","N")</f>
        <v>Y</v>
      </c>
      <c r="AN117" s="1">
        <f t="shared" si="108"/>
        <v>-1.1899999999999995</v>
      </c>
      <c r="AO117" s="1">
        <f t="shared" si="109"/>
        <v>-1.1400000000000001</v>
      </c>
      <c r="AP117" s="1">
        <f t="shared" si="110"/>
        <v>0.66999999999999993</v>
      </c>
      <c r="AQ117" s="1">
        <f t="shared" si="111"/>
        <v>3.3400000000000003</v>
      </c>
      <c r="AR117" s="1">
        <f>VLOOKUP(A117,symbol_2[[symbol]:[DelPer1]],5,)</f>
        <v>60.26</v>
      </c>
      <c r="AS117" s="1">
        <f>VLOOKUP(A117,symbol_2[[symbol]:[DelPer2]],9,)</f>
        <v>35.74</v>
      </c>
      <c r="AT117" s="1">
        <f>VLOOKUP(A117,symbol_2[[symbol]:[DelPer3]],13,)</f>
        <v>58.39</v>
      </c>
      <c r="AU117" s="1">
        <f>VLOOKUP(A117,symbol_2[[symbol]:[DelPer4]],17,)</f>
        <v>48.04</v>
      </c>
      <c r="AV117" s="1">
        <f>VLOOKUP(A117,symbol_2[[symbol]:[DelPer5]],21,)</f>
        <v>58.55</v>
      </c>
      <c r="AW117" s="49" t="str">
        <f t="shared" si="112"/>
        <v>N</v>
      </c>
      <c r="AX117" s="49" t="str">
        <f t="shared" si="113"/>
        <v>Y</v>
      </c>
      <c r="AY117" s="49" t="str">
        <f t="shared" si="114"/>
        <v>N</v>
      </c>
      <c r="AZ117" s="49" t="str">
        <f t="shared" si="115"/>
        <v>Y</v>
      </c>
      <c r="BA117" s="1">
        <f t="shared" si="116"/>
        <v>-24.519999999999996</v>
      </c>
      <c r="BB117" s="1">
        <f t="shared" si="117"/>
        <v>22.65</v>
      </c>
      <c r="BC117" s="1">
        <f t="shared" si="118"/>
        <v>-10.350000000000001</v>
      </c>
      <c r="BD117" s="1">
        <f t="shared" si="119"/>
        <v>10.509999999999998</v>
      </c>
    </row>
    <row r="118" spans="1:56" hidden="1" x14ac:dyDescent="0.35">
      <c r="A118" s="116" t="s">
        <v>62</v>
      </c>
      <c r="B118" s="1" t="s">
        <v>1014</v>
      </c>
      <c r="C118" s="1" t="s">
        <v>52</v>
      </c>
      <c r="D118" s="1" t="s">
        <v>199</v>
      </c>
      <c r="E118" s="1">
        <f>VLOOKUP(A118,symbol_2[[symbol]:[Price1]],2,)</f>
        <v>182.6</v>
      </c>
      <c r="F118" s="1">
        <f>VLOOKUP(A118,symbol_2[[symbol]:[Price2]],6,)</f>
        <v>181.9</v>
      </c>
      <c r="G118" s="1">
        <f>VLOOKUP(A118,symbol_2[[symbol]:[Price3]],10,)</f>
        <v>183.2</v>
      </c>
      <c r="H118" s="1">
        <f>VLOOKUP(A118,symbol_2[[symbol]:[Price4]],14,)</f>
        <v>183.6</v>
      </c>
      <c r="I118" s="1">
        <f>VLOOKUP(A118,symbol_2[[symbol]:[Price5]],18,)</f>
        <v>194.6</v>
      </c>
      <c r="J118" s="49" t="str">
        <f t="shared" si="96"/>
        <v>N</v>
      </c>
      <c r="K118" s="49" t="str">
        <f t="shared" si="97"/>
        <v>Y</v>
      </c>
      <c r="L118" s="49" t="str">
        <f t="shared" si="98"/>
        <v>Y</v>
      </c>
      <c r="M118" s="49" t="str">
        <f t="shared" si="99"/>
        <v>Y</v>
      </c>
      <c r="N118" s="52">
        <f t="shared" si="100"/>
        <v>-0.38335158817085907</v>
      </c>
      <c r="O118" s="52">
        <f t="shared" si="101"/>
        <v>0.71467839472236561</v>
      </c>
      <c r="P118" s="52">
        <f t="shared" si="102"/>
        <v>0.21834061135371491</v>
      </c>
      <c r="Q118" s="52">
        <f t="shared" si="103"/>
        <v>5.9912854030501093</v>
      </c>
      <c r="R118" s="1">
        <f>VLOOKUP(A118,symbol_2[[symbol]:[TV1]],3,)</f>
        <v>1.96</v>
      </c>
      <c r="S118" s="1">
        <f>VLOOKUP(A118,symbol_2[[symbol]:[TV2]],7,)</f>
        <v>1.81</v>
      </c>
      <c r="T118" s="1">
        <f>VLOOKUP(A118,symbol_2[[symbol]:[TV3]],11,)</f>
        <v>1.08</v>
      </c>
      <c r="U118" s="1">
        <f>VLOOKUP(A118,symbol_2[[symbol]:[TV4]],15,)</f>
        <v>2.52</v>
      </c>
      <c r="V118" s="1">
        <f>VLOOKUP(A118,symbol_2[[symbol]:[TV5]],19,)</f>
        <v>2.67</v>
      </c>
      <c r="W118" s="1" t="str">
        <f t="shared" si="104"/>
        <v>N</v>
      </c>
      <c r="X118" s="1" t="str">
        <f t="shared" si="105"/>
        <v>N</v>
      </c>
      <c r="Y118" s="1" t="str">
        <f t="shared" si="106"/>
        <v>Y</v>
      </c>
      <c r="Z118" s="1" t="str">
        <f t="shared" si="107"/>
        <v>Y</v>
      </c>
      <c r="AA118" s="1">
        <f>VLOOKUP(A120,symbol_2[[symbol]:[TradedValue1]],4,)</f>
        <v>490.54</v>
      </c>
      <c r="AB118" s="1">
        <f>VLOOKUP(A118,symbol_2[[symbol]:[TradedValue2]],8,)</f>
        <v>330.01</v>
      </c>
      <c r="AC118" s="1">
        <f>VLOOKUP(A118,symbol_2[[symbol]:[TradedValue3]],12,)</f>
        <v>196.14</v>
      </c>
      <c r="AD118" s="1">
        <f>VLOOKUP(A118,symbol_2[[symbol]:[TradedValue4]],16,)</f>
        <v>467.96</v>
      </c>
      <c r="AE118" s="1">
        <f>VLOOKUP(A118,symbol_2[[symbol]:[TradedValue5]],20,)</f>
        <v>509.4</v>
      </c>
      <c r="AF118" s="1">
        <f>Table2[[#This Row],[TradedValue2]]-Table2[[#This Row],[TradedValue1]]</f>
        <v>-160.53000000000003</v>
      </c>
      <c r="AG118" s="1">
        <f>Table2[[#This Row],[TradedValue3]]-Table2[[#This Row],[TradedValue2]]</f>
        <v>-133.87</v>
      </c>
      <c r="AH118" s="1">
        <f>Table2[[#This Row],[TradedValue4]]-Table2[[#This Row],[TradedValue3]]</f>
        <v>271.82</v>
      </c>
      <c r="AI118" s="1">
        <f>Table2[[#This Row],[TradedValue5]]-Table2[[#This Row],[TradedValue4]]</f>
        <v>41.44</v>
      </c>
      <c r="AJ118" s="49" t="str">
        <f>IF(Table2[[#This Row],[TradedValue2]]&gt;Table2[[#This Row],[TradedValue1]],"Y","N")</f>
        <v>N</v>
      </c>
      <c r="AK118" s="49" t="str">
        <f>IF(Table2[[#This Row],[TradedValue3]]&gt;Table2[[#This Row],[TradedValue2]],"Y","N")</f>
        <v>N</v>
      </c>
      <c r="AL118" s="49" t="str">
        <f>IF(Table2[[#This Row],[TradedValue5]]&gt;Table2[[#This Row],[TradedValue3]],"Y","N")</f>
        <v>Y</v>
      </c>
      <c r="AM118" s="49" t="str">
        <f>IF(Table2[[#This Row],[TradedValue5]]&gt;Table2[[#This Row],[TradedValue4]],"Y","N")</f>
        <v>Y</v>
      </c>
      <c r="AN118" s="1">
        <f t="shared" si="108"/>
        <v>-0.14999999999999991</v>
      </c>
      <c r="AO118" s="1">
        <f t="shared" si="109"/>
        <v>-0.73</v>
      </c>
      <c r="AP118" s="1">
        <f t="shared" si="110"/>
        <v>1.44</v>
      </c>
      <c r="AQ118" s="1">
        <f t="shared" si="111"/>
        <v>0.14999999999999991</v>
      </c>
      <c r="AR118" s="1">
        <f>VLOOKUP(A118,symbol_2[[symbol]:[DelPer1]],5,)</f>
        <v>30.34</v>
      </c>
      <c r="AS118" s="1">
        <f>VLOOKUP(A118,symbol_2[[symbol]:[DelPer2]],9,)</f>
        <v>34.659999999999997</v>
      </c>
      <c r="AT118" s="1">
        <f>VLOOKUP(A118,symbol_2[[symbol]:[DelPer3]],13,)</f>
        <v>16.91</v>
      </c>
      <c r="AU118" s="1">
        <f>VLOOKUP(A118,symbol_2[[symbol]:[DelPer4]],17,)</f>
        <v>34.6</v>
      </c>
      <c r="AV118" s="1">
        <f>VLOOKUP(A118,symbol_2[[symbol]:[DelPer5]],21,)</f>
        <v>27.62</v>
      </c>
      <c r="AW118" s="49" t="str">
        <f t="shared" si="112"/>
        <v>Y</v>
      </c>
      <c r="AX118" s="49" t="str">
        <f t="shared" si="113"/>
        <v>N</v>
      </c>
      <c r="AY118" s="49" t="str">
        <f t="shared" si="114"/>
        <v>Y</v>
      </c>
      <c r="AZ118" s="49" t="str">
        <f t="shared" si="115"/>
        <v>N</v>
      </c>
      <c r="BA118" s="1">
        <f t="shared" si="116"/>
        <v>4.3199999999999967</v>
      </c>
      <c r="BB118" s="1">
        <f t="shared" si="117"/>
        <v>-17.749999999999996</v>
      </c>
      <c r="BC118" s="1">
        <f t="shared" si="118"/>
        <v>17.690000000000001</v>
      </c>
      <c r="BD118" s="1">
        <f t="shared" si="119"/>
        <v>-6.98</v>
      </c>
    </row>
    <row r="119" spans="1:56" hidden="1" x14ac:dyDescent="0.35">
      <c r="A119" s="116" t="s">
        <v>83</v>
      </c>
      <c r="B119" s="1" t="s">
        <v>1015</v>
      </c>
      <c r="C119" s="1" t="s">
        <v>52</v>
      </c>
      <c r="D119" s="1" t="s">
        <v>199</v>
      </c>
      <c r="E119" s="1">
        <f>VLOOKUP(A119,symbol_2[[symbol]:[Price1]],2,)</f>
        <v>986.65</v>
      </c>
      <c r="F119" s="1">
        <f>VLOOKUP(A119,symbol_2[[symbol]:[Price2]],6,)</f>
        <v>969.65</v>
      </c>
      <c r="G119" s="1">
        <f>VLOOKUP(A119,symbol_2[[symbol]:[Price3]],10,)</f>
        <v>976.8</v>
      </c>
      <c r="H119" s="1">
        <f>VLOOKUP(A119,symbol_2[[symbol]:[Price4]],14,)</f>
        <v>991.5</v>
      </c>
      <c r="I119" s="1">
        <f>VLOOKUP(A119,symbol_2[[symbol]:[Price5]],18,)</f>
        <v>1030.75</v>
      </c>
      <c r="J119" s="49" t="str">
        <f t="shared" si="96"/>
        <v>N</v>
      </c>
      <c r="K119" s="49" t="str">
        <f t="shared" si="97"/>
        <v>Y</v>
      </c>
      <c r="L119" s="49" t="str">
        <f t="shared" si="98"/>
        <v>Y</v>
      </c>
      <c r="M119" s="49" t="str">
        <f t="shared" si="99"/>
        <v>Y</v>
      </c>
      <c r="N119" s="52">
        <f t="shared" si="100"/>
        <v>-1.7230020777377997</v>
      </c>
      <c r="O119" s="52">
        <f t="shared" si="101"/>
        <v>0.73737946681792166</v>
      </c>
      <c r="P119" s="52">
        <f t="shared" si="102"/>
        <v>1.5049140049140095</v>
      </c>
      <c r="Q119" s="52">
        <f t="shared" si="103"/>
        <v>3.9586485123550172</v>
      </c>
      <c r="R119" s="1">
        <f>VLOOKUP(A119,symbol_2[[symbol]:[TV1]],3,)</f>
        <v>0.96</v>
      </c>
      <c r="S119" s="1">
        <f>VLOOKUP(A119,symbol_2[[symbol]:[TV2]],7,)</f>
        <v>0.66</v>
      </c>
      <c r="T119" s="1">
        <f>VLOOKUP(A119,symbol_2[[symbol]:[TV3]],11,)</f>
        <v>0.35</v>
      </c>
      <c r="U119" s="1">
        <f>VLOOKUP(A119,symbol_2[[symbol]:[TV4]],15,)</f>
        <v>0.65</v>
      </c>
      <c r="V119" s="1">
        <f>VLOOKUP(A119,symbol_2[[symbol]:[TV5]],19,)</f>
        <v>0.72</v>
      </c>
      <c r="W119" s="1" t="str">
        <f t="shared" si="104"/>
        <v>N</v>
      </c>
      <c r="X119" s="1" t="str">
        <f t="shared" si="105"/>
        <v>N</v>
      </c>
      <c r="Y119" s="1" t="str">
        <f t="shared" si="106"/>
        <v>Y</v>
      </c>
      <c r="Z119" s="1" t="str">
        <f t="shared" si="107"/>
        <v>Y</v>
      </c>
      <c r="AA119" s="1">
        <f>VLOOKUP(A121,symbol_2[[symbol]:[TradedValue1]],4,)</f>
        <v>1771.06</v>
      </c>
      <c r="AB119" s="1">
        <f>VLOOKUP(A119,symbol_2[[symbol]:[TradedValue2]],8,)</f>
        <v>645.29999999999995</v>
      </c>
      <c r="AC119" s="1">
        <f>VLOOKUP(A119,symbol_2[[symbol]:[TradedValue3]],12,)</f>
        <v>344.86</v>
      </c>
      <c r="AD119" s="1">
        <f>VLOOKUP(A119,symbol_2[[symbol]:[TradedValue4]],16,)</f>
        <v>649.38</v>
      </c>
      <c r="AE119" s="1">
        <f>VLOOKUP(A119,symbol_2[[symbol]:[TradedValue5]],20,)</f>
        <v>732.61</v>
      </c>
      <c r="AF119" s="1">
        <f>Table2[[#This Row],[TradedValue2]]-Table2[[#This Row],[TradedValue1]]</f>
        <v>-1125.76</v>
      </c>
      <c r="AG119" s="1">
        <f>Table2[[#This Row],[TradedValue3]]-Table2[[#This Row],[TradedValue2]]</f>
        <v>-300.43999999999994</v>
      </c>
      <c r="AH119" s="1">
        <f>Table2[[#This Row],[TradedValue4]]-Table2[[#This Row],[TradedValue3]]</f>
        <v>304.52</v>
      </c>
      <c r="AI119" s="1">
        <f>Table2[[#This Row],[TradedValue5]]-Table2[[#This Row],[TradedValue4]]</f>
        <v>83.230000000000018</v>
      </c>
      <c r="AJ119" s="49" t="str">
        <f>IF(Table2[[#This Row],[TradedValue2]]&gt;Table2[[#This Row],[TradedValue1]],"Y","N")</f>
        <v>N</v>
      </c>
      <c r="AK119" s="49" t="str">
        <f>IF(Table2[[#This Row],[TradedValue3]]&gt;Table2[[#This Row],[TradedValue2]],"Y","N")</f>
        <v>N</v>
      </c>
      <c r="AL119" s="49" t="str">
        <f>IF(Table2[[#This Row],[TradedValue5]]&gt;Table2[[#This Row],[TradedValue3]],"Y","N")</f>
        <v>Y</v>
      </c>
      <c r="AM119" s="49" t="str">
        <f>IF(Table2[[#This Row],[TradedValue5]]&gt;Table2[[#This Row],[TradedValue4]],"Y","N")</f>
        <v>Y</v>
      </c>
      <c r="AN119" s="1">
        <f t="shared" si="108"/>
        <v>-0.29999999999999993</v>
      </c>
      <c r="AO119" s="1">
        <f t="shared" si="109"/>
        <v>-0.31000000000000005</v>
      </c>
      <c r="AP119" s="1">
        <f t="shared" si="110"/>
        <v>0.30000000000000004</v>
      </c>
      <c r="AQ119" s="1">
        <f t="shared" si="111"/>
        <v>6.9999999999999951E-2</v>
      </c>
      <c r="AR119" s="1">
        <f>VLOOKUP(A119,symbol_2[[symbol]:[DelPer1]],5,)</f>
        <v>16.2</v>
      </c>
      <c r="AS119" s="1">
        <f>VLOOKUP(A119,symbol_2[[symbol]:[DelPer2]],9,)</f>
        <v>18.88</v>
      </c>
      <c r="AT119" s="1">
        <f>VLOOKUP(A119,symbol_2[[symbol]:[DelPer3]],13,)</f>
        <v>19.18</v>
      </c>
      <c r="AU119" s="1">
        <f>VLOOKUP(A119,symbol_2[[symbol]:[DelPer4]],17,)</f>
        <v>26.51</v>
      </c>
      <c r="AV119" s="1">
        <f>VLOOKUP(A119,symbol_2[[symbol]:[DelPer5]],21,)</f>
        <v>16.920000000000002</v>
      </c>
      <c r="AW119" s="49" t="str">
        <f t="shared" si="112"/>
        <v>Y</v>
      </c>
      <c r="AX119" s="49" t="str">
        <f t="shared" si="113"/>
        <v>Y</v>
      </c>
      <c r="AY119" s="49" t="str">
        <f t="shared" si="114"/>
        <v>Y</v>
      </c>
      <c r="AZ119" s="49" t="str">
        <f t="shared" si="115"/>
        <v>N</v>
      </c>
      <c r="BA119" s="1">
        <f t="shared" si="116"/>
        <v>2.6799999999999997</v>
      </c>
      <c r="BB119" s="1">
        <f t="shared" si="117"/>
        <v>0.30000000000000071</v>
      </c>
      <c r="BC119" s="1">
        <f t="shared" si="118"/>
        <v>7.3300000000000018</v>
      </c>
      <c r="BD119" s="1">
        <f t="shared" si="119"/>
        <v>-9.59</v>
      </c>
    </row>
    <row r="120" spans="1:56" x14ac:dyDescent="0.35">
      <c r="A120" s="1" t="s">
        <v>112</v>
      </c>
      <c r="B120" s="1" t="s">
        <v>1006</v>
      </c>
      <c r="C120" s="1" t="s">
        <v>52</v>
      </c>
      <c r="D120" s="1" t="s">
        <v>199</v>
      </c>
      <c r="E120" s="1">
        <f>VLOOKUP(A120,symbol_2[[symbol]:[Price1]],2,)</f>
        <v>357.3</v>
      </c>
      <c r="F120" s="1">
        <f>VLOOKUP(A120,symbol_2[[symbol]:[Price2]],6,)</f>
        <v>346.8</v>
      </c>
      <c r="G120" s="1">
        <f>VLOOKUP(A120,symbol_2[[symbol]:[Price3]],10,)</f>
        <v>347</v>
      </c>
      <c r="H120" s="1">
        <f>VLOOKUP(A120,symbol_2[[symbol]:[Price4]],14,)</f>
        <v>356.4</v>
      </c>
      <c r="I120" s="1">
        <f>VLOOKUP(A120,symbol_2[[symbol]:[Price5]],18,)</f>
        <v>369.8</v>
      </c>
      <c r="J120" s="49" t="str">
        <f t="shared" si="96"/>
        <v>N</v>
      </c>
      <c r="K120" s="49" t="str">
        <f t="shared" si="97"/>
        <v>Y</v>
      </c>
      <c r="L120" s="49" t="str">
        <f t="shared" si="98"/>
        <v>Y</v>
      </c>
      <c r="M120" s="49" t="str">
        <f t="shared" si="99"/>
        <v>Y</v>
      </c>
      <c r="N120" s="52">
        <f t="shared" si="100"/>
        <v>-2.9387069689336691</v>
      </c>
      <c r="O120" s="52">
        <f t="shared" si="101"/>
        <v>5.7670126874275841E-2</v>
      </c>
      <c r="P120" s="52">
        <f t="shared" si="102"/>
        <v>2.7089337175792441</v>
      </c>
      <c r="Q120" s="52">
        <f t="shared" si="103"/>
        <v>3.7598204264871029</v>
      </c>
      <c r="R120" s="1">
        <f>VLOOKUP(A120,symbol_2[[symbol]:[TV1]],3,)</f>
        <v>1.39</v>
      </c>
      <c r="S120" s="1">
        <f>VLOOKUP(A120,symbol_2[[symbol]:[TV2]],7,)</f>
        <v>1.32</v>
      </c>
      <c r="T120" s="1">
        <f>VLOOKUP(A120,symbol_2[[symbol]:[TV3]],11,)</f>
        <v>1.98</v>
      </c>
      <c r="U120" s="1">
        <f>VLOOKUP(A120,symbol_2[[symbol]:[TV4]],15,)</f>
        <v>3.28</v>
      </c>
      <c r="V120" s="1">
        <f>VLOOKUP(A120,symbol_2[[symbol]:[TV5]],19,)</f>
        <v>5.31</v>
      </c>
      <c r="W120" s="1" t="str">
        <f t="shared" si="104"/>
        <v>N</v>
      </c>
      <c r="X120" s="1" t="str">
        <f t="shared" si="105"/>
        <v>Y</v>
      </c>
      <c r="Y120" s="1" t="str">
        <f t="shared" si="106"/>
        <v>Y</v>
      </c>
      <c r="Z120" s="1" t="str">
        <f t="shared" si="107"/>
        <v>Y</v>
      </c>
      <c r="AA120" s="1">
        <f>VLOOKUP(A120,symbol_2[[symbol]:[TradedValue1]],4,)</f>
        <v>490.54</v>
      </c>
      <c r="AB120" s="1">
        <f>VLOOKUP(A120,symbol_2[[symbol]:[TradedValue2]],8,)</f>
        <v>466.55</v>
      </c>
      <c r="AC120" s="1">
        <f>VLOOKUP(A120,symbol_2[[symbol]:[TradedValue3]],12,)</f>
        <v>689.34</v>
      </c>
      <c r="AD120" s="1">
        <f>VLOOKUP(A120,symbol_2[[symbol]:[TradedValue4]],16,)</f>
        <v>1176.3900000000001</v>
      </c>
      <c r="AE120" s="1">
        <f>VLOOKUP(A120,symbol_2[[symbol]:[TradedValue5]],20,)</f>
        <v>1937.07</v>
      </c>
      <c r="AF120" s="1">
        <f>Table2[[#This Row],[TradedValue2]]-Table2[[#This Row],[TradedValue1]]</f>
        <v>-23.990000000000009</v>
      </c>
      <c r="AG120" s="1">
        <f>Table2[[#This Row],[TradedValue3]]-Table2[[#This Row],[TradedValue2]]</f>
        <v>222.79000000000002</v>
      </c>
      <c r="AH120" s="1">
        <f>Table2[[#This Row],[TradedValue4]]-Table2[[#This Row],[TradedValue3]]</f>
        <v>487.05000000000007</v>
      </c>
      <c r="AI120" s="1">
        <f>Table2[[#This Row],[TradedValue5]]-Table2[[#This Row],[TradedValue4]]</f>
        <v>760.67999999999984</v>
      </c>
      <c r="AJ120" s="49" t="str">
        <f>IF(Table2[[#This Row],[TradedValue2]]&gt;Table2[[#This Row],[TradedValue1]],"Y","N")</f>
        <v>N</v>
      </c>
      <c r="AK120" s="49" t="str">
        <f>IF(Table2[[#This Row],[TradedValue3]]&gt;Table2[[#This Row],[TradedValue2]],"Y","N")</f>
        <v>Y</v>
      </c>
      <c r="AL120" s="49" t="str">
        <f>IF(Table2[[#This Row],[TradedValue5]]&gt;Table2[[#This Row],[TradedValue3]],"Y","N")</f>
        <v>Y</v>
      </c>
      <c r="AM120" s="49" t="str">
        <f>IF(Table2[[#This Row],[TradedValue5]]&gt;Table2[[#This Row],[TradedValue4]],"Y","N")</f>
        <v>Y</v>
      </c>
      <c r="AN120" s="1">
        <f t="shared" si="108"/>
        <v>-6.999999999999984E-2</v>
      </c>
      <c r="AO120" s="1">
        <f t="shared" si="109"/>
        <v>0.65999999999999992</v>
      </c>
      <c r="AP120" s="1">
        <f t="shared" si="110"/>
        <v>1.2999999999999998</v>
      </c>
      <c r="AQ120" s="1">
        <f t="shared" si="111"/>
        <v>2.0299999999999998</v>
      </c>
      <c r="AR120" s="1">
        <f>VLOOKUP(A120,symbol_2[[symbol]:[DelPer1]],5,)</f>
        <v>38.64</v>
      </c>
      <c r="AS120" s="1">
        <f>VLOOKUP(A120,symbol_2[[symbol]:[DelPer2]],9,)</f>
        <v>67.87</v>
      </c>
      <c r="AT120" s="1">
        <f>VLOOKUP(A120,symbol_2[[symbol]:[DelPer3]],13,)</f>
        <v>71.069999999999993</v>
      </c>
      <c r="AU120" s="1">
        <f>VLOOKUP(A120,symbol_2[[symbol]:[DelPer4]],17,)</f>
        <v>74.58</v>
      </c>
      <c r="AV120" s="1">
        <f>VLOOKUP(A120,symbol_2[[symbol]:[DelPer5]],21,)</f>
        <v>74.59</v>
      </c>
      <c r="AW120" s="49" t="str">
        <f t="shared" si="112"/>
        <v>Y</v>
      </c>
      <c r="AX120" s="49" t="str">
        <f t="shared" si="113"/>
        <v>Y</v>
      </c>
      <c r="AY120" s="49" t="str">
        <f t="shared" si="114"/>
        <v>Y</v>
      </c>
      <c r="AZ120" s="49" t="str">
        <f t="shared" si="115"/>
        <v>Y</v>
      </c>
      <c r="BA120" s="1">
        <f t="shared" si="116"/>
        <v>29.230000000000004</v>
      </c>
      <c r="BB120" s="1">
        <f t="shared" si="117"/>
        <v>3.1999999999999886</v>
      </c>
      <c r="BC120" s="1">
        <f t="shared" si="118"/>
        <v>3.5100000000000051</v>
      </c>
      <c r="BD120" s="1">
        <f t="shared" si="119"/>
        <v>1.0000000000005116E-2</v>
      </c>
    </row>
    <row r="121" spans="1:56" hidden="1" x14ac:dyDescent="0.35">
      <c r="A121" s="116" t="s">
        <v>186</v>
      </c>
      <c r="B121" s="1" t="s">
        <v>1011</v>
      </c>
      <c r="C121" s="1" t="s">
        <v>52</v>
      </c>
      <c r="D121" s="1" t="s">
        <v>199</v>
      </c>
      <c r="E121" s="1">
        <f>VLOOKUP(A121,symbol_2[[symbol]:[Price1]],2,)</f>
        <v>235.85</v>
      </c>
      <c r="F121" s="1">
        <f>VLOOKUP(A121,symbol_2[[symbol]:[Price2]],6,)</f>
        <v>232.5</v>
      </c>
      <c r="G121" s="1">
        <f>VLOOKUP(A121,symbol_2[[symbol]:[Price3]],10,)</f>
        <v>234.05</v>
      </c>
      <c r="H121" s="1">
        <f>VLOOKUP(A121,symbol_2[[symbol]:[Price4]],14,)</f>
        <v>230.3</v>
      </c>
      <c r="I121" s="1">
        <f>VLOOKUP(A121,symbol_2[[symbol]:[Price5]],18,)</f>
        <v>234.9</v>
      </c>
      <c r="J121" s="49" t="str">
        <f t="shared" si="96"/>
        <v>N</v>
      </c>
      <c r="K121" s="49" t="str">
        <f t="shared" si="97"/>
        <v>Y</v>
      </c>
      <c r="L121" s="49" t="str">
        <f t="shared" si="98"/>
        <v>N</v>
      </c>
      <c r="M121" s="49" t="str">
        <f t="shared" si="99"/>
        <v>Y</v>
      </c>
      <c r="N121" s="52">
        <f t="shared" si="100"/>
        <v>-1.4203943184227239</v>
      </c>
      <c r="O121" s="52">
        <f t="shared" si="101"/>
        <v>0.66666666666667151</v>
      </c>
      <c r="P121" s="52">
        <f t="shared" si="102"/>
        <v>-1.6022217474898526</v>
      </c>
      <c r="Q121" s="52">
        <f t="shared" si="103"/>
        <v>1.9973947025618732</v>
      </c>
      <c r="R121" s="1">
        <f>VLOOKUP(A121,symbol_2[[symbol]:[TV1]],3,)</f>
        <v>7.51</v>
      </c>
      <c r="S121" s="1">
        <f>VLOOKUP(A121,symbol_2[[symbol]:[TV2]],7,)</f>
        <v>4.4000000000000004</v>
      </c>
      <c r="T121" s="1">
        <f>VLOOKUP(A121,symbol_2[[symbol]:[TV3]],11,)</f>
        <v>3.27</v>
      </c>
      <c r="U121" s="1">
        <f>VLOOKUP(A121,symbol_2[[symbol]:[TV4]],15,)</f>
        <v>3.29</v>
      </c>
      <c r="V121" s="1">
        <f>VLOOKUP(A121,symbol_2[[symbol]:[TV5]],19,)</f>
        <v>2.4</v>
      </c>
      <c r="W121" s="1" t="str">
        <f t="shared" si="104"/>
        <v>N</v>
      </c>
      <c r="X121" s="1" t="str">
        <f t="shared" si="105"/>
        <v>N</v>
      </c>
      <c r="Y121" s="1" t="str">
        <f t="shared" si="106"/>
        <v>Y</v>
      </c>
      <c r="Z121" s="1" t="str">
        <f t="shared" si="107"/>
        <v>N</v>
      </c>
      <c r="AA121" s="1">
        <f>VLOOKUP(A123,symbol_2[[symbol]:[TradedValue1]],4,)</f>
        <v>263.75</v>
      </c>
      <c r="AB121" s="1">
        <f>VLOOKUP(A121,symbol_2[[symbol]:[TradedValue2]],8,)</f>
        <v>1023.46</v>
      </c>
      <c r="AC121" s="1">
        <f>VLOOKUP(A121,symbol_2[[symbol]:[TradedValue3]],12,)</f>
        <v>763.28</v>
      </c>
      <c r="AD121" s="1">
        <f>VLOOKUP(A121,symbol_2[[symbol]:[TradedValue4]],16,)</f>
        <v>763.46</v>
      </c>
      <c r="AE121" s="1">
        <f>VLOOKUP(A121,symbol_2[[symbol]:[TradedValue5]],20,)</f>
        <v>559.39</v>
      </c>
      <c r="AF121" s="1">
        <f>Table2[[#This Row],[TradedValue2]]-Table2[[#This Row],[TradedValue1]]</f>
        <v>759.71</v>
      </c>
      <c r="AG121" s="1">
        <f>Table2[[#This Row],[TradedValue3]]-Table2[[#This Row],[TradedValue2]]</f>
        <v>-260.18000000000006</v>
      </c>
      <c r="AH121" s="1">
        <f>Table2[[#This Row],[TradedValue4]]-Table2[[#This Row],[TradedValue3]]</f>
        <v>0.18000000000006366</v>
      </c>
      <c r="AI121" s="1">
        <f>Table2[[#This Row],[TradedValue5]]-Table2[[#This Row],[TradedValue4]]</f>
        <v>-204.07000000000005</v>
      </c>
      <c r="AJ121" s="49" t="str">
        <f>IF(Table2[[#This Row],[TradedValue2]]&gt;Table2[[#This Row],[TradedValue1]],"Y","N")</f>
        <v>Y</v>
      </c>
      <c r="AK121" s="49" t="str">
        <f>IF(Table2[[#This Row],[TradedValue3]]&gt;Table2[[#This Row],[TradedValue2]],"Y","N")</f>
        <v>N</v>
      </c>
      <c r="AL121" s="49" t="str">
        <f>IF(Table2[[#This Row],[TradedValue5]]&gt;Table2[[#This Row],[TradedValue3]],"Y","N")</f>
        <v>N</v>
      </c>
      <c r="AM121" s="49" t="str">
        <f>IF(Table2[[#This Row],[TradedValue5]]&gt;Table2[[#This Row],[TradedValue4]],"Y","N")</f>
        <v>N</v>
      </c>
      <c r="AN121" s="1">
        <f t="shared" si="108"/>
        <v>-3.1099999999999994</v>
      </c>
      <c r="AO121" s="1">
        <f t="shared" si="109"/>
        <v>-1.1300000000000003</v>
      </c>
      <c r="AP121" s="1">
        <f t="shared" si="110"/>
        <v>2.0000000000000018E-2</v>
      </c>
      <c r="AQ121" s="1">
        <f t="shared" si="111"/>
        <v>-0.89000000000000012</v>
      </c>
      <c r="AR121" s="1">
        <f>VLOOKUP(A121,symbol_2[[symbol]:[DelPer1]],5,)</f>
        <v>24.85</v>
      </c>
      <c r="AS121" s="1">
        <f>VLOOKUP(A121,symbol_2[[symbol]:[DelPer2]],9,)</f>
        <v>23.92</v>
      </c>
      <c r="AT121" s="1">
        <f>VLOOKUP(A121,symbol_2[[symbol]:[DelPer3]],13,)</f>
        <v>34.85</v>
      </c>
      <c r="AU121" s="1">
        <f>VLOOKUP(A121,symbol_2[[symbol]:[DelPer4]],17,)</f>
        <v>37.93</v>
      </c>
      <c r="AV121" s="1">
        <f>VLOOKUP(A121,symbol_2[[symbol]:[DelPer5]],21,)</f>
        <v>25.33</v>
      </c>
      <c r="AW121" s="49" t="str">
        <f t="shared" si="112"/>
        <v>N</v>
      </c>
      <c r="AX121" s="49" t="str">
        <f t="shared" si="113"/>
        <v>Y</v>
      </c>
      <c r="AY121" s="49" t="str">
        <f t="shared" si="114"/>
        <v>Y</v>
      </c>
      <c r="AZ121" s="49" t="str">
        <f t="shared" si="115"/>
        <v>N</v>
      </c>
      <c r="BA121" s="1">
        <f t="shared" si="116"/>
        <v>-0.92999999999999972</v>
      </c>
      <c r="BB121" s="1">
        <f t="shared" si="117"/>
        <v>10.93</v>
      </c>
      <c r="BC121" s="1">
        <f t="shared" si="118"/>
        <v>3.0799999999999983</v>
      </c>
      <c r="BD121" s="1">
        <f t="shared" si="119"/>
        <v>-12.600000000000001</v>
      </c>
    </row>
    <row r="122" spans="1:56" hidden="1" x14ac:dyDescent="0.35">
      <c r="A122" s="116" t="s">
        <v>140</v>
      </c>
      <c r="B122" s="1" t="s">
        <v>1020</v>
      </c>
      <c r="C122" s="1" t="s">
        <v>52</v>
      </c>
      <c r="D122" s="1" t="s">
        <v>199</v>
      </c>
      <c r="E122" s="1">
        <f>VLOOKUP(A122,symbol_2[[symbol]:[Price1]],2,)</f>
        <v>414.7</v>
      </c>
      <c r="F122" s="1">
        <f>VLOOKUP(A122,symbol_2[[symbol]:[Price2]],6,)</f>
        <v>412.35</v>
      </c>
      <c r="G122" s="1">
        <f>VLOOKUP(A122,symbol_2[[symbol]:[Price3]],10,)</f>
        <v>408.4</v>
      </c>
      <c r="H122" s="1">
        <f>VLOOKUP(A122,symbol_2[[symbol]:[Price4]],14,)</f>
        <v>413.75</v>
      </c>
      <c r="I122" s="1">
        <f>VLOOKUP(A122,symbol_2[[symbol]:[Price5]],18,)</f>
        <v>428.2</v>
      </c>
      <c r="J122" s="49" t="str">
        <f t="shared" si="96"/>
        <v>N</v>
      </c>
      <c r="K122" s="49" t="str">
        <f t="shared" si="97"/>
        <v>N</v>
      </c>
      <c r="L122" s="49" t="str">
        <f t="shared" si="98"/>
        <v>Y</v>
      </c>
      <c r="M122" s="49" t="str">
        <f t="shared" si="99"/>
        <v>Y</v>
      </c>
      <c r="N122" s="52">
        <f t="shared" si="100"/>
        <v>-0.56667470460573088</v>
      </c>
      <c r="O122" s="52">
        <f t="shared" si="101"/>
        <v>-0.95792409360980857</v>
      </c>
      <c r="P122" s="52">
        <f t="shared" si="102"/>
        <v>1.3099902056807107</v>
      </c>
      <c r="Q122" s="52">
        <f t="shared" si="103"/>
        <v>3.4924471299093631</v>
      </c>
      <c r="R122" s="1">
        <f>VLOOKUP(A122,symbol_2[[symbol]:[TV1]],3,)</f>
        <v>0.27</v>
      </c>
      <c r="S122" s="1">
        <f>VLOOKUP(A122,symbol_2[[symbol]:[TV2]],7,)</f>
        <v>0.64</v>
      </c>
      <c r="T122" s="1">
        <f>VLOOKUP(A122,symbol_2[[symbol]:[TV3]],11,)</f>
        <v>0.27</v>
      </c>
      <c r="U122" s="1">
        <f>VLOOKUP(A122,symbol_2[[symbol]:[TV4]],15,)</f>
        <v>0.33</v>
      </c>
      <c r="V122" s="1">
        <f>VLOOKUP(A122,symbol_2[[symbol]:[TV5]],19,)</f>
        <v>0.73</v>
      </c>
      <c r="W122" s="1" t="str">
        <f t="shared" si="104"/>
        <v>Y</v>
      </c>
      <c r="X122" s="1" t="str">
        <f t="shared" si="105"/>
        <v>N</v>
      </c>
      <c r="Y122" s="1" t="str">
        <f t="shared" si="106"/>
        <v>Y</v>
      </c>
      <c r="Z122" s="1" t="str">
        <f t="shared" si="107"/>
        <v>Y</v>
      </c>
      <c r="AA122" s="1">
        <f>VLOOKUP(A122,symbol_2[[symbol]:[TradedValue1]],4,)</f>
        <v>110.48</v>
      </c>
      <c r="AB122" s="1">
        <f>VLOOKUP(A122,symbol_2[[symbol]:[TradedValue2]],8,)</f>
        <v>263.10000000000002</v>
      </c>
      <c r="AC122" s="1">
        <f>VLOOKUP(A122,symbol_2[[symbol]:[TradedValue3]],12,)</f>
        <v>111.49</v>
      </c>
      <c r="AD122" s="1">
        <f>VLOOKUP(A122,symbol_2[[symbol]:[TradedValue4]],16,)</f>
        <v>135.75</v>
      </c>
      <c r="AE122" s="1">
        <f>VLOOKUP(A122,symbol_2[[symbol]:[TradedValue5]],20,)</f>
        <v>311.61</v>
      </c>
      <c r="AF122" s="1">
        <f>Table2[[#This Row],[TradedValue2]]-Table2[[#This Row],[TradedValue1]]</f>
        <v>152.62</v>
      </c>
      <c r="AG122" s="1">
        <f>Table2[[#This Row],[TradedValue3]]-Table2[[#This Row],[TradedValue2]]</f>
        <v>-151.61000000000001</v>
      </c>
      <c r="AH122" s="1">
        <f>Table2[[#This Row],[TradedValue4]]-Table2[[#This Row],[TradedValue3]]</f>
        <v>24.260000000000005</v>
      </c>
      <c r="AI122" s="1">
        <f>Table2[[#This Row],[TradedValue5]]-Table2[[#This Row],[TradedValue4]]</f>
        <v>175.86</v>
      </c>
      <c r="AJ122" s="49" t="str">
        <f>IF(Table2[[#This Row],[TradedValue2]]&gt;Table2[[#This Row],[TradedValue1]],"Y","N")</f>
        <v>Y</v>
      </c>
      <c r="AK122" s="49" t="str">
        <f>IF(Table2[[#This Row],[TradedValue3]]&gt;Table2[[#This Row],[TradedValue2]],"Y","N")</f>
        <v>N</v>
      </c>
      <c r="AL122" s="49" t="str">
        <f>IF(Table2[[#This Row],[TradedValue5]]&gt;Table2[[#This Row],[TradedValue3]],"Y","N")</f>
        <v>Y</v>
      </c>
      <c r="AM122" s="49" t="str">
        <f>IF(Table2[[#This Row],[TradedValue5]]&gt;Table2[[#This Row],[TradedValue4]],"Y","N")</f>
        <v>Y</v>
      </c>
      <c r="AN122" s="1">
        <f t="shared" si="108"/>
        <v>0.37</v>
      </c>
      <c r="AO122" s="1">
        <f t="shared" si="109"/>
        <v>-0.37</v>
      </c>
      <c r="AP122" s="1">
        <f t="shared" si="110"/>
        <v>0.06</v>
      </c>
      <c r="AQ122" s="1">
        <f t="shared" si="111"/>
        <v>0.39999999999999997</v>
      </c>
      <c r="AR122" s="1">
        <f>VLOOKUP(A122,symbol_2[[symbol]:[DelPer1]],5,)</f>
        <v>40.6</v>
      </c>
      <c r="AS122" s="1">
        <f>VLOOKUP(A122,symbol_2[[symbol]:[DelPer2]],9,)</f>
        <v>64.349999999999994</v>
      </c>
      <c r="AT122" s="1">
        <f>VLOOKUP(A122,symbol_2[[symbol]:[DelPer3]],13,)</f>
        <v>46.12</v>
      </c>
      <c r="AU122" s="1">
        <f>VLOOKUP(A122,symbol_2[[symbol]:[DelPer4]],17,)</f>
        <v>28.19</v>
      </c>
      <c r="AV122" s="1">
        <f>VLOOKUP(A122,symbol_2[[symbol]:[DelPer5]],21,)</f>
        <v>48.66</v>
      </c>
      <c r="AW122" s="49" t="str">
        <f t="shared" si="112"/>
        <v>Y</v>
      </c>
      <c r="AX122" s="49" t="str">
        <f t="shared" si="113"/>
        <v>N</v>
      </c>
      <c r="AY122" s="49" t="str">
        <f t="shared" si="114"/>
        <v>N</v>
      </c>
      <c r="AZ122" s="49" t="str">
        <f t="shared" si="115"/>
        <v>Y</v>
      </c>
      <c r="BA122" s="1">
        <f t="shared" si="116"/>
        <v>23.749999999999993</v>
      </c>
      <c r="BB122" s="1">
        <f t="shared" si="117"/>
        <v>-18.229999999999997</v>
      </c>
      <c r="BC122" s="1">
        <f t="shared" si="118"/>
        <v>-17.929999999999996</v>
      </c>
      <c r="BD122" s="1">
        <f t="shared" si="119"/>
        <v>20.469999999999995</v>
      </c>
    </row>
    <row r="123" spans="1:56" hidden="1" x14ac:dyDescent="0.35">
      <c r="A123" s="115" t="s">
        <v>176</v>
      </c>
      <c r="B123" s="1" t="s">
        <v>1006</v>
      </c>
      <c r="C123" s="1" t="s">
        <v>52</v>
      </c>
      <c r="D123" s="1" t="s">
        <v>199</v>
      </c>
      <c r="E123" s="1">
        <f>VLOOKUP(A123,symbol_2[[symbol]:[Price1]],2,)</f>
        <v>14.05</v>
      </c>
      <c r="F123" s="1">
        <f>VLOOKUP(A123,symbol_2[[symbol]:[Price2]],6,)</f>
        <v>13.8</v>
      </c>
      <c r="G123" s="1">
        <f>VLOOKUP(A123,symbol_2[[symbol]:[Price3]],10,)</f>
        <v>13.9</v>
      </c>
      <c r="H123" s="1">
        <f>VLOOKUP(A123,symbol_2[[symbol]:[Price4]],14,)</f>
        <v>13.9</v>
      </c>
      <c r="I123" s="1">
        <f>VLOOKUP(A123,symbol_2[[symbol]:[Price5]],18,)</f>
        <v>14.35</v>
      </c>
      <c r="J123" s="109" t="str">
        <f t="shared" si="96"/>
        <v>N</v>
      </c>
      <c r="K123" s="109" t="str">
        <f t="shared" si="97"/>
        <v>Y</v>
      </c>
      <c r="L123" s="109" t="str">
        <f t="shared" si="98"/>
        <v>N</v>
      </c>
      <c r="M123" s="109" t="str">
        <f t="shared" si="99"/>
        <v>Y</v>
      </c>
      <c r="N123" s="110">
        <f t="shared" si="100"/>
        <v>-1.779359430604982</v>
      </c>
      <c r="O123" s="110">
        <f t="shared" si="101"/>
        <v>0.72463768115941773</v>
      </c>
      <c r="P123" s="110">
        <f t="shared" si="102"/>
        <v>0</v>
      </c>
      <c r="Q123" s="110">
        <f t="shared" si="103"/>
        <v>3.237410071942441</v>
      </c>
      <c r="R123" s="1">
        <f>VLOOKUP(A123,symbol_2[[symbol]:[TV1]],3,)</f>
        <v>18.899999999999999</v>
      </c>
      <c r="S123" s="1">
        <f>VLOOKUP(A123,symbol_2[[symbol]:[TV2]],7,)</f>
        <v>17.010000000000002</v>
      </c>
      <c r="T123" s="1">
        <f>VLOOKUP(A123,symbol_2[[symbol]:[TV3]],11,)</f>
        <v>12.48</v>
      </c>
      <c r="U123" s="1">
        <f>VLOOKUP(A123,symbol_2[[symbol]:[TV4]],15,)</f>
        <v>24.39</v>
      </c>
      <c r="V123" s="1">
        <f>VLOOKUP(A123,symbol_2[[symbol]:[TV5]],19,)</f>
        <v>14.51</v>
      </c>
      <c r="W123" s="1" t="str">
        <f t="shared" si="104"/>
        <v>N</v>
      </c>
      <c r="X123" s="1" t="str">
        <f t="shared" si="105"/>
        <v>N</v>
      </c>
      <c r="Y123" s="1" t="str">
        <f t="shared" si="106"/>
        <v>Y</v>
      </c>
      <c r="Z123" s="1" t="str">
        <f t="shared" si="107"/>
        <v>N</v>
      </c>
      <c r="AA123" s="1">
        <f>VLOOKUP(A123,symbol_2[[symbol]:[TradedValue1]],4,)</f>
        <v>263.75</v>
      </c>
      <c r="AB123" s="1">
        <f>VLOOKUP(A123,symbol_2[[symbol]:[TradedValue2]],8,)</f>
        <v>236.74</v>
      </c>
      <c r="AC123" s="1">
        <f>VLOOKUP(A123,symbol_2[[symbol]:[TradedValue3]],12,)</f>
        <v>172.21</v>
      </c>
      <c r="AD123" s="1">
        <f>VLOOKUP(A123,symbol_2[[symbol]:[TradedValue4]],16,)</f>
        <v>344.91</v>
      </c>
      <c r="AE123" s="1">
        <f>VLOOKUP(A123,symbol_2[[symbol]:[TradedValue5]],20,)</f>
        <v>206.47</v>
      </c>
      <c r="AF123" s="1">
        <f>Table2[[#This Row],[TradedValue2]]-Table2[[#This Row],[TradedValue1]]</f>
        <v>-27.009999999999991</v>
      </c>
      <c r="AG123" s="1">
        <f>Table2[[#This Row],[TradedValue3]]-Table2[[#This Row],[TradedValue2]]</f>
        <v>-64.53</v>
      </c>
      <c r="AH123" s="1">
        <f>Table2[[#This Row],[TradedValue4]]-Table2[[#This Row],[TradedValue3]]</f>
        <v>172.70000000000002</v>
      </c>
      <c r="AI123" s="1">
        <f>Table2[[#This Row],[TradedValue5]]-Table2[[#This Row],[TradedValue4]]</f>
        <v>-138.44000000000003</v>
      </c>
      <c r="AJ123" s="109" t="str">
        <f>IF(Table2[[#This Row],[TradedValue2]]&gt;Table2[[#This Row],[TradedValue1]],"Y","N")</f>
        <v>N</v>
      </c>
      <c r="AK123" s="109" t="str">
        <f>IF(Table2[[#This Row],[TradedValue3]]&gt;Table2[[#This Row],[TradedValue2]],"Y","N")</f>
        <v>N</v>
      </c>
      <c r="AL123" s="109" t="str">
        <f>IF(Table2[[#This Row],[TradedValue5]]&gt;Table2[[#This Row],[TradedValue3]],"Y","N")</f>
        <v>Y</v>
      </c>
      <c r="AM123" s="109" t="str">
        <f>IF(Table2[[#This Row],[TradedValue5]]&gt;Table2[[#This Row],[TradedValue4]],"Y","N")</f>
        <v>N</v>
      </c>
      <c r="AN123" s="1">
        <f t="shared" si="108"/>
        <v>-1.889999999999997</v>
      </c>
      <c r="AO123" s="1">
        <f t="shared" si="109"/>
        <v>-4.5300000000000011</v>
      </c>
      <c r="AP123" s="1">
        <f t="shared" si="110"/>
        <v>11.91</v>
      </c>
      <c r="AQ123" s="1">
        <f t="shared" si="111"/>
        <v>-9.8800000000000008</v>
      </c>
      <c r="AR123" s="1">
        <f>VLOOKUP(A123,symbol_2[[symbol]:[DelPer1]],5,)</f>
        <v>37.450000000000003</v>
      </c>
      <c r="AS123" s="1">
        <f>VLOOKUP(A123,symbol_2[[symbol]:[DelPer2]],9,)</f>
        <v>25.81</v>
      </c>
      <c r="AT123" s="1">
        <f>VLOOKUP(A123,symbol_2[[symbol]:[DelPer3]],13,)</f>
        <v>34.86</v>
      </c>
      <c r="AU123" s="1">
        <f>VLOOKUP(A123,symbol_2[[symbol]:[DelPer4]],17,)</f>
        <v>22.09</v>
      </c>
      <c r="AV123" s="1">
        <f>VLOOKUP(A123,symbol_2[[symbol]:[DelPer5]],21,)</f>
        <v>35.159999999999997</v>
      </c>
      <c r="AW123" s="109" t="str">
        <f t="shared" si="112"/>
        <v>N</v>
      </c>
      <c r="AX123" s="109" t="str">
        <f t="shared" si="113"/>
        <v>Y</v>
      </c>
      <c r="AY123" s="109" t="str">
        <f t="shared" si="114"/>
        <v>N</v>
      </c>
      <c r="AZ123" s="109" t="str">
        <f t="shared" si="115"/>
        <v>Y</v>
      </c>
      <c r="BA123" s="1">
        <f t="shared" si="116"/>
        <v>-11.640000000000004</v>
      </c>
      <c r="BB123" s="1">
        <f t="shared" si="117"/>
        <v>9.0500000000000007</v>
      </c>
      <c r="BC123" s="1">
        <f t="shared" si="118"/>
        <v>-12.77</v>
      </c>
      <c r="BD123" s="1">
        <f t="shared" si="119"/>
        <v>13.069999999999997</v>
      </c>
    </row>
    <row r="124" spans="1:56" hidden="1" x14ac:dyDescent="0.35">
      <c r="A124" s="116" t="s">
        <v>54</v>
      </c>
      <c r="B124" s="1" t="s">
        <v>1007</v>
      </c>
      <c r="C124" s="1" t="s">
        <v>52</v>
      </c>
      <c r="D124" s="1" t="s">
        <v>199</v>
      </c>
      <c r="E124" s="1">
        <f>VLOOKUP(A124,symbol_2[[symbol]:[Price1]],2,)</f>
        <v>293.5</v>
      </c>
      <c r="F124" s="1">
        <f>VLOOKUP(A124,symbol_2[[symbol]:[Price2]],6,)</f>
        <v>284.55</v>
      </c>
      <c r="G124" s="1">
        <f>VLOOKUP(A124,symbol_2[[symbol]:[Price3]],10,)</f>
        <v>288.75</v>
      </c>
      <c r="H124" s="1">
        <f>VLOOKUP(A124,symbol_2[[symbol]:[Price4]],14,)</f>
        <v>289.64999999999998</v>
      </c>
      <c r="I124" s="1">
        <f>VLOOKUP(A124,symbol_2[[symbol]:[Price5]],18,)</f>
        <v>302.25</v>
      </c>
      <c r="J124" s="49" t="str">
        <f t="shared" si="96"/>
        <v>N</v>
      </c>
      <c r="K124" s="49" t="str">
        <f t="shared" si="97"/>
        <v>Y</v>
      </c>
      <c r="L124" s="49" t="str">
        <f t="shared" si="98"/>
        <v>Y</v>
      </c>
      <c r="M124" s="49" t="str">
        <f t="shared" si="99"/>
        <v>Y</v>
      </c>
      <c r="N124" s="52">
        <f t="shared" si="100"/>
        <v>-3.0494037478705245</v>
      </c>
      <c r="O124" s="52">
        <f t="shared" si="101"/>
        <v>1.4760147601475975</v>
      </c>
      <c r="P124" s="52">
        <f t="shared" si="102"/>
        <v>0.3116883116883038</v>
      </c>
      <c r="Q124" s="52">
        <f t="shared" si="103"/>
        <v>4.350077679958579</v>
      </c>
      <c r="R124" s="1">
        <f>VLOOKUP(A124,symbol_2[[symbol]:[TV1]],3,)</f>
        <v>11.17</v>
      </c>
      <c r="S124" s="1">
        <f>VLOOKUP(A124,symbol_2[[symbol]:[TV2]],7,)</f>
        <v>10.58</v>
      </c>
      <c r="T124" s="1">
        <f>VLOOKUP(A124,symbol_2[[symbol]:[TV3]],11,)</f>
        <v>6.07</v>
      </c>
      <c r="U124" s="1">
        <f>VLOOKUP(A124,symbol_2[[symbol]:[TV4]],15,)</f>
        <v>12.18</v>
      </c>
      <c r="V124" s="1">
        <f>VLOOKUP(A124,symbol_2[[symbol]:[TV5]],19,)</f>
        <v>14.42</v>
      </c>
      <c r="W124" s="1" t="str">
        <f t="shared" si="104"/>
        <v>N</v>
      </c>
      <c r="X124" s="1" t="str">
        <f t="shared" si="105"/>
        <v>N</v>
      </c>
      <c r="Y124" s="1" t="str">
        <f t="shared" si="106"/>
        <v>Y</v>
      </c>
      <c r="Z124" s="1" t="str">
        <f t="shared" si="107"/>
        <v>Y</v>
      </c>
      <c r="AA124" s="1">
        <f>VLOOKUP(A124,symbol_2[[symbol]:[TradedValue1]],4,)</f>
        <v>3297.62</v>
      </c>
      <c r="AB124" s="1">
        <f>VLOOKUP(A124,symbol_2[[symbol]:[TradedValue2]],8,)</f>
        <v>3030.37</v>
      </c>
      <c r="AC124" s="1">
        <f>VLOOKUP(A124,symbol_2[[symbol]:[TradedValue3]],12,)</f>
        <v>1764.64</v>
      </c>
      <c r="AD124" s="1">
        <f>VLOOKUP(A124,symbol_2[[symbol]:[TradedValue4]],16,)</f>
        <v>3632.81</v>
      </c>
      <c r="AE124" s="1">
        <f>VLOOKUP(A124,symbol_2[[symbol]:[TradedValue5]],20,)</f>
        <v>4378.1000000000004</v>
      </c>
      <c r="AF124" s="1">
        <f>Table2[[#This Row],[TradedValue2]]-Table2[[#This Row],[TradedValue1]]</f>
        <v>-267.25</v>
      </c>
      <c r="AG124" s="1">
        <f>Table2[[#This Row],[TradedValue3]]-Table2[[#This Row],[TradedValue2]]</f>
        <v>-1265.7299999999998</v>
      </c>
      <c r="AH124" s="1">
        <f>Table2[[#This Row],[TradedValue4]]-Table2[[#This Row],[TradedValue3]]</f>
        <v>1868.1699999999998</v>
      </c>
      <c r="AI124" s="1">
        <f>Table2[[#This Row],[TradedValue5]]-Table2[[#This Row],[TradedValue4]]</f>
        <v>745.29000000000042</v>
      </c>
      <c r="AJ124" s="49" t="str">
        <f>IF(Table2[[#This Row],[TradedValue2]]&gt;Table2[[#This Row],[TradedValue1]],"Y","N")</f>
        <v>N</v>
      </c>
      <c r="AK124" s="49" t="str">
        <f>IF(Table2[[#This Row],[TradedValue3]]&gt;Table2[[#This Row],[TradedValue2]],"Y","N")</f>
        <v>N</v>
      </c>
      <c r="AL124" s="49" t="str">
        <f>IF(Table2[[#This Row],[TradedValue5]]&gt;Table2[[#This Row],[TradedValue3]],"Y","N")</f>
        <v>Y</v>
      </c>
      <c r="AM124" s="49" t="str">
        <f>IF(Table2[[#This Row],[TradedValue5]]&gt;Table2[[#This Row],[TradedValue4]],"Y","N")</f>
        <v>Y</v>
      </c>
      <c r="AN124" s="1">
        <f t="shared" si="108"/>
        <v>-0.58999999999999986</v>
      </c>
      <c r="AO124" s="1">
        <f t="shared" si="109"/>
        <v>-4.51</v>
      </c>
      <c r="AP124" s="1">
        <f t="shared" si="110"/>
        <v>6.1099999999999994</v>
      </c>
      <c r="AQ124" s="1">
        <f t="shared" si="111"/>
        <v>2.2400000000000002</v>
      </c>
      <c r="AR124" s="1">
        <f>VLOOKUP(A124,symbol_2[[symbol]:[DelPer1]],5,)</f>
        <v>42.53</v>
      </c>
      <c r="AS124" s="1">
        <f>VLOOKUP(A124,symbol_2[[symbol]:[DelPer2]],9,)</f>
        <v>25.2</v>
      </c>
      <c r="AT124" s="1">
        <f>VLOOKUP(A124,symbol_2[[symbol]:[DelPer3]],13,)</f>
        <v>31.27</v>
      </c>
      <c r="AU124" s="1">
        <f>VLOOKUP(A124,symbol_2[[symbol]:[DelPer4]],17,)</f>
        <v>41.96</v>
      </c>
      <c r="AV124" s="1">
        <f>VLOOKUP(A124,symbol_2[[symbol]:[DelPer5]],21,)</f>
        <v>36.64</v>
      </c>
      <c r="AW124" s="49" t="str">
        <f t="shared" si="112"/>
        <v>N</v>
      </c>
      <c r="AX124" s="49" t="str">
        <f t="shared" si="113"/>
        <v>Y</v>
      </c>
      <c r="AY124" s="49" t="str">
        <f t="shared" si="114"/>
        <v>Y</v>
      </c>
      <c r="AZ124" s="49" t="str">
        <f t="shared" si="115"/>
        <v>N</v>
      </c>
      <c r="BA124" s="1">
        <f t="shared" si="116"/>
        <v>-17.330000000000002</v>
      </c>
      <c r="BB124" s="1">
        <f t="shared" si="117"/>
        <v>6.07</v>
      </c>
      <c r="BC124" s="1">
        <f t="shared" si="118"/>
        <v>10.690000000000001</v>
      </c>
      <c r="BD124" s="1">
        <f t="shared" si="119"/>
        <v>-5.32</v>
      </c>
    </row>
    <row r="125" spans="1:56" hidden="1" x14ac:dyDescent="0.35">
      <c r="A125" s="1" t="s">
        <v>122</v>
      </c>
      <c r="B125" s="1" t="s">
        <v>1018</v>
      </c>
      <c r="C125" s="1" t="s">
        <v>52</v>
      </c>
      <c r="D125" s="1" t="s">
        <v>199</v>
      </c>
      <c r="E125" s="1">
        <f>VLOOKUP(A125,symbol_2[[symbol]:[Price1]],2,)</f>
        <v>128.05000000000001</v>
      </c>
      <c r="F125" s="1">
        <f>VLOOKUP(A125,symbol_2[[symbol]:[Price2]],6,)</f>
        <v>124.85</v>
      </c>
      <c r="G125" s="1">
        <f>VLOOKUP(A125,symbol_2[[symbol]:[Price3]],10,)</f>
        <v>125.75</v>
      </c>
      <c r="H125" s="1">
        <f>VLOOKUP(A125,symbol_2[[symbol]:[Price4]],14,)</f>
        <v>127.9</v>
      </c>
      <c r="I125" s="1">
        <f>VLOOKUP(A125,symbol_2[[symbol]:[Price5]],18,)</f>
        <v>135.80000000000001</v>
      </c>
      <c r="J125" s="49" t="str">
        <f t="shared" si="96"/>
        <v>N</v>
      </c>
      <c r="K125" s="49" t="str">
        <f t="shared" si="97"/>
        <v>Y</v>
      </c>
      <c r="L125" s="49" t="str">
        <f t="shared" si="98"/>
        <v>Y</v>
      </c>
      <c r="M125" s="49" t="str">
        <f t="shared" si="99"/>
        <v>Y</v>
      </c>
      <c r="N125" s="52">
        <f t="shared" si="100"/>
        <v>-2.4990238188207865</v>
      </c>
      <c r="O125" s="52">
        <f t="shared" si="101"/>
        <v>0.72086503804565938</v>
      </c>
      <c r="P125" s="52">
        <f t="shared" si="102"/>
        <v>1.7097415506958296</v>
      </c>
      <c r="Q125" s="52">
        <f t="shared" si="103"/>
        <v>6.176700547302584</v>
      </c>
      <c r="R125" s="1">
        <f>VLOOKUP(A125,symbol_2[[symbol]:[TV1]],3,)</f>
        <v>3.9</v>
      </c>
      <c r="S125" s="1">
        <f>VLOOKUP(A125,symbol_2[[symbol]:[TV2]],7,)</f>
        <v>1.86</v>
      </c>
      <c r="T125" s="1">
        <f>VLOOKUP(A125,symbol_2[[symbol]:[TV3]],11,)</f>
        <v>2.65</v>
      </c>
      <c r="U125" s="1">
        <f>VLOOKUP(A125,symbol_2[[symbol]:[TV4]],15,)</f>
        <v>6.74</v>
      </c>
      <c r="V125" s="1">
        <f>VLOOKUP(A125,symbol_2[[symbol]:[TV5]],19,)</f>
        <v>4.49</v>
      </c>
      <c r="W125" s="1" t="str">
        <f t="shared" si="104"/>
        <v>N</v>
      </c>
      <c r="X125" s="1" t="str">
        <f t="shared" si="105"/>
        <v>Y</v>
      </c>
      <c r="Y125" s="1" t="str">
        <f t="shared" si="106"/>
        <v>Y</v>
      </c>
      <c r="Z125" s="1" t="str">
        <f t="shared" si="107"/>
        <v>N</v>
      </c>
      <c r="AA125" s="1">
        <f>VLOOKUP(A125,symbol_2[[symbol]:[TradedValue1]],4,)</f>
        <v>497.86</v>
      </c>
      <c r="AB125" s="1">
        <f>VLOOKUP(A125,symbol_2[[symbol]:[TradedValue2]],8,)</f>
        <v>233.8</v>
      </c>
      <c r="AC125" s="1">
        <f>VLOOKUP(A125,symbol_2[[symbol]:[TradedValue3]],12,)</f>
        <v>330.13</v>
      </c>
      <c r="AD125" s="1">
        <f>VLOOKUP(A125,symbol_2[[symbol]:[TradedValue4]],16,)</f>
        <v>882.65</v>
      </c>
      <c r="AE125" s="1">
        <f>VLOOKUP(A125,symbol_2[[symbol]:[TradedValue5]],20,)</f>
        <v>592.87</v>
      </c>
      <c r="AF125" s="1">
        <f>Table2[[#This Row],[TradedValue2]]-Table2[[#This Row],[TradedValue1]]</f>
        <v>-264.06</v>
      </c>
      <c r="AG125" s="1">
        <f>Table2[[#This Row],[TradedValue3]]-Table2[[#This Row],[TradedValue2]]</f>
        <v>96.329999999999984</v>
      </c>
      <c r="AH125" s="1">
        <f>Table2[[#This Row],[TradedValue4]]-Table2[[#This Row],[TradedValue3]]</f>
        <v>552.52</v>
      </c>
      <c r="AI125" s="1">
        <f>Table2[[#This Row],[TradedValue5]]-Table2[[#This Row],[TradedValue4]]</f>
        <v>-289.77999999999997</v>
      </c>
      <c r="AJ125" s="49" t="str">
        <f>IF(Table2[[#This Row],[TradedValue2]]&gt;Table2[[#This Row],[TradedValue1]],"Y","N")</f>
        <v>N</v>
      </c>
      <c r="AK125" s="49" t="str">
        <f>IF(Table2[[#This Row],[TradedValue3]]&gt;Table2[[#This Row],[TradedValue2]],"Y","N")</f>
        <v>Y</v>
      </c>
      <c r="AL125" s="49" t="str">
        <f>IF(Table2[[#This Row],[TradedValue5]]&gt;Table2[[#This Row],[TradedValue3]],"Y","N")</f>
        <v>Y</v>
      </c>
      <c r="AM125" s="49" t="str">
        <f>IF(Table2[[#This Row],[TradedValue5]]&gt;Table2[[#This Row],[TradedValue4]],"Y","N")</f>
        <v>N</v>
      </c>
      <c r="AN125" s="1">
        <f t="shared" si="108"/>
        <v>-2.04</v>
      </c>
      <c r="AO125" s="1">
        <f t="shared" si="109"/>
        <v>0.78999999999999981</v>
      </c>
      <c r="AP125" s="1">
        <f t="shared" si="110"/>
        <v>4.09</v>
      </c>
      <c r="AQ125" s="1">
        <f t="shared" si="111"/>
        <v>-2.25</v>
      </c>
      <c r="AR125" s="1">
        <f>VLOOKUP(A125,symbol_2[[symbol]:[DelPer1]],5,)</f>
        <v>11.59</v>
      </c>
      <c r="AS125" s="1">
        <f>VLOOKUP(A125,symbol_2[[symbol]:[DelPer2]],9,)</f>
        <v>14.71</v>
      </c>
      <c r="AT125" s="1">
        <f>VLOOKUP(A125,symbol_2[[symbol]:[DelPer3]],13,)</f>
        <v>26.61</v>
      </c>
      <c r="AU125" s="1">
        <f>VLOOKUP(A125,symbol_2[[symbol]:[DelPer4]],17,)</f>
        <v>9.24</v>
      </c>
      <c r="AV125" s="1">
        <f>VLOOKUP(A125,symbol_2[[symbol]:[DelPer5]],21,)</f>
        <v>12.8</v>
      </c>
      <c r="AW125" s="49" t="str">
        <f t="shared" si="112"/>
        <v>Y</v>
      </c>
      <c r="AX125" s="49" t="str">
        <f t="shared" si="113"/>
        <v>Y</v>
      </c>
      <c r="AY125" s="49" t="str">
        <f t="shared" si="114"/>
        <v>N</v>
      </c>
      <c r="AZ125" s="49" t="str">
        <f t="shared" si="115"/>
        <v>Y</v>
      </c>
      <c r="BA125" s="1">
        <f t="shared" si="116"/>
        <v>3.120000000000001</v>
      </c>
      <c r="BB125" s="1">
        <f t="shared" si="117"/>
        <v>11.899999999999999</v>
      </c>
      <c r="BC125" s="1">
        <f t="shared" si="118"/>
        <v>-17.369999999999997</v>
      </c>
      <c r="BD125" s="1">
        <f t="shared" si="119"/>
        <v>3.5600000000000005</v>
      </c>
    </row>
    <row r="126" spans="1:56" hidden="1" x14ac:dyDescent="0.35">
      <c r="A126" s="116" t="s">
        <v>132</v>
      </c>
      <c r="B126" s="1" t="s">
        <v>1006</v>
      </c>
      <c r="C126" s="1" t="s">
        <v>52</v>
      </c>
      <c r="D126" s="1" t="s">
        <v>199</v>
      </c>
      <c r="E126" s="1">
        <f>VLOOKUP(A126,symbol_2[[symbol]:[Price1]],2,)</f>
        <v>116.95</v>
      </c>
      <c r="F126" s="1">
        <f>VLOOKUP(A126,symbol_2[[symbol]:[Price2]],6,)</f>
        <v>112.75</v>
      </c>
      <c r="G126" s="1">
        <f>VLOOKUP(A126,symbol_2[[symbol]:[Price3]],10,)</f>
        <v>111.45</v>
      </c>
      <c r="H126" s="1">
        <f>VLOOKUP(A126,symbol_2[[symbol]:[Price4]],14,)</f>
        <v>110.55</v>
      </c>
      <c r="I126" s="1">
        <f>VLOOKUP(A126,symbol_2[[symbol]:[Price5]],18,)</f>
        <v>115.15</v>
      </c>
      <c r="J126" s="49" t="str">
        <f t="shared" si="96"/>
        <v>N</v>
      </c>
      <c r="K126" s="49" t="str">
        <f t="shared" si="97"/>
        <v>N</v>
      </c>
      <c r="L126" s="49" t="str">
        <f t="shared" si="98"/>
        <v>N</v>
      </c>
      <c r="M126" s="49" t="str">
        <f t="shared" si="99"/>
        <v>Y</v>
      </c>
      <c r="N126" s="52">
        <f t="shared" si="100"/>
        <v>-3.5912783240701178</v>
      </c>
      <c r="O126" s="52">
        <f t="shared" si="101"/>
        <v>-1.1529933481152967</v>
      </c>
      <c r="P126" s="52">
        <f t="shared" si="102"/>
        <v>-0.80753701211306017</v>
      </c>
      <c r="Q126" s="52">
        <f t="shared" si="103"/>
        <v>4.1610131162370045</v>
      </c>
      <c r="R126" s="1">
        <f>VLOOKUP(A126,symbol_2[[symbol]:[TV1]],3,)</f>
        <v>2.71</v>
      </c>
      <c r="S126" s="1">
        <f>VLOOKUP(A126,symbol_2[[symbol]:[TV2]],7,)</f>
        <v>2.29</v>
      </c>
      <c r="T126" s="1">
        <f>VLOOKUP(A126,symbol_2[[symbol]:[TV3]],11,)</f>
        <v>1.69</v>
      </c>
      <c r="U126" s="1">
        <f>VLOOKUP(A126,symbol_2[[symbol]:[TV4]],15,)</f>
        <v>3.25</v>
      </c>
      <c r="V126" s="1">
        <f>VLOOKUP(A126,symbol_2[[symbol]:[TV5]],19,)</f>
        <v>2.12</v>
      </c>
      <c r="W126" s="1" t="str">
        <f t="shared" si="104"/>
        <v>N</v>
      </c>
      <c r="X126" s="1" t="str">
        <f t="shared" si="105"/>
        <v>N</v>
      </c>
      <c r="Y126" s="1" t="str">
        <f t="shared" si="106"/>
        <v>Y</v>
      </c>
      <c r="Z126" s="1" t="str">
        <f t="shared" si="107"/>
        <v>N</v>
      </c>
      <c r="AA126" s="1">
        <f>VLOOKUP(A126,symbol_2[[symbol]:[TradedValue1]],4,)</f>
        <v>311.61</v>
      </c>
      <c r="AB126" s="1">
        <f>VLOOKUP(A126,symbol_2[[symbol]:[TradedValue2]],8,)</f>
        <v>262.33</v>
      </c>
      <c r="AC126" s="1">
        <f>VLOOKUP(A126,symbol_2[[symbol]:[TradedValue3]],12,)</f>
        <v>189.14</v>
      </c>
      <c r="AD126" s="1">
        <f>VLOOKUP(A126,symbol_2[[symbol]:[TradedValue4]],16,)</f>
        <v>368.65</v>
      </c>
      <c r="AE126" s="1">
        <f>VLOOKUP(A126,symbol_2[[symbol]:[TradedValue5]],20,)</f>
        <v>240.69</v>
      </c>
      <c r="AF126" s="1">
        <f>Table2[[#This Row],[TradedValue2]]-Table2[[#This Row],[TradedValue1]]</f>
        <v>-49.28000000000003</v>
      </c>
      <c r="AG126" s="1">
        <f>Table2[[#This Row],[TradedValue3]]-Table2[[#This Row],[TradedValue2]]</f>
        <v>-73.19</v>
      </c>
      <c r="AH126" s="1">
        <f>Table2[[#This Row],[TradedValue4]]-Table2[[#This Row],[TradedValue3]]</f>
        <v>179.51</v>
      </c>
      <c r="AI126" s="1">
        <f>Table2[[#This Row],[TradedValue5]]-Table2[[#This Row],[TradedValue4]]</f>
        <v>-127.95999999999998</v>
      </c>
      <c r="AJ126" s="49" t="str">
        <f>IF(Table2[[#This Row],[TradedValue2]]&gt;Table2[[#This Row],[TradedValue1]],"Y","N")</f>
        <v>N</v>
      </c>
      <c r="AK126" s="49" t="str">
        <f>IF(Table2[[#This Row],[TradedValue3]]&gt;Table2[[#This Row],[TradedValue2]],"Y","N")</f>
        <v>N</v>
      </c>
      <c r="AL126" s="49" t="str">
        <f>IF(Table2[[#This Row],[TradedValue5]]&gt;Table2[[#This Row],[TradedValue3]],"Y","N")</f>
        <v>Y</v>
      </c>
      <c r="AM126" s="49" t="str">
        <f>IF(Table2[[#This Row],[TradedValue5]]&gt;Table2[[#This Row],[TradedValue4]],"Y","N")</f>
        <v>N</v>
      </c>
      <c r="AN126" s="1">
        <f t="shared" si="108"/>
        <v>-0.41999999999999993</v>
      </c>
      <c r="AO126" s="1">
        <f t="shared" si="109"/>
        <v>-0.60000000000000009</v>
      </c>
      <c r="AP126" s="1">
        <f t="shared" si="110"/>
        <v>1.56</v>
      </c>
      <c r="AQ126" s="1">
        <f t="shared" si="111"/>
        <v>-1.1299999999999999</v>
      </c>
      <c r="AR126" s="1">
        <f>VLOOKUP(A126,symbol_2[[symbol]:[DelPer1]],5,)</f>
        <v>32.49</v>
      </c>
      <c r="AS126" s="1">
        <f>VLOOKUP(A126,symbol_2[[symbol]:[DelPer2]],9,)</f>
        <v>22.99</v>
      </c>
      <c r="AT126" s="1">
        <f>VLOOKUP(A126,symbol_2[[symbol]:[DelPer3]],13,)</f>
        <v>32.020000000000003</v>
      </c>
      <c r="AU126" s="1">
        <f>VLOOKUP(A126,symbol_2[[symbol]:[DelPer4]],17,)</f>
        <v>26.12</v>
      </c>
      <c r="AV126" s="1">
        <f>VLOOKUP(A126,symbol_2[[symbol]:[DelPer5]],21,)</f>
        <v>30.5</v>
      </c>
      <c r="AW126" s="49" t="str">
        <f t="shared" si="112"/>
        <v>N</v>
      </c>
      <c r="AX126" s="49" t="str">
        <f t="shared" si="113"/>
        <v>Y</v>
      </c>
      <c r="AY126" s="49" t="str">
        <f t="shared" si="114"/>
        <v>N</v>
      </c>
      <c r="AZ126" s="49" t="str">
        <f t="shared" si="115"/>
        <v>Y</v>
      </c>
      <c r="BA126" s="1">
        <f t="shared" si="116"/>
        <v>-9.5000000000000036</v>
      </c>
      <c r="BB126" s="1">
        <f t="shared" si="117"/>
        <v>9.0300000000000047</v>
      </c>
      <c r="BC126" s="1">
        <f t="shared" si="118"/>
        <v>-5.9000000000000021</v>
      </c>
      <c r="BD126" s="1">
        <f t="shared" si="119"/>
        <v>4.379999999999999</v>
      </c>
    </row>
    <row r="127" spans="1:56" hidden="1" x14ac:dyDescent="0.35">
      <c r="A127" s="116" t="s">
        <v>94</v>
      </c>
      <c r="B127" s="1" t="s">
        <v>1019</v>
      </c>
      <c r="C127" s="1" t="s">
        <v>52</v>
      </c>
      <c r="D127" s="1" t="s">
        <v>199</v>
      </c>
      <c r="E127" s="1">
        <f>VLOOKUP(A127,symbol_2[[symbol]:[Price1]],2,)</f>
        <v>30.6</v>
      </c>
      <c r="F127" s="1">
        <f>VLOOKUP(A127,symbol_2[[symbol]:[Price2]],6,)</f>
        <v>28.85</v>
      </c>
      <c r="G127" s="1">
        <f>VLOOKUP(A127,symbol_2[[symbol]:[Price3]],10,)</f>
        <v>29</v>
      </c>
      <c r="H127" s="1">
        <f>VLOOKUP(A127,symbol_2[[symbol]:[Price4]],14,)</f>
        <v>30.45</v>
      </c>
      <c r="I127" s="1">
        <f>VLOOKUP(A127,symbol_2[[symbol]:[Price5]],18,)</f>
        <v>31.2</v>
      </c>
      <c r="J127" s="49" t="str">
        <f t="shared" si="96"/>
        <v>N</v>
      </c>
      <c r="K127" s="49" t="str">
        <f t="shared" si="97"/>
        <v>Y</v>
      </c>
      <c r="L127" s="49" t="str">
        <f t="shared" si="98"/>
        <v>Y</v>
      </c>
      <c r="M127" s="49" t="str">
        <f t="shared" si="99"/>
        <v>Y</v>
      </c>
      <c r="N127" s="52">
        <f t="shared" si="100"/>
        <v>-5.7189542483660132</v>
      </c>
      <c r="O127" s="52">
        <f t="shared" si="101"/>
        <v>0.51993067590987374</v>
      </c>
      <c r="P127" s="52">
        <f t="shared" si="102"/>
        <v>4.9999999999999973</v>
      </c>
      <c r="Q127" s="52">
        <f t="shared" si="103"/>
        <v>2.4630541871921183</v>
      </c>
      <c r="R127" s="1">
        <f>VLOOKUP(A127,symbol_2[[symbol]:[TV1]],3,)</f>
        <v>23.59</v>
      </c>
      <c r="S127" s="1">
        <f>VLOOKUP(A127,symbol_2[[symbol]:[TV2]],7,)</f>
        <v>16.7</v>
      </c>
      <c r="T127" s="1">
        <f>VLOOKUP(A127,symbol_2[[symbol]:[TV3]],11,)</f>
        <v>14.28</v>
      </c>
      <c r="U127" s="1">
        <f>VLOOKUP(A127,symbol_2[[symbol]:[TV4]],15,)</f>
        <v>23.45</v>
      </c>
      <c r="V127" s="1">
        <f>VLOOKUP(A127,symbol_2[[symbol]:[TV5]],19,)</f>
        <v>21.89</v>
      </c>
      <c r="W127" s="1" t="str">
        <f t="shared" si="104"/>
        <v>N</v>
      </c>
      <c r="X127" s="1" t="str">
        <f t="shared" si="105"/>
        <v>N</v>
      </c>
      <c r="Y127" s="1" t="str">
        <f t="shared" si="106"/>
        <v>Y</v>
      </c>
      <c r="Z127" s="1" t="str">
        <f t="shared" si="107"/>
        <v>N</v>
      </c>
      <c r="AA127" s="1">
        <f>VLOOKUP(A129,symbol_2[[symbol]:[TradedValue1]],4,)</f>
        <v>932.89</v>
      </c>
      <c r="AB127" s="1">
        <f>VLOOKUP(A127,symbol_2[[symbol]:[TradedValue2]],8,)</f>
        <v>493.58</v>
      </c>
      <c r="AC127" s="1">
        <f>VLOOKUP(A127,symbol_2[[symbol]:[TradedValue3]],12,)</f>
        <v>409.42</v>
      </c>
      <c r="AD127" s="1">
        <f>VLOOKUP(A127,symbol_2[[symbol]:[TradedValue4]],16,)</f>
        <v>716.64</v>
      </c>
      <c r="AE127" s="1">
        <f>VLOOKUP(A127,symbol_2[[symbol]:[TradedValue5]],20,)</f>
        <v>679.47</v>
      </c>
      <c r="AF127" s="1">
        <f>Table2[[#This Row],[TradedValue2]]-Table2[[#This Row],[TradedValue1]]</f>
        <v>-439.31</v>
      </c>
      <c r="AG127" s="1">
        <f>Table2[[#This Row],[TradedValue3]]-Table2[[#This Row],[TradedValue2]]</f>
        <v>-84.159999999999968</v>
      </c>
      <c r="AH127" s="1">
        <f>Table2[[#This Row],[TradedValue4]]-Table2[[#This Row],[TradedValue3]]</f>
        <v>307.21999999999997</v>
      </c>
      <c r="AI127" s="1">
        <f>Table2[[#This Row],[TradedValue5]]-Table2[[#This Row],[TradedValue4]]</f>
        <v>-37.169999999999959</v>
      </c>
      <c r="AJ127" s="49" t="str">
        <f>IF(Table2[[#This Row],[TradedValue2]]&gt;Table2[[#This Row],[TradedValue1]],"Y","N")</f>
        <v>N</v>
      </c>
      <c r="AK127" s="49" t="str">
        <f>IF(Table2[[#This Row],[TradedValue3]]&gt;Table2[[#This Row],[TradedValue2]],"Y","N")</f>
        <v>N</v>
      </c>
      <c r="AL127" s="49" t="str">
        <f>IF(Table2[[#This Row],[TradedValue5]]&gt;Table2[[#This Row],[TradedValue3]],"Y","N")</f>
        <v>Y</v>
      </c>
      <c r="AM127" s="49" t="str">
        <f>IF(Table2[[#This Row],[TradedValue5]]&gt;Table2[[#This Row],[TradedValue4]],"Y","N")</f>
        <v>N</v>
      </c>
      <c r="AN127" s="1">
        <f t="shared" si="108"/>
        <v>-6.8900000000000006</v>
      </c>
      <c r="AO127" s="1">
        <f t="shared" si="109"/>
        <v>-2.42</v>
      </c>
      <c r="AP127" s="1">
        <f t="shared" si="110"/>
        <v>9.17</v>
      </c>
      <c r="AQ127" s="1">
        <f t="shared" si="111"/>
        <v>-1.5599999999999987</v>
      </c>
      <c r="AR127" s="1">
        <f>VLOOKUP(A127,symbol_2[[symbol]:[DelPer1]],5,)</f>
        <v>28.16</v>
      </c>
      <c r="AS127" s="1">
        <f>VLOOKUP(A127,symbol_2[[symbol]:[DelPer2]],9,)</f>
        <v>23.94</v>
      </c>
      <c r="AT127" s="1">
        <f>VLOOKUP(A127,symbol_2[[symbol]:[DelPer3]],13,)</f>
        <v>23.05</v>
      </c>
      <c r="AU127" s="1">
        <f>VLOOKUP(A127,symbol_2[[symbol]:[DelPer4]],17,)</f>
        <v>28.42</v>
      </c>
      <c r="AV127" s="1">
        <f>VLOOKUP(A127,symbol_2[[symbol]:[DelPer5]],21,)</f>
        <v>8.4</v>
      </c>
      <c r="AW127" s="49" t="str">
        <f t="shared" si="112"/>
        <v>N</v>
      </c>
      <c r="AX127" s="49" t="str">
        <f t="shared" si="113"/>
        <v>N</v>
      </c>
      <c r="AY127" s="49" t="str">
        <f t="shared" si="114"/>
        <v>Y</v>
      </c>
      <c r="AZ127" s="49" t="str">
        <f t="shared" si="115"/>
        <v>N</v>
      </c>
      <c r="BA127" s="1">
        <f t="shared" si="116"/>
        <v>-4.2199999999999989</v>
      </c>
      <c r="BB127" s="1">
        <f t="shared" si="117"/>
        <v>-0.89000000000000057</v>
      </c>
      <c r="BC127" s="1">
        <f t="shared" si="118"/>
        <v>5.370000000000001</v>
      </c>
      <c r="BD127" s="1">
        <f t="shared" si="119"/>
        <v>-20.020000000000003</v>
      </c>
    </row>
    <row r="128" spans="1:56" x14ac:dyDescent="0.35">
      <c r="A128" s="1" t="s">
        <v>133</v>
      </c>
      <c r="B128" s="1" t="s">
        <v>1006</v>
      </c>
      <c r="C128" s="1" t="s">
        <v>52</v>
      </c>
      <c r="D128" s="1" t="s">
        <v>199</v>
      </c>
      <c r="E128" s="1">
        <f>VLOOKUP(A128,symbol_2[[symbol]:[Price1]],2,)</f>
        <v>126.05</v>
      </c>
      <c r="F128" s="1">
        <f>VLOOKUP(A128,symbol_2[[symbol]:[Price2]],6,)</f>
        <v>124.85</v>
      </c>
      <c r="G128" s="1">
        <f>VLOOKUP(A128,symbol_2[[symbol]:[Price3]],10,)</f>
        <v>123.05</v>
      </c>
      <c r="H128" s="1">
        <f>VLOOKUP(A128,symbol_2[[symbol]:[Price4]],14,)</f>
        <v>123.5</v>
      </c>
      <c r="I128" s="1">
        <f>VLOOKUP(A128,symbol_2[[symbol]:[Price5]],18,)</f>
        <v>128.1</v>
      </c>
      <c r="J128" s="49" t="str">
        <f t="shared" si="96"/>
        <v>N</v>
      </c>
      <c r="K128" s="49" t="str">
        <f t="shared" si="97"/>
        <v>N</v>
      </c>
      <c r="L128" s="49" t="str">
        <f t="shared" si="98"/>
        <v>Y</v>
      </c>
      <c r="M128" s="49" t="str">
        <f t="shared" si="99"/>
        <v>Y</v>
      </c>
      <c r="N128" s="52">
        <f t="shared" si="100"/>
        <v>-0.95200317334391338</v>
      </c>
      <c r="O128" s="52">
        <f t="shared" si="101"/>
        <v>-1.4417300760913072</v>
      </c>
      <c r="P128" s="52">
        <f t="shared" si="102"/>
        <v>0.36570499796830791</v>
      </c>
      <c r="Q128" s="52">
        <f t="shared" si="103"/>
        <v>3.7246963562752993</v>
      </c>
      <c r="R128" s="1">
        <f>VLOOKUP(A128,symbol_2[[symbol]:[TV1]],3,)</f>
        <v>12.43</v>
      </c>
      <c r="S128" s="1">
        <f>VLOOKUP(A128,symbol_2[[symbol]:[TV2]],7,)</f>
        <v>7.69</v>
      </c>
      <c r="T128" s="1">
        <f>VLOOKUP(A128,symbol_2[[symbol]:[TV3]],11,)</f>
        <v>6.38</v>
      </c>
      <c r="U128" s="1">
        <f>VLOOKUP(A128,symbol_2[[symbol]:[TV4]],15,)</f>
        <v>9.24</v>
      </c>
      <c r="V128" s="1">
        <f>VLOOKUP(A128,symbol_2[[symbol]:[TV5]],19,)</f>
        <v>14.27</v>
      </c>
      <c r="W128" s="1" t="str">
        <f t="shared" si="104"/>
        <v>N</v>
      </c>
      <c r="X128" s="1" t="str">
        <f t="shared" si="105"/>
        <v>N</v>
      </c>
      <c r="Y128" s="1" t="str">
        <f t="shared" si="106"/>
        <v>Y</v>
      </c>
      <c r="Z128" s="1" t="str">
        <f t="shared" si="107"/>
        <v>Y</v>
      </c>
      <c r="AA128" s="1">
        <f>VLOOKUP(A130,symbol_2[[symbol]:[TradedValue1]],4,)</f>
        <v>169.85</v>
      </c>
      <c r="AB128" s="1">
        <f>VLOOKUP(A128,symbol_2[[symbol]:[TradedValue2]],8,)</f>
        <v>974.35</v>
      </c>
      <c r="AC128" s="1">
        <f>VLOOKUP(A128,symbol_2[[symbol]:[TradedValue3]],12,)</f>
        <v>782.06</v>
      </c>
      <c r="AD128" s="1">
        <f>VLOOKUP(A128,symbol_2[[symbol]:[TradedValue4]],16,)</f>
        <v>1163.58</v>
      </c>
      <c r="AE128" s="1">
        <f>VLOOKUP(A128,symbol_2[[symbol]:[TradedValue5]],20,)</f>
        <v>1818.07</v>
      </c>
      <c r="AF128" s="1">
        <f>Table2[[#This Row],[TradedValue2]]-Table2[[#This Row],[TradedValue1]]</f>
        <v>804.5</v>
      </c>
      <c r="AG128" s="1">
        <f>Table2[[#This Row],[TradedValue3]]-Table2[[#This Row],[TradedValue2]]</f>
        <v>-192.29000000000008</v>
      </c>
      <c r="AH128" s="1">
        <f>Table2[[#This Row],[TradedValue4]]-Table2[[#This Row],[TradedValue3]]</f>
        <v>381.52</v>
      </c>
      <c r="AI128" s="1">
        <f>Table2[[#This Row],[TradedValue5]]-Table2[[#This Row],[TradedValue4]]</f>
        <v>654.49</v>
      </c>
      <c r="AJ128" s="49" t="str">
        <f>IF(Table2[[#This Row],[TradedValue2]]&gt;Table2[[#This Row],[TradedValue1]],"Y","N")</f>
        <v>Y</v>
      </c>
      <c r="AK128" s="49" t="str">
        <f>IF(Table2[[#This Row],[TradedValue3]]&gt;Table2[[#This Row],[TradedValue2]],"Y","N")</f>
        <v>N</v>
      </c>
      <c r="AL128" s="49" t="str">
        <f>IF(Table2[[#This Row],[TradedValue5]]&gt;Table2[[#This Row],[TradedValue3]],"Y","N")</f>
        <v>Y</v>
      </c>
      <c r="AM128" s="49" t="str">
        <f>IF(Table2[[#This Row],[TradedValue5]]&gt;Table2[[#This Row],[TradedValue4]],"Y","N")</f>
        <v>Y</v>
      </c>
      <c r="AN128" s="1">
        <f t="shared" si="108"/>
        <v>-4.7399999999999993</v>
      </c>
      <c r="AO128" s="1">
        <f t="shared" si="109"/>
        <v>-1.3100000000000005</v>
      </c>
      <c r="AP128" s="1">
        <f t="shared" si="110"/>
        <v>2.8600000000000003</v>
      </c>
      <c r="AQ128" s="1">
        <f t="shared" si="111"/>
        <v>5.0299999999999994</v>
      </c>
      <c r="AR128" s="1">
        <f>VLOOKUP(A128,symbol_2[[symbol]:[DelPer1]],5,)</f>
        <v>35.880000000000003</v>
      </c>
      <c r="AS128" s="1">
        <f>VLOOKUP(A128,symbol_2[[symbol]:[DelPer2]],9,)</f>
        <v>19.2</v>
      </c>
      <c r="AT128" s="1">
        <f>VLOOKUP(A128,symbol_2[[symbol]:[DelPer3]],13,)</f>
        <v>19</v>
      </c>
      <c r="AU128" s="1">
        <f>VLOOKUP(A128,symbol_2[[symbol]:[DelPer4]],17,)</f>
        <v>21.35</v>
      </c>
      <c r="AV128" s="1">
        <f>VLOOKUP(A128,symbol_2[[symbol]:[DelPer5]],21,)</f>
        <v>44.51</v>
      </c>
      <c r="AW128" s="49" t="str">
        <f t="shared" si="112"/>
        <v>N</v>
      </c>
      <c r="AX128" s="49" t="str">
        <f t="shared" si="113"/>
        <v>N</v>
      </c>
      <c r="AY128" s="49" t="str">
        <f t="shared" si="114"/>
        <v>Y</v>
      </c>
      <c r="AZ128" s="49" t="str">
        <f t="shared" si="115"/>
        <v>Y</v>
      </c>
      <c r="BA128" s="1">
        <f t="shared" si="116"/>
        <v>-16.680000000000003</v>
      </c>
      <c r="BB128" s="1">
        <f t="shared" si="117"/>
        <v>-0.19999999999999929</v>
      </c>
      <c r="BC128" s="1">
        <f t="shared" si="118"/>
        <v>2.3500000000000014</v>
      </c>
      <c r="BD128" s="1">
        <f t="shared" si="119"/>
        <v>23.159999999999997</v>
      </c>
    </row>
    <row r="129" spans="1:56" hidden="1" x14ac:dyDescent="0.35">
      <c r="A129" s="116" t="s">
        <v>100</v>
      </c>
      <c r="B129" s="1" t="s">
        <v>1014</v>
      </c>
      <c r="C129" s="1" t="s">
        <v>52</v>
      </c>
      <c r="D129" s="1" t="s">
        <v>199</v>
      </c>
      <c r="E129" s="1">
        <f>VLOOKUP(A129,symbol_2[[symbol]:[Price1]],2,)</f>
        <v>214.9</v>
      </c>
      <c r="F129" s="1">
        <f>VLOOKUP(A129,symbol_2[[symbol]:[Price2]],6,)</f>
        <v>209.1</v>
      </c>
      <c r="G129" s="1">
        <f>VLOOKUP(A129,symbol_2[[symbol]:[Price3]],10,)</f>
        <v>208.95</v>
      </c>
      <c r="H129" s="1">
        <f>VLOOKUP(A129,symbol_2[[symbol]:[Price4]],14,)</f>
        <v>210.1</v>
      </c>
      <c r="I129" s="1">
        <f>VLOOKUP(A129,symbol_2[[symbol]:[Price5]],18,)</f>
        <v>220.15</v>
      </c>
      <c r="J129" s="49" t="str">
        <f t="shared" si="96"/>
        <v>N</v>
      </c>
      <c r="K129" s="49" t="str">
        <f t="shared" si="97"/>
        <v>N</v>
      </c>
      <c r="L129" s="49" t="str">
        <f t="shared" si="98"/>
        <v>Y</v>
      </c>
      <c r="M129" s="49" t="str">
        <f t="shared" si="99"/>
        <v>Y</v>
      </c>
      <c r="N129" s="52">
        <f t="shared" si="100"/>
        <v>-2.6989297347603589</v>
      </c>
      <c r="O129" s="52">
        <f t="shared" si="101"/>
        <v>-7.1736011477764566E-2</v>
      </c>
      <c r="P129" s="52">
        <f t="shared" si="102"/>
        <v>0.55037090212969886</v>
      </c>
      <c r="Q129" s="52">
        <f t="shared" si="103"/>
        <v>4.7834364588291347</v>
      </c>
      <c r="R129" s="1">
        <f>VLOOKUP(A129,symbol_2[[symbol]:[TV1]],3,)</f>
        <v>4.34</v>
      </c>
      <c r="S129" s="1">
        <f>VLOOKUP(A129,symbol_2[[symbol]:[TV2]],7,)</f>
        <v>1.05</v>
      </c>
      <c r="T129" s="1">
        <f>VLOOKUP(A129,symbol_2[[symbol]:[TV3]],11,)</f>
        <v>0.73</v>
      </c>
      <c r="U129" s="1">
        <f>VLOOKUP(A129,symbol_2[[symbol]:[TV4]],15,)</f>
        <v>2.37</v>
      </c>
      <c r="V129" s="1">
        <f>VLOOKUP(A129,symbol_2[[symbol]:[TV5]],19,)</f>
        <v>3.57</v>
      </c>
      <c r="W129" s="1" t="str">
        <f t="shared" si="104"/>
        <v>N</v>
      </c>
      <c r="X129" s="1" t="str">
        <f t="shared" si="105"/>
        <v>N</v>
      </c>
      <c r="Y129" s="1" t="str">
        <f t="shared" si="106"/>
        <v>Y</v>
      </c>
      <c r="Z129" s="1" t="str">
        <f t="shared" si="107"/>
        <v>Y</v>
      </c>
      <c r="AA129" s="1">
        <f>VLOOKUP(A131,symbol_2[[symbol]:[TradedValue1]],4,)</f>
        <v>88.1</v>
      </c>
      <c r="AB129" s="1">
        <f>VLOOKUP(A129,symbol_2[[symbol]:[TradedValue2]],8,)</f>
        <v>221.84</v>
      </c>
      <c r="AC129" s="1">
        <f>VLOOKUP(A129,symbol_2[[symbol]:[TradedValue3]],12,)</f>
        <v>153.12</v>
      </c>
      <c r="AD129" s="1">
        <f>VLOOKUP(A129,symbol_2[[symbol]:[TradedValue4]],16,)</f>
        <v>499.85</v>
      </c>
      <c r="AE129" s="1">
        <f>VLOOKUP(A129,symbol_2[[symbol]:[TradedValue5]],20,)</f>
        <v>771.78</v>
      </c>
      <c r="AF129" s="1">
        <f>Table2[[#This Row],[TradedValue2]]-Table2[[#This Row],[TradedValue1]]</f>
        <v>133.74</v>
      </c>
      <c r="AG129" s="1">
        <f>Table2[[#This Row],[TradedValue3]]-Table2[[#This Row],[TradedValue2]]</f>
        <v>-68.72</v>
      </c>
      <c r="AH129" s="1">
        <f>Table2[[#This Row],[TradedValue4]]-Table2[[#This Row],[TradedValue3]]</f>
        <v>346.73</v>
      </c>
      <c r="AI129" s="1">
        <f>Table2[[#This Row],[TradedValue5]]-Table2[[#This Row],[TradedValue4]]</f>
        <v>271.92999999999995</v>
      </c>
      <c r="AJ129" s="49" t="str">
        <f>IF(Table2[[#This Row],[TradedValue2]]&gt;Table2[[#This Row],[TradedValue1]],"Y","N")</f>
        <v>Y</v>
      </c>
      <c r="AK129" s="49" t="str">
        <f>IF(Table2[[#This Row],[TradedValue3]]&gt;Table2[[#This Row],[TradedValue2]],"Y","N")</f>
        <v>N</v>
      </c>
      <c r="AL129" s="49" t="str">
        <f>IF(Table2[[#This Row],[TradedValue5]]&gt;Table2[[#This Row],[TradedValue3]],"Y","N")</f>
        <v>Y</v>
      </c>
      <c r="AM129" s="49" t="str">
        <f>IF(Table2[[#This Row],[TradedValue5]]&gt;Table2[[#This Row],[TradedValue4]],"Y","N")</f>
        <v>Y</v>
      </c>
      <c r="AN129" s="1">
        <f t="shared" si="108"/>
        <v>-3.29</v>
      </c>
      <c r="AO129" s="1">
        <f t="shared" si="109"/>
        <v>-0.32000000000000006</v>
      </c>
      <c r="AP129" s="1">
        <f t="shared" si="110"/>
        <v>1.6400000000000001</v>
      </c>
      <c r="AQ129" s="1">
        <f t="shared" si="111"/>
        <v>1.1999999999999997</v>
      </c>
      <c r="AR129" s="1">
        <f>VLOOKUP(A129,symbol_2[[symbol]:[DelPer1]],5,)</f>
        <v>35.22</v>
      </c>
      <c r="AS129" s="1">
        <f>VLOOKUP(A129,symbol_2[[symbol]:[DelPer2]],9,)</f>
        <v>35.94</v>
      </c>
      <c r="AT129" s="1">
        <f>VLOOKUP(A129,symbol_2[[symbol]:[DelPer3]],13,)</f>
        <v>42.24</v>
      </c>
      <c r="AU129" s="1">
        <f>VLOOKUP(A129,symbol_2[[symbol]:[DelPer4]],17,)</f>
        <v>59.41</v>
      </c>
      <c r="AV129" s="1">
        <f>VLOOKUP(A129,symbol_2[[symbol]:[DelPer5]],21,)</f>
        <v>59.38</v>
      </c>
      <c r="AW129" s="49" t="str">
        <f t="shared" si="112"/>
        <v>Y</v>
      </c>
      <c r="AX129" s="49" t="str">
        <f t="shared" si="113"/>
        <v>Y</v>
      </c>
      <c r="AY129" s="49" t="str">
        <f t="shared" si="114"/>
        <v>Y</v>
      </c>
      <c r="AZ129" s="49" t="str">
        <f t="shared" si="115"/>
        <v>N</v>
      </c>
      <c r="BA129" s="1">
        <f t="shared" si="116"/>
        <v>0.71999999999999886</v>
      </c>
      <c r="BB129" s="1">
        <f t="shared" si="117"/>
        <v>6.3000000000000043</v>
      </c>
      <c r="BC129" s="1">
        <f t="shared" si="118"/>
        <v>17.169999999999995</v>
      </c>
      <c r="BD129" s="1">
        <f t="shared" si="119"/>
        <v>-2.9999999999994031E-2</v>
      </c>
    </row>
    <row r="130" spans="1:56" hidden="1" x14ac:dyDescent="0.35">
      <c r="A130" s="116" t="s">
        <v>145</v>
      </c>
      <c r="B130" s="1" t="s">
        <v>1007</v>
      </c>
      <c r="C130" s="1" t="s">
        <v>52</v>
      </c>
      <c r="D130" s="1" t="s">
        <v>199</v>
      </c>
      <c r="E130" s="1">
        <f>VLOOKUP(A130,symbol_2[[symbol]:[Price1]],2,)</f>
        <v>62.95</v>
      </c>
      <c r="F130" s="1">
        <f>VLOOKUP(A130,symbol_2[[symbol]:[Price2]],6,)</f>
        <v>61.7</v>
      </c>
      <c r="G130" s="1">
        <f>VLOOKUP(A130,symbol_2[[symbol]:[Price3]],10,)</f>
        <v>62</v>
      </c>
      <c r="H130" s="1">
        <f>VLOOKUP(A130,symbol_2[[symbol]:[Price4]],14,)</f>
        <v>62.7</v>
      </c>
      <c r="I130" s="1">
        <f>VLOOKUP(A130,symbol_2[[symbol]:[Price5]],18,)</f>
        <v>62.95</v>
      </c>
      <c r="J130" s="49" t="str">
        <f t="shared" ref="J130:J161" si="120">IF(F130&gt;E130,"Y","N")</f>
        <v>N</v>
      </c>
      <c r="K130" s="49" t="str">
        <f t="shared" ref="K130:K161" si="121">IF(G130&gt;F130,"Y","N")</f>
        <v>Y</v>
      </c>
      <c r="L130" s="49" t="str">
        <f t="shared" ref="L130:L161" si="122">IF(H130&gt;G130,"Y","N")</f>
        <v>Y</v>
      </c>
      <c r="M130" s="49" t="str">
        <f t="shared" ref="M130:M161" si="123">IF(I130&gt;H130,"Y","N")</f>
        <v>Y</v>
      </c>
      <c r="N130" s="52">
        <f t="shared" ref="N130:N161" si="124">((F130-E130)/E130)*100</f>
        <v>-1.9857029388403495</v>
      </c>
      <c r="O130" s="52">
        <f t="shared" ref="O130:O161" si="125">((G130-F130)/F130)*100</f>
        <v>0.48622366288492241</v>
      </c>
      <c r="P130" s="52">
        <f t="shared" ref="P130:P161" si="126">((H130-G130)/G130)*100</f>
        <v>1.1290322580645207</v>
      </c>
      <c r="Q130" s="52">
        <f t="shared" ref="Q130:Q161" si="127">((I130-H130)/H130)*100</f>
        <v>0.3987240829346092</v>
      </c>
      <c r="R130" s="1">
        <f>VLOOKUP(A130,symbol_2[[symbol]:[TV1]],3,)</f>
        <v>2.68</v>
      </c>
      <c r="S130" s="1">
        <f>VLOOKUP(A130,symbol_2[[symbol]:[TV2]],7,)</f>
        <v>1.83</v>
      </c>
      <c r="T130" s="1">
        <f>VLOOKUP(A130,symbol_2[[symbol]:[TV3]],11,)</f>
        <v>4.0599999999999996</v>
      </c>
      <c r="U130" s="1">
        <f>VLOOKUP(A130,symbol_2[[symbol]:[TV4]],15,)</f>
        <v>2.23</v>
      </c>
      <c r="V130" s="1">
        <f>VLOOKUP(A130,symbol_2[[symbol]:[TV5]],19,)</f>
        <v>3.18</v>
      </c>
      <c r="W130" s="1" t="str">
        <f t="shared" ref="W130:W161" si="128">IF(S130&gt;R130,"Y","N")</f>
        <v>N</v>
      </c>
      <c r="X130" s="1" t="str">
        <f t="shared" ref="X130:X161" si="129">IF(T130&gt;S130,"Y","N")</f>
        <v>Y</v>
      </c>
      <c r="Y130" s="1" t="str">
        <f t="shared" ref="Y130:Y161" si="130">IF(U130&gt;T130,"Y","N")</f>
        <v>N</v>
      </c>
      <c r="Z130" s="1" t="str">
        <f t="shared" ref="Z130:Z161" si="131">IF(V130&gt;U130,"Y","N")</f>
        <v>Y</v>
      </c>
      <c r="AA130" s="1">
        <f>VLOOKUP(A132,symbol_2[[symbol]:[TradedValue1]],4,)</f>
        <v>218.35</v>
      </c>
      <c r="AB130" s="1">
        <f>VLOOKUP(A130,symbol_2[[symbol]:[TradedValue2]],8,)</f>
        <v>113.21</v>
      </c>
      <c r="AC130" s="1">
        <f>VLOOKUP(A130,symbol_2[[symbol]:[TradedValue3]],12,)</f>
        <v>250.8</v>
      </c>
      <c r="AD130" s="1">
        <f>VLOOKUP(A130,symbol_2[[symbol]:[TradedValue4]],16,)</f>
        <v>139.38999999999999</v>
      </c>
      <c r="AE130" s="1">
        <f>VLOOKUP(A130,symbol_2[[symbol]:[TradedValue5]],20,)</f>
        <v>200.43</v>
      </c>
      <c r="AF130" s="1">
        <f>Table2[[#This Row],[TradedValue2]]-Table2[[#This Row],[TradedValue1]]</f>
        <v>-105.14</v>
      </c>
      <c r="AG130" s="1">
        <f>Table2[[#This Row],[TradedValue3]]-Table2[[#This Row],[TradedValue2]]</f>
        <v>137.59000000000003</v>
      </c>
      <c r="AH130" s="1">
        <f>Table2[[#This Row],[TradedValue4]]-Table2[[#This Row],[TradedValue3]]</f>
        <v>-111.41000000000003</v>
      </c>
      <c r="AI130" s="1">
        <f>Table2[[#This Row],[TradedValue5]]-Table2[[#This Row],[TradedValue4]]</f>
        <v>61.04000000000002</v>
      </c>
      <c r="AJ130" s="49" t="str">
        <f>IF(Table2[[#This Row],[TradedValue2]]&gt;Table2[[#This Row],[TradedValue1]],"Y","N")</f>
        <v>N</v>
      </c>
      <c r="AK130" s="49" t="str">
        <f>IF(Table2[[#This Row],[TradedValue3]]&gt;Table2[[#This Row],[TradedValue2]],"Y","N")</f>
        <v>Y</v>
      </c>
      <c r="AL130" s="49" t="str">
        <f>IF(Table2[[#This Row],[TradedValue5]]&gt;Table2[[#This Row],[TradedValue3]],"Y","N")</f>
        <v>N</v>
      </c>
      <c r="AM130" s="49" t="str">
        <f>IF(Table2[[#This Row],[TradedValue5]]&gt;Table2[[#This Row],[TradedValue4]],"Y","N")</f>
        <v>Y</v>
      </c>
      <c r="AN130" s="1">
        <f t="shared" ref="AN130:AN161" si="132">S130-R130</f>
        <v>-0.85000000000000009</v>
      </c>
      <c r="AO130" s="1">
        <f t="shared" ref="AO130:AO161" si="133">T130-S130</f>
        <v>2.2299999999999995</v>
      </c>
      <c r="AP130" s="1">
        <f t="shared" ref="AP130:AP161" si="134">U130-T130</f>
        <v>-1.8299999999999996</v>
      </c>
      <c r="AQ130" s="1">
        <f t="shared" ref="AQ130:AQ161" si="135">V130-U130</f>
        <v>0.95000000000000018</v>
      </c>
      <c r="AR130" s="1">
        <f>VLOOKUP(A130,symbol_2[[symbol]:[DelPer1]],5,)</f>
        <v>55.61</v>
      </c>
      <c r="AS130" s="1">
        <f>VLOOKUP(A130,symbol_2[[symbol]:[DelPer2]],9,)</f>
        <v>19.059999999999999</v>
      </c>
      <c r="AT130" s="1">
        <f>VLOOKUP(A130,symbol_2[[symbol]:[DelPer3]],13,)</f>
        <v>30.44</v>
      </c>
      <c r="AU130" s="1">
        <f>VLOOKUP(A130,symbol_2[[symbol]:[DelPer4]],17,)</f>
        <v>47.75</v>
      </c>
      <c r="AV130" s="1">
        <f>VLOOKUP(A130,symbol_2[[symbol]:[DelPer5]],21,)</f>
        <v>47.45</v>
      </c>
      <c r="AW130" s="49" t="str">
        <f t="shared" ref="AW130:AW161" si="136">IF(AS130&gt;AR130,"Y","N")</f>
        <v>N</v>
      </c>
      <c r="AX130" s="49" t="str">
        <f t="shared" ref="AX130:AX161" si="137">IF(AT130&gt;AS130,"Y","N")</f>
        <v>Y</v>
      </c>
      <c r="AY130" s="49" t="str">
        <f t="shared" ref="AY130:AY161" si="138">IF(AU130&gt;AT130,"Y","N")</f>
        <v>Y</v>
      </c>
      <c r="AZ130" s="49" t="str">
        <f t="shared" ref="AZ130:AZ161" si="139">IF(AV130&gt;AU130,"Y","N")</f>
        <v>N</v>
      </c>
      <c r="BA130" s="1">
        <f t="shared" ref="BA130:BA161" si="140">AS130-AR130</f>
        <v>-36.549999999999997</v>
      </c>
      <c r="BB130" s="1">
        <f t="shared" ref="BB130:BB161" si="141">AT130-AS130</f>
        <v>11.380000000000003</v>
      </c>
      <c r="BC130" s="1">
        <f t="shared" ref="BC130:BC161" si="142">AU130-AT130</f>
        <v>17.309999999999999</v>
      </c>
      <c r="BD130" s="1">
        <f t="shared" ref="BD130:BD161" si="143">AV130-AU130</f>
        <v>-0.29999999999999716</v>
      </c>
    </row>
    <row r="131" spans="1:56" hidden="1" x14ac:dyDescent="0.35">
      <c r="A131" s="116" t="s">
        <v>116</v>
      </c>
      <c r="B131" s="1" t="s">
        <v>1006</v>
      </c>
      <c r="C131" s="1" t="s">
        <v>52</v>
      </c>
      <c r="D131" s="1" t="s">
        <v>199</v>
      </c>
      <c r="E131" s="1">
        <f>VLOOKUP(A131,symbol_2[[symbol]:[Price1]],2,)</f>
        <v>10.15</v>
      </c>
      <c r="F131" s="1">
        <f>VLOOKUP(A131,symbol_2[[symbol]:[Price2]],6,)</f>
        <v>9.9499999999999993</v>
      </c>
      <c r="G131" s="1">
        <f>VLOOKUP(A131,symbol_2[[symbol]:[Price3]],10,)</f>
        <v>10.4</v>
      </c>
      <c r="H131" s="1">
        <f>VLOOKUP(A131,symbol_2[[symbol]:[Price4]],14,)</f>
        <v>10.199999999999999</v>
      </c>
      <c r="I131" s="1">
        <f>VLOOKUP(A131,symbol_2[[symbol]:[Price5]],18,)</f>
        <v>10.8</v>
      </c>
      <c r="J131" s="49" t="str">
        <f t="shared" si="120"/>
        <v>N</v>
      </c>
      <c r="K131" s="49" t="str">
        <f t="shared" si="121"/>
        <v>Y</v>
      </c>
      <c r="L131" s="49" t="str">
        <f t="shared" si="122"/>
        <v>N</v>
      </c>
      <c r="M131" s="49" t="str">
        <f t="shared" si="123"/>
        <v>Y</v>
      </c>
      <c r="N131" s="52">
        <f t="shared" si="124"/>
        <v>-1.9704433497537051</v>
      </c>
      <c r="O131" s="52">
        <f t="shared" si="125"/>
        <v>4.5226130653266443</v>
      </c>
      <c r="P131" s="52">
        <f t="shared" si="126"/>
        <v>-1.9230769230769333</v>
      </c>
      <c r="Q131" s="52">
        <f t="shared" si="127"/>
        <v>5.8823529411764852</v>
      </c>
      <c r="R131" s="1">
        <f>VLOOKUP(A131,symbol_2[[symbol]:[TV1]],3,)</f>
        <v>8.98</v>
      </c>
      <c r="S131" s="1">
        <f>VLOOKUP(A131,symbol_2[[symbol]:[TV2]],7,)</f>
        <v>5.27</v>
      </c>
      <c r="T131" s="1">
        <f>VLOOKUP(A131,symbol_2[[symbol]:[TV3]],11,)</f>
        <v>23.11</v>
      </c>
      <c r="U131" s="1">
        <f>VLOOKUP(A131,symbol_2[[symbol]:[TV4]],15,)</f>
        <v>9.0500000000000007</v>
      </c>
      <c r="V131" s="1">
        <f>VLOOKUP(A131,symbol_2[[symbol]:[TV5]],19,)</f>
        <v>6.04</v>
      </c>
      <c r="W131" s="1" t="str">
        <f t="shared" si="128"/>
        <v>N</v>
      </c>
      <c r="X131" s="1" t="str">
        <f t="shared" si="129"/>
        <v>Y</v>
      </c>
      <c r="Y131" s="1" t="str">
        <f t="shared" si="130"/>
        <v>N</v>
      </c>
      <c r="Z131" s="1" t="str">
        <f t="shared" si="131"/>
        <v>N</v>
      </c>
      <c r="AA131" s="1">
        <f>VLOOKUP(A131,symbol_2[[symbol]:[TradedValue1]],4,)</f>
        <v>88.1</v>
      </c>
      <c r="AB131" s="1">
        <f>VLOOKUP(A131,symbol_2[[symbol]:[TradedValue2]],8,)</f>
        <v>52.54</v>
      </c>
      <c r="AC131" s="1">
        <f>VLOOKUP(A131,symbol_2[[symbol]:[TradedValue3]],12,)</f>
        <v>232.84</v>
      </c>
      <c r="AD131" s="1">
        <f>VLOOKUP(A131,symbol_2[[symbol]:[TradedValue4]],16,)</f>
        <v>95.07</v>
      </c>
      <c r="AE131" s="1">
        <f>VLOOKUP(A131,symbol_2[[symbol]:[TradedValue5]],20,)</f>
        <v>64.14</v>
      </c>
      <c r="AF131" s="1">
        <f>Table2[[#This Row],[TradedValue2]]-Table2[[#This Row],[TradedValue1]]</f>
        <v>-35.559999999999995</v>
      </c>
      <c r="AG131" s="1">
        <f>Table2[[#This Row],[TradedValue3]]-Table2[[#This Row],[TradedValue2]]</f>
        <v>180.3</v>
      </c>
      <c r="AH131" s="1">
        <f>Table2[[#This Row],[TradedValue4]]-Table2[[#This Row],[TradedValue3]]</f>
        <v>-137.77000000000001</v>
      </c>
      <c r="AI131" s="1">
        <f>Table2[[#This Row],[TradedValue5]]-Table2[[#This Row],[TradedValue4]]</f>
        <v>-30.929999999999993</v>
      </c>
      <c r="AJ131" s="49" t="str">
        <f>IF(Table2[[#This Row],[TradedValue2]]&gt;Table2[[#This Row],[TradedValue1]],"Y","N")</f>
        <v>N</v>
      </c>
      <c r="AK131" s="49" t="str">
        <f>IF(Table2[[#This Row],[TradedValue3]]&gt;Table2[[#This Row],[TradedValue2]],"Y","N")</f>
        <v>Y</v>
      </c>
      <c r="AL131" s="49" t="str">
        <f>IF(Table2[[#This Row],[TradedValue5]]&gt;Table2[[#This Row],[TradedValue3]],"Y","N")</f>
        <v>N</v>
      </c>
      <c r="AM131" s="49" t="str">
        <f>IF(Table2[[#This Row],[TradedValue5]]&gt;Table2[[#This Row],[TradedValue4]],"Y","N")</f>
        <v>N</v>
      </c>
      <c r="AN131" s="1">
        <f t="shared" si="132"/>
        <v>-3.7100000000000009</v>
      </c>
      <c r="AO131" s="1">
        <f t="shared" si="133"/>
        <v>17.84</v>
      </c>
      <c r="AP131" s="1">
        <f t="shared" si="134"/>
        <v>-14.059999999999999</v>
      </c>
      <c r="AQ131" s="1">
        <f t="shared" si="135"/>
        <v>-3.0100000000000007</v>
      </c>
      <c r="AR131" s="1">
        <f>VLOOKUP(A131,symbol_2[[symbol]:[DelPer1]],5,)</f>
        <v>22.53</v>
      </c>
      <c r="AS131" s="1">
        <f>VLOOKUP(A131,symbol_2[[symbol]:[DelPer2]],9,)</f>
        <v>25.92</v>
      </c>
      <c r="AT131" s="1">
        <f>VLOOKUP(A131,symbol_2[[symbol]:[DelPer3]],13,)</f>
        <v>11.45</v>
      </c>
      <c r="AU131" s="1">
        <f>VLOOKUP(A131,symbol_2[[symbol]:[DelPer4]],17,)</f>
        <v>24.65</v>
      </c>
      <c r="AV131" s="1">
        <f>VLOOKUP(A131,symbol_2[[symbol]:[DelPer5]],21,)</f>
        <v>27.47</v>
      </c>
      <c r="AW131" s="49" t="str">
        <f t="shared" si="136"/>
        <v>Y</v>
      </c>
      <c r="AX131" s="49" t="str">
        <f t="shared" si="137"/>
        <v>N</v>
      </c>
      <c r="AY131" s="49" t="str">
        <f t="shared" si="138"/>
        <v>Y</v>
      </c>
      <c r="AZ131" s="49" t="str">
        <f t="shared" si="139"/>
        <v>Y</v>
      </c>
      <c r="BA131" s="1">
        <f t="shared" si="140"/>
        <v>3.3900000000000006</v>
      </c>
      <c r="BB131" s="1">
        <f t="shared" si="141"/>
        <v>-14.470000000000002</v>
      </c>
      <c r="BC131" s="1">
        <f t="shared" si="142"/>
        <v>13.2</v>
      </c>
      <c r="BD131" s="1">
        <f t="shared" si="143"/>
        <v>2.8200000000000003</v>
      </c>
    </row>
    <row r="132" spans="1:56" hidden="1" x14ac:dyDescent="0.35">
      <c r="A132" s="1" t="s">
        <v>190</v>
      </c>
      <c r="B132" s="1" t="s">
        <v>1025</v>
      </c>
      <c r="C132" s="1" t="s">
        <v>52</v>
      </c>
      <c r="D132" s="1" t="s">
        <v>199</v>
      </c>
      <c r="E132" s="1">
        <f>VLOOKUP(A132,symbol_2[[symbol]:[Price1]],2,)</f>
        <v>248.05</v>
      </c>
      <c r="F132" s="1">
        <f>VLOOKUP(A132,symbol_2[[symbol]:[Price2]],6,)</f>
        <v>241.55</v>
      </c>
      <c r="G132" s="1">
        <f>VLOOKUP(A132,symbol_2[[symbol]:[Price3]],10,)</f>
        <v>240.5</v>
      </c>
      <c r="H132" s="1">
        <f>VLOOKUP(A132,symbol_2[[symbol]:[Price4]],14,)</f>
        <v>244.1</v>
      </c>
      <c r="I132" s="1">
        <f>VLOOKUP(A132,symbol_2[[symbol]:[Price5]],18,)</f>
        <v>242.8</v>
      </c>
      <c r="J132" s="49" t="str">
        <f t="shared" si="120"/>
        <v>N</v>
      </c>
      <c r="K132" s="49" t="str">
        <f t="shared" si="121"/>
        <v>N</v>
      </c>
      <c r="L132" s="49" t="str">
        <f t="shared" si="122"/>
        <v>Y</v>
      </c>
      <c r="M132" s="49" t="str">
        <f t="shared" si="123"/>
        <v>N</v>
      </c>
      <c r="N132" s="52">
        <f t="shared" si="124"/>
        <v>-2.6204394275347713</v>
      </c>
      <c r="O132" s="52">
        <f t="shared" si="125"/>
        <v>-0.43469261022563088</v>
      </c>
      <c r="P132" s="52">
        <f t="shared" si="126"/>
        <v>1.4968814968814945</v>
      </c>
      <c r="Q132" s="52">
        <f t="shared" si="127"/>
        <v>-0.53256861941826428</v>
      </c>
      <c r="R132" s="1">
        <f>VLOOKUP(A132,symbol_2[[symbol]:[TV1]],3,)</f>
        <v>0.89</v>
      </c>
      <c r="S132" s="1">
        <f>VLOOKUP(A132,symbol_2[[symbol]:[TV2]],7,)</f>
        <v>0.46</v>
      </c>
      <c r="T132" s="1">
        <f>VLOOKUP(A132,symbol_2[[symbol]:[TV3]],11,)</f>
        <v>0.28000000000000003</v>
      </c>
      <c r="U132" s="1">
        <f>VLOOKUP(A132,symbol_2[[symbol]:[TV4]],15,)</f>
        <v>1.64</v>
      </c>
      <c r="V132" s="1">
        <f>VLOOKUP(A132,symbol_2[[symbol]:[TV5]],19,)</f>
        <v>0.55000000000000004</v>
      </c>
      <c r="W132" s="1" t="str">
        <f t="shared" si="128"/>
        <v>N</v>
      </c>
      <c r="X132" s="1" t="str">
        <f t="shared" si="129"/>
        <v>N</v>
      </c>
      <c r="Y132" s="1" t="str">
        <f t="shared" si="130"/>
        <v>Y</v>
      </c>
      <c r="Z132" s="1" t="str">
        <f t="shared" si="131"/>
        <v>N</v>
      </c>
      <c r="AA132" s="1">
        <f>VLOOKUP(A132,symbol_2[[symbol]:[TradedValue1]],4,)</f>
        <v>218.35</v>
      </c>
      <c r="AB132" s="1">
        <f>VLOOKUP(A132,symbol_2[[symbol]:[TradedValue2]],8,)</f>
        <v>111.34</v>
      </c>
      <c r="AC132" s="1">
        <f>VLOOKUP(A132,symbol_2[[symbol]:[TradedValue3]],12,)</f>
        <v>66.8</v>
      </c>
      <c r="AD132" s="1">
        <f>VLOOKUP(A132,symbol_2[[symbol]:[TradedValue4]],16,)</f>
        <v>398.82</v>
      </c>
      <c r="AE132" s="1">
        <f>VLOOKUP(A132,symbol_2[[symbol]:[TradedValue5]],20,)</f>
        <v>132.61000000000001</v>
      </c>
      <c r="AF132" s="1">
        <f>Table2[[#This Row],[TradedValue2]]-Table2[[#This Row],[TradedValue1]]</f>
        <v>-107.00999999999999</v>
      </c>
      <c r="AG132" s="1">
        <f>Table2[[#This Row],[TradedValue3]]-Table2[[#This Row],[TradedValue2]]</f>
        <v>-44.540000000000006</v>
      </c>
      <c r="AH132" s="1">
        <f>Table2[[#This Row],[TradedValue4]]-Table2[[#This Row],[TradedValue3]]</f>
        <v>332.02</v>
      </c>
      <c r="AI132" s="1">
        <f>Table2[[#This Row],[TradedValue5]]-Table2[[#This Row],[TradedValue4]]</f>
        <v>-266.20999999999998</v>
      </c>
      <c r="AJ132" s="49" t="str">
        <f>IF(Table2[[#This Row],[TradedValue2]]&gt;Table2[[#This Row],[TradedValue1]],"Y","N")</f>
        <v>N</v>
      </c>
      <c r="AK132" s="49" t="str">
        <f>IF(Table2[[#This Row],[TradedValue3]]&gt;Table2[[#This Row],[TradedValue2]],"Y","N")</f>
        <v>N</v>
      </c>
      <c r="AL132" s="49" t="str">
        <f>IF(Table2[[#This Row],[TradedValue5]]&gt;Table2[[#This Row],[TradedValue3]],"Y","N")</f>
        <v>Y</v>
      </c>
      <c r="AM132" s="49" t="str">
        <f>IF(Table2[[#This Row],[TradedValue5]]&gt;Table2[[#This Row],[TradedValue4]],"Y","N")</f>
        <v>N</v>
      </c>
      <c r="AN132" s="1">
        <f t="shared" si="132"/>
        <v>-0.43</v>
      </c>
      <c r="AO132" s="1">
        <f t="shared" si="133"/>
        <v>-0.18</v>
      </c>
      <c r="AP132" s="1">
        <f t="shared" si="134"/>
        <v>1.3599999999999999</v>
      </c>
      <c r="AQ132" s="1">
        <f t="shared" si="135"/>
        <v>-1.0899999999999999</v>
      </c>
      <c r="AR132" s="1">
        <f>VLOOKUP(A132,symbol_2[[symbol]:[DelPer1]],5,)</f>
        <v>27.27</v>
      </c>
      <c r="AS132" s="1">
        <f>VLOOKUP(A132,symbol_2[[symbol]:[DelPer2]],9,)</f>
        <v>35.979999999999997</v>
      </c>
      <c r="AT132" s="1">
        <f>VLOOKUP(A132,symbol_2[[symbol]:[DelPer3]],13,)</f>
        <v>31.42</v>
      </c>
      <c r="AU132" s="1">
        <f>VLOOKUP(A132,symbol_2[[symbol]:[DelPer4]],17,)</f>
        <v>60.07</v>
      </c>
      <c r="AV132" s="1">
        <f>VLOOKUP(A132,symbol_2[[symbol]:[DelPer5]],21,)</f>
        <v>46.1</v>
      </c>
      <c r="AW132" s="49" t="str">
        <f t="shared" si="136"/>
        <v>Y</v>
      </c>
      <c r="AX132" s="49" t="str">
        <f t="shared" si="137"/>
        <v>N</v>
      </c>
      <c r="AY132" s="49" t="str">
        <f t="shared" si="138"/>
        <v>Y</v>
      </c>
      <c r="AZ132" s="49" t="str">
        <f t="shared" si="139"/>
        <v>N</v>
      </c>
      <c r="BA132" s="1">
        <f t="shared" si="140"/>
        <v>8.7099999999999973</v>
      </c>
      <c r="BB132" s="1">
        <f t="shared" si="141"/>
        <v>-4.5599999999999952</v>
      </c>
      <c r="BC132" s="1">
        <f t="shared" si="142"/>
        <v>28.65</v>
      </c>
      <c r="BD132" s="1">
        <f t="shared" si="143"/>
        <v>-13.969999999999999</v>
      </c>
    </row>
    <row r="133" spans="1:56" hidden="1" x14ac:dyDescent="0.35">
      <c r="A133" s="116" t="s">
        <v>174</v>
      </c>
      <c r="B133" s="1" t="s">
        <v>1008</v>
      </c>
      <c r="C133" s="1" t="s">
        <v>52</v>
      </c>
      <c r="D133" s="1" t="s">
        <v>199</v>
      </c>
      <c r="E133" s="1">
        <f>VLOOKUP(A133,symbol_2[[symbol]:[Price1]],2,)</f>
        <v>20346.25</v>
      </c>
      <c r="F133" s="1">
        <f>VLOOKUP(A133,symbol_2[[symbol]:[Price2]],6,)</f>
        <v>20480.650000000001</v>
      </c>
      <c r="G133" s="1">
        <f>VLOOKUP(A133,symbol_2[[symbol]:[Price3]],10,)</f>
        <v>20207.5</v>
      </c>
      <c r="H133" s="1">
        <f>VLOOKUP(A133,symbol_2[[symbol]:[Price4]],14,)</f>
        <v>20817.8</v>
      </c>
      <c r="I133" s="1">
        <f>VLOOKUP(A133,symbol_2[[symbol]:[Price5]],18,)</f>
        <v>20927.2</v>
      </c>
      <c r="J133" s="49" t="str">
        <f t="shared" si="120"/>
        <v>Y</v>
      </c>
      <c r="K133" s="49" t="str">
        <f t="shared" si="121"/>
        <v>N</v>
      </c>
      <c r="L133" s="49" t="str">
        <f t="shared" si="122"/>
        <v>Y</v>
      </c>
      <c r="M133" s="49" t="str">
        <f t="shared" si="123"/>
        <v>Y</v>
      </c>
      <c r="N133" s="52">
        <f t="shared" si="124"/>
        <v>0.66056398599251187</v>
      </c>
      <c r="O133" s="52">
        <f t="shared" si="125"/>
        <v>-1.3336979050957927</v>
      </c>
      <c r="P133" s="52">
        <f t="shared" si="126"/>
        <v>3.0201657800321628</v>
      </c>
      <c r="Q133" s="52">
        <f t="shared" si="127"/>
        <v>0.52551182161420262</v>
      </c>
      <c r="R133" s="1">
        <f>VLOOKUP(A133,symbol_2[[symbol]:[TV1]],3,)</f>
        <v>0.06</v>
      </c>
      <c r="S133" s="1">
        <f>VLOOKUP(A133,symbol_2[[symbol]:[TV2]],7,)</f>
        <v>0.04</v>
      </c>
      <c r="T133" s="1">
        <f>VLOOKUP(A133,symbol_2[[symbol]:[TV3]],11,)</f>
        <v>0.03</v>
      </c>
      <c r="U133" s="1">
        <f>VLOOKUP(A133,symbol_2[[symbol]:[TV4]],15,)</f>
        <v>0.08</v>
      </c>
      <c r="V133" s="1">
        <f>VLOOKUP(A133,symbol_2[[symbol]:[TV5]],19,)</f>
        <v>0.04</v>
      </c>
      <c r="W133" s="1" t="str">
        <f t="shared" si="128"/>
        <v>N</v>
      </c>
      <c r="X133" s="1" t="str">
        <f t="shared" si="129"/>
        <v>N</v>
      </c>
      <c r="Y133" s="1" t="str">
        <f t="shared" si="130"/>
        <v>Y</v>
      </c>
      <c r="Z133" s="1" t="str">
        <f t="shared" si="131"/>
        <v>N</v>
      </c>
      <c r="AA133" s="1">
        <f>VLOOKUP(A133,symbol_2[[symbol]:[TradedValue1]],4,)</f>
        <v>1122.1300000000001</v>
      </c>
      <c r="AB133" s="1">
        <f>VLOOKUP(A133,symbol_2[[symbol]:[TradedValue2]],8,)</f>
        <v>838.26</v>
      </c>
      <c r="AC133" s="1">
        <f>VLOOKUP(A133,symbol_2[[symbol]:[TradedValue3]],12,)</f>
        <v>576.29</v>
      </c>
      <c r="AD133" s="1">
        <f>VLOOKUP(A133,symbol_2[[symbol]:[TradedValue4]],16,)</f>
        <v>1614.26</v>
      </c>
      <c r="AE133" s="1">
        <f>VLOOKUP(A133,symbol_2[[symbol]:[TradedValue5]],20,)</f>
        <v>779.93</v>
      </c>
      <c r="AF133" s="1">
        <f>Table2[[#This Row],[TradedValue2]]-Table2[[#This Row],[TradedValue1]]</f>
        <v>-283.87000000000012</v>
      </c>
      <c r="AG133" s="1">
        <f>Table2[[#This Row],[TradedValue3]]-Table2[[#This Row],[TradedValue2]]</f>
        <v>-261.97000000000003</v>
      </c>
      <c r="AH133" s="1">
        <f>Table2[[#This Row],[TradedValue4]]-Table2[[#This Row],[TradedValue3]]</f>
        <v>1037.97</v>
      </c>
      <c r="AI133" s="1">
        <f>Table2[[#This Row],[TradedValue5]]-Table2[[#This Row],[TradedValue4]]</f>
        <v>-834.33</v>
      </c>
      <c r="AJ133" s="49" t="str">
        <f>IF(Table2[[#This Row],[TradedValue2]]&gt;Table2[[#This Row],[TradedValue1]],"Y","N")</f>
        <v>N</v>
      </c>
      <c r="AK133" s="49" t="str">
        <f>IF(Table2[[#This Row],[TradedValue3]]&gt;Table2[[#This Row],[TradedValue2]],"Y","N")</f>
        <v>N</v>
      </c>
      <c r="AL133" s="49" t="str">
        <f>IF(Table2[[#This Row],[TradedValue5]]&gt;Table2[[#This Row],[TradedValue3]],"Y","N")</f>
        <v>Y</v>
      </c>
      <c r="AM133" s="49" t="str">
        <f>IF(Table2[[#This Row],[TradedValue5]]&gt;Table2[[#This Row],[TradedValue4]],"Y","N")</f>
        <v>N</v>
      </c>
      <c r="AN133" s="1">
        <f t="shared" si="132"/>
        <v>-1.9999999999999997E-2</v>
      </c>
      <c r="AO133" s="1">
        <f t="shared" si="133"/>
        <v>-1.0000000000000002E-2</v>
      </c>
      <c r="AP133" s="1">
        <f t="shared" si="134"/>
        <v>0.05</v>
      </c>
      <c r="AQ133" s="1">
        <f t="shared" si="135"/>
        <v>-0.04</v>
      </c>
      <c r="AR133" s="1">
        <f>VLOOKUP(A133,symbol_2[[symbol]:[DelPer1]],5,)</f>
        <v>51.82</v>
      </c>
      <c r="AS133" s="1">
        <f>VLOOKUP(A133,symbol_2[[symbol]:[DelPer2]],9,)</f>
        <v>56.58</v>
      </c>
      <c r="AT133" s="1">
        <f>VLOOKUP(A133,symbol_2[[symbol]:[DelPer3]],13,)</f>
        <v>59.04</v>
      </c>
      <c r="AU133" s="1">
        <f>VLOOKUP(A133,symbol_2[[symbol]:[DelPer4]],17,)</f>
        <v>58.25</v>
      </c>
      <c r="AV133" s="1">
        <f>VLOOKUP(A133,symbol_2[[symbol]:[DelPer5]],21,)</f>
        <v>67.459999999999994</v>
      </c>
      <c r="AW133" s="49" t="str">
        <f t="shared" si="136"/>
        <v>Y</v>
      </c>
      <c r="AX133" s="49" t="str">
        <f t="shared" si="137"/>
        <v>Y</v>
      </c>
      <c r="AY133" s="49" t="str">
        <f t="shared" si="138"/>
        <v>N</v>
      </c>
      <c r="AZ133" s="49" t="str">
        <f t="shared" si="139"/>
        <v>Y</v>
      </c>
      <c r="BA133" s="1">
        <f t="shared" si="140"/>
        <v>4.759999999999998</v>
      </c>
      <c r="BB133" s="1">
        <f t="shared" si="141"/>
        <v>2.4600000000000009</v>
      </c>
      <c r="BC133" s="1">
        <f t="shared" si="142"/>
        <v>-0.78999999999999915</v>
      </c>
      <c r="BD133" s="1">
        <f t="shared" si="143"/>
        <v>9.2099999999999937</v>
      </c>
    </row>
    <row r="134" spans="1:56" hidden="1" x14ac:dyDescent="0.35">
      <c r="A134" s="116" t="s">
        <v>81</v>
      </c>
      <c r="B134" s="1" t="s">
        <v>1016</v>
      </c>
      <c r="C134" s="1" t="s">
        <v>52</v>
      </c>
      <c r="D134" s="1" t="s">
        <v>199</v>
      </c>
      <c r="E134" s="1">
        <f>VLOOKUP(A134,symbol_2[[symbol]:[Price1]],2,)</f>
        <v>146.6</v>
      </c>
      <c r="F134" s="1">
        <f>VLOOKUP(A134,symbol_2[[symbol]:[Price2]],6,)</f>
        <v>145.75</v>
      </c>
      <c r="G134" s="1">
        <f>VLOOKUP(A134,symbol_2[[symbol]:[Price3]],10,)</f>
        <v>144.69999999999999</v>
      </c>
      <c r="H134" s="1">
        <f>VLOOKUP(A134,symbol_2[[symbol]:[Price4]],14,)</f>
        <v>144.75</v>
      </c>
      <c r="I134" s="1">
        <f>VLOOKUP(A134,symbol_2[[symbol]:[Price5]],18,)</f>
        <v>146.6</v>
      </c>
      <c r="J134" s="49" t="str">
        <f t="shared" si="120"/>
        <v>N</v>
      </c>
      <c r="K134" s="49" t="str">
        <f t="shared" si="121"/>
        <v>N</v>
      </c>
      <c r="L134" s="49" t="str">
        <f t="shared" si="122"/>
        <v>Y</v>
      </c>
      <c r="M134" s="49" t="str">
        <f t="shared" si="123"/>
        <v>Y</v>
      </c>
      <c r="N134" s="52">
        <f t="shared" si="124"/>
        <v>-0.57980900409276559</v>
      </c>
      <c r="O134" s="52">
        <f t="shared" si="125"/>
        <v>-0.72041166380789801</v>
      </c>
      <c r="P134" s="52">
        <f t="shared" si="126"/>
        <v>3.4554250172779112E-2</v>
      </c>
      <c r="Q134" s="52">
        <f t="shared" si="127"/>
        <v>1.2780656303972326</v>
      </c>
      <c r="R134" s="1">
        <f>VLOOKUP(A134,symbol_2[[symbol]:[TV1]],3,)</f>
        <v>1.26</v>
      </c>
      <c r="S134" s="1">
        <f>VLOOKUP(A134,symbol_2[[symbol]:[TV2]],7,)</f>
        <v>1.51</v>
      </c>
      <c r="T134" s="1">
        <f>VLOOKUP(A134,symbol_2[[symbol]:[TV3]],11,)</f>
        <v>0.68</v>
      </c>
      <c r="U134" s="1">
        <f>VLOOKUP(A134,symbol_2[[symbol]:[TV4]],15,)</f>
        <v>1.1200000000000001</v>
      </c>
      <c r="V134" s="1">
        <f>VLOOKUP(A134,symbol_2[[symbol]:[TV5]],19,)</f>
        <v>0.68</v>
      </c>
      <c r="W134" s="1" t="str">
        <f t="shared" si="128"/>
        <v>Y</v>
      </c>
      <c r="X134" s="1" t="str">
        <f t="shared" si="129"/>
        <v>N</v>
      </c>
      <c r="Y134" s="1" t="str">
        <f t="shared" si="130"/>
        <v>Y</v>
      </c>
      <c r="Z134" s="1" t="str">
        <f t="shared" si="131"/>
        <v>N</v>
      </c>
      <c r="AA134" s="1">
        <f>VLOOKUP(A136,symbol_2[[symbol]:[TradedValue1]],4,)</f>
        <v>110.46</v>
      </c>
      <c r="AB134" s="1">
        <f>VLOOKUP(A134,symbol_2[[symbol]:[TradedValue2]],8,)</f>
        <v>220.84</v>
      </c>
      <c r="AC134" s="1">
        <f>VLOOKUP(A134,symbol_2[[symbol]:[TradedValue3]],12,)</f>
        <v>99.27</v>
      </c>
      <c r="AD134" s="1">
        <f>VLOOKUP(A134,symbol_2[[symbol]:[TradedValue4]],16,)</f>
        <v>162.99</v>
      </c>
      <c r="AE134" s="1">
        <f>VLOOKUP(A134,symbol_2[[symbol]:[TradedValue5]],20,)</f>
        <v>98.8</v>
      </c>
      <c r="AF134" s="1">
        <f>Table2[[#This Row],[TradedValue2]]-Table2[[#This Row],[TradedValue1]]</f>
        <v>110.38000000000001</v>
      </c>
      <c r="AG134" s="1">
        <f>Table2[[#This Row],[TradedValue3]]-Table2[[#This Row],[TradedValue2]]</f>
        <v>-121.57000000000001</v>
      </c>
      <c r="AH134" s="1">
        <f>Table2[[#This Row],[TradedValue4]]-Table2[[#This Row],[TradedValue3]]</f>
        <v>63.720000000000013</v>
      </c>
      <c r="AI134" s="1">
        <f>Table2[[#This Row],[TradedValue5]]-Table2[[#This Row],[TradedValue4]]</f>
        <v>-64.190000000000012</v>
      </c>
      <c r="AJ134" s="49" t="str">
        <f>IF(Table2[[#This Row],[TradedValue2]]&gt;Table2[[#This Row],[TradedValue1]],"Y","N")</f>
        <v>Y</v>
      </c>
      <c r="AK134" s="49" t="str">
        <f>IF(Table2[[#This Row],[TradedValue3]]&gt;Table2[[#This Row],[TradedValue2]],"Y","N")</f>
        <v>N</v>
      </c>
      <c r="AL134" s="49" t="str">
        <f>IF(Table2[[#This Row],[TradedValue5]]&gt;Table2[[#This Row],[TradedValue3]],"Y","N")</f>
        <v>N</v>
      </c>
      <c r="AM134" s="49" t="str">
        <f>IF(Table2[[#This Row],[TradedValue5]]&gt;Table2[[#This Row],[TradedValue4]],"Y","N")</f>
        <v>N</v>
      </c>
      <c r="AN134" s="1">
        <f t="shared" si="132"/>
        <v>0.25</v>
      </c>
      <c r="AO134" s="1">
        <f t="shared" si="133"/>
        <v>-0.83</v>
      </c>
      <c r="AP134" s="1">
        <f t="shared" si="134"/>
        <v>0.44000000000000006</v>
      </c>
      <c r="AQ134" s="1">
        <f t="shared" si="135"/>
        <v>-0.44000000000000006</v>
      </c>
      <c r="AR134" s="1">
        <f>VLOOKUP(A134,symbol_2[[symbol]:[DelPer1]],5,)</f>
        <v>51.57</v>
      </c>
      <c r="AS134" s="1">
        <f>VLOOKUP(A134,symbol_2[[symbol]:[DelPer2]],9,)</f>
        <v>54.42</v>
      </c>
      <c r="AT134" s="1">
        <f>VLOOKUP(A134,symbol_2[[symbol]:[DelPer3]],13,)</f>
        <v>46.36</v>
      </c>
      <c r="AU134" s="1">
        <f>VLOOKUP(A134,symbol_2[[symbol]:[DelPer4]],17,)</f>
        <v>40.9</v>
      </c>
      <c r="AV134" s="1">
        <f>VLOOKUP(A134,symbol_2[[symbol]:[DelPer5]],21,)</f>
        <v>40.659999999999997</v>
      </c>
      <c r="AW134" s="49" t="str">
        <f t="shared" si="136"/>
        <v>Y</v>
      </c>
      <c r="AX134" s="49" t="str">
        <f t="shared" si="137"/>
        <v>N</v>
      </c>
      <c r="AY134" s="49" t="str">
        <f t="shared" si="138"/>
        <v>N</v>
      </c>
      <c r="AZ134" s="49" t="str">
        <f t="shared" si="139"/>
        <v>N</v>
      </c>
      <c r="BA134" s="1">
        <f t="shared" si="140"/>
        <v>2.8500000000000014</v>
      </c>
      <c r="BB134" s="1">
        <f t="shared" si="141"/>
        <v>-8.0600000000000023</v>
      </c>
      <c r="BC134" s="1">
        <f t="shared" si="142"/>
        <v>-5.4600000000000009</v>
      </c>
      <c r="BD134" s="1">
        <f t="shared" si="143"/>
        <v>-0.24000000000000199</v>
      </c>
    </row>
    <row r="135" spans="1:56" hidden="1" x14ac:dyDescent="0.35">
      <c r="A135" s="1" t="s">
        <v>178</v>
      </c>
      <c r="B135" s="1" t="s">
        <v>1006</v>
      </c>
      <c r="C135" s="1" t="s">
        <v>52</v>
      </c>
      <c r="D135" s="1" t="s">
        <v>199</v>
      </c>
      <c r="E135" s="1">
        <f>VLOOKUP(A135,symbol_2[[symbol]:[Price1]],2,)</f>
        <v>1097.45</v>
      </c>
      <c r="F135" s="1">
        <f>VLOOKUP(A135,symbol_2[[symbol]:[Price2]],6,)</f>
        <v>1086.05</v>
      </c>
      <c r="G135" s="1">
        <f>VLOOKUP(A135,symbol_2[[symbol]:[Price3]],10,)</f>
        <v>1064.8</v>
      </c>
      <c r="H135" s="1">
        <f>VLOOKUP(A135,symbol_2[[symbol]:[Price4]],14,)</f>
        <v>1063.9000000000001</v>
      </c>
      <c r="I135" s="1">
        <f>VLOOKUP(A135,symbol_2[[symbol]:[Price5]],18,)</f>
        <v>1107.5999999999999</v>
      </c>
      <c r="J135" s="49" t="str">
        <f t="shared" si="120"/>
        <v>N</v>
      </c>
      <c r="K135" s="49" t="str">
        <f t="shared" si="121"/>
        <v>N</v>
      </c>
      <c r="L135" s="49" t="str">
        <f t="shared" si="122"/>
        <v>N</v>
      </c>
      <c r="M135" s="49" t="str">
        <f t="shared" si="123"/>
        <v>Y</v>
      </c>
      <c r="N135" s="52">
        <f t="shared" si="124"/>
        <v>-1.0387716980272532</v>
      </c>
      <c r="O135" s="52">
        <f t="shared" si="125"/>
        <v>-1.9566318309470099</v>
      </c>
      <c r="P135" s="52">
        <f t="shared" si="126"/>
        <v>-8.4522915101414686E-2</v>
      </c>
      <c r="Q135" s="52">
        <f t="shared" si="127"/>
        <v>4.1075289030923789</v>
      </c>
      <c r="R135" s="1">
        <f>VLOOKUP(A135,symbol_2[[symbol]:[TV1]],3,)</f>
        <v>1.07</v>
      </c>
      <c r="S135" s="1">
        <f>VLOOKUP(A135,symbol_2[[symbol]:[TV2]],7,)</f>
        <v>1.22</v>
      </c>
      <c r="T135" s="1">
        <f>VLOOKUP(A135,symbol_2[[symbol]:[TV3]],11,)</f>
        <v>1.25</v>
      </c>
      <c r="U135" s="1">
        <f>VLOOKUP(A135,symbol_2[[symbol]:[TV4]],15,)</f>
        <v>1.91</v>
      </c>
      <c r="V135" s="1">
        <f>VLOOKUP(A135,symbol_2[[symbol]:[TV5]],19,)</f>
        <v>2.02</v>
      </c>
      <c r="W135" s="1" t="str">
        <f t="shared" si="128"/>
        <v>Y</v>
      </c>
      <c r="X135" s="1" t="str">
        <f t="shared" si="129"/>
        <v>Y</v>
      </c>
      <c r="Y135" s="1" t="str">
        <f t="shared" si="130"/>
        <v>Y</v>
      </c>
      <c r="Z135" s="1" t="str">
        <f t="shared" si="131"/>
        <v>Y</v>
      </c>
      <c r="AA135" s="1">
        <f>VLOOKUP(A135,symbol_2[[symbol]:[TradedValue1]],4,)</f>
        <v>1181.57</v>
      </c>
      <c r="AB135" s="1">
        <f>VLOOKUP(A135,symbol_2[[symbol]:[TradedValue2]],8,)</f>
        <v>1360.2</v>
      </c>
      <c r="AC135" s="1">
        <f>VLOOKUP(A135,symbol_2[[symbol]:[TradedValue3]],12,)</f>
        <v>1318.35</v>
      </c>
      <c r="AD135" s="1">
        <f>VLOOKUP(A135,symbol_2[[symbol]:[TradedValue4]],16,)</f>
        <v>2071.81</v>
      </c>
      <c r="AE135" s="1">
        <f>VLOOKUP(A135,symbol_2[[symbol]:[TradedValue5]],20,)</f>
        <v>2165.56</v>
      </c>
      <c r="AF135" s="1">
        <f>Table2[[#This Row],[TradedValue2]]-Table2[[#This Row],[TradedValue1]]</f>
        <v>178.63000000000011</v>
      </c>
      <c r="AG135" s="1">
        <f>Table2[[#This Row],[TradedValue3]]-Table2[[#This Row],[TradedValue2]]</f>
        <v>-41.850000000000136</v>
      </c>
      <c r="AH135" s="1">
        <f>Table2[[#This Row],[TradedValue4]]-Table2[[#This Row],[TradedValue3]]</f>
        <v>753.46</v>
      </c>
      <c r="AI135" s="1">
        <f>Table2[[#This Row],[TradedValue5]]-Table2[[#This Row],[TradedValue4]]</f>
        <v>93.75</v>
      </c>
      <c r="AJ135" s="49" t="str">
        <f>IF(Table2[[#This Row],[TradedValue2]]&gt;Table2[[#This Row],[TradedValue1]],"Y","N")</f>
        <v>Y</v>
      </c>
      <c r="AK135" s="49" t="str">
        <f>IF(Table2[[#This Row],[TradedValue3]]&gt;Table2[[#This Row],[TradedValue2]],"Y","N")</f>
        <v>N</v>
      </c>
      <c r="AL135" s="49" t="str">
        <f>IF(Table2[[#This Row],[TradedValue5]]&gt;Table2[[#This Row],[TradedValue3]],"Y","N")</f>
        <v>Y</v>
      </c>
      <c r="AM135" s="49" t="str">
        <f>IF(Table2[[#This Row],[TradedValue5]]&gt;Table2[[#This Row],[TradedValue4]],"Y","N")</f>
        <v>Y</v>
      </c>
      <c r="AN135" s="1">
        <f t="shared" si="132"/>
        <v>0.14999999999999991</v>
      </c>
      <c r="AO135" s="1">
        <f t="shared" si="133"/>
        <v>3.0000000000000027E-2</v>
      </c>
      <c r="AP135" s="1">
        <f t="shared" si="134"/>
        <v>0.65999999999999992</v>
      </c>
      <c r="AQ135" s="1">
        <f t="shared" si="135"/>
        <v>0.1100000000000001</v>
      </c>
      <c r="AR135" s="1">
        <f>VLOOKUP(A135,symbol_2[[symbol]:[DelPer1]],5,)</f>
        <v>31</v>
      </c>
      <c r="AS135" s="1">
        <f>VLOOKUP(A135,symbol_2[[symbol]:[DelPer2]],9,)</f>
        <v>24.04</v>
      </c>
      <c r="AT135" s="1">
        <f>VLOOKUP(A135,symbol_2[[symbol]:[DelPer3]],13,)</f>
        <v>32.89</v>
      </c>
      <c r="AU135" s="1">
        <f>VLOOKUP(A135,symbol_2[[symbol]:[DelPer4]],17,)</f>
        <v>38.369999999999997</v>
      </c>
      <c r="AV135" s="1">
        <f>VLOOKUP(A135,symbol_2[[symbol]:[DelPer5]],21,)</f>
        <v>36.020000000000003</v>
      </c>
      <c r="AW135" s="49" t="str">
        <f t="shared" si="136"/>
        <v>N</v>
      </c>
      <c r="AX135" s="49" t="str">
        <f t="shared" si="137"/>
        <v>Y</v>
      </c>
      <c r="AY135" s="49" t="str">
        <f t="shared" si="138"/>
        <v>Y</v>
      </c>
      <c r="AZ135" s="49" t="str">
        <f t="shared" si="139"/>
        <v>N</v>
      </c>
      <c r="BA135" s="1">
        <f t="shared" si="140"/>
        <v>-6.9600000000000009</v>
      </c>
      <c r="BB135" s="1">
        <f t="shared" si="141"/>
        <v>8.8500000000000014</v>
      </c>
      <c r="BC135" s="1">
        <f t="shared" si="142"/>
        <v>5.4799999999999969</v>
      </c>
      <c r="BD135" s="1">
        <f t="shared" si="143"/>
        <v>-2.3499999999999943</v>
      </c>
    </row>
    <row r="136" spans="1:56" hidden="1" x14ac:dyDescent="0.35">
      <c r="A136" s="1" t="s">
        <v>108</v>
      </c>
      <c r="B136" s="1" t="s">
        <v>1016</v>
      </c>
      <c r="C136" s="1" t="s">
        <v>52</v>
      </c>
      <c r="D136" s="1" t="s">
        <v>199</v>
      </c>
      <c r="E136" s="1">
        <f>VLOOKUP(A136,symbol_2[[symbol]:[Price1]],2,)</f>
        <v>97.85</v>
      </c>
      <c r="F136" s="1">
        <f>VLOOKUP(A136,symbol_2[[symbol]:[Price2]],6,)</f>
        <v>97.45</v>
      </c>
      <c r="G136" s="1">
        <f>VLOOKUP(A136,symbol_2[[symbol]:[Price3]],10,)</f>
        <v>98</v>
      </c>
      <c r="H136" s="1">
        <f>VLOOKUP(A136,symbol_2[[symbol]:[Price4]],14,)</f>
        <v>97.9</v>
      </c>
      <c r="I136" s="1">
        <f>VLOOKUP(A136,symbol_2[[symbol]:[Price5]],18,)</f>
        <v>101.9</v>
      </c>
      <c r="J136" s="49" t="str">
        <f t="shared" si="120"/>
        <v>N</v>
      </c>
      <c r="K136" s="49" t="str">
        <f t="shared" si="121"/>
        <v>Y</v>
      </c>
      <c r="L136" s="49" t="str">
        <f t="shared" si="122"/>
        <v>N</v>
      </c>
      <c r="M136" s="49" t="str">
        <f t="shared" si="123"/>
        <v>Y</v>
      </c>
      <c r="N136" s="52">
        <f t="shared" si="124"/>
        <v>-0.40878896269799841</v>
      </c>
      <c r="O136" s="52">
        <f t="shared" si="125"/>
        <v>0.56439199589532807</v>
      </c>
      <c r="P136" s="52">
        <f t="shared" si="126"/>
        <v>-0.10204081632652481</v>
      </c>
      <c r="Q136" s="52">
        <f t="shared" si="127"/>
        <v>4.085801838610827</v>
      </c>
      <c r="R136" s="1">
        <f>VLOOKUP(A136,symbol_2[[symbol]:[TV1]],3,)</f>
        <v>1.1200000000000001</v>
      </c>
      <c r="S136" s="1">
        <f>VLOOKUP(A136,symbol_2[[symbol]:[TV2]],7,)</f>
        <v>1.07</v>
      </c>
      <c r="T136" s="1">
        <f>VLOOKUP(A136,symbol_2[[symbol]:[TV3]],11,)</f>
        <v>1.46</v>
      </c>
      <c r="U136" s="1">
        <f>VLOOKUP(A136,symbol_2[[symbol]:[TV4]],15,)</f>
        <v>1.46</v>
      </c>
      <c r="V136" s="1">
        <f>VLOOKUP(A136,symbol_2[[symbol]:[TV5]],19,)</f>
        <v>1.03</v>
      </c>
      <c r="W136" s="1" t="str">
        <f t="shared" si="128"/>
        <v>N</v>
      </c>
      <c r="X136" s="1" t="str">
        <f t="shared" si="129"/>
        <v>Y</v>
      </c>
      <c r="Y136" s="1" t="str">
        <f t="shared" si="130"/>
        <v>N</v>
      </c>
      <c r="Z136" s="1" t="str">
        <f t="shared" si="131"/>
        <v>N</v>
      </c>
      <c r="AA136" s="1">
        <f>VLOOKUP(A138,symbol_2[[symbol]:[TradedValue1]],4,)</f>
        <v>226.49</v>
      </c>
      <c r="AB136" s="1">
        <f>VLOOKUP(A136,symbol_2[[symbol]:[TradedValue2]],8,)</f>
        <v>104.3</v>
      </c>
      <c r="AC136" s="1">
        <f>VLOOKUP(A136,symbol_2[[symbol]:[TradedValue3]],12,)</f>
        <v>142.82</v>
      </c>
      <c r="AD136" s="1">
        <f>VLOOKUP(A136,symbol_2[[symbol]:[TradedValue4]],16,)</f>
        <v>145.29</v>
      </c>
      <c r="AE136" s="1">
        <f>VLOOKUP(A136,symbol_2[[symbol]:[TradedValue5]],20,)</f>
        <v>103.11</v>
      </c>
      <c r="AF136" s="1">
        <f>Table2[[#This Row],[TradedValue2]]-Table2[[#This Row],[TradedValue1]]</f>
        <v>-122.19000000000001</v>
      </c>
      <c r="AG136" s="1">
        <f>Table2[[#This Row],[TradedValue3]]-Table2[[#This Row],[TradedValue2]]</f>
        <v>38.519999999999996</v>
      </c>
      <c r="AH136" s="1">
        <f>Table2[[#This Row],[TradedValue4]]-Table2[[#This Row],[TradedValue3]]</f>
        <v>2.4699999999999989</v>
      </c>
      <c r="AI136" s="1">
        <f>Table2[[#This Row],[TradedValue5]]-Table2[[#This Row],[TradedValue4]]</f>
        <v>-42.179999999999993</v>
      </c>
      <c r="AJ136" s="49" t="str">
        <f>IF(Table2[[#This Row],[TradedValue2]]&gt;Table2[[#This Row],[TradedValue1]],"Y","N")</f>
        <v>N</v>
      </c>
      <c r="AK136" s="49" t="str">
        <f>IF(Table2[[#This Row],[TradedValue3]]&gt;Table2[[#This Row],[TradedValue2]],"Y","N")</f>
        <v>Y</v>
      </c>
      <c r="AL136" s="49" t="str">
        <f>IF(Table2[[#This Row],[TradedValue5]]&gt;Table2[[#This Row],[TradedValue3]],"Y","N")</f>
        <v>N</v>
      </c>
      <c r="AM136" s="49" t="str">
        <f>IF(Table2[[#This Row],[TradedValue5]]&gt;Table2[[#This Row],[TradedValue4]],"Y","N")</f>
        <v>N</v>
      </c>
      <c r="AN136" s="1">
        <f t="shared" si="132"/>
        <v>-5.0000000000000044E-2</v>
      </c>
      <c r="AO136" s="1">
        <f t="shared" si="133"/>
        <v>0.3899999999999999</v>
      </c>
      <c r="AP136" s="1">
        <f t="shared" si="134"/>
        <v>0</v>
      </c>
      <c r="AQ136" s="1">
        <f t="shared" si="135"/>
        <v>-0.42999999999999994</v>
      </c>
      <c r="AR136" s="1">
        <f>VLOOKUP(A136,symbol_2[[symbol]:[DelPer1]],5,)</f>
        <v>28.79</v>
      </c>
      <c r="AS136" s="1">
        <f>VLOOKUP(A136,symbol_2[[symbol]:[DelPer2]],9,)</f>
        <v>18.809999999999999</v>
      </c>
      <c r="AT136" s="1">
        <f>VLOOKUP(A136,symbol_2[[symbol]:[DelPer3]],13,)</f>
        <v>30.71</v>
      </c>
      <c r="AU136" s="1">
        <f>VLOOKUP(A136,symbol_2[[symbol]:[DelPer4]],17,)</f>
        <v>20.079999999999998</v>
      </c>
      <c r="AV136" s="1">
        <f>VLOOKUP(A136,symbol_2[[symbol]:[DelPer5]],21,)</f>
        <v>31.37</v>
      </c>
      <c r="AW136" s="49" t="str">
        <f t="shared" si="136"/>
        <v>N</v>
      </c>
      <c r="AX136" s="49" t="str">
        <f t="shared" si="137"/>
        <v>Y</v>
      </c>
      <c r="AY136" s="49" t="str">
        <f t="shared" si="138"/>
        <v>N</v>
      </c>
      <c r="AZ136" s="49" t="str">
        <f t="shared" si="139"/>
        <v>Y</v>
      </c>
      <c r="BA136" s="1">
        <f t="shared" si="140"/>
        <v>-9.98</v>
      </c>
      <c r="BB136" s="1">
        <f t="shared" si="141"/>
        <v>11.900000000000002</v>
      </c>
      <c r="BC136" s="1">
        <f t="shared" si="142"/>
        <v>-10.630000000000003</v>
      </c>
      <c r="BD136" s="1">
        <f t="shared" si="143"/>
        <v>11.290000000000003</v>
      </c>
    </row>
    <row r="137" spans="1:56" hidden="1" x14ac:dyDescent="0.35">
      <c r="A137" s="1" t="s">
        <v>84</v>
      </c>
      <c r="B137" s="1" t="s">
        <v>1025</v>
      </c>
      <c r="C137" s="1" t="s">
        <v>52</v>
      </c>
      <c r="D137" s="1" t="s">
        <v>199</v>
      </c>
      <c r="E137" s="1">
        <f>VLOOKUP(A137,symbol_2[[symbol]:[Price1]],2,)</f>
        <v>726.45</v>
      </c>
      <c r="F137" s="1">
        <f>VLOOKUP(A137,symbol_2[[symbol]:[Price2]],6,)</f>
        <v>717.2</v>
      </c>
      <c r="G137" s="1">
        <f>VLOOKUP(A137,symbol_2[[symbol]:[Price3]],10,)</f>
        <v>720.25</v>
      </c>
      <c r="H137" s="1">
        <f>VLOOKUP(A137,symbol_2[[symbol]:[Price4]],14,)</f>
        <v>726.55</v>
      </c>
      <c r="I137" s="1">
        <f>VLOOKUP(A137,symbol_2[[symbol]:[Price5]],18,)</f>
        <v>743.25</v>
      </c>
      <c r="J137" s="49" t="str">
        <f t="shared" si="120"/>
        <v>N</v>
      </c>
      <c r="K137" s="49" t="str">
        <f t="shared" si="121"/>
        <v>Y</v>
      </c>
      <c r="L137" s="49" t="str">
        <f t="shared" si="122"/>
        <v>Y</v>
      </c>
      <c r="M137" s="49" t="str">
        <f t="shared" si="123"/>
        <v>Y</v>
      </c>
      <c r="N137" s="52">
        <f t="shared" si="124"/>
        <v>-1.2733154380893386</v>
      </c>
      <c r="O137" s="52">
        <f t="shared" si="125"/>
        <v>0.42526491912994346</v>
      </c>
      <c r="P137" s="52">
        <f t="shared" si="126"/>
        <v>0.87469628601179517</v>
      </c>
      <c r="Q137" s="52">
        <f t="shared" si="127"/>
        <v>2.298534168329784</v>
      </c>
      <c r="R137" s="1">
        <f>VLOOKUP(A137,symbol_2[[symbol]:[TV1]],3,)</f>
        <v>0.75</v>
      </c>
      <c r="S137" s="1">
        <f>VLOOKUP(A137,symbol_2[[symbol]:[TV2]],7,)</f>
        <v>0.27</v>
      </c>
      <c r="T137" s="1">
        <f>VLOOKUP(A137,symbol_2[[symbol]:[TV3]],11,)</f>
        <v>0.18</v>
      </c>
      <c r="U137" s="1">
        <f>VLOOKUP(A137,symbol_2[[symbol]:[TV4]],15,)</f>
        <v>0.32</v>
      </c>
      <c r="V137" s="1">
        <f>VLOOKUP(A137,symbol_2[[symbol]:[TV5]],19,)</f>
        <v>0.61</v>
      </c>
      <c r="W137" s="1" t="str">
        <f t="shared" si="128"/>
        <v>N</v>
      </c>
      <c r="X137" s="1" t="str">
        <f t="shared" si="129"/>
        <v>N</v>
      </c>
      <c r="Y137" s="1" t="str">
        <f t="shared" si="130"/>
        <v>Y</v>
      </c>
      <c r="Z137" s="1" t="str">
        <f t="shared" si="131"/>
        <v>Y</v>
      </c>
      <c r="AA137" s="1">
        <f>VLOOKUP(A139,symbol_2[[symbol]:[TradedValue1]],4,)</f>
        <v>2754.72</v>
      </c>
      <c r="AB137" s="1">
        <f>VLOOKUP(A137,symbol_2[[symbol]:[TradedValue2]],8,)</f>
        <v>196.01</v>
      </c>
      <c r="AC137" s="1">
        <f>VLOOKUP(A137,symbol_2[[symbol]:[TradedValue3]],12,)</f>
        <v>130.66999999999999</v>
      </c>
      <c r="AD137" s="1">
        <f>VLOOKUP(A137,symbol_2[[symbol]:[TradedValue4]],16,)</f>
        <v>236.23</v>
      </c>
      <c r="AE137" s="1">
        <f>VLOOKUP(A137,symbol_2[[symbol]:[TradedValue5]],20,)</f>
        <v>451.17</v>
      </c>
      <c r="AF137" s="1">
        <f>Table2[[#This Row],[TradedValue2]]-Table2[[#This Row],[TradedValue1]]</f>
        <v>-2558.71</v>
      </c>
      <c r="AG137" s="1">
        <f>Table2[[#This Row],[TradedValue3]]-Table2[[#This Row],[TradedValue2]]</f>
        <v>-65.34</v>
      </c>
      <c r="AH137" s="1">
        <f>Table2[[#This Row],[TradedValue4]]-Table2[[#This Row],[TradedValue3]]</f>
        <v>105.56</v>
      </c>
      <c r="AI137" s="1">
        <f>Table2[[#This Row],[TradedValue5]]-Table2[[#This Row],[TradedValue4]]</f>
        <v>214.94000000000003</v>
      </c>
      <c r="AJ137" s="49" t="str">
        <f>IF(Table2[[#This Row],[TradedValue2]]&gt;Table2[[#This Row],[TradedValue1]],"Y","N")</f>
        <v>N</v>
      </c>
      <c r="AK137" s="49" t="str">
        <f>IF(Table2[[#This Row],[TradedValue3]]&gt;Table2[[#This Row],[TradedValue2]],"Y","N")</f>
        <v>N</v>
      </c>
      <c r="AL137" s="49" t="str">
        <f>IF(Table2[[#This Row],[TradedValue5]]&gt;Table2[[#This Row],[TradedValue3]],"Y","N")</f>
        <v>Y</v>
      </c>
      <c r="AM137" s="49" t="str">
        <f>IF(Table2[[#This Row],[TradedValue5]]&gt;Table2[[#This Row],[TradedValue4]],"Y","N")</f>
        <v>Y</v>
      </c>
      <c r="AN137" s="1">
        <f t="shared" si="132"/>
        <v>-0.48</v>
      </c>
      <c r="AO137" s="1">
        <f t="shared" si="133"/>
        <v>-9.0000000000000024E-2</v>
      </c>
      <c r="AP137" s="1">
        <f t="shared" si="134"/>
        <v>0.14000000000000001</v>
      </c>
      <c r="AQ137" s="1">
        <f t="shared" si="135"/>
        <v>0.28999999999999998</v>
      </c>
      <c r="AR137" s="1">
        <f>VLOOKUP(A137,symbol_2[[symbol]:[DelPer1]],5,)</f>
        <v>33.4</v>
      </c>
      <c r="AS137" s="1">
        <f>VLOOKUP(A137,symbol_2[[symbol]:[DelPer2]],9,)</f>
        <v>43.17</v>
      </c>
      <c r="AT137" s="1">
        <f>VLOOKUP(A137,symbol_2[[symbol]:[DelPer3]],13,)</f>
        <v>25.55</v>
      </c>
      <c r="AU137" s="1">
        <f>VLOOKUP(A137,symbol_2[[symbol]:[DelPer4]],17,)</f>
        <v>39.229999999999997</v>
      </c>
      <c r="AV137" s="1">
        <f>VLOOKUP(A137,symbol_2[[symbol]:[DelPer5]],21,)</f>
        <v>17.100000000000001</v>
      </c>
      <c r="AW137" s="49" t="str">
        <f t="shared" si="136"/>
        <v>Y</v>
      </c>
      <c r="AX137" s="49" t="str">
        <f t="shared" si="137"/>
        <v>N</v>
      </c>
      <c r="AY137" s="49" t="str">
        <f t="shared" si="138"/>
        <v>Y</v>
      </c>
      <c r="AZ137" s="49" t="str">
        <f t="shared" si="139"/>
        <v>N</v>
      </c>
      <c r="BA137" s="1">
        <f t="shared" si="140"/>
        <v>9.7700000000000031</v>
      </c>
      <c r="BB137" s="1">
        <f t="shared" si="141"/>
        <v>-17.62</v>
      </c>
      <c r="BC137" s="1">
        <f t="shared" si="142"/>
        <v>13.679999999999996</v>
      </c>
      <c r="BD137" s="1">
        <f t="shared" si="143"/>
        <v>-22.129999999999995</v>
      </c>
    </row>
    <row r="138" spans="1:56" hidden="1" x14ac:dyDescent="0.35">
      <c r="A138" s="1" t="s">
        <v>104</v>
      </c>
      <c r="B138" s="1" t="s">
        <v>1024</v>
      </c>
      <c r="C138" s="1" t="s">
        <v>52</v>
      </c>
      <c r="D138" s="1" t="s">
        <v>199</v>
      </c>
      <c r="E138" s="1">
        <f>VLOOKUP(A138,symbol_2[[symbol]:[Price1]],2,)</f>
        <v>1060.95</v>
      </c>
      <c r="F138" s="1">
        <f>VLOOKUP(A138,symbol_2[[symbol]:[Price2]],6,)</f>
        <v>1031.25</v>
      </c>
      <c r="G138" s="1">
        <f>VLOOKUP(A138,symbol_2[[symbol]:[Price3]],10,)</f>
        <v>1013.85</v>
      </c>
      <c r="H138" s="1">
        <f>VLOOKUP(A138,symbol_2[[symbol]:[Price4]],14,)</f>
        <v>991.95</v>
      </c>
      <c r="I138" s="1">
        <f>VLOOKUP(A138,symbol_2[[symbol]:[Price5]],18,)</f>
        <v>1029.55</v>
      </c>
      <c r="J138" s="49" t="str">
        <f t="shared" si="120"/>
        <v>N</v>
      </c>
      <c r="K138" s="49" t="str">
        <f t="shared" si="121"/>
        <v>N</v>
      </c>
      <c r="L138" s="49" t="str">
        <f t="shared" si="122"/>
        <v>N</v>
      </c>
      <c r="M138" s="49" t="str">
        <f t="shared" si="123"/>
        <v>Y</v>
      </c>
      <c r="N138" s="52">
        <f t="shared" si="124"/>
        <v>-2.7993779160186665</v>
      </c>
      <c r="O138" s="52">
        <f t="shared" si="125"/>
        <v>-1.687272727272725</v>
      </c>
      <c r="P138" s="52">
        <f t="shared" si="126"/>
        <v>-2.1600828524929701</v>
      </c>
      <c r="Q138" s="52">
        <f t="shared" si="127"/>
        <v>3.7905136347598076</v>
      </c>
      <c r="R138" s="1">
        <f>VLOOKUP(A138,symbol_2[[symbol]:[TV1]],3,)</f>
        <v>0.21</v>
      </c>
      <c r="S138" s="1">
        <f>VLOOKUP(A138,symbol_2[[symbol]:[TV2]],7,)</f>
        <v>0.11</v>
      </c>
      <c r="T138" s="1">
        <f>VLOOKUP(A138,symbol_2[[symbol]:[TV3]],11,)</f>
        <v>0.09</v>
      </c>
      <c r="U138" s="1">
        <f>VLOOKUP(A138,symbol_2[[symbol]:[TV4]],15,)</f>
        <v>0.08</v>
      </c>
      <c r="V138" s="1">
        <f>VLOOKUP(A138,symbol_2[[symbol]:[TV5]],19,)</f>
        <v>0.15</v>
      </c>
      <c r="W138" s="1" t="str">
        <f t="shared" si="128"/>
        <v>N</v>
      </c>
      <c r="X138" s="1" t="str">
        <f t="shared" si="129"/>
        <v>N</v>
      </c>
      <c r="Y138" s="1" t="str">
        <f t="shared" si="130"/>
        <v>N</v>
      </c>
      <c r="Z138" s="1" t="str">
        <f t="shared" si="131"/>
        <v>Y</v>
      </c>
      <c r="AA138" s="1">
        <f>VLOOKUP(A140,symbol_2[[symbol]:[TradedValue1]],4,)</f>
        <v>459.98</v>
      </c>
      <c r="AB138" s="1">
        <f>VLOOKUP(A138,symbol_2[[symbol]:[TradedValue2]],8,)</f>
        <v>117.42</v>
      </c>
      <c r="AC138" s="1">
        <f>VLOOKUP(A138,symbol_2[[symbol]:[TradedValue3]],12,)</f>
        <v>86.75</v>
      </c>
      <c r="AD138" s="1">
        <f>VLOOKUP(A138,symbol_2[[symbol]:[TradedValue4]],16,)</f>
        <v>77.62</v>
      </c>
      <c r="AE138" s="1">
        <f>VLOOKUP(A138,symbol_2[[symbol]:[TradedValue5]],20,)</f>
        <v>156.9</v>
      </c>
      <c r="AF138" s="1">
        <f>Table2[[#This Row],[TradedValue2]]-Table2[[#This Row],[TradedValue1]]</f>
        <v>-342.56</v>
      </c>
      <c r="AG138" s="1">
        <f>Table2[[#This Row],[TradedValue3]]-Table2[[#This Row],[TradedValue2]]</f>
        <v>-30.67</v>
      </c>
      <c r="AH138" s="1">
        <f>Table2[[#This Row],[TradedValue4]]-Table2[[#This Row],[TradedValue3]]</f>
        <v>-9.1299999999999955</v>
      </c>
      <c r="AI138" s="1">
        <f>Table2[[#This Row],[TradedValue5]]-Table2[[#This Row],[TradedValue4]]</f>
        <v>79.28</v>
      </c>
      <c r="AJ138" s="49" t="str">
        <f>IF(Table2[[#This Row],[TradedValue2]]&gt;Table2[[#This Row],[TradedValue1]],"Y","N")</f>
        <v>N</v>
      </c>
      <c r="AK138" s="49" t="str">
        <f>IF(Table2[[#This Row],[TradedValue3]]&gt;Table2[[#This Row],[TradedValue2]],"Y","N")</f>
        <v>N</v>
      </c>
      <c r="AL138" s="49" t="str">
        <f>IF(Table2[[#This Row],[TradedValue5]]&gt;Table2[[#This Row],[TradedValue3]],"Y","N")</f>
        <v>Y</v>
      </c>
      <c r="AM138" s="49" t="str">
        <f>IF(Table2[[#This Row],[TradedValue5]]&gt;Table2[[#This Row],[TradedValue4]],"Y","N")</f>
        <v>Y</v>
      </c>
      <c r="AN138" s="1">
        <f t="shared" si="132"/>
        <v>-9.9999999999999992E-2</v>
      </c>
      <c r="AO138" s="1">
        <f t="shared" si="133"/>
        <v>-2.0000000000000004E-2</v>
      </c>
      <c r="AP138" s="1">
        <f t="shared" si="134"/>
        <v>-9.999999999999995E-3</v>
      </c>
      <c r="AQ138" s="1">
        <f t="shared" si="135"/>
        <v>6.9999999999999993E-2</v>
      </c>
      <c r="AR138" s="1">
        <f>VLOOKUP(A138,symbol_2[[symbol]:[DelPer1]],5,)</f>
        <v>15.15</v>
      </c>
      <c r="AS138" s="1">
        <f>VLOOKUP(A138,symbol_2[[symbol]:[DelPer2]],9,)</f>
        <v>10.86</v>
      </c>
      <c r="AT138" s="1">
        <f>VLOOKUP(A138,symbol_2[[symbol]:[DelPer3]],13,)</f>
        <v>21.18</v>
      </c>
      <c r="AU138" s="1">
        <f>VLOOKUP(A138,symbol_2[[symbol]:[DelPer4]],17,)</f>
        <v>25.44</v>
      </c>
      <c r="AV138" s="1">
        <f>VLOOKUP(A138,symbol_2[[symbol]:[DelPer5]],21,)</f>
        <v>22.15</v>
      </c>
      <c r="AW138" s="49" t="str">
        <f t="shared" si="136"/>
        <v>N</v>
      </c>
      <c r="AX138" s="49" t="str">
        <f t="shared" si="137"/>
        <v>Y</v>
      </c>
      <c r="AY138" s="49" t="str">
        <f t="shared" si="138"/>
        <v>Y</v>
      </c>
      <c r="AZ138" s="49" t="str">
        <f t="shared" si="139"/>
        <v>N</v>
      </c>
      <c r="BA138" s="1">
        <f t="shared" si="140"/>
        <v>-4.2900000000000009</v>
      </c>
      <c r="BB138" s="1">
        <f t="shared" si="141"/>
        <v>10.32</v>
      </c>
      <c r="BC138" s="1">
        <f t="shared" si="142"/>
        <v>4.2600000000000016</v>
      </c>
      <c r="BD138" s="1">
        <f t="shared" si="143"/>
        <v>-3.2900000000000027</v>
      </c>
    </row>
    <row r="139" spans="1:56" hidden="1" x14ac:dyDescent="0.35">
      <c r="A139" s="1" t="s">
        <v>158</v>
      </c>
      <c r="B139" s="1" t="s">
        <v>1023</v>
      </c>
      <c r="C139" s="1" t="s">
        <v>52</v>
      </c>
      <c r="D139" s="1" t="str">
        <f>VLOOKUP(A139,'High Beta'!A7:B56,2,)</f>
        <v>Y</v>
      </c>
      <c r="E139" s="1">
        <f>VLOOKUP(A139,symbol_2[[symbol]:[Price1]],2,)</f>
        <v>107.45</v>
      </c>
      <c r="F139" s="1">
        <f>VLOOKUP(A139,symbol_2[[symbol]:[Price2]],6,)</f>
        <v>103.75</v>
      </c>
      <c r="G139" s="1">
        <f>VLOOKUP(A139,symbol_2[[symbol]:[Price3]],10,)</f>
        <v>106.1</v>
      </c>
      <c r="H139" s="1">
        <f>VLOOKUP(A139,symbol_2[[symbol]:[Price4]],14,)</f>
        <v>103.75</v>
      </c>
      <c r="I139" s="1">
        <f>VLOOKUP(A139,symbol_2[[symbol]:[Price5]],18,)</f>
        <v>104.4</v>
      </c>
      <c r="J139" s="49" t="str">
        <f t="shared" si="120"/>
        <v>N</v>
      </c>
      <c r="K139" s="49" t="str">
        <f t="shared" si="121"/>
        <v>Y</v>
      </c>
      <c r="L139" s="49" t="str">
        <f t="shared" si="122"/>
        <v>N</v>
      </c>
      <c r="M139" s="49" t="str">
        <f t="shared" si="123"/>
        <v>Y</v>
      </c>
      <c r="N139" s="52">
        <f t="shared" si="124"/>
        <v>-3.443462075383902</v>
      </c>
      <c r="O139" s="52">
        <f t="shared" si="125"/>
        <v>2.2650602409638498</v>
      </c>
      <c r="P139" s="52">
        <f t="shared" si="126"/>
        <v>-2.2148916116870825</v>
      </c>
      <c r="Q139" s="52">
        <f t="shared" si="127"/>
        <v>0.626506024096391</v>
      </c>
      <c r="R139" s="1">
        <f>VLOOKUP(A139,symbol_2[[symbol]:[TV1]],3,)</f>
        <v>26.02</v>
      </c>
      <c r="S139" s="1">
        <f>VLOOKUP(A139,symbol_2[[symbol]:[TV2]],7,)</f>
        <v>14.18</v>
      </c>
      <c r="T139" s="1">
        <f>VLOOKUP(A139,symbol_2[[symbol]:[TV3]],11,)</f>
        <v>17.420000000000002</v>
      </c>
      <c r="U139" s="1">
        <f>VLOOKUP(A139,symbol_2[[symbol]:[TV4]],15,)</f>
        <v>14.35</v>
      </c>
      <c r="V139" s="1">
        <f>VLOOKUP(A139,symbol_2[[symbol]:[TV5]],19,)</f>
        <v>12.12</v>
      </c>
      <c r="W139" s="1" t="str">
        <f t="shared" si="128"/>
        <v>N</v>
      </c>
      <c r="X139" s="1" t="str">
        <f t="shared" si="129"/>
        <v>Y</v>
      </c>
      <c r="Y139" s="1" t="str">
        <f t="shared" si="130"/>
        <v>N</v>
      </c>
      <c r="Z139" s="1" t="str">
        <f t="shared" si="131"/>
        <v>N</v>
      </c>
      <c r="AA139" s="1">
        <f>VLOOKUP(A139,symbol_2[[symbol]:[TradedValue1]],4,)</f>
        <v>2754.72</v>
      </c>
      <c r="AB139" s="1">
        <f>VLOOKUP(A139,symbol_2[[symbol]:[TradedValue2]],8,)</f>
        <v>1477.98</v>
      </c>
      <c r="AC139" s="1">
        <f>VLOOKUP(A139,symbol_2[[symbol]:[TradedValue3]],12,)</f>
        <v>1833.75</v>
      </c>
      <c r="AD139" s="1">
        <f>VLOOKUP(A139,symbol_2[[symbol]:[TradedValue4]],16,)</f>
        <v>1534.47</v>
      </c>
      <c r="AE139" s="1">
        <f>VLOOKUP(A139,symbol_2[[symbol]:[TradedValue5]],20,)</f>
        <v>1262.1500000000001</v>
      </c>
      <c r="AF139" s="1">
        <f>Table2[[#This Row],[TradedValue2]]-Table2[[#This Row],[TradedValue1]]</f>
        <v>-1276.7399999999998</v>
      </c>
      <c r="AG139" s="1">
        <f>Table2[[#This Row],[TradedValue3]]-Table2[[#This Row],[TradedValue2]]</f>
        <v>355.77</v>
      </c>
      <c r="AH139" s="1">
        <f>Table2[[#This Row],[TradedValue4]]-Table2[[#This Row],[TradedValue3]]</f>
        <v>-299.27999999999997</v>
      </c>
      <c r="AI139" s="1">
        <f>Table2[[#This Row],[TradedValue5]]-Table2[[#This Row],[TradedValue4]]</f>
        <v>-272.31999999999994</v>
      </c>
      <c r="AJ139" s="49" t="str">
        <f>IF(Table2[[#This Row],[TradedValue2]]&gt;Table2[[#This Row],[TradedValue1]],"Y","N")</f>
        <v>N</v>
      </c>
      <c r="AK139" s="49" t="str">
        <f>IF(Table2[[#This Row],[TradedValue3]]&gt;Table2[[#This Row],[TradedValue2]],"Y","N")</f>
        <v>Y</v>
      </c>
      <c r="AL139" s="49" t="str">
        <f>IF(Table2[[#This Row],[TradedValue5]]&gt;Table2[[#This Row],[TradedValue3]],"Y","N")</f>
        <v>N</v>
      </c>
      <c r="AM139" s="49" t="str">
        <f>IF(Table2[[#This Row],[TradedValue5]]&gt;Table2[[#This Row],[TradedValue4]],"Y","N")</f>
        <v>N</v>
      </c>
      <c r="AN139" s="1">
        <f t="shared" si="132"/>
        <v>-11.84</v>
      </c>
      <c r="AO139" s="1">
        <f t="shared" si="133"/>
        <v>3.240000000000002</v>
      </c>
      <c r="AP139" s="1">
        <f t="shared" si="134"/>
        <v>-3.0700000000000021</v>
      </c>
      <c r="AQ139" s="1">
        <f t="shared" si="135"/>
        <v>-2.2300000000000004</v>
      </c>
      <c r="AR139" s="1">
        <f>VLOOKUP(A139,symbol_2[[symbol]:[DelPer1]],5,)</f>
        <v>8.86</v>
      </c>
      <c r="AS139" s="1">
        <f>VLOOKUP(A139,symbol_2[[symbol]:[DelPer2]],9,)</f>
        <v>10.23</v>
      </c>
      <c r="AT139" s="1">
        <f>VLOOKUP(A139,symbol_2[[symbol]:[DelPer3]],13,)</f>
        <v>7.09</v>
      </c>
      <c r="AU139" s="1">
        <f>VLOOKUP(A139,symbol_2[[symbol]:[DelPer4]],17,)</f>
        <v>13.65</v>
      </c>
      <c r="AV139" s="1">
        <f>VLOOKUP(A139,symbol_2[[symbol]:[DelPer5]],21,)</f>
        <v>11.06</v>
      </c>
      <c r="AW139" s="49" t="str">
        <f t="shared" si="136"/>
        <v>Y</v>
      </c>
      <c r="AX139" s="49" t="str">
        <f t="shared" si="137"/>
        <v>N</v>
      </c>
      <c r="AY139" s="49" t="str">
        <f t="shared" si="138"/>
        <v>Y</v>
      </c>
      <c r="AZ139" s="49" t="str">
        <f t="shared" si="139"/>
        <v>N</v>
      </c>
      <c r="BA139" s="1">
        <f t="shared" si="140"/>
        <v>1.370000000000001</v>
      </c>
      <c r="BB139" s="1">
        <f t="shared" si="141"/>
        <v>-3.1400000000000006</v>
      </c>
      <c r="BC139" s="1">
        <f t="shared" si="142"/>
        <v>6.5600000000000005</v>
      </c>
      <c r="BD139" s="1">
        <f t="shared" si="143"/>
        <v>-2.59</v>
      </c>
    </row>
    <row r="140" spans="1:56" hidden="1" x14ac:dyDescent="0.35">
      <c r="A140" s="116" t="s">
        <v>187</v>
      </c>
      <c r="B140" s="1" t="s">
        <v>1022</v>
      </c>
      <c r="C140" s="1" t="s">
        <v>52</v>
      </c>
      <c r="D140" s="1" t="s">
        <v>199</v>
      </c>
      <c r="E140" s="1">
        <f>VLOOKUP(A140,symbol_2[[symbol]:[Price1]],2,)</f>
        <v>88.85</v>
      </c>
      <c r="F140" s="1">
        <f>VLOOKUP(A140,symbol_2[[symbol]:[Price2]],6,)</f>
        <v>83.15</v>
      </c>
      <c r="G140" s="1">
        <f>VLOOKUP(A140,symbol_2[[symbol]:[Price3]],10,)</f>
        <v>85.4</v>
      </c>
      <c r="H140" s="1">
        <f>VLOOKUP(A140,symbol_2[[symbol]:[Price4]],14,)</f>
        <v>84.85</v>
      </c>
      <c r="I140" s="1">
        <f>VLOOKUP(A140,symbol_2[[symbol]:[Price5]],18,)</f>
        <v>86.85</v>
      </c>
      <c r="J140" s="49" t="str">
        <f t="shared" si="120"/>
        <v>N</v>
      </c>
      <c r="K140" s="49" t="str">
        <f t="shared" si="121"/>
        <v>Y</v>
      </c>
      <c r="L140" s="49" t="str">
        <f t="shared" si="122"/>
        <v>N</v>
      </c>
      <c r="M140" s="49" t="str">
        <f t="shared" si="123"/>
        <v>Y</v>
      </c>
      <c r="N140" s="52">
        <f t="shared" si="124"/>
        <v>-6.4153066966797843</v>
      </c>
      <c r="O140" s="52">
        <f t="shared" si="125"/>
        <v>2.7059530968129883</v>
      </c>
      <c r="P140" s="52">
        <f t="shared" si="126"/>
        <v>-0.64402810304450975</v>
      </c>
      <c r="Q140" s="52">
        <f t="shared" si="127"/>
        <v>2.3571007660577492</v>
      </c>
      <c r="R140" s="1">
        <f>VLOOKUP(A140,symbol_2[[symbol]:[TV1]],3,)</f>
        <v>5.28</v>
      </c>
      <c r="S140" s="1">
        <f>VLOOKUP(A140,symbol_2[[symbol]:[TV2]],7,)</f>
        <v>8.32</v>
      </c>
      <c r="T140" s="1">
        <f>VLOOKUP(A140,symbol_2[[symbol]:[TV3]],11,)</f>
        <v>3.01</v>
      </c>
      <c r="U140" s="1">
        <f>VLOOKUP(A140,symbol_2[[symbol]:[TV4]],15,)</f>
        <v>4.8899999999999997</v>
      </c>
      <c r="V140" s="1">
        <f>VLOOKUP(A140,symbol_2[[symbol]:[TV5]],19,)</f>
        <v>3.39</v>
      </c>
      <c r="W140" s="1" t="str">
        <f t="shared" si="128"/>
        <v>Y</v>
      </c>
      <c r="X140" s="1" t="str">
        <f t="shared" si="129"/>
        <v>N</v>
      </c>
      <c r="Y140" s="1" t="str">
        <f t="shared" si="130"/>
        <v>Y</v>
      </c>
      <c r="Z140" s="1" t="str">
        <f t="shared" si="131"/>
        <v>N</v>
      </c>
      <c r="AA140" s="1">
        <f>VLOOKUP(A142,symbol_2[[symbol]:[TradedValue1]],4,)</f>
        <v>835.62</v>
      </c>
      <c r="AB140" s="1">
        <f>VLOOKUP(A140,symbol_2[[symbol]:[TradedValue2]],8,)</f>
        <v>705.5</v>
      </c>
      <c r="AC140" s="1">
        <f>VLOOKUP(A140,symbol_2[[symbol]:[TradedValue3]],12,)</f>
        <v>254</v>
      </c>
      <c r="AD140" s="1">
        <f>VLOOKUP(A140,symbol_2[[symbol]:[TradedValue4]],16,)</f>
        <v>418.36</v>
      </c>
      <c r="AE140" s="1">
        <f>VLOOKUP(A140,symbol_2[[symbol]:[TradedValue5]],20,)</f>
        <v>291.88</v>
      </c>
      <c r="AF140" s="1">
        <f>Table2[[#This Row],[TradedValue2]]-Table2[[#This Row],[TradedValue1]]</f>
        <v>-130.12</v>
      </c>
      <c r="AG140" s="1">
        <f>Table2[[#This Row],[TradedValue3]]-Table2[[#This Row],[TradedValue2]]</f>
        <v>-451.5</v>
      </c>
      <c r="AH140" s="1">
        <f>Table2[[#This Row],[TradedValue4]]-Table2[[#This Row],[TradedValue3]]</f>
        <v>164.36</v>
      </c>
      <c r="AI140" s="1">
        <f>Table2[[#This Row],[TradedValue5]]-Table2[[#This Row],[TradedValue4]]</f>
        <v>-126.48000000000002</v>
      </c>
      <c r="AJ140" s="49" t="str">
        <f>IF(Table2[[#This Row],[TradedValue2]]&gt;Table2[[#This Row],[TradedValue1]],"Y","N")</f>
        <v>N</v>
      </c>
      <c r="AK140" s="49" t="str">
        <f>IF(Table2[[#This Row],[TradedValue3]]&gt;Table2[[#This Row],[TradedValue2]],"Y","N")</f>
        <v>N</v>
      </c>
      <c r="AL140" s="49" t="str">
        <f>IF(Table2[[#This Row],[TradedValue5]]&gt;Table2[[#This Row],[TradedValue3]],"Y","N")</f>
        <v>Y</v>
      </c>
      <c r="AM140" s="49" t="str">
        <f>IF(Table2[[#This Row],[TradedValue5]]&gt;Table2[[#This Row],[TradedValue4]],"Y","N")</f>
        <v>N</v>
      </c>
      <c r="AN140" s="1">
        <f t="shared" si="132"/>
        <v>3.04</v>
      </c>
      <c r="AO140" s="1">
        <f t="shared" si="133"/>
        <v>-5.3100000000000005</v>
      </c>
      <c r="AP140" s="1">
        <f t="shared" si="134"/>
        <v>1.88</v>
      </c>
      <c r="AQ140" s="1">
        <f t="shared" si="135"/>
        <v>-1.4999999999999996</v>
      </c>
      <c r="AR140" s="1">
        <f>VLOOKUP(A140,symbol_2[[symbol]:[DelPer1]],5,)</f>
        <v>33.159999999999997</v>
      </c>
      <c r="AS140" s="1">
        <f>VLOOKUP(A140,symbol_2[[symbol]:[DelPer2]],9,)</f>
        <v>28.75</v>
      </c>
      <c r="AT140" s="1">
        <f>VLOOKUP(A140,symbol_2[[symbol]:[DelPer3]],13,)</f>
        <v>22.66</v>
      </c>
      <c r="AU140" s="1">
        <f>VLOOKUP(A140,symbol_2[[symbol]:[DelPer4]],17,)</f>
        <v>33.869999999999997</v>
      </c>
      <c r="AV140" s="1">
        <f>VLOOKUP(A140,symbol_2[[symbol]:[DelPer5]],21,)</f>
        <v>33.57</v>
      </c>
      <c r="AW140" s="49" t="str">
        <f t="shared" si="136"/>
        <v>N</v>
      </c>
      <c r="AX140" s="49" t="str">
        <f t="shared" si="137"/>
        <v>N</v>
      </c>
      <c r="AY140" s="49" t="str">
        <f t="shared" si="138"/>
        <v>Y</v>
      </c>
      <c r="AZ140" s="49" t="str">
        <f t="shared" si="139"/>
        <v>N</v>
      </c>
      <c r="BA140" s="1">
        <f t="shared" si="140"/>
        <v>-4.4099999999999966</v>
      </c>
      <c r="BB140" s="1">
        <f t="shared" si="141"/>
        <v>-6.09</v>
      </c>
      <c r="BC140" s="1">
        <f t="shared" si="142"/>
        <v>11.209999999999997</v>
      </c>
      <c r="BD140" s="1">
        <f t="shared" si="143"/>
        <v>-0.29999999999999716</v>
      </c>
    </row>
    <row r="141" spans="1:56" hidden="1" x14ac:dyDescent="0.35">
      <c r="A141" s="1" t="s">
        <v>66</v>
      </c>
      <c r="B141" s="1" t="s">
        <v>1014</v>
      </c>
      <c r="C141" s="1" t="s">
        <v>52</v>
      </c>
      <c r="D141" s="1" t="s">
        <v>199</v>
      </c>
      <c r="E141" s="1">
        <f>VLOOKUP(A141,symbol_2[[symbol]:[Price1]],2,)</f>
        <v>778.9</v>
      </c>
      <c r="F141" s="1">
        <f>VLOOKUP(A141,symbol_2[[symbol]:[Price2]],6,)</f>
        <v>767.2</v>
      </c>
      <c r="G141" s="1">
        <f>VLOOKUP(A141,symbol_2[[symbol]:[Price3]],10,)</f>
        <v>776.15</v>
      </c>
      <c r="H141" s="1">
        <f>VLOOKUP(A141,symbol_2[[symbol]:[Price4]],14,)</f>
        <v>776.5</v>
      </c>
      <c r="I141" s="1">
        <f>VLOOKUP(A141,symbol_2[[symbol]:[Price5]],18,)</f>
        <v>798.2</v>
      </c>
      <c r="J141" s="49" t="str">
        <f t="shared" si="120"/>
        <v>N</v>
      </c>
      <c r="K141" s="49" t="str">
        <f t="shared" si="121"/>
        <v>Y</v>
      </c>
      <c r="L141" s="49" t="str">
        <f t="shared" si="122"/>
        <v>Y</v>
      </c>
      <c r="M141" s="49" t="str">
        <f t="shared" si="123"/>
        <v>Y</v>
      </c>
      <c r="N141" s="52">
        <f t="shared" si="124"/>
        <v>-1.5021183720631572</v>
      </c>
      <c r="O141" s="52">
        <f t="shared" si="125"/>
        <v>1.1665797705943604</v>
      </c>
      <c r="P141" s="52">
        <f t="shared" si="126"/>
        <v>4.50943760870995E-2</v>
      </c>
      <c r="Q141" s="52">
        <f t="shared" si="127"/>
        <v>2.7945911139729613</v>
      </c>
      <c r="R141" s="1">
        <f>VLOOKUP(A141,symbol_2[[symbol]:[TV1]],3,)</f>
        <v>0.92</v>
      </c>
      <c r="S141" s="1">
        <f>VLOOKUP(A141,symbol_2[[symbol]:[TV2]],7,)</f>
        <v>1.5</v>
      </c>
      <c r="T141" s="1">
        <f>VLOOKUP(A141,symbol_2[[symbol]:[TV3]],11,)</f>
        <v>1.59</v>
      </c>
      <c r="U141" s="1">
        <f>VLOOKUP(A141,symbol_2[[symbol]:[TV4]],15,)</f>
        <v>0.36</v>
      </c>
      <c r="V141" s="1">
        <f>VLOOKUP(A141,symbol_2[[symbol]:[TV5]],19,)</f>
        <v>1.03</v>
      </c>
      <c r="W141" s="1" t="str">
        <f t="shared" si="128"/>
        <v>Y</v>
      </c>
      <c r="X141" s="1" t="str">
        <f t="shared" si="129"/>
        <v>Y</v>
      </c>
      <c r="Y141" s="1" t="str">
        <f t="shared" si="130"/>
        <v>N</v>
      </c>
      <c r="Z141" s="1" t="str">
        <f t="shared" si="131"/>
        <v>Y</v>
      </c>
      <c r="AA141" s="1">
        <f>VLOOKUP(A141,symbol_2[[symbol]:[TradedValue1]],4,)</f>
        <v>733.35</v>
      </c>
      <c r="AB141" s="1">
        <f>VLOOKUP(A141,symbol_2[[symbol]:[TradedValue2]],8,)</f>
        <v>1150.8599999999999</v>
      </c>
      <c r="AC141" s="1">
        <f>VLOOKUP(A141,symbol_2[[symbol]:[TradedValue3]],12,)</f>
        <v>1238.6199999999999</v>
      </c>
      <c r="AD141" s="1">
        <f>VLOOKUP(A141,symbol_2[[symbol]:[TradedValue4]],16,)</f>
        <v>282.83999999999997</v>
      </c>
      <c r="AE141" s="1">
        <f>VLOOKUP(A141,symbol_2[[symbol]:[TradedValue5]],20,)</f>
        <v>810.86</v>
      </c>
      <c r="AF141" s="1">
        <f>Table2[[#This Row],[TradedValue2]]-Table2[[#This Row],[TradedValue1]]</f>
        <v>417.50999999999988</v>
      </c>
      <c r="AG141" s="1">
        <f>Table2[[#This Row],[TradedValue3]]-Table2[[#This Row],[TradedValue2]]</f>
        <v>87.759999999999991</v>
      </c>
      <c r="AH141" s="1">
        <f>Table2[[#This Row],[TradedValue4]]-Table2[[#This Row],[TradedValue3]]</f>
        <v>-955.78</v>
      </c>
      <c r="AI141" s="1">
        <f>Table2[[#This Row],[TradedValue5]]-Table2[[#This Row],[TradedValue4]]</f>
        <v>528.02</v>
      </c>
      <c r="AJ141" s="49" t="str">
        <f>IF(Table2[[#This Row],[TradedValue2]]&gt;Table2[[#This Row],[TradedValue1]],"Y","N")</f>
        <v>Y</v>
      </c>
      <c r="AK141" s="49" t="str">
        <f>IF(Table2[[#This Row],[TradedValue3]]&gt;Table2[[#This Row],[TradedValue2]],"Y","N")</f>
        <v>Y</v>
      </c>
      <c r="AL141" s="49" t="str">
        <f>IF(Table2[[#This Row],[TradedValue5]]&gt;Table2[[#This Row],[TradedValue3]],"Y","N")</f>
        <v>N</v>
      </c>
      <c r="AM141" s="49" t="str">
        <f>IF(Table2[[#This Row],[TradedValue5]]&gt;Table2[[#This Row],[TradedValue4]],"Y","N")</f>
        <v>Y</v>
      </c>
      <c r="AN141" s="1">
        <f t="shared" si="132"/>
        <v>0.57999999999999996</v>
      </c>
      <c r="AO141" s="1">
        <f t="shared" si="133"/>
        <v>9.000000000000008E-2</v>
      </c>
      <c r="AP141" s="1">
        <f t="shared" si="134"/>
        <v>-1.23</v>
      </c>
      <c r="AQ141" s="1">
        <f t="shared" si="135"/>
        <v>0.67</v>
      </c>
      <c r="AR141" s="1">
        <f>VLOOKUP(A141,symbol_2[[symbol]:[DelPer1]],5,)</f>
        <v>21.42</v>
      </c>
      <c r="AS141" s="1">
        <f>VLOOKUP(A141,symbol_2[[symbol]:[DelPer2]],9,)</f>
        <v>57.11</v>
      </c>
      <c r="AT141" s="1">
        <f>VLOOKUP(A141,symbol_2[[symbol]:[DelPer3]],13,)</f>
        <v>39.159999999999997</v>
      </c>
      <c r="AU141" s="1">
        <f>VLOOKUP(A141,symbol_2[[symbol]:[DelPer4]],17,)</f>
        <v>28.45</v>
      </c>
      <c r="AV141" s="1">
        <f>VLOOKUP(A141,symbol_2[[symbol]:[DelPer5]],21,)</f>
        <v>40.61</v>
      </c>
      <c r="AW141" s="49" t="str">
        <f t="shared" si="136"/>
        <v>Y</v>
      </c>
      <c r="AX141" s="49" t="str">
        <f t="shared" si="137"/>
        <v>N</v>
      </c>
      <c r="AY141" s="49" t="str">
        <f t="shared" si="138"/>
        <v>N</v>
      </c>
      <c r="AZ141" s="49" t="str">
        <f t="shared" si="139"/>
        <v>Y</v>
      </c>
      <c r="BA141" s="1">
        <f t="shared" si="140"/>
        <v>35.69</v>
      </c>
      <c r="BB141" s="1">
        <f t="shared" si="141"/>
        <v>-17.950000000000003</v>
      </c>
      <c r="BC141" s="1">
        <f t="shared" si="142"/>
        <v>-10.709999999999997</v>
      </c>
      <c r="BD141" s="1">
        <f t="shared" si="143"/>
        <v>12.16</v>
      </c>
    </row>
    <row r="142" spans="1:56" hidden="1" x14ac:dyDescent="0.35">
      <c r="A142" s="1" t="s">
        <v>42</v>
      </c>
      <c r="B142" s="1" t="s">
        <v>1025</v>
      </c>
      <c r="C142" s="1" t="s">
        <v>52</v>
      </c>
      <c r="D142" s="1" t="s">
        <v>199</v>
      </c>
      <c r="E142" s="1">
        <f>VLOOKUP(A142,symbol_2[[symbol]:[Price1]],2,)</f>
        <v>65.75</v>
      </c>
      <c r="F142" s="1">
        <f>VLOOKUP(A142,symbol_2[[symbol]:[Price2]],6,)</f>
        <v>64.400000000000006</v>
      </c>
      <c r="G142" s="1">
        <f>VLOOKUP(A142,symbol_2[[symbol]:[Price3]],10,)</f>
        <v>64.8</v>
      </c>
      <c r="H142" s="1">
        <f>VLOOKUP(A142,symbol_2[[symbol]:[Price4]],14,)</f>
        <v>64.599999999999994</v>
      </c>
      <c r="I142" s="1">
        <f>VLOOKUP(A142,symbol_2[[symbol]:[Price5]],18,)</f>
        <v>67.7</v>
      </c>
      <c r="J142" s="49" t="str">
        <f t="shared" si="120"/>
        <v>N</v>
      </c>
      <c r="K142" s="49" t="str">
        <f t="shared" si="121"/>
        <v>Y</v>
      </c>
      <c r="L142" s="49" t="str">
        <f t="shared" si="122"/>
        <v>N</v>
      </c>
      <c r="M142" s="49" t="str">
        <f t="shared" si="123"/>
        <v>Y</v>
      </c>
      <c r="N142" s="52">
        <f t="shared" si="124"/>
        <v>-2.0532319391634895</v>
      </c>
      <c r="O142" s="52">
        <f t="shared" si="125"/>
        <v>0.62111801242234699</v>
      </c>
      <c r="P142" s="52">
        <f t="shared" si="126"/>
        <v>-0.3086419753086464</v>
      </c>
      <c r="Q142" s="52">
        <f t="shared" si="127"/>
        <v>4.7987616099071344</v>
      </c>
      <c r="R142" s="1">
        <f>VLOOKUP(A142,symbol_2[[symbol]:[TV1]],3,)</f>
        <v>12.6</v>
      </c>
      <c r="S142" s="1">
        <f>VLOOKUP(A142,symbol_2[[symbol]:[TV2]],7,)</f>
        <v>5.27</v>
      </c>
      <c r="T142" s="1">
        <f>VLOOKUP(A142,symbol_2[[symbol]:[TV3]],11,)</f>
        <v>10.06</v>
      </c>
      <c r="U142" s="1">
        <f>VLOOKUP(A142,symbol_2[[symbol]:[TV4]],15,)</f>
        <v>8.01</v>
      </c>
      <c r="V142" s="1">
        <f>VLOOKUP(A142,symbol_2[[symbol]:[TV5]],19,)</f>
        <v>7.45</v>
      </c>
      <c r="W142" s="1" t="str">
        <f t="shared" si="128"/>
        <v>N</v>
      </c>
      <c r="X142" s="1" t="str">
        <f t="shared" si="129"/>
        <v>Y</v>
      </c>
      <c r="Y142" s="1" t="str">
        <f t="shared" si="130"/>
        <v>N</v>
      </c>
      <c r="Z142" s="1" t="str">
        <f t="shared" si="131"/>
        <v>N</v>
      </c>
      <c r="AA142" s="1">
        <f>VLOOKUP(A144,symbol_2[[symbol]:[TradedValue1]],4,)</f>
        <v>1229.0999999999999</v>
      </c>
      <c r="AB142" s="1">
        <f>VLOOKUP(A142,symbol_2[[symbol]:[TradedValue2]],8,)</f>
        <v>340.74</v>
      </c>
      <c r="AC142" s="1">
        <f>VLOOKUP(A142,symbol_2[[symbol]:[TradedValue3]],12,)</f>
        <v>648.6</v>
      </c>
      <c r="AD142" s="1">
        <f>VLOOKUP(A142,symbol_2[[symbol]:[TradedValue4]],16,)</f>
        <v>528.48</v>
      </c>
      <c r="AE142" s="1">
        <f>VLOOKUP(A142,symbol_2[[symbol]:[TradedValue5]],20,)</f>
        <v>494.59</v>
      </c>
      <c r="AF142" s="1">
        <f>Table2[[#This Row],[TradedValue2]]-Table2[[#This Row],[TradedValue1]]</f>
        <v>-888.3599999999999</v>
      </c>
      <c r="AG142" s="1">
        <f>Table2[[#This Row],[TradedValue3]]-Table2[[#This Row],[TradedValue2]]</f>
        <v>307.86</v>
      </c>
      <c r="AH142" s="1">
        <f>Table2[[#This Row],[TradedValue4]]-Table2[[#This Row],[TradedValue3]]</f>
        <v>-120.12</v>
      </c>
      <c r="AI142" s="1">
        <f>Table2[[#This Row],[TradedValue5]]-Table2[[#This Row],[TradedValue4]]</f>
        <v>-33.890000000000043</v>
      </c>
      <c r="AJ142" s="49" t="str">
        <f>IF(Table2[[#This Row],[TradedValue2]]&gt;Table2[[#This Row],[TradedValue1]],"Y","N")</f>
        <v>N</v>
      </c>
      <c r="AK142" s="49" t="str">
        <f>IF(Table2[[#This Row],[TradedValue3]]&gt;Table2[[#This Row],[TradedValue2]],"Y","N")</f>
        <v>Y</v>
      </c>
      <c r="AL142" s="49" t="str">
        <f>IF(Table2[[#This Row],[TradedValue5]]&gt;Table2[[#This Row],[TradedValue3]],"Y","N")</f>
        <v>N</v>
      </c>
      <c r="AM142" s="49" t="str">
        <f>IF(Table2[[#This Row],[TradedValue5]]&gt;Table2[[#This Row],[TradedValue4]],"Y","N")</f>
        <v>N</v>
      </c>
      <c r="AN142" s="1">
        <f t="shared" si="132"/>
        <v>-7.33</v>
      </c>
      <c r="AO142" s="1">
        <f t="shared" si="133"/>
        <v>4.7900000000000009</v>
      </c>
      <c r="AP142" s="1">
        <f t="shared" si="134"/>
        <v>-2.0500000000000007</v>
      </c>
      <c r="AQ142" s="1">
        <f t="shared" si="135"/>
        <v>-0.55999999999999961</v>
      </c>
      <c r="AR142" s="1">
        <f>VLOOKUP(A142,symbol_2[[symbol]:[DelPer1]],5,)</f>
        <v>32.35</v>
      </c>
      <c r="AS142" s="1">
        <f>VLOOKUP(A142,symbol_2[[symbol]:[DelPer2]],9,)</f>
        <v>34.19</v>
      </c>
      <c r="AT142" s="1">
        <f>VLOOKUP(A142,symbol_2[[symbol]:[DelPer3]],13,)</f>
        <v>51.72</v>
      </c>
      <c r="AU142" s="1">
        <f>VLOOKUP(A142,symbol_2[[symbol]:[DelPer4]],17,)</f>
        <v>33.64</v>
      </c>
      <c r="AV142" s="1">
        <f>VLOOKUP(A142,symbol_2[[symbol]:[DelPer5]],21,)</f>
        <v>50.51</v>
      </c>
      <c r="AW142" s="49" t="str">
        <f t="shared" si="136"/>
        <v>Y</v>
      </c>
      <c r="AX142" s="49" t="str">
        <f t="shared" si="137"/>
        <v>Y</v>
      </c>
      <c r="AY142" s="49" t="str">
        <f t="shared" si="138"/>
        <v>N</v>
      </c>
      <c r="AZ142" s="49" t="str">
        <f t="shared" si="139"/>
        <v>Y</v>
      </c>
      <c r="BA142" s="1">
        <f t="shared" si="140"/>
        <v>1.8399999999999963</v>
      </c>
      <c r="BB142" s="1">
        <f t="shared" si="141"/>
        <v>17.53</v>
      </c>
      <c r="BC142" s="1">
        <f t="shared" si="142"/>
        <v>-18.079999999999998</v>
      </c>
      <c r="BD142" s="1">
        <f t="shared" si="143"/>
        <v>16.869999999999997</v>
      </c>
    </row>
    <row r="143" spans="1:56" hidden="1" x14ac:dyDescent="0.35">
      <c r="A143" s="116" t="s">
        <v>103</v>
      </c>
      <c r="B143" s="1" t="s">
        <v>1018</v>
      </c>
      <c r="C143" s="1" t="s">
        <v>52</v>
      </c>
      <c r="D143" s="1" t="str">
        <f>VLOOKUP(A143,'High Beta'!A10:B59,2,)</f>
        <v>Y</v>
      </c>
      <c r="E143" s="1">
        <f>VLOOKUP(A143,symbol_2[[symbol]:[Price1]],2,)</f>
        <v>15.7</v>
      </c>
      <c r="F143" s="1">
        <f>VLOOKUP(A143,symbol_2[[symbol]:[Price2]],6,)</f>
        <v>15.4</v>
      </c>
      <c r="G143" s="1">
        <f>VLOOKUP(A143,symbol_2[[symbol]:[Price3]],10,)</f>
        <v>15.4</v>
      </c>
      <c r="H143" s="1">
        <f>VLOOKUP(A143,symbol_2[[symbol]:[Price4]],14,)</f>
        <v>15.85</v>
      </c>
      <c r="I143" s="1">
        <f>VLOOKUP(A143,symbol_2[[symbol]:[Price5]],18,)</f>
        <v>16.8</v>
      </c>
      <c r="J143" s="49" t="str">
        <f t="shared" si="120"/>
        <v>N</v>
      </c>
      <c r="K143" s="49" t="str">
        <f t="shared" si="121"/>
        <v>N</v>
      </c>
      <c r="L143" s="49" t="str">
        <f t="shared" si="122"/>
        <v>Y</v>
      </c>
      <c r="M143" s="49" t="str">
        <f t="shared" si="123"/>
        <v>Y</v>
      </c>
      <c r="N143" s="52">
        <f t="shared" si="124"/>
        <v>-1.9108280254777004</v>
      </c>
      <c r="O143" s="52">
        <f t="shared" si="125"/>
        <v>0</v>
      </c>
      <c r="P143" s="52">
        <f t="shared" si="126"/>
        <v>2.9220779220779174</v>
      </c>
      <c r="Q143" s="52">
        <f t="shared" si="127"/>
        <v>5.9936908517350229</v>
      </c>
      <c r="R143" s="1">
        <f>VLOOKUP(A143,symbol_2[[symbol]:[TV1]],3,)</f>
        <v>21.24</v>
      </c>
      <c r="S143" s="1">
        <f>VLOOKUP(A143,symbol_2[[symbol]:[TV2]],7,)</f>
        <v>12.67</v>
      </c>
      <c r="T143" s="1">
        <f>VLOOKUP(A143,symbol_2[[symbol]:[TV3]],11,)</f>
        <v>10.62</v>
      </c>
      <c r="U143" s="1">
        <f>VLOOKUP(A143,symbol_2[[symbol]:[TV4]],15,)</f>
        <v>36.57</v>
      </c>
      <c r="V143" s="1">
        <f>VLOOKUP(A143,symbol_2[[symbol]:[TV5]],19,)</f>
        <v>15.54</v>
      </c>
      <c r="W143" s="1" t="str">
        <f t="shared" si="128"/>
        <v>N</v>
      </c>
      <c r="X143" s="1" t="str">
        <f t="shared" si="129"/>
        <v>N</v>
      </c>
      <c r="Y143" s="1" t="str">
        <f t="shared" si="130"/>
        <v>Y</v>
      </c>
      <c r="Z143" s="1" t="str">
        <f t="shared" si="131"/>
        <v>N</v>
      </c>
      <c r="AA143" s="1">
        <f>VLOOKUP(A143,symbol_2[[symbol]:[TradedValue1]],4,)</f>
        <v>335.01</v>
      </c>
      <c r="AB143" s="1">
        <f>VLOOKUP(A143,symbol_2[[symbol]:[TradedValue2]],8,)</f>
        <v>196.6</v>
      </c>
      <c r="AC143" s="1">
        <f>VLOOKUP(A143,symbol_2[[symbol]:[TradedValue3]],12,)</f>
        <v>163.13</v>
      </c>
      <c r="AD143" s="1">
        <f>VLOOKUP(A143,symbol_2[[symbol]:[TradedValue4]],16,)</f>
        <v>589.82000000000005</v>
      </c>
      <c r="AE143" s="1">
        <f>VLOOKUP(A143,symbol_2[[symbol]:[TradedValue5]],20,)</f>
        <v>256.13</v>
      </c>
      <c r="AF143" s="1">
        <f>Table2[[#This Row],[TradedValue2]]-Table2[[#This Row],[TradedValue1]]</f>
        <v>-138.41</v>
      </c>
      <c r="AG143" s="1">
        <f>Table2[[#This Row],[TradedValue3]]-Table2[[#This Row],[TradedValue2]]</f>
        <v>-33.47</v>
      </c>
      <c r="AH143" s="1">
        <f>Table2[[#This Row],[TradedValue4]]-Table2[[#This Row],[TradedValue3]]</f>
        <v>426.69000000000005</v>
      </c>
      <c r="AI143" s="1">
        <f>Table2[[#This Row],[TradedValue5]]-Table2[[#This Row],[TradedValue4]]</f>
        <v>-333.69000000000005</v>
      </c>
      <c r="AJ143" s="49" t="str">
        <f>IF(Table2[[#This Row],[TradedValue2]]&gt;Table2[[#This Row],[TradedValue1]],"Y","N")</f>
        <v>N</v>
      </c>
      <c r="AK143" s="49" t="str">
        <f>IF(Table2[[#This Row],[TradedValue3]]&gt;Table2[[#This Row],[TradedValue2]],"Y","N")</f>
        <v>N</v>
      </c>
      <c r="AL143" s="49" t="str">
        <f>IF(Table2[[#This Row],[TradedValue5]]&gt;Table2[[#This Row],[TradedValue3]],"Y","N")</f>
        <v>Y</v>
      </c>
      <c r="AM143" s="49" t="str">
        <f>IF(Table2[[#This Row],[TradedValue5]]&gt;Table2[[#This Row],[TradedValue4]],"Y","N")</f>
        <v>N</v>
      </c>
      <c r="AN143" s="1">
        <f t="shared" si="132"/>
        <v>-8.5699999999999985</v>
      </c>
      <c r="AO143" s="1">
        <f t="shared" si="133"/>
        <v>-2.0500000000000007</v>
      </c>
      <c r="AP143" s="1">
        <f t="shared" si="134"/>
        <v>25.950000000000003</v>
      </c>
      <c r="AQ143" s="1">
        <f t="shared" si="135"/>
        <v>-21.03</v>
      </c>
      <c r="AR143" s="1">
        <f>VLOOKUP(A143,symbol_2[[symbol]:[DelPer1]],5,)</f>
        <v>35.119999999999997</v>
      </c>
      <c r="AS143" s="1">
        <f>VLOOKUP(A143,symbol_2[[symbol]:[DelPer2]],9,)</f>
        <v>46.94</v>
      </c>
      <c r="AT143" s="1">
        <f>VLOOKUP(A143,symbol_2[[symbol]:[DelPer3]],13,)</f>
        <v>39.11</v>
      </c>
      <c r="AU143" s="1">
        <f>VLOOKUP(A143,symbol_2[[symbol]:[DelPer4]],17,)</f>
        <v>30.63</v>
      </c>
      <c r="AV143" s="1">
        <f>VLOOKUP(A143,symbol_2[[symbol]:[DelPer5]],21,)</f>
        <v>26.9</v>
      </c>
      <c r="AW143" s="49" t="str">
        <f t="shared" si="136"/>
        <v>Y</v>
      </c>
      <c r="AX143" s="49" t="str">
        <f t="shared" si="137"/>
        <v>N</v>
      </c>
      <c r="AY143" s="49" t="str">
        <f t="shared" si="138"/>
        <v>N</v>
      </c>
      <c r="AZ143" s="49" t="str">
        <f t="shared" si="139"/>
        <v>N</v>
      </c>
      <c r="BA143" s="1">
        <f t="shared" si="140"/>
        <v>11.82</v>
      </c>
      <c r="BB143" s="1">
        <f t="shared" si="141"/>
        <v>-7.8299999999999983</v>
      </c>
      <c r="BC143" s="1">
        <f t="shared" si="142"/>
        <v>-8.48</v>
      </c>
      <c r="BD143" s="1">
        <f t="shared" si="143"/>
        <v>-3.7300000000000004</v>
      </c>
    </row>
    <row r="144" spans="1:56" hidden="1" x14ac:dyDescent="0.35">
      <c r="A144" s="116" t="s">
        <v>183</v>
      </c>
      <c r="B144" s="1" t="s">
        <v>1016</v>
      </c>
      <c r="C144" s="1" t="s">
        <v>52</v>
      </c>
      <c r="D144" s="1" t="s">
        <v>199</v>
      </c>
      <c r="E144" s="1">
        <f>VLOOKUP(A144,symbol_2[[symbol]:[Price1]],2,)</f>
        <v>609.45000000000005</v>
      </c>
      <c r="F144" s="1">
        <f>VLOOKUP(A144,symbol_2[[symbol]:[Price2]],6,)</f>
        <v>616.4</v>
      </c>
      <c r="G144" s="1">
        <f>VLOOKUP(A144,symbol_2[[symbol]:[Price3]],10,)</f>
        <v>622.5</v>
      </c>
      <c r="H144" s="1">
        <f>VLOOKUP(A144,symbol_2[[symbol]:[Price4]],14,)</f>
        <v>616.35</v>
      </c>
      <c r="I144" s="1">
        <f>VLOOKUP(A144,symbol_2[[symbol]:[Price5]],18,)</f>
        <v>628.35</v>
      </c>
      <c r="J144" s="49" t="str">
        <f t="shared" si="120"/>
        <v>Y</v>
      </c>
      <c r="K144" s="49" t="str">
        <f t="shared" si="121"/>
        <v>Y</v>
      </c>
      <c r="L144" s="49" t="str">
        <f t="shared" si="122"/>
        <v>N</v>
      </c>
      <c r="M144" s="49" t="str">
        <f t="shared" si="123"/>
        <v>Y</v>
      </c>
      <c r="N144" s="52">
        <f t="shared" si="124"/>
        <v>1.1403724669784119</v>
      </c>
      <c r="O144" s="52">
        <f t="shared" si="125"/>
        <v>0.98961713173264487</v>
      </c>
      <c r="P144" s="52">
        <f t="shared" si="126"/>
        <v>-0.98795180722891196</v>
      </c>
      <c r="Q144" s="52">
        <f t="shared" si="127"/>
        <v>1.9469457288878074</v>
      </c>
      <c r="R144" s="1">
        <f>VLOOKUP(A144,symbol_2[[symbol]:[TV1]],3,)</f>
        <v>1.99</v>
      </c>
      <c r="S144" s="1">
        <f>VLOOKUP(A144,symbol_2[[symbol]:[TV2]],7,)</f>
        <v>1.64</v>
      </c>
      <c r="T144" s="1">
        <f>VLOOKUP(A144,symbol_2[[symbol]:[TV3]],11,)</f>
        <v>1.08</v>
      </c>
      <c r="U144" s="1">
        <f>VLOOKUP(A144,symbol_2[[symbol]:[TV4]],15,)</f>
        <v>0.6</v>
      </c>
      <c r="V144" s="1">
        <f>VLOOKUP(A144,symbol_2[[symbol]:[TV5]],19,)</f>
        <v>0.5</v>
      </c>
      <c r="W144" s="1" t="str">
        <f t="shared" si="128"/>
        <v>N</v>
      </c>
      <c r="X144" s="1" t="str">
        <f t="shared" si="129"/>
        <v>N</v>
      </c>
      <c r="Y144" s="1" t="str">
        <f t="shared" si="130"/>
        <v>N</v>
      </c>
      <c r="Z144" s="1" t="str">
        <f t="shared" si="131"/>
        <v>N</v>
      </c>
      <c r="AA144" s="1">
        <f>VLOOKUP(A146,symbol_2[[symbol]:[TradedValue1]],4,)</f>
        <v>379.76</v>
      </c>
      <c r="AB144" s="1">
        <f>VLOOKUP(A144,symbol_2[[symbol]:[TradedValue2]],8,)</f>
        <v>1001.21</v>
      </c>
      <c r="AC144" s="1">
        <f>VLOOKUP(A144,symbol_2[[symbol]:[TradedValue3]],12,)</f>
        <v>671.75</v>
      </c>
      <c r="AD144" s="1">
        <f>VLOOKUP(A144,symbol_2[[symbol]:[TradedValue4]],16,)</f>
        <v>374.59</v>
      </c>
      <c r="AE144" s="1">
        <f>VLOOKUP(A144,symbol_2[[symbol]:[TradedValue5]],20,)</f>
        <v>313.42</v>
      </c>
      <c r="AF144" s="1">
        <f>Table2[[#This Row],[TradedValue2]]-Table2[[#This Row],[TradedValue1]]</f>
        <v>621.45000000000005</v>
      </c>
      <c r="AG144" s="1">
        <f>Table2[[#This Row],[TradedValue3]]-Table2[[#This Row],[TradedValue2]]</f>
        <v>-329.46000000000004</v>
      </c>
      <c r="AH144" s="1">
        <f>Table2[[#This Row],[TradedValue4]]-Table2[[#This Row],[TradedValue3]]</f>
        <v>-297.16000000000003</v>
      </c>
      <c r="AI144" s="1">
        <f>Table2[[#This Row],[TradedValue5]]-Table2[[#This Row],[TradedValue4]]</f>
        <v>-61.169999999999959</v>
      </c>
      <c r="AJ144" s="49" t="str">
        <f>IF(Table2[[#This Row],[TradedValue2]]&gt;Table2[[#This Row],[TradedValue1]],"Y","N")</f>
        <v>Y</v>
      </c>
      <c r="AK144" s="49" t="str">
        <f>IF(Table2[[#This Row],[TradedValue3]]&gt;Table2[[#This Row],[TradedValue2]],"Y","N")</f>
        <v>N</v>
      </c>
      <c r="AL144" s="49" t="str">
        <f>IF(Table2[[#This Row],[TradedValue5]]&gt;Table2[[#This Row],[TradedValue3]],"Y","N")</f>
        <v>N</v>
      </c>
      <c r="AM144" s="49" t="str">
        <f>IF(Table2[[#This Row],[TradedValue5]]&gt;Table2[[#This Row],[TradedValue4]],"Y","N")</f>
        <v>N</v>
      </c>
      <c r="AN144" s="1">
        <f t="shared" si="132"/>
        <v>-0.35000000000000009</v>
      </c>
      <c r="AO144" s="1">
        <f t="shared" si="133"/>
        <v>-0.55999999999999983</v>
      </c>
      <c r="AP144" s="1">
        <f t="shared" si="134"/>
        <v>-0.48000000000000009</v>
      </c>
      <c r="AQ144" s="1">
        <f t="shared" si="135"/>
        <v>-9.9999999999999978E-2</v>
      </c>
      <c r="AR144" s="1">
        <f>VLOOKUP(A144,symbol_2[[symbol]:[DelPer1]],5,)</f>
        <v>54.84</v>
      </c>
      <c r="AS144" s="1">
        <f>VLOOKUP(A144,symbol_2[[symbol]:[DelPer2]],9,)</f>
        <v>43.47</v>
      </c>
      <c r="AT144" s="1">
        <f>VLOOKUP(A144,symbol_2[[symbol]:[DelPer3]],13,)</f>
        <v>36.67</v>
      </c>
      <c r="AU144" s="1">
        <f>VLOOKUP(A144,symbol_2[[symbol]:[DelPer4]],17,)</f>
        <v>30.35</v>
      </c>
      <c r="AV144" s="1">
        <f>VLOOKUP(A144,symbol_2[[symbol]:[DelPer5]],21,)</f>
        <v>43.14</v>
      </c>
      <c r="AW144" s="49" t="str">
        <f t="shared" si="136"/>
        <v>N</v>
      </c>
      <c r="AX144" s="49" t="str">
        <f t="shared" si="137"/>
        <v>N</v>
      </c>
      <c r="AY144" s="49" t="str">
        <f t="shared" si="138"/>
        <v>N</v>
      </c>
      <c r="AZ144" s="49" t="str">
        <f t="shared" si="139"/>
        <v>Y</v>
      </c>
      <c r="BA144" s="1">
        <f t="shared" si="140"/>
        <v>-11.370000000000005</v>
      </c>
      <c r="BB144" s="1">
        <f t="shared" si="141"/>
        <v>-6.7999999999999972</v>
      </c>
      <c r="BC144" s="1">
        <f t="shared" si="142"/>
        <v>-6.32</v>
      </c>
      <c r="BD144" s="1">
        <f t="shared" si="143"/>
        <v>12.79</v>
      </c>
    </row>
    <row r="145" spans="1:56" hidden="1" x14ac:dyDescent="0.35">
      <c r="A145" s="116" t="s">
        <v>165</v>
      </c>
      <c r="B145" s="1" t="s">
        <v>1008</v>
      </c>
      <c r="C145" s="1" t="s">
        <v>52</v>
      </c>
      <c r="D145" s="1" t="s">
        <v>199</v>
      </c>
      <c r="E145" s="1">
        <f>VLOOKUP(A145,symbol_2[[symbol]:[Price1]],2,)</f>
        <v>783.4</v>
      </c>
      <c r="F145" s="1">
        <f>VLOOKUP(A145,symbol_2[[symbol]:[Price2]],6,)</f>
        <v>768.45</v>
      </c>
      <c r="G145" s="1">
        <f>VLOOKUP(A145,symbol_2[[symbol]:[Price3]],10,)</f>
        <v>766.85</v>
      </c>
      <c r="H145" s="1">
        <f>VLOOKUP(A145,symbol_2[[symbol]:[Price4]],14,)</f>
        <v>790.7</v>
      </c>
      <c r="I145" s="1">
        <f>VLOOKUP(A145,symbol_2[[symbol]:[Price5]],18,)</f>
        <v>814.4</v>
      </c>
      <c r="J145" s="49" t="str">
        <f t="shared" si="120"/>
        <v>N</v>
      </c>
      <c r="K145" s="49" t="str">
        <f t="shared" si="121"/>
        <v>N</v>
      </c>
      <c r="L145" s="49" t="str">
        <f t="shared" si="122"/>
        <v>Y</v>
      </c>
      <c r="M145" s="49" t="str">
        <f t="shared" si="123"/>
        <v>Y</v>
      </c>
      <c r="N145" s="52">
        <f t="shared" si="124"/>
        <v>-1.9083482256829118</v>
      </c>
      <c r="O145" s="52">
        <f t="shared" si="125"/>
        <v>-0.20821133450452503</v>
      </c>
      <c r="P145" s="52">
        <f t="shared" si="126"/>
        <v>3.1101258394731723</v>
      </c>
      <c r="Q145" s="52">
        <f t="shared" si="127"/>
        <v>2.9973441254584459</v>
      </c>
      <c r="R145" s="1">
        <f>VLOOKUP(A145,symbol_2[[symbol]:[TV1]],3,)</f>
        <v>0.26</v>
      </c>
      <c r="S145" s="1">
        <f>VLOOKUP(A145,symbol_2[[symbol]:[TV2]],7,)</f>
        <v>0.36</v>
      </c>
      <c r="T145" s="1">
        <f>VLOOKUP(A145,symbol_2[[symbol]:[TV3]],11,)</f>
        <v>0.64</v>
      </c>
      <c r="U145" s="1">
        <f>VLOOKUP(A145,symbol_2[[symbol]:[TV4]],15,)</f>
        <v>0.6</v>
      </c>
      <c r="V145" s="1">
        <f>VLOOKUP(A145,symbol_2[[symbol]:[TV5]],19,)</f>
        <v>0.35</v>
      </c>
      <c r="W145" s="1" t="str">
        <f t="shared" si="128"/>
        <v>Y</v>
      </c>
      <c r="X145" s="1" t="str">
        <f t="shared" si="129"/>
        <v>Y</v>
      </c>
      <c r="Y145" s="1" t="str">
        <f t="shared" si="130"/>
        <v>N</v>
      </c>
      <c r="Z145" s="1" t="str">
        <f t="shared" si="131"/>
        <v>N</v>
      </c>
      <c r="AA145" s="1">
        <f>VLOOKUP(A147,symbol_2[[symbol]:[TradedValue1]],4,)</f>
        <v>377.58</v>
      </c>
      <c r="AB145" s="1">
        <f>VLOOKUP(A145,symbol_2[[symbol]:[TradedValue2]],8,)</f>
        <v>277.39999999999998</v>
      </c>
      <c r="AC145" s="1">
        <f>VLOOKUP(A145,symbol_2[[symbol]:[TradedValue3]],12,)</f>
        <v>493.9</v>
      </c>
      <c r="AD145" s="1">
        <f>VLOOKUP(A145,symbol_2[[symbol]:[TradedValue4]],16,)</f>
        <v>481.15</v>
      </c>
      <c r="AE145" s="1">
        <f>VLOOKUP(A145,symbol_2[[symbol]:[TradedValue5]],20,)</f>
        <v>284.26</v>
      </c>
      <c r="AF145" s="1">
        <f>Table2[[#This Row],[TradedValue2]]-Table2[[#This Row],[TradedValue1]]</f>
        <v>-100.18</v>
      </c>
      <c r="AG145" s="1">
        <f>Table2[[#This Row],[TradedValue3]]-Table2[[#This Row],[TradedValue2]]</f>
        <v>216.5</v>
      </c>
      <c r="AH145" s="1">
        <f>Table2[[#This Row],[TradedValue4]]-Table2[[#This Row],[TradedValue3]]</f>
        <v>-12.75</v>
      </c>
      <c r="AI145" s="1">
        <f>Table2[[#This Row],[TradedValue5]]-Table2[[#This Row],[TradedValue4]]</f>
        <v>-196.89</v>
      </c>
      <c r="AJ145" s="49" t="str">
        <f>IF(Table2[[#This Row],[TradedValue2]]&gt;Table2[[#This Row],[TradedValue1]],"Y","N")</f>
        <v>N</v>
      </c>
      <c r="AK145" s="49" t="str">
        <f>IF(Table2[[#This Row],[TradedValue3]]&gt;Table2[[#This Row],[TradedValue2]],"Y","N")</f>
        <v>Y</v>
      </c>
      <c r="AL145" s="49" t="str">
        <f>IF(Table2[[#This Row],[TradedValue5]]&gt;Table2[[#This Row],[TradedValue3]],"Y","N")</f>
        <v>N</v>
      </c>
      <c r="AM145" s="49" t="str">
        <f>IF(Table2[[#This Row],[TradedValue5]]&gt;Table2[[#This Row],[TradedValue4]],"Y","N")</f>
        <v>N</v>
      </c>
      <c r="AN145" s="1">
        <f t="shared" si="132"/>
        <v>9.9999999999999978E-2</v>
      </c>
      <c r="AO145" s="1">
        <f t="shared" si="133"/>
        <v>0.28000000000000003</v>
      </c>
      <c r="AP145" s="1">
        <f t="shared" si="134"/>
        <v>-4.0000000000000036E-2</v>
      </c>
      <c r="AQ145" s="1">
        <f t="shared" si="135"/>
        <v>-0.25</v>
      </c>
      <c r="AR145" s="1">
        <f>VLOOKUP(A145,symbol_2[[symbol]:[DelPer1]],5,)</f>
        <v>40.65</v>
      </c>
      <c r="AS145" s="1">
        <f>VLOOKUP(A145,symbol_2[[symbol]:[DelPer2]],9,)</f>
        <v>56.16</v>
      </c>
      <c r="AT145" s="1">
        <f>VLOOKUP(A145,symbol_2[[symbol]:[DelPer3]],13,)</f>
        <v>17.13</v>
      </c>
      <c r="AU145" s="1">
        <f>VLOOKUP(A145,symbol_2[[symbol]:[DelPer4]],17,)</f>
        <v>38.31</v>
      </c>
      <c r="AV145" s="1">
        <f>VLOOKUP(A145,symbol_2[[symbol]:[DelPer5]],21,)</f>
        <v>38.619999999999997</v>
      </c>
      <c r="AW145" s="49" t="str">
        <f t="shared" si="136"/>
        <v>Y</v>
      </c>
      <c r="AX145" s="49" t="str">
        <f t="shared" si="137"/>
        <v>N</v>
      </c>
      <c r="AY145" s="49" t="str">
        <f t="shared" si="138"/>
        <v>Y</v>
      </c>
      <c r="AZ145" s="49" t="str">
        <f t="shared" si="139"/>
        <v>Y</v>
      </c>
      <c r="BA145" s="1">
        <f t="shared" si="140"/>
        <v>15.509999999999998</v>
      </c>
      <c r="BB145" s="1">
        <f t="shared" si="141"/>
        <v>-39.03</v>
      </c>
      <c r="BC145" s="1">
        <f t="shared" si="142"/>
        <v>21.180000000000003</v>
      </c>
      <c r="BD145" s="1">
        <f t="shared" si="143"/>
        <v>0.30999999999999517</v>
      </c>
    </row>
    <row r="146" spans="1:56" hidden="1" x14ac:dyDescent="0.35">
      <c r="A146" s="116" t="s">
        <v>115</v>
      </c>
      <c r="B146" s="1" t="s">
        <v>1006</v>
      </c>
      <c r="C146" s="1" t="s">
        <v>52</v>
      </c>
      <c r="D146" s="1" t="s">
        <v>199</v>
      </c>
      <c r="E146" s="1">
        <f>VLOOKUP(A146,symbol_2[[symbol]:[Price1]],2,)</f>
        <v>37.700000000000003</v>
      </c>
      <c r="F146" s="1">
        <f>VLOOKUP(A146,symbol_2[[symbol]:[Price2]],6,)</f>
        <v>36.549999999999997</v>
      </c>
      <c r="G146" s="1">
        <f>VLOOKUP(A146,symbol_2[[symbol]:[Price3]],10,)</f>
        <v>36.15</v>
      </c>
      <c r="H146" s="1">
        <f>VLOOKUP(A146,symbol_2[[symbol]:[Price4]],14,)</f>
        <v>35.950000000000003</v>
      </c>
      <c r="I146" s="1">
        <f>VLOOKUP(A146,symbol_2[[symbol]:[Price5]],18,)</f>
        <v>38.549999999999997</v>
      </c>
      <c r="J146" s="49" t="str">
        <f t="shared" si="120"/>
        <v>N</v>
      </c>
      <c r="K146" s="49" t="str">
        <f t="shared" si="121"/>
        <v>N</v>
      </c>
      <c r="L146" s="49" t="str">
        <f t="shared" si="122"/>
        <v>N</v>
      </c>
      <c r="M146" s="49" t="str">
        <f t="shared" si="123"/>
        <v>Y</v>
      </c>
      <c r="N146" s="52">
        <f t="shared" si="124"/>
        <v>-3.0503978779840999</v>
      </c>
      <c r="O146" s="52">
        <f t="shared" si="125"/>
        <v>-1.0943912448700372</v>
      </c>
      <c r="P146" s="52">
        <f t="shared" si="126"/>
        <v>-0.55325034578145438</v>
      </c>
      <c r="Q146" s="52">
        <f t="shared" si="127"/>
        <v>7.2322670375521394</v>
      </c>
      <c r="R146" s="1">
        <f>VLOOKUP(A146,symbol_2[[symbol]:[TV1]],3,)</f>
        <v>10.1</v>
      </c>
      <c r="S146" s="1">
        <f>VLOOKUP(A146,symbol_2[[symbol]:[TV2]],7,)</f>
        <v>4.78</v>
      </c>
      <c r="T146" s="1">
        <f>VLOOKUP(A146,symbol_2[[symbol]:[TV3]],11,)</f>
        <v>6.77</v>
      </c>
      <c r="U146" s="1">
        <f>VLOOKUP(A146,symbol_2[[symbol]:[TV4]],15,)</f>
        <v>4.99</v>
      </c>
      <c r="V146" s="1">
        <f>VLOOKUP(A146,symbol_2[[symbol]:[TV5]],19,)</f>
        <v>6.69</v>
      </c>
      <c r="W146" s="1" t="str">
        <f t="shared" si="128"/>
        <v>N</v>
      </c>
      <c r="X146" s="1" t="str">
        <f t="shared" si="129"/>
        <v>Y</v>
      </c>
      <c r="Y146" s="1" t="str">
        <f t="shared" si="130"/>
        <v>N</v>
      </c>
      <c r="Z146" s="1" t="str">
        <f t="shared" si="131"/>
        <v>Y</v>
      </c>
      <c r="AA146" s="1">
        <f>VLOOKUP(A148,symbol_2[[symbol]:[TradedValue1]],4,)</f>
        <v>315.63</v>
      </c>
      <c r="AB146" s="1">
        <f>VLOOKUP(A146,symbol_2[[symbol]:[TradedValue2]],8,)</f>
        <v>175.05</v>
      </c>
      <c r="AC146" s="1">
        <f>VLOOKUP(A146,symbol_2[[symbol]:[TradedValue3]],12,)</f>
        <v>240.72</v>
      </c>
      <c r="AD146" s="1">
        <f>VLOOKUP(A146,symbol_2[[symbol]:[TradedValue4]],16,)</f>
        <v>182.05</v>
      </c>
      <c r="AE146" s="1">
        <f>VLOOKUP(A146,symbol_2[[symbol]:[TradedValue5]],20,)</f>
        <v>251.96</v>
      </c>
      <c r="AF146" s="1">
        <f>Table2[[#This Row],[TradedValue2]]-Table2[[#This Row],[TradedValue1]]</f>
        <v>-140.57999999999998</v>
      </c>
      <c r="AG146" s="1">
        <f>Table2[[#This Row],[TradedValue3]]-Table2[[#This Row],[TradedValue2]]</f>
        <v>65.669999999999987</v>
      </c>
      <c r="AH146" s="1">
        <f>Table2[[#This Row],[TradedValue4]]-Table2[[#This Row],[TradedValue3]]</f>
        <v>-58.669999999999987</v>
      </c>
      <c r="AI146" s="1">
        <f>Table2[[#This Row],[TradedValue5]]-Table2[[#This Row],[TradedValue4]]</f>
        <v>69.91</v>
      </c>
      <c r="AJ146" s="49" t="str">
        <f>IF(Table2[[#This Row],[TradedValue2]]&gt;Table2[[#This Row],[TradedValue1]],"Y","N")</f>
        <v>N</v>
      </c>
      <c r="AK146" s="49" t="str">
        <f>IF(Table2[[#This Row],[TradedValue3]]&gt;Table2[[#This Row],[TradedValue2]],"Y","N")</f>
        <v>Y</v>
      </c>
      <c r="AL146" s="49" t="str">
        <f>IF(Table2[[#This Row],[TradedValue5]]&gt;Table2[[#This Row],[TradedValue3]],"Y","N")</f>
        <v>Y</v>
      </c>
      <c r="AM146" s="49" t="str">
        <f>IF(Table2[[#This Row],[TradedValue5]]&gt;Table2[[#This Row],[TradedValue4]],"Y","N")</f>
        <v>Y</v>
      </c>
      <c r="AN146" s="1">
        <f t="shared" si="132"/>
        <v>-5.3199999999999994</v>
      </c>
      <c r="AO146" s="1">
        <f t="shared" si="133"/>
        <v>1.9899999999999993</v>
      </c>
      <c r="AP146" s="1">
        <f t="shared" si="134"/>
        <v>-1.7799999999999994</v>
      </c>
      <c r="AQ146" s="1">
        <f t="shared" si="135"/>
        <v>1.7000000000000002</v>
      </c>
      <c r="AR146" s="1">
        <f>VLOOKUP(A146,symbol_2[[symbol]:[DelPer1]],5,)</f>
        <v>41.8</v>
      </c>
      <c r="AS146" s="1">
        <f>VLOOKUP(A146,symbol_2[[symbol]:[DelPer2]],9,)</f>
        <v>40.869999999999997</v>
      </c>
      <c r="AT146" s="1">
        <f>VLOOKUP(A146,symbol_2[[symbol]:[DelPer3]],13,)</f>
        <v>41.11</v>
      </c>
      <c r="AU146" s="1">
        <f>VLOOKUP(A146,symbol_2[[symbol]:[DelPer4]],17,)</f>
        <v>37.32</v>
      </c>
      <c r="AV146" s="1">
        <f>VLOOKUP(A146,symbol_2[[symbol]:[DelPer5]],21,)</f>
        <v>25.56</v>
      </c>
      <c r="AW146" s="49" t="str">
        <f t="shared" si="136"/>
        <v>N</v>
      </c>
      <c r="AX146" s="49" t="str">
        <f t="shared" si="137"/>
        <v>Y</v>
      </c>
      <c r="AY146" s="49" t="str">
        <f t="shared" si="138"/>
        <v>N</v>
      </c>
      <c r="AZ146" s="49" t="str">
        <f t="shared" si="139"/>
        <v>N</v>
      </c>
      <c r="BA146" s="1">
        <f t="shared" si="140"/>
        <v>-0.92999999999999972</v>
      </c>
      <c r="BB146" s="1">
        <f t="shared" si="141"/>
        <v>0.24000000000000199</v>
      </c>
      <c r="BC146" s="1">
        <f t="shared" si="142"/>
        <v>-3.7899999999999991</v>
      </c>
      <c r="BD146" s="1">
        <f t="shared" si="143"/>
        <v>-11.760000000000002</v>
      </c>
    </row>
    <row r="147" spans="1:56" hidden="1" x14ac:dyDescent="0.35">
      <c r="A147" s="1" t="s">
        <v>125</v>
      </c>
      <c r="B147" s="1" t="s">
        <v>1020</v>
      </c>
      <c r="C147" s="1" t="s">
        <v>52</v>
      </c>
      <c r="D147" s="1" t="str">
        <f>VLOOKUP(A147,'High Beta'!A22:B71,2,)</f>
        <v>Y</v>
      </c>
      <c r="E147" s="1">
        <f>VLOOKUP(A147,symbol_2[[symbol]:[Price1]],2,)</f>
        <v>53.65</v>
      </c>
      <c r="F147" s="1">
        <f>VLOOKUP(A147,symbol_2[[symbol]:[Price2]],6,)</f>
        <v>52.95</v>
      </c>
      <c r="G147" s="1">
        <f>VLOOKUP(A147,symbol_2[[symbol]:[Price3]],10,)</f>
        <v>52.65</v>
      </c>
      <c r="H147" s="1">
        <f>VLOOKUP(A147,symbol_2[[symbol]:[Price4]],14,)</f>
        <v>51.85</v>
      </c>
      <c r="I147" s="1">
        <f>VLOOKUP(A147,symbol_2[[symbol]:[Price5]],18,)</f>
        <v>56.15</v>
      </c>
      <c r="J147" s="49" t="str">
        <f t="shared" si="120"/>
        <v>N</v>
      </c>
      <c r="K147" s="49" t="str">
        <f t="shared" si="121"/>
        <v>N</v>
      </c>
      <c r="L147" s="49" t="str">
        <f t="shared" si="122"/>
        <v>N</v>
      </c>
      <c r="M147" s="49" t="str">
        <f t="shared" si="123"/>
        <v>Y</v>
      </c>
      <c r="N147" s="52">
        <f t="shared" si="124"/>
        <v>-1.3047530288909519</v>
      </c>
      <c r="O147" s="52">
        <f t="shared" si="125"/>
        <v>-0.56657223796034795</v>
      </c>
      <c r="P147" s="52">
        <f t="shared" si="126"/>
        <v>-1.5194681861348476</v>
      </c>
      <c r="Q147" s="52">
        <f t="shared" si="127"/>
        <v>8.2931533269045268</v>
      </c>
      <c r="R147" s="1">
        <f>VLOOKUP(A147,symbol_2[[symbol]:[TV1]],3,)</f>
        <v>7.19</v>
      </c>
      <c r="S147" s="1">
        <f>VLOOKUP(A147,symbol_2[[symbol]:[TV2]],7,)</f>
        <v>5.38</v>
      </c>
      <c r="T147" s="1">
        <f>VLOOKUP(A147,symbol_2[[symbol]:[TV3]],11,)</f>
        <v>4.84</v>
      </c>
      <c r="U147" s="1">
        <f>VLOOKUP(A147,symbol_2[[symbol]:[TV4]],15,)</f>
        <v>5.96</v>
      </c>
      <c r="V147" s="1">
        <f>VLOOKUP(A147,symbol_2[[symbol]:[TV5]],19,)</f>
        <v>10.71</v>
      </c>
      <c r="W147" s="1" t="str">
        <f t="shared" si="128"/>
        <v>N</v>
      </c>
      <c r="X147" s="1" t="str">
        <f t="shared" si="129"/>
        <v>N</v>
      </c>
      <c r="Y147" s="1" t="str">
        <f t="shared" si="130"/>
        <v>Y</v>
      </c>
      <c r="Z147" s="1" t="str">
        <f t="shared" si="131"/>
        <v>Y</v>
      </c>
      <c r="AA147" s="1">
        <f>VLOOKUP(A147,symbol_2[[symbol]:[TradedValue1]],4,)</f>
        <v>377.58</v>
      </c>
      <c r="AB147" s="1">
        <f>VLOOKUP(A147,symbol_2[[symbol]:[TradedValue2]],8,)</f>
        <v>283.11</v>
      </c>
      <c r="AC147" s="1">
        <f>VLOOKUP(A147,symbol_2[[symbol]:[TradedValue3]],12,)</f>
        <v>253.62</v>
      </c>
      <c r="AD147" s="1">
        <f>VLOOKUP(A147,symbol_2[[symbol]:[TradedValue4]],16,)</f>
        <v>316.55</v>
      </c>
      <c r="AE147" s="1">
        <f>VLOOKUP(A147,symbol_2[[symbol]:[TradedValue5]],20,)</f>
        <v>587.64</v>
      </c>
      <c r="AF147" s="1">
        <f>Table2[[#This Row],[TradedValue2]]-Table2[[#This Row],[TradedValue1]]</f>
        <v>-94.46999999999997</v>
      </c>
      <c r="AG147" s="1">
        <f>Table2[[#This Row],[TradedValue3]]-Table2[[#This Row],[TradedValue2]]</f>
        <v>-29.490000000000009</v>
      </c>
      <c r="AH147" s="1">
        <f>Table2[[#This Row],[TradedValue4]]-Table2[[#This Row],[TradedValue3]]</f>
        <v>62.930000000000007</v>
      </c>
      <c r="AI147" s="1">
        <f>Table2[[#This Row],[TradedValue5]]-Table2[[#This Row],[TradedValue4]]</f>
        <v>271.08999999999997</v>
      </c>
      <c r="AJ147" s="49" t="str">
        <f>IF(Table2[[#This Row],[TradedValue2]]&gt;Table2[[#This Row],[TradedValue1]],"Y","N")</f>
        <v>N</v>
      </c>
      <c r="AK147" s="49" t="str">
        <f>IF(Table2[[#This Row],[TradedValue3]]&gt;Table2[[#This Row],[TradedValue2]],"Y","N")</f>
        <v>N</v>
      </c>
      <c r="AL147" s="49" t="str">
        <f>IF(Table2[[#This Row],[TradedValue5]]&gt;Table2[[#This Row],[TradedValue3]],"Y","N")</f>
        <v>Y</v>
      </c>
      <c r="AM147" s="49" t="str">
        <f>IF(Table2[[#This Row],[TradedValue5]]&gt;Table2[[#This Row],[TradedValue4]],"Y","N")</f>
        <v>Y</v>
      </c>
      <c r="AN147" s="1">
        <f t="shared" si="132"/>
        <v>-1.8100000000000005</v>
      </c>
      <c r="AO147" s="1">
        <f t="shared" si="133"/>
        <v>-0.54</v>
      </c>
      <c r="AP147" s="1">
        <f t="shared" si="134"/>
        <v>1.1200000000000001</v>
      </c>
      <c r="AQ147" s="1">
        <f t="shared" si="135"/>
        <v>4.7500000000000009</v>
      </c>
      <c r="AR147" s="1">
        <f>VLOOKUP(A147,symbol_2[[symbol]:[DelPer1]],5,)</f>
        <v>21.81</v>
      </c>
      <c r="AS147" s="1">
        <f>VLOOKUP(A147,symbol_2[[symbol]:[DelPer2]],9,)</f>
        <v>25.37</v>
      </c>
      <c r="AT147" s="1">
        <f>VLOOKUP(A147,symbol_2[[symbol]:[DelPer3]],13,)</f>
        <v>22.28</v>
      </c>
      <c r="AU147" s="1">
        <f>VLOOKUP(A147,symbol_2[[symbol]:[DelPer4]],17,)</f>
        <v>15.39</v>
      </c>
      <c r="AV147" s="1">
        <f>VLOOKUP(A147,symbol_2[[symbol]:[DelPer5]],21,)</f>
        <v>36.03</v>
      </c>
      <c r="AW147" s="49" t="str">
        <f t="shared" si="136"/>
        <v>Y</v>
      </c>
      <c r="AX147" s="49" t="str">
        <f t="shared" si="137"/>
        <v>N</v>
      </c>
      <c r="AY147" s="49" t="str">
        <f t="shared" si="138"/>
        <v>N</v>
      </c>
      <c r="AZ147" s="49" t="str">
        <f t="shared" si="139"/>
        <v>Y</v>
      </c>
      <c r="BA147" s="1">
        <f t="shared" si="140"/>
        <v>3.5600000000000023</v>
      </c>
      <c r="BB147" s="1">
        <f t="shared" si="141"/>
        <v>-3.09</v>
      </c>
      <c r="BC147" s="1">
        <f t="shared" si="142"/>
        <v>-6.8900000000000006</v>
      </c>
      <c r="BD147" s="1">
        <f t="shared" si="143"/>
        <v>20.64</v>
      </c>
    </row>
    <row r="148" spans="1:56" hidden="1" x14ac:dyDescent="0.35">
      <c r="A148" s="1" t="s">
        <v>86</v>
      </c>
      <c r="B148" s="1" t="s">
        <v>1007</v>
      </c>
      <c r="C148" s="1" t="s">
        <v>52</v>
      </c>
      <c r="D148" s="1" t="s">
        <v>199</v>
      </c>
      <c r="E148" s="1">
        <f>VLOOKUP(A148,symbol_2[[symbol]:[Price1]],2,)</f>
        <v>213.35</v>
      </c>
      <c r="F148" s="1">
        <f>VLOOKUP(A148,symbol_2[[symbol]:[Price2]],6,)</f>
        <v>207</v>
      </c>
      <c r="G148" s="1">
        <f>VLOOKUP(A148,symbol_2[[symbol]:[Price3]],10,)</f>
        <v>210.15</v>
      </c>
      <c r="H148" s="1">
        <f>VLOOKUP(A148,symbol_2[[symbol]:[Price4]],14,)</f>
        <v>208.95</v>
      </c>
      <c r="I148" s="1">
        <f>VLOOKUP(A148,symbol_2[[symbol]:[Price5]],18,)</f>
        <v>217.95</v>
      </c>
      <c r="J148" s="49" t="str">
        <f t="shared" si="120"/>
        <v>N</v>
      </c>
      <c r="K148" s="49" t="str">
        <f t="shared" si="121"/>
        <v>Y</v>
      </c>
      <c r="L148" s="49" t="str">
        <f t="shared" si="122"/>
        <v>N</v>
      </c>
      <c r="M148" s="49" t="str">
        <f t="shared" si="123"/>
        <v>Y</v>
      </c>
      <c r="N148" s="52">
        <f t="shared" si="124"/>
        <v>-2.9763299742207616</v>
      </c>
      <c r="O148" s="52">
        <f t="shared" si="125"/>
        <v>1.5217391304347854</v>
      </c>
      <c r="P148" s="52">
        <f t="shared" si="126"/>
        <v>-0.57102069950036494</v>
      </c>
      <c r="Q148" s="52">
        <f t="shared" si="127"/>
        <v>4.3072505384063176</v>
      </c>
      <c r="R148" s="1">
        <f>VLOOKUP(A148,symbol_2[[symbol]:[TV1]],3,)</f>
        <v>1.47</v>
      </c>
      <c r="S148" s="1">
        <f>VLOOKUP(A148,symbol_2[[symbol]:[TV2]],7,)</f>
        <v>0.36</v>
      </c>
      <c r="T148" s="1">
        <f>VLOOKUP(A148,symbol_2[[symbol]:[TV3]],11,)</f>
        <v>0.37</v>
      </c>
      <c r="U148" s="1">
        <f>VLOOKUP(A148,symbol_2[[symbol]:[TV4]],15,)</f>
        <v>0.4</v>
      </c>
      <c r="V148" s="1">
        <f>VLOOKUP(A148,symbol_2[[symbol]:[TV5]],19,)</f>
        <v>0.8</v>
      </c>
      <c r="W148" s="1" t="str">
        <f t="shared" si="128"/>
        <v>N</v>
      </c>
      <c r="X148" s="1" t="str">
        <f t="shared" si="129"/>
        <v>Y</v>
      </c>
      <c r="Y148" s="1" t="str">
        <f t="shared" si="130"/>
        <v>Y</v>
      </c>
      <c r="Z148" s="1" t="str">
        <f t="shared" si="131"/>
        <v>Y</v>
      </c>
      <c r="AA148" s="1">
        <f>VLOOKUP(A148,symbol_2[[symbol]:[TradedValue1]],4,)</f>
        <v>315.63</v>
      </c>
      <c r="AB148" s="1">
        <f>VLOOKUP(A148,symbol_2[[symbol]:[TradedValue2]],8,)</f>
        <v>76.290000000000006</v>
      </c>
      <c r="AC148" s="1">
        <f>VLOOKUP(A148,symbol_2[[symbol]:[TradedValue3]],12,)</f>
        <v>76.790000000000006</v>
      </c>
      <c r="AD148" s="1">
        <f>VLOOKUP(A148,symbol_2[[symbol]:[TradedValue4]],16,)</f>
        <v>84.03</v>
      </c>
      <c r="AE148" s="1">
        <f>VLOOKUP(A148,symbol_2[[symbol]:[TradedValue5]],20,)</f>
        <v>170.68</v>
      </c>
      <c r="AF148" s="1">
        <f>Table2[[#This Row],[TradedValue2]]-Table2[[#This Row],[TradedValue1]]</f>
        <v>-239.33999999999997</v>
      </c>
      <c r="AG148" s="1">
        <f>Table2[[#This Row],[TradedValue3]]-Table2[[#This Row],[TradedValue2]]</f>
        <v>0.5</v>
      </c>
      <c r="AH148" s="1">
        <f>Table2[[#This Row],[TradedValue4]]-Table2[[#This Row],[TradedValue3]]</f>
        <v>7.2399999999999949</v>
      </c>
      <c r="AI148" s="1">
        <f>Table2[[#This Row],[TradedValue5]]-Table2[[#This Row],[TradedValue4]]</f>
        <v>86.65</v>
      </c>
      <c r="AJ148" s="49" t="str">
        <f>IF(Table2[[#This Row],[TradedValue2]]&gt;Table2[[#This Row],[TradedValue1]],"Y","N")</f>
        <v>N</v>
      </c>
      <c r="AK148" s="49" t="str">
        <f>IF(Table2[[#This Row],[TradedValue3]]&gt;Table2[[#This Row],[TradedValue2]],"Y","N")</f>
        <v>Y</v>
      </c>
      <c r="AL148" s="49" t="str">
        <f>IF(Table2[[#This Row],[TradedValue5]]&gt;Table2[[#This Row],[TradedValue3]],"Y","N")</f>
        <v>Y</v>
      </c>
      <c r="AM148" s="49" t="str">
        <f>IF(Table2[[#This Row],[TradedValue5]]&gt;Table2[[#This Row],[TradedValue4]],"Y","N")</f>
        <v>Y</v>
      </c>
      <c r="AN148" s="1">
        <f t="shared" si="132"/>
        <v>-1.1099999999999999</v>
      </c>
      <c r="AO148" s="1">
        <f t="shared" si="133"/>
        <v>1.0000000000000009E-2</v>
      </c>
      <c r="AP148" s="1">
        <f t="shared" si="134"/>
        <v>3.0000000000000027E-2</v>
      </c>
      <c r="AQ148" s="1">
        <f t="shared" si="135"/>
        <v>0.4</v>
      </c>
      <c r="AR148" s="1">
        <f>VLOOKUP(A148,symbol_2[[symbol]:[DelPer1]],5,)</f>
        <v>49.84</v>
      </c>
      <c r="AS148" s="1">
        <f>VLOOKUP(A148,symbol_2[[symbol]:[DelPer2]],9,)</f>
        <v>34.75</v>
      </c>
      <c r="AT148" s="1">
        <f>VLOOKUP(A148,symbol_2[[symbol]:[DelPer3]],13,)</f>
        <v>26.51</v>
      </c>
      <c r="AU148" s="1">
        <f>VLOOKUP(A148,symbol_2[[symbol]:[DelPer4]],17,)</f>
        <v>28.62</v>
      </c>
      <c r="AV148" s="1">
        <f>VLOOKUP(A148,symbol_2[[symbol]:[DelPer5]],21,)</f>
        <v>18.62</v>
      </c>
      <c r="AW148" s="49" t="str">
        <f t="shared" si="136"/>
        <v>N</v>
      </c>
      <c r="AX148" s="49" t="str">
        <f t="shared" si="137"/>
        <v>N</v>
      </c>
      <c r="AY148" s="49" t="str">
        <f t="shared" si="138"/>
        <v>Y</v>
      </c>
      <c r="AZ148" s="49" t="str">
        <f t="shared" si="139"/>
        <v>N</v>
      </c>
      <c r="BA148" s="1">
        <f t="shared" si="140"/>
        <v>-15.090000000000003</v>
      </c>
      <c r="BB148" s="1">
        <f t="shared" si="141"/>
        <v>-8.2399999999999984</v>
      </c>
      <c r="BC148" s="1">
        <f t="shared" si="142"/>
        <v>2.1099999999999994</v>
      </c>
      <c r="BD148" s="1">
        <f t="shared" si="143"/>
        <v>-10</v>
      </c>
    </row>
    <row r="149" spans="1:56" hidden="1" x14ac:dyDescent="0.35">
      <c r="A149" s="1" t="s">
        <v>191</v>
      </c>
      <c r="B149" s="1" t="s">
        <v>1019</v>
      </c>
      <c r="C149" s="1" t="s">
        <v>52</v>
      </c>
      <c r="D149" s="1" t="s">
        <v>199</v>
      </c>
      <c r="E149" s="1">
        <f>VLOOKUP(A149,symbol_2[[symbol]:[Price1]],2,)</f>
        <v>28.85</v>
      </c>
      <c r="F149" s="1">
        <f>VLOOKUP(A149,symbol_2[[symbol]:[Price2]],6,)</f>
        <v>28.65</v>
      </c>
      <c r="G149" s="1">
        <f>VLOOKUP(A149,symbol_2[[symbol]:[Price3]],10,)</f>
        <v>29.25</v>
      </c>
      <c r="H149" s="1">
        <f>VLOOKUP(A149,symbol_2[[symbol]:[Price4]],14,)</f>
        <v>29.25</v>
      </c>
      <c r="I149" s="1">
        <f>VLOOKUP(A149,symbol_2[[symbol]:[Price5]],18,)</f>
        <v>30.3</v>
      </c>
      <c r="J149" s="49" t="str">
        <f t="shared" si="120"/>
        <v>N</v>
      </c>
      <c r="K149" s="49" t="str">
        <f t="shared" si="121"/>
        <v>Y</v>
      </c>
      <c r="L149" s="49" t="str">
        <f t="shared" si="122"/>
        <v>N</v>
      </c>
      <c r="M149" s="49" t="str">
        <f t="shared" si="123"/>
        <v>Y</v>
      </c>
      <c r="N149" s="52">
        <f t="shared" si="124"/>
        <v>-0.69324090121318138</v>
      </c>
      <c r="O149" s="52">
        <f t="shared" si="125"/>
        <v>2.09424083769634</v>
      </c>
      <c r="P149" s="52">
        <f t="shared" si="126"/>
        <v>0</v>
      </c>
      <c r="Q149" s="52">
        <f t="shared" si="127"/>
        <v>3.5897435897435921</v>
      </c>
      <c r="R149" s="1">
        <f>VLOOKUP(A149,symbol_2[[symbol]:[TV1]],3,)</f>
        <v>6.19</v>
      </c>
      <c r="S149" s="1">
        <f>VLOOKUP(A149,symbol_2[[symbol]:[TV2]],7,)</f>
        <v>3.52</v>
      </c>
      <c r="T149" s="1">
        <f>VLOOKUP(A149,symbol_2[[symbol]:[TV3]],11,)</f>
        <v>3.06</v>
      </c>
      <c r="U149" s="1">
        <f>VLOOKUP(A149,symbol_2[[symbol]:[TV4]],15,)</f>
        <v>4.38</v>
      </c>
      <c r="V149" s="1">
        <f>VLOOKUP(A149,symbol_2[[symbol]:[TV5]],19,)</f>
        <v>4.6500000000000004</v>
      </c>
      <c r="W149" s="1" t="str">
        <f t="shared" si="128"/>
        <v>N</v>
      </c>
      <c r="X149" s="1" t="str">
        <f t="shared" si="129"/>
        <v>N</v>
      </c>
      <c r="Y149" s="1" t="str">
        <f t="shared" si="130"/>
        <v>Y</v>
      </c>
      <c r="Z149" s="1" t="str">
        <f t="shared" si="131"/>
        <v>Y</v>
      </c>
      <c r="AA149" s="1">
        <f>VLOOKUP(A151,symbol_2[[symbol]:[TradedValue1]],4,)</f>
        <v>290.55</v>
      </c>
      <c r="AB149" s="1">
        <f>VLOOKUP(A149,symbol_2[[symbol]:[TradedValue2]],8,)</f>
        <v>101.45</v>
      </c>
      <c r="AC149" s="1">
        <f>VLOOKUP(A149,symbol_2[[symbol]:[TradedValue3]],12,)</f>
        <v>87.98</v>
      </c>
      <c r="AD149" s="1">
        <f>VLOOKUP(A149,symbol_2[[symbol]:[TradedValue4]],16,)</f>
        <v>129.6</v>
      </c>
      <c r="AE149" s="1">
        <f>VLOOKUP(A149,symbol_2[[symbol]:[TradedValue5]],20,)</f>
        <v>139.25</v>
      </c>
      <c r="AF149" s="1">
        <f>Table2[[#This Row],[TradedValue2]]-Table2[[#This Row],[TradedValue1]]</f>
        <v>-189.10000000000002</v>
      </c>
      <c r="AG149" s="1">
        <f>Table2[[#This Row],[TradedValue3]]-Table2[[#This Row],[TradedValue2]]</f>
        <v>-13.469999999999999</v>
      </c>
      <c r="AH149" s="1">
        <f>Table2[[#This Row],[TradedValue4]]-Table2[[#This Row],[TradedValue3]]</f>
        <v>41.61999999999999</v>
      </c>
      <c r="AI149" s="1">
        <f>Table2[[#This Row],[TradedValue5]]-Table2[[#This Row],[TradedValue4]]</f>
        <v>9.6500000000000057</v>
      </c>
      <c r="AJ149" s="49" t="str">
        <f>IF(Table2[[#This Row],[TradedValue2]]&gt;Table2[[#This Row],[TradedValue1]],"Y","N")</f>
        <v>N</v>
      </c>
      <c r="AK149" s="49" t="str">
        <f>IF(Table2[[#This Row],[TradedValue3]]&gt;Table2[[#This Row],[TradedValue2]],"Y","N")</f>
        <v>N</v>
      </c>
      <c r="AL149" s="49" t="str">
        <f>IF(Table2[[#This Row],[TradedValue5]]&gt;Table2[[#This Row],[TradedValue3]],"Y","N")</f>
        <v>Y</v>
      </c>
      <c r="AM149" s="49" t="str">
        <f>IF(Table2[[#This Row],[TradedValue5]]&gt;Table2[[#This Row],[TradedValue4]],"Y","N")</f>
        <v>Y</v>
      </c>
      <c r="AN149" s="1">
        <f t="shared" si="132"/>
        <v>-2.6700000000000004</v>
      </c>
      <c r="AO149" s="1">
        <f t="shared" si="133"/>
        <v>-0.45999999999999996</v>
      </c>
      <c r="AP149" s="1">
        <f t="shared" si="134"/>
        <v>1.3199999999999998</v>
      </c>
      <c r="AQ149" s="1">
        <f t="shared" si="135"/>
        <v>0.27000000000000046</v>
      </c>
      <c r="AR149" s="1">
        <f>VLOOKUP(A149,symbol_2[[symbol]:[DelPer1]],5,)</f>
        <v>30.17</v>
      </c>
      <c r="AS149" s="1">
        <f>VLOOKUP(A149,symbol_2[[symbol]:[DelPer2]],9,)</f>
        <v>23.2</v>
      </c>
      <c r="AT149" s="1">
        <f>VLOOKUP(A149,symbol_2[[symbol]:[DelPer3]],13,)</f>
        <v>30.23</v>
      </c>
      <c r="AU149" s="1">
        <f>VLOOKUP(A149,symbol_2[[symbol]:[DelPer4]],17,)</f>
        <v>22.63</v>
      </c>
      <c r="AV149" s="1">
        <f>VLOOKUP(A149,symbol_2[[symbol]:[DelPer5]],21,)</f>
        <v>25.08</v>
      </c>
      <c r="AW149" s="49" t="str">
        <f t="shared" si="136"/>
        <v>N</v>
      </c>
      <c r="AX149" s="49" t="str">
        <f t="shared" si="137"/>
        <v>Y</v>
      </c>
      <c r="AY149" s="49" t="str">
        <f t="shared" si="138"/>
        <v>N</v>
      </c>
      <c r="AZ149" s="49" t="str">
        <f t="shared" si="139"/>
        <v>Y</v>
      </c>
      <c r="BA149" s="1">
        <f t="shared" si="140"/>
        <v>-6.9700000000000024</v>
      </c>
      <c r="BB149" s="1">
        <f t="shared" si="141"/>
        <v>7.0300000000000011</v>
      </c>
      <c r="BC149" s="1">
        <f t="shared" si="142"/>
        <v>-7.6000000000000014</v>
      </c>
      <c r="BD149" s="1">
        <f t="shared" si="143"/>
        <v>2.4499999999999993</v>
      </c>
    </row>
    <row r="150" spans="1:56" hidden="1" x14ac:dyDescent="0.35">
      <c r="A150" s="1" t="s">
        <v>20</v>
      </c>
      <c r="B150" s="1" t="s">
        <v>1014</v>
      </c>
      <c r="C150" s="1" t="s">
        <v>52</v>
      </c>
      <c r="D150" s="1" t="s">
        <v>199</v>
      </c>
      <c r="E150" s="1">
        <f>VLOOKUP(A150,symbol_2[[symbol]:[Price1]],2,)</f>
        <v>2713.45</v>
      </c>
      <c r="F150" s="1">
        <f>VLOOKUP(A150,symbol_2[[symbol]:[Price2]],6,)</f>
        <v>2657.2</v>
      </c>
      <c r="G150" s="1">
        <f>VLOOKUP(A150,symbol_2[[symbol]:[Price3]],10,)</f>
        <v>2699.65</v>
      </c>
      <c r="H150" s="1">
        <f>VLOOKUP(A150,symbol_2[[symbol]:[Price4]],14,)</f>
        <v>2743.5</v>
      </c>
      <c r="I150" s="1">
        <f>VLOOKUP(A150,symbol_2[[symbol]:[Price5]],18,)</f>
        <v>2828.45</v>
      </c>
      <c r="J150" s="49" t="str">
        <f t="shared" si="120"/>
        <v>N</v>
      </c>
      <c r="K150" s="49" t="str">
        <f t="shared" si="121"/>
        <v>Y</v>
      </c>
      <c r="L150" s="49" t="str">
        <f t="shared" si="122"/>
        <v>Y</v>
      </c>
      <c r="M150" s="49" t="str">
        <f t="shared" si="123"/>
        <v>Y</v>
      </c>
      <c r="N150" s="52">
        <f t="shared" si="124"/>
        <v>-2.0730066889015832</v>
      </c>
      <c r="O150" s="52">
        <f t="shared" si="125"/>
        <v>1.5975462893271217</v>
      </c>
      <c r="P150" s="52">
        <f t="shared" si="126"/>
        <v>1.6242846294890045</v>
      </c>
      <c r="Q150" s="52">
        <f t="shared" si="127"/>
        <v>3.0964096956442435</v>
      </c>
      <c r="R150" s="1">
        <f>VLOOKUP(A150,symbol_2[[symbol]:[TV1]],3,)</f>
        <v>0.72</v>
      </c>
      <c r="S150" s="1">
        <f>VLOOKUP(A150,symbol_2[[symbol]:[TV2]],7,)</f>
        <v>0.45</v>
      </c>
      <c r="T150" s="1">
        <f>VLOOKUP(A150,symbol_2[[symbol]:[TV3]],11,)</f>
        <v>0.46</v>
      </c>
      <c r="U150" s="1">
        <f>VLOOKUP(A150,symbol_2[[symbol]:[TV4]],15,)</f>
        <v>1.18</v>
      </c>
      <c r="V150" s="1">
        <f>VLOOKUP(A150,symbol_2[[symbol]:[TV5]],19,)</f>
        <v>0.76</v>
      </c>
      <c r="W150" s="1" t="str">
        <f t="shared" si="128"/>
        <v>N</v>
      </c>
      <c r="X150" s="1" t="str">
        <f t="shared" si="129"/>
        <v>Y</v>
      </c>
      <c r="Y150" s="1" t="str">
        <f t="shared" si="130"/>
        <v>Y</v>
      </c>
      <c r="Z150" s="1" t="str">
        <f t="shared" si="131"/>
        <v>N</v>
      </c>
      <c r="AA150" s="1">
        <f>VLOOKUP(A152,symbol_2[[symbol]:[TradedValue1]],4,)</f>
        <v>151.18</v>
      </c>
      <c r="AB150" s="1">
        <f>VLOOKUP(A150,symbol_2[[symbol]:[TradedValue2]],8,)</f>
        <v>1195.76</v>
      </c>
      <c r="AC150" s="1">
        <f>VLOOKUP(A150,symbol_2[[symbol]:[TradedValue3]],12,)</f>
        <v>1246.19</v>
      </c>
      <c r="AD150" s="1">
        <f>VLOOKUP(A150,symbol_2[[symbol]:[TradedValue4]],16,)</f>
        <v>3248.39</v>
      </c>
      <c r="AE150" s="1">
        <f>VLOOKUP(A150,symbol_2[[symbol]:[TradedValue5]],20,)</f>
        <v>2119.7800000000002</v>
      </c>
      <c r="AF150" s="1">
        <f>Table2[[#This Row],[TradedValue2]]-Table2[[#This Row],[TradedValue1]]</f>
        <v>1044.58</v>
      </c>
      <c r="AG150" s="1">
        <f>Table2[[#This Row],[TradedValue3]]-Table2[[#This Row],[TradedValue2]]</f>
        <v>50.430000000000064</v>
      </c>
      <c r="AH150" s="1">
        <f>Table2[[#This Row],[TradedValue4]]-Table2[[#This Row],[TradedValue3]]</f>
        <v>2002.1999999999998</v>
      </c>
      <c r="AI150" s="1">
        <f>Table2[[#This Row],[TradedValue5]]-Table2[[#This Row],[TradedValue4]]</f>
        <v>-1128.6099999999997</v>
      </c>
      <c r="AJ150" s="49" t="str">
        <f>IF(Table2[[#This Row],[TradedValue2]]&gt;Table2[[#This Row],[TradedValue1]],"Y","N")</f>
        <v>Y</v>
      </c>
      <c r="AK150" s="49" t="str">
        <f>IF(Table2[[#This Row],[TradedValue3]]&gt;Table2[[#This Row],[TradedValue2]],"Y","N")</f>
        <v>Y</v>
      </c>
      <c r="AL150" s="49" t="str">
        <f>IF(Table2[[#This Row],[TradedValue5]]&gt;Table2[[#This Row],[TradedValue3]],"Y","N")</f>
        <v>Y</v>
      </c>
      <c r="AM150" s="49" t="str">
        <f>IF(Table2[[#This Row],[TradedValue5]]&gt;Table2[[#This Row],[TradedValue4]],"Y","N")</f>
        <v>N</v>
      </c>
      <c r="AN150" s="1">
        <f t="shared" si="132"/>
        <v>-0.26999999999999996</v>
      </c>
      <c r="AO150" s="1">
        <f t="shared" si="133"/>
        <v>1.0000000000000009E-2</v>
      </c>
      <c r="AP150" s="1">
        <f t="shared" si="134"/>
        <v>0.72</v>
      </c>
      <c r="AQ150" s="1">
        <f t="shared" si="135"/>
        <v>-0.41999999999999993</v>
      </c>
      <c r="AR150" s="1">
        <f>VLOOKUP(A150,symbol_2[[symbol]:[DelPer1]],5,)</f>
        <v>34.9</v>
      </c>
      <c r="AS150" s="1">
        <f>VLOOKUP(A150,symbol_2[[symbol]:[DelPer2]],9,)</f>
        <v>45.25</v>
      </c>
      <c r="AT150" s="1">
        <f>VLOOKUP(A150,symbol_2[[symbol]:[DelPer3]],13,)</f>
        <v>31.39</v>
      </c>
      <c r="AU150" s="1">
        <f>VLOOKUP(A150,symbol_2[[symbol]:[DelPer4]],17,)</f>
        <v>42.34</v>
      </c>
      <c r="AV150" s="1">
        <f>VLOOKUP(A150,symbol_2[[symbol]:[DelPer5]],21,)</f>
        <v>38.78</v>
      </c>
      <c r="AW150" s="49" t="str">
        <f t="shared" si="136"/>
        <v>Y</v>
      </c>
      <c r="AX150" s="49" t="str">
        <f t="shared" si="137"/>
        <v>N</v>
      </c>
      <c r="AY150" s="49" t="str">
        <f t="shared" si="138"/>
        <v>Y</v>
      </c>
      <c r="AZ150" s="49" t="str">
        <f t="shared" si="139"/>
        <v>N</v>
      </c>
      <c r="BA150" s="1">
        <f t="shared" si="140"/>
        <v>10.350000000000001</v>
      </c>
      <c r="BB150" s="1">
        <f t="shared" si="141"/>
        <v>-13.86</v>
      </c>
      <c r="BC150" s="1">
        <f t="shared" si="142"/>
        <v>10.950000000000003</v>
      </c>
      <c r="BD150" s="1">
        <f t="shared" si="143"/>
        <v>-3.5600000000000023</v>
      </c>
    </row>
    <row r="151" spans="1:56" hidden="1" x14ac:dyDescent="0.35">
      <c r="A151" s="116" t="s">
        <v>106</v>
      </c>
      <c r="B151" s="1" t="s">
        <v>1017</v>
      </c>
      <c r="C151" s="1" t="s">
        <v>52</v>
      </c>
      <c r="D151" s="1" t="s">
        <v>199</v>
      </c>
      <c r="E151" s="1">
        <f>VLOOKUP(A151,symbol_2[[symbol]:[Price1]],2,)</f>
        <v>483.6</v>
      </c>
      <c r="F151" s="1">
        <f>VLOOKUP(A151,symbol_2[[symbol]:[Price2]],6,)</f>
        <v>470.9</v>
      </c>
      <c r="G151" s="1">
        <f>VLOOKUP(A151,symbol_2[[symbol]:[Price3]],10,)</f>
        <v>474.85</v>
      </c>
      <c r="H151" s="1">
        <f>VLOOKUP(A151,symbol_2[[symbol]:[Price4]],14,)</f>
        <v>479.3</v>
      </c>
      <c r="I151" s="1">
        <f>VLOOKUP(A151,symbol_2[[symbol]:[Price5]],18,)</f>
        <v>491.75</v>
      </c>
      <c r="J151" s="49" t="str">
        <f t="shared" si="120"/>
        <v>N</v>
      </c>
      <c r="K151" s="49" t="str">
        <f t="shared" si="121"/>
        <v>Y</v>
      </c>
      <c r="L151" s="49" t="str">
        <f t="shared" si="122"/>
        <v>Y</v>
      </c>
      <c r="M151" s="49" t="str">
        <f t="shared" si="123"/>
        <v>Y</v>
      </c>
      <c r="N151" s="52">
        <f t="shared" si="124"/>
        <v>-2.6261373035566677</v>
      </c>
      <c r="O151" s="52">
        <f t="shared" si="125"/>
        <v>0.83881928222553537</v>
      </c>
      <c r="P151" s="52">
        <f t="shared" si="126"/>
        <v>0.93713804359271102</v>
      </c>
      <c r="Q151" s="52">
        <f t="shared" si="127"/>
        <v>2.5975380763613578</v>
      </c>
      <c r="R151" s="1">
        <f>VLOOKUP(A151,symbol_2[[symbol]:[TV1]],3,)</f>
        <v>0.61</v>
      </c>
      <c r="S151" s="1">
        <f>VLOOKUP(A151,symbol_2[[symbol]:[TV2]],7,)</f>
        <v>0.19</v>
      </c>
      <c r="T151" s="1">
        <f>VLOOKUP(A151,symbol_2[[symbol]:[TV3]],11,)</f>
        <v>0.25</v>
      </c>
      <c r="U151" s="1">
        <f>VLOOKUP(A151,symbol_2[[symbol]:[TV4]],15,)</f>
        <v>0.26</v>
      </c>
      <c r="V151" s="1">
        <f>VLOOKUP(A151,symbol_2[[symbol]:[TV5]],19,)</f>
        <v>0.23</v>
      </c>
      <c r="W151" s="1" t="str">
        <f t="shared" si="128"/>
        <v>N</v>
      </c>
      <c r="X151" s="1" t="str">
        <f t="shared" si="129"/>
        <v>Y</v>
      </c>
      <c r="Y151" s="1" t="str">
        <f t="shared" si="130"/>
        <v>Y</v>
      </c>
      <c r="Z151" s="1" t="str">
        <f t="shared" si="131"/>
        <v>N</v>
      </c>
      <c r="AA151" s="1">
        <f>VLOOKUP(A153,symbol_2[[symbol]:[TradedValue1]],4,)</f>
        <v>1534.66</v>
      </c>
      <c r="AB151" s="1">
        <f>VLOOKUP(A151,symbol_2[[symbol]:[TradedValue2]],8,)</f>
        <v>92.62</v>
      </c>
      <c r="AC151" s="1">
        <f>VLOOKUP(A151,symbol_2[[symbol]:[TradedValue3]],12,)</f>
        <v>121.13</v>
      </c>
      <c r="AD151" s="1">
        <f>VLOOKUP(A151,symbol_2[[symbol]:[TradedValue4]],16,)</f>
        <v>126.83</v>
      </c>
      <c r="AE151" s="1">
        <f>VLOOKUP(A151,symbol_2[[symbol]:[TradedValue5]],20,)</f>
        <v>110.76</v>
      </c>
      <c r="AF151" s="1">
        <f>Table2[[#This Row],[TradedValue2]]-Table2[[#This Row],[TradedValue1]]</f>
        <v>-1442.04</v>
      </c>
      <c r="AG151" s="1">
        <f>Table2[[#This Row],[TradedValue3]]-Table2[[#This Row],[TradedValue2]]</f>
        <v>28.509999999999991</v>
      </c>
      <c r="AH151" s="1">
        <f>Table2[[#This Row],[TradedValue4]]-Table2[[#This Row],[TradedValue3]]</f>
        <v>5.7000000000000028</v>
      </c>
      <c r="AI151" s="1">
        <f>Table2[[#This Row],[TradedValue5]]-Table2[[#This Row],[TradedValue4]]</f>
        <v>-16.069999999999993</v>
      </c>
      <c r="AJ151" s="49" t="str">
        <f>IF(Table2[[#This Row],[TradedValue2]]&gt;Table2[[#This Row],[TradedValue1]],"Y","N")</f>
        <v>N</v>
      </c>
      <c r="AK151" s="49" t="str">
        <f>IF(Table2[[#This Row],[TradedValue3]]&gt;Table2[[#This Row],[TradedValue2]],"Y","N")</f>
        <v>Y</v>
      </c>
      <c r="AL151" s="49" t="str">
        <f>IF(Table2[[#This Row],[TradedValue5]]&gt;Table2[[#This Row],[TradedValue3]],"Y","N")</f>
        <v>N</v>
      </c>
      <c r="AM151" s="49" t="str">
        <f>IF(Table2[[#This Row],[TradedValue5]]&gt;Table2[[#This Row],[TradedValue4]],"Y","N")</f>
        <v>N</v>
      </c>
      <c r="AN151" s="1">
        <f t="shared" si="132"/>
        <v>-0.42</v>
      </c>
      <c r="AO151" s="1">
        <f t="shared" si="133"/>
        <v>0.06</v>
      </c>
      <c r="AP151" s="1">
        <f t="shared" si="134"/>
        <v>1.0000000000000009E-2</v>
      </c>
      <c r="AQ151" s="1">
        <f t="shared" si="135"/>
        <v>-0.03</v>
      </c>
      <c r="AR151" s="1">
        <f>VLOOKUP(A151,symbol_2[[symbol]:[DelPer1]],5,)</f>
        <v>39.9</v>
      </c>
      <c r="AS151" s="1">
        <f>VLOOKUP(A151,symbol_2[[symbol]:[DelPer2]],9,)</f>
        <v>17.93</v>
      </c>
      <c r="AT151" s="1">
        <f>VLOOKUP(A151,symbol_2[[symbol]:[DelPer3]],13,)</f>
        <v>27.49</v>
      </c>
      <c r="AU151" s="1">
        <f>VLOOKUP(A151,symbol_2[[symbol]:[DelPer4]],17,)</f>
        <v>41.08</v>
      </c>
      <c r="AV151" s="1">
        <f>VLOOKUP(A151,symbol_2[[symbol]:[DelPer5]],21,)</f>
        <v>45.4</v>
      </c>
      <c r="AW151" s="49" t="str">
        <f t="shared" si="136"/>
        <v>N</v>
      </c>
      <c r="AX151" s="49" t="str">
        <f t="shared" si="137"/>
        <v>Y</v>
      </c>
      <c r="AY151" s="49" t="str">
        <f t="shared" si="138"/>
        <v>Y</v>
      </c>
      <c r="AZ151" s="49" t="str">
        <f t="shared" si="139"/>
        <v>Y</v>
      </c>
      <c r="BA151" s="1">
        <f t="shared" si="140"/>
        <v>-21.97</v>
      </c>
      <c r="BB151" s="1">
        <f t="shared" si="141"/>
        <v>9.5599999999999987</v>
      </c>
      <c r="BC151" s="1">
        <f t="shared" si="142"/>
        <v>13.59</v>
      </c>
      <c r="BD151" s="1">
        <f t="shared" si="143"/>
        <v>4.32</v>
      </c>
    </row>
    <row r="152" spans="1:56" hidden="1" x14ac:dyDescent="0.35">
      <c r="A152" s="1" t="s">
        <v>71</v>
      </c>
      <c r="B152" s="1" t="s">
        <v>1016</v>
      </c>
      <c r="C152" s="1" t="s">
        <v>52</v>
      </c>
      <c r="D152" s="1" t="s">
        <v>199</v>
      </c>
      <c r="E152" s="1">
        <f>VLOOKUP(A152,symbol_2[[symbol]:[Price1]],2,)</f>
        <v>313.3</v>
      </c>
      <c r="F152" s="1">
        <f>VLOOKUP(A152,symbol_2[[symbol]:[Price2]],6,)</f>
        <v>311.85000000000002</v>
      </c>
      <c r="G152" s="1">
        <f>VLOOKUP(A152,symbol_2[[symbol]:[Price3]],10,)</f>
        <v>310.5</v>
      </c>
      <c r="H152" s="1">
        <f>VLOOKUP(A152,symbol_2[[symbol]:[Price4]],14,)</f>
        <v>307.45</v>
      </c>
      <c r="I152" s="1">
        <f>VLOOKUP(A152,symbol_2[[symbol]:[Price5]],18,)</f>
        <v>310.5</v>
      </c>
      <c r="J152" s="49" t="str">
        <f t="shared" si="120"/>
        <v>N</v>
      </c>
      <c r="K152" s="49" t="str">
        <f t="shared" si="121"/>
        <v>N</v>
      </c>
      <c r="L152" s="49" t="str">
        <f t="shared" si="122"/>
        <v>N</v>
      </c>
      <c r="M152" s="49" t="str">
        <f t="shared" si="123"/>
        <v>Y</v>
      </c>
      <c r="N152" s="52">
        <f t="shared" si="124"/>
        <v>-0.46281519310564589</v>
      </c>
      <c r="O152" s="52">
        <f t="shared" si="125"/>
        <v>-0.43290043290044017</v>
      </c>
      <c r="P152" s="52">
        <f t="shared" si="126"/>
        <v>-0.9822866344605512</v>
      </c>
      <c r="Q152" s="52">
        <f t="shared" si="127"/>
        <v>0.99203122458936788</v>
      </c>
      <c r="R152" s="1">
        <f>VLOOKUP(A152,symbol_2[[symbol]:[TV1]],3,)</f>
        <v>0.49</v>
      </c>
      <c r="S152" s="1">
        <f>VLOOKUP(A152,symbol_2[[symbol]:[TV2]],7,)</f>
        <v>0.75</v>
      </c>
      <c r="T152" s="1">
        <f>VLOOKUP(A152,symbol_2[[symbol]:[TV3]],11,)</f>
        <v>0.6</v>
      </c>
      <c r="U152" s="1">
        <f>VLOOKUP(A152,symbol_2[[symbol]:[TV4]],15,)</f>
        <v>0.33</v>
      </c>
      <c r="V152" s="1">
        <f>VLOOKUP(A152,symbol_2[[symbol]:[TV5]],19,)</f>
        <v>1.07</v>
      </c>
      <c r="W152" s="1" t="str">
        <f t="shared" si="128"/>
        <v>Y</v>
      </c>
      <c r="X152" s="1" t="str">
        <f t="shared" si="129"/>
        <v>N</v>
      </c>
      <c r="Y152" s="1" t="str">
        <f t="shared" si="130"/>
        <v>N</v>
      </c>
      <c r="Z152" s="1" t="str">
        <f t="shared" si="131"/>
        <v>Y</v>
      </c>
      <c r="AA152" s="1">
        <f>VLOOKUP(A154,symbol_2[[symbol]:[TradedValue1]],4,)</f>
        <v>260.56</v>
      </c>
      <c r="AB152" s="1">
        <f>VLOOKUP(A152,symbol_2[[symbol]:[TradedValue2]],8,)</f>
        <v>235.21</v>
      </c>
      <c r="AC152" s="1">
        <f>VLOOKUP(A152,symbol_2[[symbol]:[TradedValue3]],12,)</f>
        <v>185.3</v>
      </c>
      <c r="AD152" s="1">
        <f>VLOOKUP(A152,symbol_2[[symbol]:[TradedValue4]],16,)</f>
        <v>102.03</v>
      </c>
      <c r="AE152" s="1">
        <f>VLOOKUP(A152,symbol_2[[symbol]:[TradedValue5]],20,)</f>
        <v>331.13</v>
      </c>
      <c r="AF152" s="1">
        <f>Table2[[#This Row],[TradedValue2]]-Table2[[#This Row],[TradedValue1]]</f>
        <v>-25.349999999999994</v>
      </c>
      <c r="AG152" s="1">
        <f>Table2[[#This Row],[TradedValue3]]-Table2[[#This Row],[TradedValue2]]</f>
        <v>-49.91</v>
      </c>
      <c r="AH152" s="1">
        <f>Table2[[#This Row],[TradedValue4]]-Table2[[#This Row],[TradedValue3]]</f>
        <v>-83.27000000000001</v>
      </c>
      <c r="AI152" s="1">
        <f>Table2[[#This Row],[TradedValue5]]-Table2[[#This Row],[TradedValue4]]</f>
        <v>229.1</v>
      </c>
      <c r="AJ152" s="49" t="str">
        <f>IF(Table2[[#This Row],[TradedValue2]]&gt;Table2[[#This Row],[TradedValue1]],"Y","N")</f>
        <v>N</v>
      </c>
      <c r="AK152" s="49" t="str">
        <f>IF(Table2[[#This Row],[TradedValue3]]&gt;Table2[[#This Row],[TradedValue2]],"Y","N")</f>
        <v>N</v>
      </c>
      <c r="AL152" s="49" t="str">
        <f>IF(Table2[[#This Row],[TradedValue5]]&gt;Table2[[#This Row],[TradedValue3]],"Y","N")</f>
        <v>Y</v>
      </c>
      <c r="AM152" s="49" t="str">
        <f>IF(Table2[[#This Row],[TradedValue5]]&gt;Table2[[#This Row],[TradedValue4]],"Y","N")</f>
        <v>Y</v>
      </c>
      <c r="AN152" s="1">
        <f t="shared" si="132"/>
        <v>0.26</v>
      </c>
      <c r="AO152" s="1">
        <f t="shared" si="133"/>
        <v>-0.15000000000000002</v>
      </c>
      <c r="AP152" s="1">
        <f t="shared" si="134"/>
        <v>-0.26999999999999996</v>
      </c>
      <c r="AQ152" s="1">
        <f t="shared" si="135"/>
        <v>0.74</v>
      </c>
      <c r="AR152" s="1">
        <f>VLOOKUP(A152,symbol_2[[symbol]:[DelPer1]],5,)</f>
        <v>44.54</v>
      </c>
      <c r="AS152" s="1">
        <f>VLOOKUP(A152,symbol_2[[symbol]:[DelPer2]],9,)</f>
        <v>44.72</v>
      </c>
      <c r="AT152" s="1">
        <f>VLOOKUP(A152,symbol_2[[symbol]:[DelPer3]],13,)</f>
        <v>26.63</v>
      </c>
      <c r="AU152" s="1">
        <f>VLOOKUP(A152,symbol_2[[symbol]:[DelPer4]],17,)</f>
        <v>23.31</v>
      </c>
      <c r="AV152" s="1">
        <f>VLOOKUP(A152,symbol_2[[symbol]:[DelPer5]],21,)</f>
        <v>45.84</v>
      </c>
      <c r="AW152" s="49" t="str">
        <f t="shared" si="136"/>
        <v>Y</v>
      </c>
      <c r="AX152" s="49" t="str">
        <f t="shared" si="137"/>
        <v>N</v>
      </c>
      <c r="AY152" s="49" t="str">
        <f t="shared" si="138"/>
        <v>N</v>
      </c>
      <c r="AZ152" s="49" t="str">
        <f t="shared" si="139"/>
        <v>Y</v>
      </c>
      <c r="BA152" s="1">
        <f t="shared" si="140"/>
        <v>0.17999999999999972</v>
      </c>
      <c r="BB152" s="1">
        <f t="shared" si="141"/>
        <v>-18.09</v>
      </c>
      <c r="BC152" s="1">
        <f t="shared" si="142"/>
        <v>-3.3200000000000003</v>
      </c>
      <c r="BD152" s="1">
        <f t="shared" si="143"/>
        <v>22.530000000000005</v>
      </c>
    </row>
    <row r="153" spans="1:56" hidden="1" x14ac:dyDescent="0.35">
      <c r="A153" s="1" t="s">
        <v>123</v>
      </c>
      <c r="B153" s="1" t="s">
        <v>1023</v>
      </c>
      <c r="C153" s="1" t="s">
        <v>52</v>
      </c>
      <c r="D153" s="1" t="s">
        <v>199</v>
      </c>
      <c r="E153" s="1">
        <f>VLOOKUP(A153,symbol_2[[symbol]:[Price1]],2,)</f>
        <v>131.4</v>
      </c>
      <c r="F153" s="1">
        <f>VLOOKUP(A153,symbol_2[[symbol]:[Price2]],6,)</f>
        <v>150.85</v>
      </c>
      <c r="G153" s="1">
        <f>VLOOKUP(A153,symbol_2[[symbol]:[Price3]],10,)</f>
        <v>157.5</v>
      </c>
      <c r="H153" s="1">
        <f>VLOOKUP(A153,symbol_2[[symbol]:[Price4]],14,)</f>
        <v>155.44999999999999</v>
      </c>
      <c r="I153" s="1">
        <f>VLOOKUP(A153,symbol_2[[symbol]:[Price5]],18,)</f>
        <v>148.15</v>
      </c>
      <c r="J153" s="49" t="str">
        <f t="shared" si="120"/>
        <v>Y</v>
      </c>
      <c r="K153" s="49" t="str">
        <f t="shared" si="121"/>
        <v>Y</v>
      </c>
      <c r="L153" s="49" t="str">
        <f t="shared" si="122"/>
        <v>N</v>
      </c>
      <c r="M153" s="49" t="str">
        <f t="shared" si="123"/>
        <v>N</v>
      </c>
      <c r="N153" s="52">
        <f t="shared" si="124"/>
        <v>14.802130898021298</v>
      </c>
      <c r="O153" s="52">
        <f t="shared" si="125"/>
        <v>4.4083526682134613</v>
      </c>
      <c r="P153" s="52">
        <f t="shared" si="126"/>
        <v>-1.3015873015873087</v>
      </c>
      <c r="Q153" s="52">
        <f t="shared" si="127"/>
        <v>-4.6960437439691107</v>
      </c>
      <c r="R153" s="1">
        <f>VLOOKUP(A153,symbol_2[[symbol]:[TV1]],3,)</f>
        <v>11.63</v>
      </c>
      <c r="S153" s="1">
        <f>VLOOKUP(A153,symbol_2[[symbol]:[TV2]],7,)</f>
        <v>24.96</v>
      </c>
      <c r="T153" s="1">
        <f>VLOOKUP(A153,symbol_2[[symbol]:[TV3]],11,)</f>
        <v>36.86</v>
      </c>
      <c r="U153" s="1">
        <f>VLOOKUP(A153,symbol_2[[symbol]:[TV4]],15,)</f>
        <v>10.65</v>
      </c>
      <c r="V153" s="1">
        <f>VLOOKUP(A153,symbol_2[[symbol]:[TV5]],19,)</f>
        <v>12.96</v>
      </c>
      <c r="W153" s="1" t="str">
        <f t="shared" si="128"/>
        <v>Y</v>
      </c>
      <c r="X153" s="1" t="str">
        <f t="shared" si="129"/>
        <v>Y</v>
      </c>
      <c r="Y153" s="1" t="str">
        <f t="shared" si="130"/>
        <v>N</v>
      </c>
      <c r="Z153" s="1" t="str">
        <f t="shared" si="131"/>
        <v>Y</v>
      </c>
      <c r="AA153" s="1">
        <f>VLOOKUP(A155,symbol_2[[symbol]:[TradedValue1]],4,)</f>
        <v>1554.24</v>
      </c>
      <c r="AB153" s="1">
        <f>VLOOKUP(A153,symbol_2[[symbol]:[TradedValue2]],8,)</f>
        <v>3586.44</v>
      </c>
      <c r="AC153" s="1">
        <f>VLOOKUP(A153,symbol_2[[symbol]:[TradedValue3]],12,)</f>
        <v>5845.38</v>
      </c>
      <c r="AD153" s="1">
        <f>VLOOKUP(A153,symbol_2[[symbol]:[TradedValue4]],16,)</f>
        <v>1689.4</v>
      </c>
      <c r="AE153" s="1">
        <f>VLOOKUP(A153,symbol_2[[symbol]:[TradedValue5]],20,)</f>
        <v>1918.84</v>
      </c>
      <c r="AF153" s="1">
        <f>Table2[[#This Row],[TradedValue2]]-Table2[[#This Row],[TradedValue1]]</f>
        <v>2032.2</v>
      </c>
      <c r="AG153" s="1">
        <f>Table2[[#This Row],[TradedValue3]]-Table2[[#This Row],[TradedValue2]]</f>
        <v>2258.94</v>
      </c>
      <c r="AH153" s="1">
        <f>Table2[[#This Row],[TradedValue4]]-Table2[[#This Row],[TradedValue3]]</f>
        <v>-4155.9799999999996</v>
      </c>
      <c r="AI153" s="1">
        <f>Table2[[#This Row],[TradedValue5]]-Table2[[#This Row],[TradedValue4]]</f>
        <v>229.43999999999983</v>
      </c>
      <c r="AJ153" s="49" t="str">
        <f>IF(Table2[[#This Row],[TradedValue2]]&gt;Table2[[#This Row],[TradedValue1]],"Y","N")</f>
        <v>Y</v>
      </c>
      <c r="AK153" s="49" t="str">
        <f>IF(Table2[[#This Row],[TradedValue3]]&gt;Table2[[#This Row],[TradedValue2]],"Y","N")</f>
        <v>Y</v>
      </c>
      <c r="AL153" s="49" t="str">
        <f>IF(Table2[[#This Row],[TradedValue5]]&gt;Table2[[#This Row],[TradedValue3]],"Y","N")</f>
        <v>N</v>
      </c>
      <c r="AM153" s="49" t="str">
        <f>IF(Table2[[#This Row],[TradedValue5]]&gt;Table2[[#This Row],[TradedValue4]],"Y","N")</f>
        <v>Y</v>
      </c>
      <c r="AN153" s="1">
        <f t="shared" si="132"/>
        <v>13.33</v>
      </c>
      <c r="AO153" s="1">
        <f t="shared" si="133"/>
        <v>11.899999999999999</v>
      </c>
      <c r="AP153" s="1">
        <f t="shared" si="134"/>
        <v>-26.21</v>
      </c>
      <c r="AQ153" s="1">
        <f t="shared" si="135"/>
        <v>2.3100000000000005</v>
      </c>
      <c r="AR153" s="1">
        <f>VLOOKUP(A153,symbol_2[[symbol]:[DelPer1]],5,)</f>
        <v>7.9</v>
      </c>
      <c r="AS153" s="1">
        <f>VLOOKUP(A153,symbol_2[[symbol]:[DelPer2]],9,)</f>
        <v>6.86</v>
      </c>
      <c r="AT153" s="1">
        <f>VLOOKUP(A153,symbol_2[[symbol]:[DelPer3]],13,)</f>
        <v>4.75</v>
      </c>
      <c r="AU153" s="1">
        <f>VLOOKUP(A153,symbol_2[[symbol]:[DelPer4]],17,)</f>
        <v>9.34</v>
      </c>
      <c r="AV153" s="1">
        <f>VLOOKUP(A153,symbol_2[[symbol]:[DelPer5]],21,)</f>
        <v>5.16</v>
      </c>
      <c r="AW153" s="49" t="str">
        <f t="shared" si="136"/>
        <v>N</v>
      </c>
      <c r="AX153" s="49" t="str">
        <f t="shared" si="137"/>
        <v>N</v>
      </c>
      <c r="AY153" s="49" t="str">
        <f t="shared" si="138"/>
        <v>Y</v>
      </c>
      <c r="AZ153" s="49" t="str">
        <f t="shared" si="139"/>
        <v>N</v>
      </c>
      <c r="BA153" s="1">
        <f t="shared" si="140"/>
        <v>-1.04</v>
      </c>
      <c r="BB153" s="1">
        <f t="shared" si="141"/>
        <v>-2.1100000000000003</v>
      </c>
      <c r="BC153" s="1">
        <f t="shared" si="142"/>
        <v>4.59</v>
      </c>
      <c r="BD153" s="1">
        <f t="shared" si="143"/>
        <v>-4.18</v>
      </c>
    </row>
    <row r="154" spans="1:56" hidden="1" x14ac:dyDescent="0.35">
      <c r="A154" s="116" t="s">
        <v>182</v>
      </c>
      <c r="B154" s="1" t="s">
        <v>1006</v>
      </c>
      <c r="C154" s="1" t="s">
        <v>52</v>
      </c>
      <c r="D154" s="1" t="s">
        <v>199</v>
      </c>
      <c r="E154" s="1">
        <f>VLOOKUP(A154,symbol_2[[symbol]:[Price1]],2,)</f>
        <v>35</v>
      </c>
      <c r="F154" s="1">
        <f>VLOOKUP(A154,symbol_2[[symbol]:[Price2]],6,)</f>
        <v>34.049999999999997</v>
      </c>
      <c r="G154" s="1">
        <f>VLOOKUP(A154,symbol_2[[symbol]:[Price3]],10,)</f>
        <v>34.700000000000003</v>
      </c>
      <c r="H154" s="1">
        <f>VLOOKUP(A154,symbol_2[[symbol]:[Price4]],14,)</f>
        <v>34.1</v>
      </c>
      <c r="I154" s="1">
        <f>VLOOKUP(A154,symbol_2[[symbol]:[Price5]],18,)</f>
        <v>35.9</v>
      </c>
      <c r="J154" s="49" t="str">
        <f t="shared" si="120"/>
        <v>N</v>
      </c>
      <c r="K154" s="49" t="str">
        <f t="shared" si="121"/>
        <v>Y</v>
      </c>
      <c r="L154" s="49" t="str">
        <f t="shared" si="122"/>
        <v>N</v>
      </c>
      <c r="M154" s="49" t="str">
        <f t="shared" si="123"/>
        <v>Y</v>
      </c>
      <c r="N154" s="52">
        <f t="shared" si="124"/>
        <v>-2.7142857142857224</v>
      </c>
      <c r="O154" s="52">
        <f t="shared" si="125"/>
        <v>1.9089574155653619</v>
      </c>
      <c r="P154" s="52">
        <f t="shared" si="126"/>
        <v>-1.7291066282420788</v>
      </c>
      <c r="Q154" s="52">
        <f t="shared" si="127"/>
        <v>5.2785923753665598</v>
      </c>
      <c r="R154" s="1">
        <f>VLOOKUP(A154,symbol_2[[symbol]:[TV1]],3,)</f>
        <v>7.56</v>
      </c>
      <c r="S154" s="1">
        <f>VLOOKUP(A154,symbol_2[[symbol]:[TV2]],7,)</f>
        <v>6.5</v>
      </c>
      <c r="T154" s="1">
        <f>VLOOKUP(A154,symbol_2[[symbol]:[TV3]],11,)</f>
        <v>5.36</v>
      </c>
      <c r="U154" s="1">
        <f>VLOOKUP(A154,symbol_2[[symbol]:[TV4]],15,)</f>
        <v>10.43</v>
      </c>
      <c r="V154" s="1">
        <f>VLOOKUP(A154,symbol_2[[symbol]:[TV5]],19,)</f>
        <v>6.17</v>
      </c>
      <c r="W154" s="1" t="str">
        <f t="shared" si="128"/>
        <v>N</v>
      </c>
      <c r="X154" s="1" t="str">
        <f t="shared" si="129"/>
        <v>N</v>
      </c>
      <c r="Y154" s="1" t="str">
        <f t="shared" si="130"/>
        <v>Y</v>
      </c>
      <c r="Z154" s="1" t="str">
        <f t="shared" si="131"/>
        <v>N</v>
      </c>
      <c r="AA154" s="1">
        <f>VLOOKUP(A156,symbol_2[[symbol]:[TradedValue1]],4,)</f>
        <v>611.62</v>
      </c>
      <c r="AB154" s="1">
        <f>VLOOKUP(A154,symbol_2[[symbol]:[TradedValue2]],8,)</f>
        <v>224.13</v>
      </c>
      <c r="AC154" s="1">
        <f>VLOOKUP(A154,symbol_2[[symbol]:[TradedValue3]],12,)</f>
        <v>183.33</v>
      </c>
      <c r="AD154" s="1">
        <f>VLOOKUP(A154,symbol_2[[symbol]:[TradedValue4]],16,)</f>
        <v>368.79</v>
      </c>
      <c r="AE154" s="1">
        <f>VLOOKUP(A154,symbol_2[[symbol]:[TradedValue5]],20,)</f>
        <v>217.65</v>
      </c>
      <c r="AF154" s="1">
        <f>Table2[[#This Row],[TradedValue2]]-Table2[[#This Row],[TradedValue1]]</f>
        <v>-387.49</v>
      </c>
      <c r="AG154" s="1">
        <f>Table2[[#This Row],[TradedValue3]]-Table2[[#This Row],[TradedValue2]]</f>
        <v>-40.799999999999983</v>
      </c>
      <c r="AH154" s="1">
        <f>Table2[[#This Row],[TradedValue4]]-Table2[[#This Row],[TradedValue3]]</f>
        <v>185.46</v>
      </c>
      <c r="AI154" s="1">
        <f>Table2[[#This Row],[TradedValue5]]-Table2[[#This Row],[TradedValue4]]</f>
        <v>-151.14000000000001</v>
      </c>
      <c r="AJ154" s="49" t="str">
        <f>IF(Table2[[#This Row],[TradedValue2]]&gt;Table2[[#This Row],[TradedValue1]],"Y","N")</f>
        <v>N</v>
      </c>
      <c r="AK154" s="49" t="str">
        <f>IF(Table2[[#This Row],[TradedValue3]]&gt;Table2[[#This Row],[TradedValue2]],"Y","N")</f>
        <v>N</v>
      </c>
      <c r="AL154" s="49" t="str">
        <f>IF(Table2[[#This Row],[TradedValue5]]&gt;Table2[[#This Row],[TradedValue3]],"Y","N")</f>
        <v>Y</v>
      </c>
      <c r="AM154" s="49" t="str">
        <f>IF(Table2[[#This Row],[TradedValue5]]&gt;Table2[[#This Row],[TradedValue4]],"Y","N")</f>
        <v>N</v>
      </c>
      <c r="AN154" s="1">
        <f t="shared" si="132"/>
        <v>-1.0599999999999996</v>
      </c>
      <c r="AO154" s="1">
        <f t="shared" si="133"/>
        <v>-1.1399999999999997</v>
      </c>
      <c r="AP154" s="1">
        <f t="shared" si="134"/>
        <v>5.0699999999999994</v>
      </c>
      <c r="AQ154" s="1">
        <f t="shared" si="135"/>
        <v>-4.26</v>
      </c>
      <c r="AR154" s="1">
        <f>VLOOKUP(A154,symbol_2[[symbol]:[DelPer1]],5,)</f>
        <v>17.73</v>
      </c>
      <c r="AS154" s="1">
        <f>VLOOKUP(A154,symbol_2[[symbol]:[DelPer2]],9,)</f>
        <v>11.58</v>
      </c>
      <c r="AT154" s="1">
        <f>VLOOKUP(A154,symbol_2[[symbol]:[DelPer3]],13,)</f>
        <v>15.85</v>
      </c>
      <c r="AU154" s="1">
        <f>VLOOKUP(A154,symbol_2[[symbol]:[DelPer4]],17,)</f>
        <v>14.1</v>
      </c>
      <c r="AV154" s="1">
        <f>VLOOKUP(A154,symbol_2[[symbol]:[DelPer5]],21,)</f>
        <v>16.07</v>
      </c>
      <c r="AW154" s="49" t="str">
        <f t="shared" si="136"/>
        <v>N</v>
      </c>
      <c r="AX154" s="49" t="str">
        <f t="shared" si="137"/>
        <v>Y</v>
      </c>
      <c r="AY154" s="49" t="str">
        <f t="shared" si="138"/>
        <v>N</v>
      </c>
      <c r="AZ154" s="49" t="str">
        <f t="shared" si="139"/>
        <v>Y</v>
      </c>
      <c r="BA154" s="1">
        <f t="shared" si="140"/>
        <v>-6.15</v>
      </c>
      <c r="BB154" s="1">
        <f t="shared" si="141"/>
        <v>4.2699999999999996</v>
      </c>
      <c r="BC154" s="1">
        <f t="shared" si="142"/>
        <v>-1.75</v>
      </c>
      <c r="BD154" s="1">
        <f t="shared" si="143"/>
        <v>1.9700000000000006</v>
      </c>
    </row>
    <row r="155" spans="1:56" hidden="1" x14ac:dyDescent="0.35">
      <c r="A155" s="116" t="s">
        <v>167</v>
      </c>
      <c r="B155" s="1" t="s">
        <v>1006</v>
      </c>
      <c r="C155" s="1" t="s">
        <v>52</v>
      </c>
      <c r="D155" s="1" t="s">
        <v>199</v>
      </c>
      <c r="E155" s="1">
        <f>VLOOKUP(A155,symbol_2[[symbol]:[Price1]],2,)</f>
        <v>680.25</v>
      </c>
      <c r="F155" s="1">
        <f>VLOOKUP(A155,symbol_2[[symbol]:[Price2]],6,)</f>
        <v>669.9</v>
      </c>
      <c r="G155" s="1">
        <f>VLOOKUP(A155,symbol_2[[symbol]:[Price3]],10,)</f>
        <v>666.85</v>
      </c>
      <c r="H155" s="1">
        <f>VLOOKUP(A155,symbol_2[[symbol]:[Price4]],14,)</f>
        <v>674.05</v>
      </c>
      <c r="I155" s="1">
        <f>VLOOKUP(A155,symbol_2[[symbol]:[Price5]],18,)</f>
        <v>667.5</v>
      </c>
      <c r="J155" s="49" t="str">
        <f t="shared" si="120"/>
        <v>N</v>
      </c>
      <c r="K155" s="49" t="str">
        <f t="shared" si="121"/>
        <v>N</v>
      </c>
      <c r="L155" s="49" t="str">
        <f t="shared" si="122"/>
        <v>Y</v>
      </c>
      <c r="M155" s="49" t="str">
        <f t="shared" si="123"/>
        <v>N</v>
      </c>
      <c r="N155" s="52">
        <f t="shared" si="124"/>
        <v>-1.5214994487320872</v>
      </c>
      <c r="O155" s="52">
        <f t="shared" si="125"/>
        <v>-0.45529183460217265</v>
      </c>
      <c r="P155" s="52">
        <f t="shared" si="126"/>
        <v>1.0797030816525353</v>
      </c>
      <c r="Q155" s="52">
        <f t="shared" si="127"/>
        <v>-0.9717380016319197</v>
      </c>
      <c r="R155" s="1">
        <f>VLOOKUP(A155,symbol_2[[symbol]:[TV1]],3,)</f>
        <v>2.2799999999999998</v>
      </c>
      <c r="S155" s="1">
        <f>VLOOKUP(A155,symbol_2[[symbol]:[TV2]],7,)</f>
        <v>1.4</v>
      </c>
      <c r="T155" s="1">
        <f>VLOOKUP(A155,symbol_2[[symbol]:[TV3]],11,)</f>
        <v>0.52</v>
      </c>
      <c r="U155" s="1">
        <f>VLOOKUP(A155,symbol_2[[symbol]:[TV4]],15,)</f>
        <v>2.19</v>
      </c>
      <c r="V155" s="1">
        <f>VLOOKUP(A155,symbol_2[[symbol]:[TV5]],19,)</f>
        <v>1.47</v>
      </c>
      <c r="W155" s="1" t="str">
        <f t="shared" si="128"/>
        <v>N</v>
      </c>
      <c r="X155" s="1" t="str">
        <f t="shared" si="129"/>
        <v>N</v>
      </c>
      <c r="Y155" s="1" t="str">
        <f t="shared" si="130"/>
        <v>Y</v>
      </c>
      <c r="Z155" s="1" t="str">
        <f t="shared" si="131"/>
        <v>N</v>
      </c>
      <c r="AA155" s="1">
        <f>VLOOKUP(A157,symbol_2[[symbol]:[TradedValue1]],4,)</f>
        <v>1273.5899999999999</v>
      </c>
      <c r="AB155" s="1">
        <f>VLOOKUP(A155,symbol_2[[symbol]:[TradedValue2]],8,)</f>
        <v>937.56</v>
      </c>
      <c r="AC155" s="1">
        <f>VLOOKUP(A155,symbol_2[[symbol]:[TradedValue3]],12,)</f>
        <v>347.95</v>
      </c>
      <c r="AD155" s="1">
        <f>VLOOKUP(A155,symbol_2[[symbol]:[TradedValue4]],16,)</f>
        <v>1487.06</v>
      </c>
      <c r="AE155" s="1">
        <f>VLOOKUP(A155,symbol_2[[symbol]:[TradedValue5]],20,)</f>
        <v>978.97</v>
      </c>
      <c r="AF155" s="1">
        <f>Table2[[#This Row],[TradedValue2]]-Table2[[#This Row],[TradedValue1]]</f>
        <v>-336.03</v>
      </c>
      <c r="AG155" s="1">
        <f>Table2[[#This Row],[TradedValue3]]-Table2[[#This Row],[TradedValue2]]</f>
        <v>-589.6099999999999</v>
      </c>
      <c r="AH155" s="1">
        <f>Table2[[#This Row],[TradedValue4]]-Table2[[#This Row],[TradedValue3]]</f>
        <v>1139.1099999999999</v>
      </c>
      <c r="AI155" s="1">
        <f>Table2[[#This Row],[TradedValue5]]-Table2[[#This Row],[TradedValue4]]</f>
        <v>-508.08999999999992</v>
      </c>
      <c r="AJ155" s="49" t="str">
        <f>IF(Table2[[#This Row],[TradedValue2]]&gt;Table2[[#This Row],[TradedValue1]],"Y","N")</f>
        <v>N</v>
      </c>
      <c r="AK155" s="49" t="str">
        <f>IF(Table2[[#This Row],[TradedValue3]]&gt;Table2[[#This Row],[TradedValue2]],"Y","N")</f>
        <v>N</v>
      </c>
      <c r="AL155" s="49" t="str">
        <f>IF(Table2[[#This Row],[TradedValue5]]&gt;Table2[[#This Row],[TradedValue3]],"Y","N")</f>
        <v>Y</v>
      </c>
      <c r="AM155" s="49" t="str">
        <f>IF(Table2[[#This Row],[TradedValue5]]&gt;Table2[[#This Row],[TradedValue4]],"Y","N")</f>
        <v>N</v>
      </c>
      <c r="AN155" s="1">
        <f t="shared" si="132"/>
        <v>-0.87999999999999989</v>
      </c>
      <c r="AO155" s="1">
        <f t="shared" si="133"/>
        <v>-0.87999999999999989</v>
      </c>
      <c r="AP155" s="1">
        <f t="shared" si="134"/>
        <v>1.67</v>
      </c>
      <c r="AQ155" s="1">
        <f t="shared" si="135"/>
        <v>-0.72</v>
      </c>
      <c r="AR155" s="1">
        <f>VLOOKUP(A155,symbol_2[[symbol]:[DelPer1]],5,)</f>
        <v>59.94</v>
      </c>
      <c r="AS155" s="1">
        <f>VLOOKUP(A155,symbol_2[[symbol]:[DelPer2]],9,)</f>
        <v>50.52</v>
      </c>
      <c r="AT155" s="1">
        <f>VLOOKUP(A155,symbol_2[[symbol]:[DelPer3]],13,)</f>
        <v>26.75</v>
      </c>
      <c r="AU155" s="1">
        <f>VLOOKUP(A155,symbol_2[[symbol]:[DelPer4]],17,)</f>
        <v>51.39</v>
      </c>
      <c r="AV155" s="1">
        <f>VLOOKUP(A155,symbol_2[[symbol]:[DelPer5]],21,)</f>
        <v>35.369999999999997</v>
      </c>
      <c r="AW155" s="49" t="str">
        <f t="shared" si="136"/>
        <v>N</v>
      </c>
      <c r="AX155" s="49" t="str">
        <f t="shared" si="137"/>
        <v>N</v>
      </c>
      <c r="AY155" s="49" t="str">
        <f t="shared" si="138"/>
        <v>Y</v>
      </c>
      <c r="AZ155" s="49" t="str">
        <f t="shared" si="139"/>
        <v>N</v>
      </c>
      <c r="BA155" s="1">
        <f t="shared" si="140"/>
        <v>-9.4199999999999946</v>
      </c>
      <c r="BB155" s="1">
        <f t="shared" si="141"/>
        <v>-23.770000000000003</v>
      </c>
      <c r="BC155" s="1">
        <f t="shared" si="142"/>
        <v>24.64</v>
      </c>
      <c r="BD155" s="1">
        <f t="shared" si="143"/>
        <v>-16.020000000000003</v>
      </c>
    </row>
    <row r="156" spans="1:56" hidden="1" x14ac:dyDescent="0.35">
      <c r="A156" s="1" t="s">
        <v>72</v>
      </c>
      <c r="B156" s="1" t="s">
        <v>1006</v>
      </c>
      <c r="C156" s="1" t="s">
        <v>52</v>
      </c>
      <c r="D156" s="1" t="s">
        <v>199</v>
      </c>
      <c r="E156" s="1">
        <f>VLOOKUP(A156,symbol_2[[symbol]:[Price1]],2,)</f>
        <v>922</v>
      </c>
      <c r="F156" s="1">
        <f>VLOOKUP(A156,symbol_2[[symbol]:[Price2]],6,)</f>
        <v>894.4</v>
      </c>
      <c r="G156" s="1">
        <f>VLOOKUP(A156,symbol_2[[symbol]:[Price3]],10,)</f>
        <v>950.25</v>
      </c>
      <c r="H156" s="1">
        <f>VLOOKUP(A156,symbol_2[[symbol]:[Price4]],14,)</f>
        <v>1002.45</v>
      </c>
      <c r="I156" s="1">
        <f>VLOOKUP(A156,symbol_2[[symbol]:[Price5]],18,)</f>
        <v>1033.25</v>
      </c>
      <c r="J156" s="49" t="str">
        <f t="shared" si="120"/>
        <v>N</v>
      </c>
      <c r="K156" s="49" t="str">
        <f t="shared" si="121"/>
        <v>Y</v>
      </c>
      <c r="L156" s="49" t="str">
        <f t="shared" si="122"/>
        <v>Y</v>
      </c>
      <c r="M156" s="49" t="str">
        <f t="shared" si="123"/>
        <v>Y</v>
      </c>
      <c r="N156" s="52">
        <f t="shared" si="124"/>
        <v>-2.9934924078091134</v>
      </c>
      <c r="O156" s="52">
        <f t="shared" si="125"/>
        <v>6.2444096601073369</v>
      </c>
      <c r="P156" s="52">
        <f t="shared" si="126"/>
        <v>5.4932912391475979</v>
      </c>
      <c r="Q156" s="52">
        <f t="shared" si="127"/>
        <v>3.0724724425158318</v>
      </c>
      <c r="R156" s="1">
        <f>VLOOKUP(A156,symbol_2[[symbol]:[TV1]],3,)</f>
        <v>0.68</v>
      </c>
      <c r="S156" s="1">
        <f>VLOOKUP(A156,symbol_2[[symbol]:[TV2]],7,)</f>
        <v>0.74</v>
      </c>
      <c r="T156" s="1">
        <f>VLOOKUP(A156,symbol_2[[symbol]:[TV3]],11,)</f>
        <v>2.46</v>
      </c>
      <c r="U156" s="1">
        <f>VLOOKUP(A156,symbol_2[[symbol]:[TV4]],15,)</f>
        <v>2.41</v>
      </c>
      <c r="V156" s="1">
        <f>VLOOKUP(A156,symbol_2[[symbol]:[TV5]],19,)</f>
        <v>0.98</v>
      </c>
      <c r="W156" s="1" t="str">
        <f t="shared" si="128"/>
        <v>Y</v>
      </c>
      <c r="X156" s="1" t="str">
        <f t="shared" si="129"/>
        <v>Y</v>
      </c>
      <c r="Y156" s="1" t="str">
        <f t="shared" si="130"/>
        <v>N</v>
      </c>
      <c r="Z156" s="1" t="str">
        <f t="shared" si="131"/>
        <v>N</v>
      </c>
      <c r="AA156" s="1">
        <f>VLOOKUP(A158,symbol_2[[symbol]:[TradedValue1]],4,)</f>
        <v>108.88</v>
      </c>
      <c r="AB156" s="1">
        <f>VLOOKUP(A156,symbol_2[[symbol]:[TradedValue2]],8,)</f>
        <v>667.79</v>
      </c>
      <c r="AC156" s="1">
        <f>VLOOKUP(A156,symbol_2[[symbol]:[TradedValue3]],12,)</f>
        <v>2265.62</v>
      </c>
      <c r="AD156" s="1">
        <f>VLOOKUP(A156,symbol_2[[symbol]:[TradedValue4]],16,)</f>
        <v>2430.61</v>
      </c>
      <c r="AE156" s="1">
        <f>VLOOKUP(A156,symbol_2[[symbol]:[TradedValue5]],20,)</f>
        <v>1000.14</v>
      </c>
      <c r="AF156" s="1">
        <f>Table2[[#This Row],[TradedValue2]]-Table2[[#This Row],[TradedValue1]]</f>
        <v>558.91</v>
      </c>
      <c r="AG156" s="1">
        <f>Table2[[#This Row],[TradedValue3]]-Table2[[#This Row],[TradedValue2]]</f>
        <v>1597.83</v>
      </c>
      <c r="AH156" s="1">
        <f>Table2[[#This Row],[TradedValue4]]-Table2[[#This Row],[TradedValue3]]</f>
        <v>164.99000000000024</v>
      </c>
      <c r="AI156" s="1">
        <f>Table2[[#This Row],[TradedValue5]]-Table2[[#This Row],[TradedValue4]]</f>
        <v>-1430.4700000000003</v>
      </c>
      <c r="AJ156" s="49" t="str">
        <f>IF(Table2[[#This Row],[TradedValue2]]&gt;Table2[[#This Row],[TradedValue1]],"Y","N")</f>
        <v>Y</v>
      </c>
      <c r="AK156" s="49" t="str">
        <f>IF(Table2[[#This Row],[TradedValue3]]&gt;Table2[[#This Row],[TradedValue2]],"Y","N")</f>
        <v>Y</v>
      </c>
      <c r="AL156" s="49" t="str">
        <f>IF(Table2[[#This Row],[TradedValue5]]&gt;Table2[[#This Row],[TradedValue3]],"Y","N")</f>
        <v>N</v>
      </c>
      <c r="AM156" s="49" t="str">
        <f>IF(Table2[[#This Row],[TradedValue5]]&gt;Table2[[#This Row],[TradedValue4]],"Y","N")</f>
        <v>N</v>
      </c>
      <c r="AN156" s="1">
        <f t="shared" si="132"/>
        <v>5.9999999999999942E-2</v>
      </c>
      <c r="AO156" s="1">
        <f t="shared" si="133"/>
        <v>1.72</v>
      </c>
      <c r="AP156" s="1">
        <f t="shared" si="134"/>
        <v>-4.9999999999999822E-2</v>
      </c>
      <c r="AQ156" s="1">
        <f t="shared" si="135"/>
        <v>-1.4300000000000002</v>
      </c>
      <c r="AR156" s="1">
        <f>VLOOKUP(A156,symbol_2[[symbol]:[DelPer1]],5,)</f>
        <v>41.28</v>
      </c>
      <c r="AS156" s="1">
        <f>VLOOKUP(A156,symbol_2[[symbol]:[DelPer2]],9,)</f>
        <v>34.43</v>
      </c>
      <c r="AT156" s="1">
        <f>VLOOKUP(A156,symbol_2[[symbol]:[DelPer3]],13,)</f>
        <v>25.22</v>
      </c>
      <c r="AU156" s="1">
        <f>VLOOKUP(A156,symbol_2[[symbol]:[DelPer4]],17,)</f>
        <v>43.28</v>
      </c>
      <c r="AV156" s="1">
        <f>VLOOKUP(A156,symbol_2[[symbol]:[DelPer5]],21,)</f>
        <v>37.200000000000003</v>
      </c>
      <c r="AW156" s="49" t="str">
        <f t="shared" si="136"/>
        <v>N</v>
      </c>
      <c r="AX156" s="49" t="str">
        <f t="shared" si="137"/>
        <v>N</v>
      </c>
      <c r="AY156" s="49" t="str">
        <f t="shared" si="138"/>
        <v>Y</v>
      </c>
      <c r="AZ156" s="49" t="str">
        <f t="shared" si="139"/>
        <v>N</v>
      </c>
      <c r="BA156" s="1">
        <f t="shared" si="140"/>
        <v>-6.8500000000000014</v>
      </c>
      <c r="BB156" s="1">
        <f t="shared" si="141"/>
        <v>-9.2100000000000009</v>
      </c>
      <c r="BC156" s="1">
        <f t="shared" si="142"/>
        <v>18.060000000000002</v>
      </c>
      <c r="BD156" s="1">
        <f t="shared" si="143"/>
        <v>-6.0799999999999983</v>
      </c>
    </row>
    <row r="157" spans="1:56" hidden="1" x14ac:dyDescent="0.35">
      <c r="A157" s="1" t="s">
        <v>143</v>
      </c>
      <c r="B157" s="1" t="s">
        <v>1014</v>
      </c>
      <c r="C157" s="1" t="s">
        <v>52</v>
      </c>
      <c r="D157" s="1" t="s">
        <v>199</v>
      </c>
      <c r="E157" s="1">
        <f>VLOOKUP(A157,symbol_2[[symbol]:[Price1]],2,)</f>
        <v>127.05</v>
      </c>
      <c r="F157" s="1">
        <f>VLOOKUP(A157,symbol_2[[symbol]:[Price2]],6,)</f>
        <v>120.5</v>
      </c>
      <c r="G157" s="1">
        <f>VLOOKUP(A157,symbol_2[[symbol]:[Price3]],10,)</f>
        <v>118.75</v>
      </c>
      <c r="H157" s="1">
        <f>VLOOKUP(A157,symbol_2[[symbol]:[Price4]],14,)</f>
        <v>114.35</v>
      </c>
      <c r="I157" s="1">
        <f>VLOOKUP(A157,symbol_2[[symbol]:[Price5]],18,)</f>
        <v>118.25</v>
      </c>
      <c r="J157" s="49" t="str">
        <f t="shared" si="120"/>
        <v>N</v>
      </c>
      <c r="K157" s="49" t="str">
        <f t="shared" si="121"/>
        <v>N</v>
      </c>
      <c r="L157" s="49" t="str">
        <f t="shared" si="122"/>
        <v>N</v>
      </c>
      <c r="M157" s="49" t="str">
        <f t="shared" si="123"/>
        <v>Y</v>
      </c>
      <c r="N157" s="52">
        <f t="shared" si="124"/>
        <v>-5.1554506099960626</v>
      </c>
      <c r="O157" s="52">
        <f t="shared" si="125"/>
        <v>-1.4522821576763485</v>
      </c>
      <c r="P157" s="52">
        <f t="shared" si="126"/>
        <v>-3.7052631578947413</v>
      </c>
      <c r="Q157" s="52">
        <f t="shared" si="127"/>
        <v>3.4105815478793233</v>
      </c>
      <c r="R157" s="1">
        <f>VLOOKUP(A157,symbol_2[[symbol]:[TV1]],3,)</f>
        <v>10.31</v>
      </c>
      <c r="S157" s="1">
        <f>VLOOKUP(A157,symbol_2[[symbol]:[TV2]],7,)</f>
        <v>10.56</v>
      </c>
      <c r="T157" s="1">
        <f>VLOOKUP(A157,symbol_2[[symbol]:[TV3]],11,)</f>
        <v>7.19</v>
      </c>
      <c r="U157" s="1">
        <f>VLOOKUP(A157,symbol_2[[symbol]:[TV4]],15,)</f>
        <v>15.1</v>
      </c>
      <c r="V157" s="1">
        <f>VLOOKUP(A157,symbol_2[[symbol]:[TV5]],19,)</f>
        <v>13.24</v>
      </c>
      <c r="W157" s="1" t="str">
        <f t="shared" si="128"/>
        <v>Y</v>
      </c>
      <c r="X157" s="1" t="str">
        <f t="shared" si="129"/>
        <v>N</v>
      </c>
      <c r="Y157" s="1" t="str">
        <f t="shared" si="130"/>
        <v>Y</v>
      </c>
      <c r="Z157" s="1" t="str">
        <f t="shared" si="131"/>
        <v>N</v>
      </c>
      <c r="AA157" s="1">
        <f>VLOOKUP(A159,symbol_2[[symbol]:[TradedValue1]],4,)</f>
        <v>257.69</v>
      </c>
      <c r="AB157" s="1">
        <f>VLOOKUP(A157,symbol_2[[symbol]:[TradedValue2]],8,)</f>
        <v>1290.5999999999999</v>
      </c>
      <c r="AC157" s="1">
        <f>VLOOKUP(A157,symbol_2[[symbol]:[TradedValue3]],12,)</f>
        <v>855.74</v>
      </c>
      <c r="AD157" s="1">
        <f>VLOOKUP(A157,symbol_2[[symbol]:[TradedValue4]],16,)</f>
        <v>1768.28</v>
      </c>
      <c r="AE157" s="1">
        <f>VLOOKUP(A157,symbol_2[[symbol]:[TradedValue5]],20,)</f>
        <v>1565.4</v>
      </c>
      <c r="AF157" s="1">
        <f>Table2[[#This Row],[TradedValue2]]-Table2[[#This Row],[TradedValue1]]</f>
        <v>1032.9099999999999</v>
      </c>
      <c r="AG157" s="1">
        <f>Table2[[#This Row],[TradedValue3]]-Table2[[#This Row],[TradedValue2]]</f>
        <v>-434.8599999999999</v>
      </c>
      <c r="AH157" s="1">
        <f>Table2[[#This Row],[TradedValue4]]-Table2[[#This Row],[TradedValue3]]</f>
        <v>912.54</v>
      </c>
      <c r="AI157" s="1">
        <f>Table2[[#This Row],[TradedValue5]]-Table2[[#This Row],[TradedValue4]]</f>
        <v>-202.87999999999988</v>
      </c>
      <c r="AJ157" s="49" t="str">
        <f>IF(Table2[[#This Row],[TradedValue2]]&gt;Table2[[#This Row],[TradedValue1]],"Y","N")</f>
        <v>Y</v>
      </c>
      <c r="AK157" s="49" t="str">
        <f>IF(Table2[[#This Row],[TradedValue3]]&gt;Table2[[#This Row],[TradedValue2]],"Y","N")</f>
        <v>N</v>
      </c>
      <c r="AL157" s="49" t="str">
        <f>IF(Table2[[#This Row],[TradedValue5]]&gt;Table2[[#This Row],[TradedValue3]],"Y","N")</f>
        <v>Y</v>
      </c>
      <c r="AM157" s="49" t="str">
        <f>IF(Table2[[#This Row],[TradedValue5]]&gt;Table2[[#This Row],[TradedValue4]],"Y","N")</f>
        <v>N</v>
      </c>
      <c r="AN157" s="1">
        <f t="shared" si="132"/>
        <v>0.25</v>
      </c>
      <c r="AO157" s="1">
        <f t="shared" si="133"/>
        <v>-3.37</v>
      </c>
      <c r="AP157" s="1">
        <f t="shared" si="134"/>
        <v>7.9099999999999993</v>
      </c>
      <c r="AQ157" s="1">
        <f t="shared" si="135"/>
        <v>-1.8599999999999994</v>
      </c>
      <c r="AR157" s="1">
        <f>VLOOKUP(A157,symbol_2[[symbol]:[DelPer1]],5,)</f>
        <v>42.64</v>
      </c>
      <c r="AS157" s="1">
        <f>VLOOKUP(A157,symbol_2[[symbol]:[DelPer2]],9,)</f>
        <v>42.08</v>
      </c>
      <c r="AT157" s="1">
        <f>VLOOKUP(A157,symbol_2[[symbol]:[DelPer3]],13,)</f>
        <v>40.65</v>
      </c>
      <c r="AU157" s="1">
        <f>VLOOKUP(A157,symbol_2[[symbol]:[DelPer4]],17,)</f>
        <v>43.32</v>
      </c>
      <c r="AV157" s="1">
        <f>VLOOKUP(A157,symbol_2[[symbol]:[DelPer5]],21,)</f>
        <v>48.29</v>
      </c>
      <c r="AW157" s="49" t="str">
        <f t="shared" si="136"/>
        <v>N</v>
      </c>
      <c r="AX157" s="49" t="str">
        <f t="shared" si="137"/>
        <v>N</v>
      </c>
      <c r="AY157" s="49" t="str">
        <f t="shared" si="138"/>
        <v>Y</v>
      </c>
      <c r="AZ157" s="49" t="str">
        <f t="shared" si="139"/>
        <v>Y</v>
      </c>
      <c r="BA157" s="1">
        <f t="shared" si="140"/>
        <v>-0.56000000000000227</v>
      </c>
      <c r="BB157" s="1">
        <f t="shared" si="141"/>
        <v>-1.4299999999999997</v>
      </c>
      <c r="BC157" s="1">
        <f t="shared" si="142"/>
        <v>2.6700000000000017</v>
      </c>
      <c r="BD157" s="1">
        <f t="shared" si="143"/>
        <v>4.9699999999999989</v>
      </c>
    </row>
    <row r="158" spans="1:56" hidden="1" x14ac:dyDescent="0.35">
      <c r="A158" s="1" t="s">
        <v>141</v>
      </c>
      <c r="B158" s="1" t="s">
        <v>1007</v>
      </c>
      <c r="C158" s="1" t="s">
        <v>52</v>
      </c>
      <c r="D158" s="1" t="s">
        <v>199</v>
      </c>
      <c r="E158" s="1">
        <f>VLOOKUP(A158,symbol_2[[symbol]:[Price1]],2,)</f>
        <v>875.45</v>
      </c>
      <c r="F158" s="1">
        <f>VLOOKUP(A158,symbol_2[[symbol]:[Price2]],6,)</f>
        <v>855.9</v>
      </c>
      <c r="G158" s="1">
        <f>VLOOKUP(A158,symbol_2[[symbol]:[Price3]],10,)</f>
        <v>849.25</v>
      </c>
      <c r="H158" s="1">
        <f>VLOOKUP(A158,symbol_2[[symbol]:[Price4]],14,)</f>
        <v>876.7</v>
      </c>
      <c r="I158" s="1">
        <f>VLOOKUP(A158,symbol_2[[symbol]:[Price5]],18,)</f>
        <v>881.75</v>
      </c>
      <c r="J158" s="49" t="str">
        <f t="shared" si="120"/>
        <v>N</v>
      </c>
      <c r="K158" s="49" t="str">
        <f t="shared" si="121"/>
        <v>N</v>
      </c>
      <c r="L158" s="49" t="str">
        <f t="shared" si="122"/>
        <v>Y</v>
      </c>
      <c r="M158" s="49" t="str">
        <f t="shared" si="123"/>
        <v>Y</v>
      </c>
      <c r="N158" s="52">
        <f t="shared" si="124"/>
        <v>-2.2331372437032462</v>
      </c>
      <c r="O158" s="52">
        <f t="shared" si="125"/>
        <v>-0.77695992522490687</v>
      </c>
      <c r="P158" s="52">
        <f t="shared" si="126"/>
        <v>3.2322637621430728</v>
      </c>
      <c r="Q158" s="52">
        <f t="shared" si="127"/>
        <v>0.57602372533363233</v>
      </c>
      <c r="R158" s="1">
        <f>VLOOKUP(A158,symbol_2[[symbol]:[TV1]],3,)</f>
        <v>0.12</v>
      </c>
      <c r="S158" s="1">
        <f>VLOOKUP(A158,symbol_2[[symbol]:[TV2]],7,)</f>
        <v>0.15</v>
      </c>
      <c r="T158" s="1">
        <f>VLOOKUP(A158,symbol_2[[symbol]:[TV3]],11,)</f>
        <v>0.17</v>
      </c>
      <c r="U158" s="1">
        <f>VLOOKUP(A158,symbol_2[[symbol]:[TV4]],15,)</f>
        <v>0.35</v>
      </c>
      <c r="V158" s="1">
        <f>VLOOKUP(A158,symbol_2[[symbol]:[TV5]],19,)</f>
        <v>0.41</v>
      </c>
      <c r="W158" s="1" t="str">
        <f t="shared" si="128"/>
        <v>Y</v>
      </c>
      <c r="X158" s="1" t="str">
        <f t="shared" si="129"/>
        <v>Y</v>
      </c>
      <c r="Y158" s="1" t="str">
        <f t="shared" si="130"/>
        <v>Y</v>
      </c>
      <c r="Z158" s="1" t="str">
        <f t="shared" si="131"/>
        <v>Y</v>
      </c>
      <c r="AA158" s="1">
        <f>VLOOKUP(A158,symbol_2[[symbol]:[TradedValue1]],4,)</f>
        <v>108.88</v>
      </c>
      <c r="AB158" s="1">
        <f>VLOOKUP(A158,symbol_2[[symbol]:[TradedValue2]],8,)</f>
        <v>131.44999999999999</v>
      </c>
      <c r="AC158" s="1">
        <f>VLOOKUP(A158,symbol_2[[symbol]:[TradedValue3]],12,)</f>
        <v>145.66</v>
      </c>
      <c r="AD158" s="1">
        <f>VLOOKUP(A158,symbol_2[[symbol]:[TradedValue4]],16,)</f>
        <v>309.33999999999997</v>
      </c>
      <c r="AE158" s="1">
        <f>VLOOKUP(A158,symbol_2[[symbol]:[TradedValue5]],20,)</f>
        <v>358.58</v>
      </c>
      <c r="AF158" s="1">
        <f>Table2[[#This Row],[TradedValue2]]-Table2[[#This Row],[TradedValue1]]</f>
        <v>22.569999999999993</v>
      </c>
      <c r="AG158" s="1">
        <f>Table2[[#This Row],[TradedValue3]]-Table2[[#This Row],[TradedValue2]]</f>
        <v>14.210000000000008</v>
      </c>
      <c r="AH158" s="1">
        <f>Table2[[#This Row],[TradedValue4]]-Table2[[#This Row],[TradedValue3]]</f>
        <v>163.67999999999998</v>
      </c>
      <c r="AI158" s="1">
        <f>Table2[[#This Row],[TradedValue5]]-Table2[[#This Row],[TradedValue4]]</f>
        <v>49.240000000000009</v>
      </c>
      <c r="AJ158" s="49" t="str">
        <f>IF(Table2[[#This Row],[TradedValue2]]&gt;Table2[[#This Row],[TradedValue1]],"Y","N")</f>
        <v>Y</v>
      </c>
      <c r="AK158" s="49" t="str">
        <f>IF(Table2[[#This Row],[TradedValue3]]&gt;Table2[[#This Row],[TradedValue2]],"Y","N")</f>
        <v>Y</v>
      </c>
      <c r="AL158" s="49" t="str">
        <f>IF(Table2[[#This Row],[TradedValue5]]&gt;Table2[[#This Row],[TradedValue3]],"Y","N")</f>
        <v>Y</v>
      </c>
      <c r="AM158" s="49" t="str">
        <f>IF(Table2[[#This Row],[TradedValue5]]&gt;Table2[[#This Row],[TradedValue4]],"Y","N")</f>
        <v>Y</v>
      </c>
      <c r="AN158" s="1">
        <f t="shared" si="132"/>
        <v>0.03</v>
      </c>
      <c r="AO158" s="1">
        <f t="shared" si="133"/>
        <v>2.0000000000000018E-2</v>
      </c>
      <c r="AP158" s="1">
        <f t="shared" si="134"/>
        <v>0.17999999999999997</v>
      </c>
      <c r="AQ158" s="1">
        <f t="shared" si="135"/>
        <v>0.06</v>
      </c>
      <c r="AR158" s="1">
        <f>VLOOKUP(A158,symbol_2[[symbol]:[DelPer1]],5,)</f>
        <v>36.83</v>
      </c>
      <c r="AS158" s="1">
        <f>VLOOKUP(A158,symbol_2[[symbol]:[DelPer2]],9,)</f>
        <v>51.63</v>
      </c>
      <c r="AT158" s="1">
        <f>VLOOKUP(A158,symbol_2[[symbol]:[DelPer3]],13,)</f>
        <v>49.62</v>
      </c>
      <c r="AU158" s="1">
        <f>VLOOKUP(A158,symbol_2[[symbol]:[DelPer4]],17,)</f>
        <v>56.1</v>
      </c>
      <c r="AV158" s="1">
        <f>VLOOKUP(A158,symbol_2[[symbol]:[DelPer5]],21,)</f>
        <v>41.29</v>
      </c>
      <c r="AW158" s="49" t="str">
        <f t="shared" si="136"/>
        <v>Y</v>
      </c>
      <c r="AX158" s="49" t="str">
        <f t="shared" si="137"/>
        <v>N</v>
      </c>
      <c r="AY158" s="49" t="str">
        <f t="shared" si="138"/>
        <v>Y</v>
      </c>
      <c r="AZ158" s="49" t="str">
        <f t="shared" si="139"/>
        <v>N</v>
      </c>
      <c r="BA158" s="1">
        <f t="shared" si="140"/>
        <v>14.800000000000004</v>
      </c>
      <c r="BB158" s="1">
        <f t="shared" si="141"/>
        <v>-2.0100000000000051</v>
      </c>
      <c r="BC158" s="1">
        <f t="shared" si="142"/>
        <v>6.480000000000004</v>
      </c>
      <c r="BD158" s="1">
        <f t="shared" si="143"/>
        <v>-14.810000000000002</v>
      </c>
    </row>
    <row r="159" spans="1:56" hidden="1" x14ac:dyDescent="0.35">
      <c r="A159" s="116" t="s">
        <v>113</v>
      </c>
      <c r="B159" s="1" t="s">
        <v>1006</v>
      </c>
      <c r="C159" s="1" t="s">
        <v>52</v>
      </c>
      <c r="D159" s="1" t="str">
        <f>VLOOKUP(A159,'High Beta'!A2:B51,2,)</f>
        <v>Y</v>
      </c>
      <c r="E159" s="1">
        <f>VLOOKUP(A159,symbol_2[[symbol]:[Price1]],2,)</f>
        <v>37.6</v>
      </c>
      <c r="F159" s="1">
        <f>VLOOKUP(A159,symbol_2[[symbol]:[Price2]],6,)</f>
        <v>35.450000000000003</v>
      </c>
      <c r="G159" s="1">
        <f>VLOOKUP(A159,symbol_2[[symbol]:[Price3]],10,)</f>
        <v>36.549999999999997</v>
      </c>
      <c r="H159" s="1">
        <f>VLOOKUP(A159,symbol_2[[symbol]:[Price4]],14,)</f>
        <v>36.15</v>
      </c>
      <c r="I159" s="1">
        <f>VLOOKUP(A159,symbol_2[[symbol]:[Price5]],18,)</f>
        <v>37.4</v>
      </c>
      <c r="J159" s="49" t="str">
        <f t="shared" si="120"/>
        <v>N</v>
      </c>
      <c r="K159" s="49" t="str">
        <f t="shared" si="121"/>
        <v>Y</v>
      </c>
      <c r="L159" s="49" t="str">
        <f t="shared" si="122"/>
        <v>N</v>
      </c>
      <c r="M159" s="49" t="str">
        <f t="shared" si="123"/>
        <v>Y</v>
      </c>
      <c r="N159" s="52">
        <f t="shared" si="124"/>
        <v>-5.7180851063829747</v>
      </c>
      <c r="O159" s="52">
        <f t="shared" si="125"/>
        <v>3.102961918194624</v>
      </c>
      <c r="P159" s="52">
        <f t="shared" si="126"/>
        <v>-1.0943912448700372</v>
      </c>
      <c r="Q159" s="52">
        <f t="shared" si="127"/>
        <v>3.4578146611341634</v>
      </c>
      <c r="R159" s="1">
        <f>VLOOKUP(A159,symbol_2[[symbol]:[TV1]],3,)</f>
        <v>7</v>
      </c>
      <c r="S159" s="1">
        <f>VLOOKUP(A159,symbol_2[[symbol]:[TV2]],7,)</f>
        <v>6.03</v>
      </c>
      <c r="T159" s="1">
        <f>VLOOKUP(A159,symbol_2[[symbol]:[TV3]],11,)</f>
        <v>12.57</v>
      </c>
      <c r="U159" s="1">
        <f>VLOOKUP(A159,symbol_2[[symbol]:[TV4]],15,)</f>
        <v>15.06</v>
      </c>
      <c r="V159" s="1">
        <f>VLOOKUP(A159,symbol_2[[symbol]:[TV5]],19,)</f>
        <v>6.79</v>
      </c>
      <c r="W159" s="1" t="str">
        <f t="shared" si="128"/>
        <v>N</v>
      </c>
      <c r="X159" s="1" t="str">
        <f t="shared" si="129"/>
        <v>Y</v>
      </c>
      <c r="Y159" s="1" t="str">
        <f t="shared" si="130"/>
        <v>Y</v>
      </c>
      <c r="Z159" s="1" t="str">
        <f t="shared" si="131"/>
        <v>N</v>
      </c>
      <c r="AA159" s="1">
        <f>VLOOKUP(A161,symbol_2[[symbol]:[TradedValue1]],4,)</f>
        <v>539.33000000000004</v>
      </c>
      <c r="AB159" s="1">
        <f>VLOOKUP(A159,symbol_2[[symbol]:[TradedValue2]],8,)</f>
        <v>218.57</v>
      </c>
      <c r="AC159" s="1">
        <f>VLOOKUP(A159,symbol_2[[symbol]:[TradedValue3]],12,)</f>
        <v>448.28</v>
      </c>
      <c r="AD159" s="1">
        <f>VLOOKUP(A159,symbol_2[[symbol]:[TradedValue4]],16,)</f>
        <v>560.35</v>
      </c>
      <c r="AE159" s="1">
        <f>VLOOKUP(A159,symbol_2[[symbol]:[TradedValue5]],20,)</f>
        <v>251.9</v>
      </c>
      <c r="AF159" s="1">
        <f>Table2[[#This Row],[TradedValue2]]-Table2[[#This Row],[TradedValue1]]</f>
        <v>-320.76000000000005</v>
      </c>
      <c r="AG159" s="1">
        <f>Table2[[#This Row],[TradedValue3]]-Table2[[#This Row],[TradedValue2]]</f>
        <v>229.70999999999998</v>
      </c>
      <c r="AH159" s="1">
        <f>Table2[[#This Row],[TradedValue4]]-Table2[[#This Row],[TradedValue3]]</f>
        <v>112.07000000000005</v>
      </c>
      <c r="AI159" s="1">
        <f>Table2[[#This Row],[TradedValue5]]-Table2[[#This Row],[TradedValue4]]</f>
        <v>-308.45000000000005</v>
      </c>
      <c r="AJ159" s="49" t="str">
        <f>IF(Table2[[#This Row],[TradedValue2]]&gt;Table2[[#This Row],[TradedValue1]],"Y","N")</f>
        <v>N</v>
      </c>
      <c r="AK159" s="49" t="str">
        <f>IF(Table2[[#This Row],[TradedValue3]]&gt;Table2[[#This Row],[TradedValue2]],"Y","N")</f>
        <v>Y</v>
      </c>
      <c r="AL159" s="49" t="str">
        <f>IF(Table2[[#This Row],[TradedValue5]]&gt;Table2[[#This Row],[TradedValue3]],"Y","N")</f>
        <v>N</v>
      </c>
      <c r="AM159" s="49" t="str">
        <f>IF(Table2[[#This Row],[TradedValue5]]&gt;Table2[[#This Row],[TradedValue4]],"Y","N")</f>
        <v>N</v>
      </c>
      <c r="AN159" s="1">
        <f t="shared" si="132"/>
        <v>-0.96999999999999975</v>
      </c>
      <c r="AO159" s="1">
        <f t="shared" si="133"/>
        <v>6.54</v>
      </c>
      <c r="AP159" s="1">
        <f t="shared" si="134"/>
        <v>2.4900000000000002</v>
      </c>
      <c r="AQ159" s="1">
        <f t="shared" si="135"/>
        <v>-8.27</v>
      </c>
      <c r="AR159" s="1">
        <f>VLOOKUP(A159,symbol_2[[symbol]:[DelPer1]],5,)</f>
        <v>26.08</v>
      </c>
      <c r="AS159" s="1">
        <f>VLOOKUP(A159,symbol_2[[symbol]:[DelPer2]],9,)</f>
        <v>22.8</v>
      </c>
      <c r="AT159" s="1">
        <f>VLOOKUP(A159,symbol_2[[symbol]:[DelPer3]],13,)</f>
        <v>14.47</v>
      </c>
      <c r="AU159" s="1">
        <f>VLOOKUP(A159,symbol_2[[symbol]:[DelPer4]],17,)</f>
        <v>10.68</v>
      </c>
      <c r="AV159" s="1">
        <f>VLOOKUP(A159,symbol_2[[symbol]:[DelPer5]],21,)</f>
        <v>13.96</v>
      </c>
      <c r="AW159" s="49" t="str">
        <f t="shared" si="136"/>
        <v>N</v>
      </c>
      <c r="AX159" s="49" t="str">
        <f t="shared" si="137"/>
        <v>N</v>
      </c>
      <c r="AY159" s="49" t="str">
        <f t="shared" si="138"/>
        <v>N</v>
      </c>
      <c r="AZ159" s="49" t="str">
        <f t="shared" si="139"/>
        <v>Y</v>
      </c>
      <c r="BA159" s="1">
        <f t="shared" si="140"/>
        <v>-3.2799999999999976</v>
      </c>
      <c r="BB159" s="1">
        <f t="shared" si="141"/>
        <v>-8.33</v>
      </c>
      <c r="BC159" s="1">
        <f t="shared" si="142"/>
        <v>-3.7900000000000009</v>
      </c>
      <c r="BD159" s="1">
        <f t="shared" si="143"/>
        <v>3.2800000000000011</v>
      </c>
    </row>
    <row r="160" spans="1:56" hidden="1" x14ac:dyDescent="0.35">
      <c r="A160" s="1" t="s">
        <v>61</v>
      </c>
      <c r="B160" s="1" t="s">
        <v>1023</v>
      </c>
      <c r="C160" s="1" t="s">
        <v>52</v>
      </c>
      <c r="D160" s="1" t="s">
        <v>199</v>
      </c>
      <c r="E160" s="1">
        <f>VLOOKUP(A160,symbol_2[[symbol]:[Price1]],2,)</f>
        <v>1198.3</v>
      </c>
      <c r="F160" s="1">
        <f>VLOOKUP(A160,symbol_2[[symbol]:[Price2]],6,)</f>
        <v>1172.7</v>
      </c>
      <c r="G160" s="1">
        <f>VLOOKUP(A160,symbol_2[[symbol]:[Price3]],10,)</f>
        <v>1162.95</v>
      </c>
      <c r="H160" s="1">
        <f>VLOOKUP(A160,symbol_2[[symbol]:[Price4]],14,)</f>
        <v>1150.0999999999999</v>
      </c>
      <c r="I160" s="1">
        <f>VLOOKUP(A160,symbol_2[[symbol]:[Price5]],18,)</f>
        <v>1170.5</v>
      </c>
      <c r="J160" s="49" t="str">
        <f t="shared" si="120"/>
        <v>N</v>
      </c>
      <c r="K160" s="49" t="str">
        <f t="shared" si="121"/>
        <v>N</v>
      </c>
      <c r="L160" s="49" t="str">
        <f t="shared" si="122"/>
        <v>N</v>
      </c>
      <c r="M160" s="49" t="str">
        <f t="shared" si="123"/>
        <v>Y</v>
      </c>
      <c r="N160" s="52">
        <f t="shared" si="124"/>
        <v>-2.1363598431110664</v>
      </c>
      <c r="O160" s="52">
        <f t="shared" si="125"/>
        <v>-0.83141468406242003</v>
      </c>
      <c r="P160" s="52">
        <f t="shared" si="126"/>
        <v>-1.1049486220387923</v>
      </c>
      <c r="Q160" s="52">
        <f t="shared" si="127"/>
        <v>1.7737588035823051</v>
      </c>
      <c r="R160" s="1">
        <f>VLOOKUP(A160,symbol_2[[symbol]:[TV1]],3,)</f>
        <v>0.33</v>
      </c>
      <c r="S160" s="1">
        <f>VLOOKUP(A160,symbol_2[[symbol]:[TV2]],7,)</f>
        <v>0.25</v>
      </c>
      <c r="T160" s="1">
        <f>VLOOKUP(A160,symbol_2[[symbol]:[TV3]],11,)</f>
        <v>0.22</v>
      </c>
      <c r="U160" s="1">
        <f>VLOOKUP(A160,symbol_2[[symbol]:[TV4]],15,)</f>
        <v>0.22</v>
      </c>
      <c r="V160" s="1">
        <f>VLOOKUP(A160,symbol_2[[symbol]:[TV5]],19,)</f>
        <v>0.26</v>
      </c>
      <c r="W160" s="1" t="str">
        <f t="shared" si="128"/>
        <v>N</v>
      </c>
      <c r="X160" s="1" t="str">
        <f t="shared" si="129"/>
        <v>N</v>
      </c>
      <c r="Y160" s="1" t="str">
        <f t="shared" si="130"/>
        <v>N</v>
      </c>
      <c r="Z160" s="1" t="str">
        <f t="shared" si="131"/>
        <v>Y</v>
      </c>
      <c r="AA160" s="1">
        <f>VLOOKUP(A162,symbol_2[[symbol]:[TradedValue1]],4,)</f>
        <v>925.48</v>
      </c>
      <c r="AB160" s="1">
        <f>VLOOKUP(A160,symbol_2[[symbol]:[TradedValue2]],8,)</f>
        <v>301.86</v>
      </c>
      <c r="AC160" s="1">
        <f>VLOOKUP(A160,symbol_2[[symbol]:[TradedValue3]],12,)</f>
        <v>257.74</v>
      </c>
      <c r="AD160" s="1">
        <f>VLOOKUP(A160,symbol_2[[symbol]:[TradedValue4]],16,)</f>
        <v>260.17</v>
      </c>
      <c r="AE160" s="1">
        <f>VLOOKUP(A160,symbol_2[[symbol]:[TradedValue5]],20,)</f>
        <v>301.83999999999997</v>
      </c>
      <c r="AF160" s="1">
        <f>Table2[[#This Row],[TradedValue2]]-Table2[[#This Row],[TradedValue1]]</f>
        <v>-623.62</v>
      </c>
      <c r="AG160" s="1">
        <f>Table2[[#This Row],[TradedValue3]]-Table2[[#This Row],[TradedValue2]]</f>
        <v>-44.120000000000005</v>
      </c>
      <c r="AH160" s="1">
        <f>Table2[[#This Row],[TradedValue4]]-Table2[[#This Row],[TradedValue3]]</f>
        <v>2.4300000000000068</v>
      </c>
      <c r="AI160" s="1">
        <f>Table2[[#This Row],[TradedValue5]]-Table2[[#This Row],[TradedValue4]]</f>
        <v>41.669999999999959</v>
      </c>
      <c r="AJ160" s="49" t="str">
        <f>IF(Table2[[#This Row],[TradedValue2]]&gt;Table2[[#This Row],[TradedValue1]],"Y","N")</f>
        <v>N</v>
      </c>
      <c r="AK160" s="49" t="str">
        <f>IF(Table2[[#This Row],[TradedValue3]]&gt;Table2[[#This Row],[TradedValue2]],"Y","N")</f>
        <v>N</v>
      </c>
      <c r="AL160" s="49" t="str">
        <f>IF(Table2[[#This Row],[TradedValue5]]&gt;Table2[[#This Row],[TradedValue3]],"Y","N")</f>
        <v>Y</v>
      </c>
      <c r="AM160" s="49" t="str">
        <f>IF(Table2[[#This Row],[TradedValue5]]&gt;Table2[[#This Row],[TradedValue4]],"Y","N")</f>
        <v>Y</v>
      </c>
      <c r="AN160" s="1">
        <f t="shared" si="132"/>
        <v>-8.0000000000000016E-2</v>
      </c>
      <c r="AO160" s="1">
        <f t="shared" si="133"/>
        <v>-0.03</v>
      </c>
      <c r="AP160" s="1">
        <f t="shared" si="134"/>
        <v>0</v>
      </c>
      <c r="AQ160" s="1">
        <f t="shared" si="135"/>
        <v>4.0000000000000008E-2</v>
      </c>
      <c r="AR160" s="1">
        <f>VLOOKUP(A160,symbol_2[[symbol]:[DelPer1]],5,)</f>
        <v>41.62</v>
      </c>
      <c r="AS160" s="1">
        <f>VLOOKUP(A160,symbol_2[[symbol]:[DelPer2]],9,)</f>
        <v>19.13</v>
      </c>
      <c r="AT160" s="1">
        <f>VLOOKUP(A160,symbol_2[[symbol]:[DelPer3]],13,)</f>
        <v>25</v>
      </c>
      <c r="AU160" s="1">
        <f>VLOOKUP(A160,symbol_2[[symbol]:[DelPer4]],17,)</f>
        <v>30.65</v>
      </c>
      <c r="AV160" s="1">
        <f>VLOOKUP(A160,symbol_2[[symbol]:[DelPer5]],21,)</f>
        <v>23.65</v>
      </c>
      <c r="AW160" s="49" t="str">
        <f t="shared" si="136"/>
        <v>N</v>
      </c>
      <c r="AX160" s="49" t="str">
        <f t="shared" si="137"/>
        <v>Y</v>
      </c>
      <c r="AY160" s="49" t="str">
        <f t="shared" si="138"/>
        <v>Y</v>
      </c>
      <c r="AZ160" s="49" t="str">
        <f t="shared" si="139"/>
        <v>N</v>
      </c>
      <c r="BA160" s="1">
        <f t="shared" si="140"/>
        <v>-22.49</v>
      </c>
      <c r="BB160" s="1">
        <f t="shared" si="141"/>
        <v>5.870000000000001</v>
      </c>
      <c r="BC160" s="1">
        <f t="shared" si="142"/>
        <v>5.6499999999999986</v>
      </c>
      <c r="BD160" s="1">
        <f t="shared" si="143"/>
        <v>-7</v>
      </c>
    </row>
    <row r="161" spans="1:56" hidden="1" x14ac:dyDescent="0.35">
      <c r="A161" s="1" t="s">
        <v>185</v>
      </c>
      <c r="B161" s="1" t="s">
        <v>1010</v>
      </c>
      <c r="C161" s="1" t="s">
        <v>52</v>
      </c>
      <c r="D161" s="1" t="s">
        <v>199</v>
      </c>
      <c r="E161" s="1">
        <f>VLOOKUP(A161,symbol_2[[symbol]:[Price1]],2,)</f>
        <v>861.4</v>
      </c>
      <c r="F161" s="1">
        <f>VLOOKUP(A161,symbol_2[[symbol]:[Price2]],6,)</f>
        <v>840.95</v>
      </c>
      <c r="G161" s="1">
        <f>VLOOKUP(A161,symbol_2[[symbol]:[Price3]],10,)</f>
        <v>850.45</v>
      </c>
      <c r="H161" s="1">
        <f>VLOOKUP(A161,symbol_2[[symbol]:[Price4]],14,)</f>
        <v>847.7</v>
      </c>
      <c r="I161" s="1">
        <f>VLOOKUP(A161,symbol_2[[symbol]:[Price5]],18,)</f>
        <v>862.5</v>
      </c>
      <c r="J161" s="49" t="str">
        <f t="shared" si="120"/>
        <v>N</v>
      </c>
      <c r="K161" s="49" t="str">
        <f t="shared" si="121"/>
        <v>Y</v>
      </c>
      <c r="L161" s="49" t="str">
        <f t="shared" si="122"/>
        <v>N</v>
      </c>
      <c r="M161" s="49" t="str">
        <f t="shared" si="123"/>
        <v>Y</v>
      </c>
      <c r="N161" s="52">
        <f t="shared" si="124"/>
        <v>-2.3740422567912622</v>
      </c>
      <c r="O161" s="52">
        <f t="shared" si="125"/>
        <v>1.1296747725786311</v>
      </c>
      <c r="P161" s="52">
        <f t="shared" si="126"/>
        <v>-0.32335822211770238</v>
      </c>
      <c r="Q161" s="52">
        <f t="shared" si="127"/>
        <v>1.745900672407686</v>
      </c>
      <c r="R161" s="1">
        <f>VLOOKUP(A161,symbol_2[[symbol]:[TV1]],3,)</f>
        <v>0.62</v>
      </c>
      <c r="S161" s="1">
        <f>VLOOKUP(A161,symbol_2[[symbol]:[TV2]],7,)</f>
        <v>0.45</v>
      </c>
      <c r="T161" s="1">
        <f>VLOOKUP(A161,symbol_2[[symbol]:[TV3]],11,)</f>
        <v>0.48</v>
      </c>
      <c r="U161" s="1">
        <f>VLOOKUP(A161,symbol_2[[symbol]:[TV4]],15,)</f>
        <v>0.32</v>
      </c>
      <c r="V161" s="1">
        <f>VLOOKUP(A161,symbol_2[[symbol]:[TV5]],19,)</f>
        <v>0.37</v>
      </c>
      <c r="W161" s="1" t="str">
        <f t="shared" si="128"/>
        <v>N</v>
      </c>
      <c r="X161" s="1" t="str">
        <f t="shared" si="129"/>
        <v>Y</v>
      </c>
      <c r="Y161" s="1" t="str">
        <f t="shared" si="130"/>
        <v>N</v>
      </c>
      <c r="Z161" s="1" t="str">
        <f t="shared" si="131"/>
        <v>Y</v>
      </c>
      <c r="AA161" s="1">
        <f>VLOOKUP(A163,symbol_2[[symbol]:[TradedValue1]],4,)</f>
        <v>540.47</v>
      </c>
      <c r="AB161" s="1">
        <f>VLOOKUP(A161,symbol_2[[symbol]:[TradedValue2]],8,)</f>
        <v>384.17</v>
      </c>
      <c r="AC161" s="1">
        <f>VLOOKUP(A161,symbol_2[[symbol]:[TradedValue3]],12,)</f>
        <v>407.07</v>
      </c>
      <c r="AD161" s="1">
        <f>VLOOKUP(A161,symbol_2[[symbol]:[TradedValue4]],16,)</f>
        <v>275.85000000000002</v>
      </c>
      <c r="AE161" s="1">
        <f>VLOOKUP(A161,symbol_2[[symbol]:[TradedValue5]],20,)</f>
        <v>314.81</v>
      </c>
      <c r="AF161" s="1">
        <f>Table2[[#This Row],[TradedValue2]]-Table2[[#This Row],[TradedValue1]]</f>
        <v>-156.30000000000001</v>
      </c>
      <c r="AG161" s="1">
        <f>Table2[[#This Row],[TradedValue3]]-Table2[[#This Row],[TradedValue2]]</f>
        <v>22.899999999999977</v>
      </c>
      <c r="AH161" s="1">
        <f>Table2[[#This Row],[TradedValue4]]-Table2[[#This Row],[TradedValue3]]</f>
        <v>-131.21999999999997</v>
      </c>
      <c r="AI161" s="1">
        <f>Table2[[#This Row],[TradedValue5]]-Table2[[#This Row],[TradedValue4]]</f>
        <v>38.95999999999998</v>
      </c>
      <c r="AJ161" s="49" t="str">
        <f>IF(Table2[[#This Row],[TradedValue2]]&gt;Table2[[#This Row],[TradedValue1]],"Y","N")</f>
        <v>N</v>
      </c>
      <c r="AK161" s="49" t="str">
        <f>IF(Table2[[#This Row],[TradedValue3]]&gt;Table2[[#This Row],[TradedValue2]],"Y","N")</f>
        <v>Y</v>
      </c>
      <c r="AL161" s="49" t="str">
        <f>IF(Table2[[#This Row],[TradedValue5]]&gt;Table2[[#This Row],[TradedValue3]],"Y","N")</f>
        <v>N</v>
      </c>
      <c r="AM161" s="49" t="str">
        <f>IF(Table2[[#This Row],[TradedValue5]]&gt;Table2[[#This Row],[TradedValue4]],"Y","N")</f>
        <v>Y</v>
      </c>
      <c r="AN161" s="1">
        <f t="shared" si="132"/>
        <v>-0.16999999999999998</v>
      </c>
      <c r="AO161" s="1">
        <f t="shared" si="133"/>
        <v>2.9999999999999971E-2</v>
      </c>
      <c r="AP161" s="1">
        <f t="shared" si="134"/>
        <v>-0.15999999999999998</v>
      </c>
      <c r="AQ161" s="1">
        <f t="shared" si="135"/>
        <v>4.9999999999999989E-2</v>
      </c>
      <c r="AR161" s="1">
        <f>VLOOKUP(A161,symbol_2[[symbol]:[DelPer1]],5,)</f>
        <v>42.78</v>
      </c>
      <c r="AS161" s="1">
        <f>VLOOKUP(A161,symbol_2[[symbol]:[DelPer2]],9,)</f>
        <v>29.19</v>
      </c>
      <c r="AT161" s="1">
        <f>VLOOKUP(A161,symbol_2[[symbol]:[DelPer3]],13,)</f>
        <v>17.73</v>
      </c>
      <c r="AU161" s="1">
        <f>VLOOKUP(A161,symbol_2[[symbol]:[DelPer4]],17,)</f>
        <v>22.48</v>
      </c>
      <c r="AV161" s="1">
        <f>VLOOKUP(A161,symbol_2[[symbol]:[DelPer5]],21,)</f>
        <v>20.68</v>
      </c>
      <c r="AW161" s="49" t="str">
        <f t="shared" si="136"/>
        <v>N</v>
      </c>
      <c r="AX161" s="49" t="str">
        <f t="shared" si="137"/>
        <v>N</v>
      </c>
      <c r="AY161" s="49" t="str">
        <f t="shared" si="138"/>
        <v>Y</v>
      </c>
      <c r="AZ161" s="49" t="str">
        <f t="shared" si="139"/>
        <v>N</v>
      </c>
      <c r="BA161" s="1">
        <f t="shared" si="140"/>
        <v>-13.59</v>
      </c>
      <c r="BB161" s="1">
        <f t="shared" si="141"/>
        <v>-11.46</v>
      </c>
      <c r="BC161" s="1">
        <f t="shared" si="142"/>
        <v>4.75</v>
      </c>
      <c r="BD161" s="1">
        <f t="shared" si="143"/>
        <v>-1.8000000000000007</v>
      </c>
    </row>
    <row r="162" spans="1:56" hidden="1" x14ac:dyDescent="0.35">
      <c r="A162" s="1" t="s">
        <v>166</v>
      </c>
      <c r="B162" s="1" t="s">
        <v>1020</v>
      </c>
      <c r="C162" s="1" t="s">
        <v>52</v>
      </c>
      <c r="D162" s="1" t="s">
        <v>199</v>
      </c>
      <c r="E162" s="1">
        <f>VLOOKUP(A162,symbol_2[[symbol]:[Price1]],2,)</f>
        <v>819.35</v>
      </c>
      <c r="F162" s="1">
        <f>VLOOKUP(A162,symbol_2[[symbol]:[Price2]],6,)</f>
        <v>808.05</v>
      </c>
      <c r="G162" s="1">
        <f>VLOOKUP(A162,symbol_2[[symbol]:[Price3]],10,)</f>
        <v>802.95</v>
      </c>
      <c r="H162" s="1">
        <f>VLOOKUP(A162,symbol_2[[symbol]:[Price4]],14,)</f>
        <v>801.1</v>
      </c>
      <c r="I162" s="1">
        <f>VLOOKUP(A162,symbol_2[[symbol]:[Price5]],18,)</f>
        <v>852.2</v>
      </c>
      <c r="J162" s="49" t="str">
        <f t="shared" ref="J162:J186" si="144">IF(F162&gt;E162,"Y","N")</f>
        <v>N</v>
      </c>
      <c r="K162" s="49" t="str">
        <f t="shared" ref="K162:K186" si="145">IF(G162&gt;F162,"Y","N")</f>
        <v>N</v>
      </c>
      <c r="L162" s="49" t="str">
        <f t="shared" ref="L162:L186" si="146">IF(H162&gt;G162,"Y","N")</f>
        <v>N</v>
      </c>
      <c r="M162" s="49" t="str">
        <f t="shared" ref="M162:M186" si="147">IF(I162&gt;H162,"Y","N")</f>
        <v>Y</v>
      </c>
      <c r="N162" s="52">
        <f t="shared" ref="N162:N186" si="148">((F162-E162)/E162)*100</f>
        <v>-1.3791420028071115</v>
      </c>
      <c r="O162" s="52">
        <f t="shared" ref="O162:O186" si="149">((G162-F162)/F162)*100</f>
        <v>-0.63114906255799885</v>
      </c>
      <c r="P162" s="52">
        <f t="shared" ref="P162:P186" si="150">((H162-G162)/G162)*100</f>
        <v>-0.23040039853042191</v>
      </c>
      <c r="Q162" s="52">
        <f t="shared" ref="Q162:Q186" si="151">((I162-H162)/H162)*100</f>
        <v>6.3787292472849852</v>
      </c>
      <c r="R162" s="1">
        <f>VLOOKUP(A162,symbol_2[[symbol]:[TV1]],3,)</f>
        <v>1.1200000000000001</v>
      </c>
      <c r="S162" s="1">
        <f>VLOOKUP(A162,symbol_2[[symbol]:[TV2]],7,)</f>
        <v>0.65</v>
      </c>
      <c r="T162" s="1">
        <f>VLOOKUP(A162,symbol_2[[symbol]:[TV3]],11,)</f>
        <v>0.31</v>
      </c>
      <c r="U162" s="1">
        <f>VLOOKUP(A162,symbol_2[[symbol]:[TV4]],15,)</f>
        <v>0.7</v>
      </c>
      <c r="V162" s="1">
        <f>VLOOKUP(A162,symbol_2[[symbol]:[TV5]],19,)</f>
        <v>1.31</v>
      </c>
      <c r="W162" s="1" t="str">
        <f t="shared" ref="W162:W186" si="152">IF(S162&gt;R162,"Y","N")</f>
        <v>N</v>
      </c>
      <c r="X162" s="1" t="str">
        <f t="shared" ref="X162:X186" si="153">IF(T162&gt;S162,"Y","N")</f>
        <v>N</v>
      </c>
      <c r="Y162" s="1" t="str">
        <f t="shared" ref="Y162:Y186" si="154">IF(U162&gt;T162,"Y","N")</f>
        <v>Y</v>
      </c>
      <c r="Z162" s="1" t="str">
        <f t="shared" ref="Z162:Z186" si="155">IF(V162&gt;U162,"Y","N")</f>
        <v>Y</v>
      </c>
      <c r="AA162" s="1">
        <f>VLOOKUP(A162,symbol_2[[symbol]:[TradedValue1]],4,)</f>
        <v>925.48</v>
      </c>
      <c r="AB162" s="1">
        <f>VLOOKUP(A162,symbol_2[[symbol]:[TradedValue2]],8,)</f>
        <v>528.79</v>
      </c>
      <c r="AC162" s="1">
        <f>VLOOKUP(A162,symbol_2[[symbol]:[TradedValue3]],12,)</f>
        <v>250.98</v>
      </c>
      <c r="AD162" s="1">
        <f>VLOOKUP(A162,symbol_2[[symbol]:[TradedValue4]],16,)</f>
        <v>571.61</v>
      </c>
      <c r="AE162" s="1">
        <f>VLOOKUP(A162,symbol_2[[symbol]:[TradedValue5]],20,)</f>
        <v>1102.02</v>
      </c>
      <c r="AF162" s="1">
        <f>Table2[[#This Row],[TradedValue2]]-Table2[[#This Row],[TradedValue1]]</f>
        <v>-396.69000000000005</v>
      </c>
      <c r="AG162" s="1">
        <f>Table2[[#This Row],[TradedValue3]]-Table2[[#This Row],[TradedValue2]]</f>
        <v>-277.80999999999995</v>
      </c>
      <c r="AH162" s="1">
        <f>Table2[[#This Row],[TradedValue4]]-Table2[[#This Row],[TradedValue3]]</f>
        <v>320.63</v>
      </c>
      <c r="AI162" s="1">
        <f>Table2[[#This Row],[TradedValue5]]-Table2[[#This Row],[TradedValue4]]</f>
        <v>530.41</v>
      </c>
      <c r="AJ162" s="49" t="str">
        <f>IF(Table2[[#This Row],[TradedValue2]]&gt;Table2[[#This Row],[TradedValue1]],"Y","N")</f>
        <v>N</v>
      </c>
      <c r="AK162" s="49" t="str">
        <f>IF(Table2[[#This Row],[TradedValue3]]&gt;Table2[[#This Row],[TradedValue2]],"Y","N")</f>
        <v>N</v>
      </c>
      <c r="AL162" s="49" t="str">
        <f>IF(Table2[[#This Row],[TradedValue5]]&gt;Table2[[#This Row],[TradedValue3]],"Y","N")</f>
        <v>Y</v>
      </c>
      <c r="AM162" s="49" t="str">
        <f>IF(Table2[[#This Row],[TradedValue5]]&gt;Table2[[#This Row],[TradedValue4]],"Y","N")</f>
        <v>Y</v>
      </c>
      <c r="AN162" s="1">
        <f t="shared" ref="AN162:AN186" si="156">S162-R162</f>
        <v>-0.47000000000000008</v>
      </c>
      <c r="AO162" s="1">
        <f t="shared" ref="AO162:AO186" si="157">T162-S162</f>
        <v>-0.34</v>
      </c>
      <c r="AP162" s="1">
        <f t="shared" ref="AP162:AP186" si="158">U162-T162</f>
        <v>0.38999999999999996</v>
      </c>
      <c r="AQ162" s="1">
        <f t="shared" ref="AQ162:AQ186" si="159">V162-U162</f>
        <v>0.6100000000000001</v>
      </c>
      <c r="AR162" s="1">
        <f>VLOOKUP(A162,symbol_2[[symbol]:[DelPer1]],5,)</f>
        <v>20.45</v>
      </c>
      <c r="AS162" s="1">
        <f>VLOOKUP(A162,symbol_2[[symbol]:[DelPer2]],9,)</f>
        <v>13.94</v>
      </c>
      <c r="AT162" s="1">
        <f>VLOOKUP(A162,symbol_2[[symbol]:[DelPer3]],13,)</f>
        <v>14.48</v>
      </c>
      <c r="AU162" s="1">
        <f>VLOOKUP(A162,symbol_2[[symbol]:[DelPer4]],17,)</f>
        <v>34.840000000000003</v>
      </c>
      <c r="AV162" s="1">
        <f>VLOOKUP(A162,symbol_2[[symbol]:[DelPer5]],21,)</f>
        <v>19.12</v>
      </c>
      <c r="AW162" s="49" t="str">
        <f t="shared" ref="AW162:AW186" si="160">IF(AS162&gt;AR162,"Y","N")</f>
        <v>N</v>
      </c>
      <c r="AX162" s="49" t="str">
        <f t="shared" ref="AX162:AX186" si="161">IF(AT162&gt;AS162,"Y","N")</f>
        <v>Y</v>
      </c>
      <c r="AY162" s="49" t="str">
        <f t="shared" ref="AY162:AY186" si="162">IF(AU162&gt;AT162,"Y","N")</f>
        <v>Y</v>
      </c>
      <c r="AZ162" s="49" t="str">
        <f t="shared" ref="AZ162:AZ186" si="163">IF(AV162&gt;AU162,"Y","N")</f>
        <v>N</v>
      </c>
      <c r="BA162" s="1">
        <f t="shared" ref="BA162:BA186" si="164">AS162-AR162</f>
        <v>-6.51</v>
      </c>
      <c r="BB162" s="1">
        <f t="shared" ref="BB162:BB186" si="165">AT162-AS162</f>
        <v>0.54000000000000092</v>
      </c>
      <c r="BC162" s="1">
        <f t="shared" ref="BC162:BC186" si="166">AU162-AT162</f>
        <v>20.360000000000003</v>
      </c>
      <c r="BD162" s="1">
        <f t="shared" ref="BD162:BD186" si="167">AV162-AU162</f>
        <v>-15.720000000000002</v>
      </c>
    </row>
    <row r="163" spans="1:56" hidden="1" x14ac:dyDescent="0.35">
      <c r="A163" s="1" t="s">
        <v>87</v>
      </c>
      <c r="B163" s="1" t="s">
        <v>1006</v>
      </c>
      <c r="C163" s="1" t="s">
        <v>52</v>
      </c>
      <c r="D163" s="1" t="s">
        <v>199</v>
      </c>
      <c r="E163" s="1">
        <f>VLOOKUP(A163,symbol_2[[symbol]:[Price1]],2,)</f>
        <v>1427.6</v>
      </c>
      <c r="F163" s="1">
        <f>VLOOKUP(A163,symbol_2[[symbol]:[Price2]],6,)</f>
        <v>1419.5</v>
      </c>
      <c r="G163" s="1">
        <f>VLOOKUP(A163,symbol_2[[symbol]:[Price3]],10,)</f>
        <v>1418</v>
      </c>
      <c r="H163" s="1">
        <f>VLOOKUP(A163,symbol_2[[symbol]:[Price4]],14,)</f>
        <v>1418.75</v>
      </c>
      <c r="I163" s="1">
        <f>VLOOKUP(A163,symbol_2[[symbol]:[Price5]],18,)</f>
        <v>1484.8</v>
      </c>
      <c r="J163" s="49" t="str">
        <f t="shared" si="144"/>
        <v>N</v>
      </c>
      <c r="K163" s="49" t="str">
        <f t="shared" si="145"/>
        <v>N</v>
      </c>
      <c r="L163" s="49" t="str">
        <f t="shared" si="146"/>
        <v>Y</v>
      </c>
      <c r="M163" s="49" t="str">
        <f t="shared" si="147"/>
        <v>Y</v>
      </c>
      <c r="N163" s="52">
        <f t="shared" si="148"/>
        <v>-0.56738582235919799</v>
      </c>
      <c r="O163" s="52">
        <f t="shared" si="149"/>
        <v>-0.10567101091933778</v>
      </c>
      <c r="P163" s="52">
        <f t="shared" si="150"/>
        <v>5.2891396332863189E-2</v>
      </c>
      <c r="Q163" s="52">
        <f t="shared" si="151"/>
        <v>4.6555066079295129</v>
      </c>
      <c r="R163" s="1">
        <f>VLOOKUP(A163,symbol_2[[symbol]:[TV1]],3,)</f>
        <v>0.38</v>
      </c>
      <c r="S163" s="1">
        <f>VLOOKUP(A163,symbol_2[[symbol]:[TV2]],7,)</f>
        <v>0.35</v>
      </c>
      <c r="T163" s="1">
        <f>VLOOKUP(A163,symbol_2[[symbol]:[TV3]],11,)</f>
        <v>0.55000000000000004</v>
      </c>
      <c r="U163" s="1">
        <f>VLOOKUP(A163,symbol_2[[symbol]:[TV4]],15,)</f>
        <v>0.41</v>
      </c>
      <c r="V163" s="1">
        <f>VLOOKUP(A163,symbol_2[[symbol]:[TV5]],19,)</f>
        <v>0.52</v>
      </c>
      <c r="W163" s="1" t="str">
        <f t="shared" si="152"/>
        <v>N</v>
      </c>
      <c r="X163" s="1" t="str">
        <f t="shared" si="153"/>
        <v>Y</v>
      </c>
      <c r="Y163" s="1" t="str">
        <f t="shared" si="154"/>
        <v>N</v>
      </c>
      <c r="Z163" s="1" t="str">
        <f t="shared" si="155"/>
        <v>Y</v>
      </c>
      <c r="AA163" s="1">
        <f>VLOOKUP(A163,symbol_2[[symbol]:[TradedValue1]],4,)</f>
        <v>540.47</v>
      </c>
      <c r="AB163" s="1">
        <f>VLOOKUP(A163,symbol_2[[symbol]:[TradedValue2]],8,)</f>
        <v>501</v>
      </c>
      <c r="AC163" s="1">
        <f>VLOOKUP(A163,symbol_2[[symbol]:[TradedValue3]],12,)</f>
        <v>768.22</v>
      </c>
      <c r="AD163" s="1">
        <f>VLOOKUP(A163,symbol_2[[symbol]:[TradedValue4]],16,)</f>
        <v>594.73</v>
      </c>
      <c r="AE163" s="1">
        <f>VLOOKUP(A163,symbol_2[[symbol]:[TradedValue5]],20,)</f>
        <v>754.58</v>
      </c>
      <c r="AF163" s="1">
        <f>Table2[[#This Row],[TradedValue2]]-Table2[[#This Row],[TradedValue1]]</f>
        <v>-39.470000000000027</v>
      </c>
      <c r="AG163" s="1">
        <f>Table2[[#This Row],[TradedValue3]]-Table2[[#This Row],[TradedValue2]]</f>
        <v>267.22000000000003</v>
      </c>
      <c r="AH163" s="1">
        <f>Table2[[#This Row],[TradedValue4]]-Table2[[#This Row],[TradedValue3]]</f>
        <v>-173.49</v>
      </c>
      <c r="AI163" s="1">
        <f>Table2[[#This Row],[TradedValue5]]-Table2[[#This Row],[TradedValue4]]</f>
        <v>159.85000000000002</v>
      </c>
      <c r="AJ163" s="49" t="str">
        <f>IF(Table2[[#This Row],[TradedValue2]]&gt;Table2[[#This Row],[TradedValue1]],"Y","N")</f>
        <v>N</v>
      </c>
      <c r="AK163" s="49" t="str">
        <f>IF(Table2[[#This Row],[TradedValue3]]&gt;Table2[[#This Row],[TradedValue2]],"Y","N")</f>
        <v>Y</v>
      </c>
      <c r="AL163" s="49" t="str">
        <f>IF(Table2[[#This Row],[TradedValue5]]&gt;Table2[[#This Row],[TradedValue3]],"Y","N")</f>
        <v>N</v>
      </c>
      <c r="AM163" s="49" t="str">
        <f>IF(Table2[[#This Row],[TradedValue5]]&gt;Table2[[#This Row],[TradedValue4]],"Y","N")</f>
        <v>Y</v>
      </c>
      <c r="AN163" s="1">
        <f t="shared" si="156"/>
        <v>-3.0000000000000027E-2</v>
      </c>
      <c r="AO163" s="1">
        <f t="shared" si="157"/>
        <v>0.20000000000000007</v>
      </c>
      <c r="AP163" s="1">
        <f t="shared" si="158"/>
        <v>-0.14000000000000007</v>
      </c>
      <c r="AQ163" s="1">
        <f t="shared" si="159"/>
        <v>0.11000000000000004</v>
      </c>
      <c r="AR163" s="1">
        <f>VLOOKUP(A163,symbol_2[[symbol]:[DelPer1]],5,)</f>
        <v>33.49</v>
      </c>
      <c r="AS163" s="1">
        <f>VLOOKUP(A163,symbol_2[[symbol]:[DelPer2]],9,)</f>
        <v>38.090000000000003</v>
      </c>
      <c r="AT163" s="1">
        <f>VLOOKUP(A163,symbol_2[[symbol]:[DelPer3]],13,)</f>
        <v>30.74</v>
      </c>
      <c r="AU163" s="1">
        <f>VLOOKUP(A163,symbol_2[[symbol]:[DelPer4]],17,)</f>
        <v>34.56</v>
      </c>
      <c r="AV163" s="1">
        <f>VLOOKUP(A163,symbol_2[[symbol]:[DelPer5]],21,)</f>
        <v>34.28</v>
      </c>
      <c r="AW163" s="49" t="str">
        <f t="shared" si="160"/>
        <v>Y</v>
      </c>
      <c r="AX163" s="49" t="str">
        <f t="shared" si="161"/>
        <v>N</v>
      </c>
      <c r="AY163" s="49" t="str">
        <f t="shared" si="162"/>
        <v>Y</v>
      </c>
      <c r="AZ163" s="49" t="str">
        <f t="shared" si="163"/>
        <v>N</v>
      </c>
      <c r="BA163" s="1">
        <f t="shared" si="164"/>
        <v>4.6000000000000014</v>
      </c>
      <c r="BB163" s="1">
        <f t="shared" si="165"/>
        <v>-7.350000000000005</v>
      </c>
      <c r="BC163" s="1">
        <f t="shared" si="166"/>
        <v>3.8200000000000038</v>
      </c>
      <c r="BD163" s="1">
        <f t="shared" si="167"/>
        <v>-0.28000000000000114</v>
      </c>
    </row>
    <row r="164" spans="1:56" hidden="1" x14ac:dyDescent="0.35">
      <c r="A164" s="1" t="s">
        <v>78</v>
      </c>
      <c r="B164" s="1" t="s">
        <v>1006</v>
      </c>
      <c r="C164" s="1" t="s">
        <v>52</v>
      </c>
      <c r="D164" s="1" t="s">
        <v>199</v>
      </c>
      <c r="E164" s="1">
        <f>VLOOKUP(A164,symbol_2[[symbol]:[Price1]],2,)</f>
        <v>265.75</v>
      </c>
      <c r="F164" s="1">
        <f>VLOOKUP(A164,symbol_2[[symbol]:[Price2]],6,)</f>
        <v>260</v>
      </c>
      <c r="G164" s="1">
        <f>VLOOKUP(A164,symbol_2[[symbol]:[Price3]],10,)</f>
        <v>257.35000000000002</v>
      </c>
      <c r="H164" s="1">
        <f>VLOOKUP(A164,symbol_2[[symbol]:[Price4]],14,)</f>
        <v>259.10000000000002</v>
      </c>
      <c r="I164" s="1">
        <f>VLOOKUP(A164,symbol_2[[symbol]:[Price5]],18,)</f>
        <v>276.05</v>
      </c>
      <c r="J164" s="49" t="str">
        <f t="shared" si="144"/>
        <v>N</v>
      </c>
      <c r="K164" s="49" t="str">
        <f t="shared" si="145"/>
        <v>N</v>
      </c>
      <c r="L164" s="49" t="str">
        <f t="shared" si="146"/>
        <v>Y</v>
      </c>
      <c r="M164" s="49" t="str">
        <f t="shared" si="147"/>
        <v>Y</v>
      </c>
      <c r="N164" s="52">
        <f t="shared" si="148"/>
        <v>-2.1636876763875823</v>
      </c>
      <c r="O164" s="52">
        <f t="shared" si="149"/>
        <v>-1.0192307692307605</v>
      </c>
      <c r="P164" s="52">
        <f t="shared" si="150"/>
        <v>0.68000777151738867</v>
      </c>
      <c r="Q164" s="52">
        <f t="shared" si="151"/>
        <v>6.5418757236588148</v>
      </c>
      <c r="R164" s="1">
        <f>VLOOKUP(A164,symbol_2[[symbol]:[TV1]],3,)</f>
        <v>7.2</v>
      </c>
      <c r="S164" s="1">
        <f>VLOOKUP(A164,symbol_2[[symbol]:[TV2]],7,)</f>
        <v>5.88</v>
      </c>
      <c r="T164" s="1">
        <f>VLOOKUP(A164,symbol_2[[symbol]:[TV3]],11,)</f>
        <v>5.95</v>
      </c>
      <c r="U164" s="1">
        <f>VLOOKUP(A164,symbol_2[[symbol]:[TV4]],15,)</f>
        <v>10.4</v>
      </c>
      <c r="V164" s="1">
        <f>VLOOKUP(A164,symbol_2[[symbol]:[TV5]],19,)</f>
        <v>8.56</v>
      </c>
      <c r="W164" s="1" t="str">
        <f t="shared" si="152"/>
        <v>N</v>
      </c>
      <c r="X164" s="1" t="str">
        <f t="shared" si="153"/>
        <v>Y</v>
      </c>
      <c r="Y164" s="1" t="str">
        <f t="shared" si="154"/>
        <v>Y</v>
      </c>
      <c r="Z164" s="1" t="str">
        <f t="shared" si="155"/>
        <v>N</v>
      </c>
      <c r="AA164" s="1">
        <f>VLOOKUP(A166,symbol_2[[symbol]:[TradedValue1]],4,)</f>
        <v>2105.42</v>
      </c>
      <c r="AB164" s="1">
        <f>VLOOKUP(A164,symbol_2[[symbol]:[TradedValue2]],8,)</f>
        <v>1547.13</v>
      </c>
      <c r="AC164" s="1">
        <f>VLOOKUP(A164,symbol_2[[symbol]:[TradedValue3]],12,)</f>
        <v>1543.46</v>
      </c>
      <c r="AD164" s="1">
        <f>VLOOKUP(A164,symbol_2[[symbol]:[TradedValue4]],16,)</f>
        <v>2796.11</v>
      </c>
      <c r="AE164" s="1">
        <f>VLOOKUP(A164,symbol_2[[symbol]:[TradedValue5]],20,)</f>
        <v>2313.6999999999998</v>
      </c>
      <c r="AF164" s="1">
        <f>Table2[[#This Row],[TradedValue2]]-Table2[[#This Row],[TradedValue1]]</f>
        <v>-558.29</v>
      </c>
      <c r="AG164" s="1">
        <f>Table2[[#This Row],[TradedValue3]]-Table2[[#This Row],[TradedValue2]]</f>
        <v>-3.6700000000000728</v>
      </c>
      <c r="AH164" s="1">
        <f>Table2[[#This Row],[TradedValue4]]-Table2[[#This Row],[TradedValue3]]</f>
        <v>1252.6500000000001</v>
      </c>
      <c r="AI164" s="1">
        <f>Table2[[#This Row],[TradedValue5]]-Table2[[#This Row],[TradedValue4]]</f>
        <v>-482.41000000000031</v>
      </c>
      <c r="AJ164" s="49" t="str">
        <f>IF(Table2[[#This Row],[TradedValue2]]&gt;Table2[[#This Row],[TradedValue1]],"Y","N")</f>
        <v>N</v>
      </c>
      <c r="AK164" s="49" t="str">
        <f>IF(Table2[[#This Row],[TradedValue3]]&gt;Table2[[#This Row],[TradedValue2]],"Y","N")</f>
        <v>N</v>
      </c>
      <c r="AL164" s="49" t="str">
        <f>IF(Table2[[#This Row],[TradedValue5]]&gt;Table2[[#This Row],[TradedValue3]],"Y","N")</f>
        <v>Y</v>
      </c>
      <c r="AM164" s="49" t="str">
        <f>IF(Table2[[#This Row],[TradedValue5]]&gt;Table2[[#This Row],[TradedValue4]],"Y","N")</f>
        <v>N</v>
      </c>
      <c r="AN164" s="1">
        <f t="shared" si="156"/>
        <v>-1.3200000000000003</v>
      </c>
      <c r="AO164" s="1">
        <f t="shared" si="157"/>
        <v>7.0000000000000284E-2</v>
      </c>
      <c r="AP164" s="1">
        <f t="shared" si="158"/>
        <v>4.45</v>
      </c>
      <c r="AQ164" s="1">
        <f t="shared" si="159"/>
        <v>-1.8399999999999999</v>
      </c>
      <c r="AR164" s="1">
        <f>VLOOKUP(A164,symbol_2[[symbol]:[DelPer1]],5,)</f>
        <v>15.67</v>
      </c>
      <c r="AS164" s="1">
        <f>VLOOKUP(A164,symbol_2[[symbol]:[DelPer2]],9,)</f>
        <v>9.34</v>
      </c>
      <c r="AT164" s="1">
        <f>VLOOKUP(A164,symbol_2[[symbol]:[DelPer3]],13,)</f>
        <v>19.03</v>
      </c>
      <c r="AU164" s="1">
        <f>VLOOKUP(A164,symbol_2[[symbol]:[DelPer4]],17,)</f>
        <v>11.37</v>
      </c>
      <c r="AV164" s="1">
        <f>VLOOKUP(A164,symbol_2[[symbol]:[DelPer5]],21,)</f>
        <v>10.35</v>
      </c>
      <c r="AW164" s="49" t="str">
        <f t="shared" si="160"/>
        <v>N</v>
      </c>
      <c r="AX164" s="49" t="str">
        <f t="shared" si="161"/>
        <v>Y</v>
      </c>
      <c r="AY164" s="49" t="str">
        <f t="shared" si="162"/>
        <v>N</v>
      </c>
      <c r="AZ164" s="49" t="str">
        <f t="shared" si="163"/>
        <v>N</v>
      </c>
      <c r="BA164" s="1">
        <f t="shared" si="164"/>
        <v>-6.33</v>
      </c>
      <c r="BB164" s="1">
        <f t="shared" si="165"/>
        <v>9.6900000000000013</v>
      </c>
      <c r="BC164" s="1">
        <f t="shared" si="166"/>
        <v>-7.6600000000000019</v>
      </c>
      <c r="BD164" s="1">
        <f t="shared" si="167"/>
        <v>-1.0199999999999996</v>
      </c>
    </row>
    <row r="165" spans="1:56" hidden="1" x14ac:dyDescent="0.35">
      <c r="A165" s="1" t="s">
        <v>41</v>
      </c>
      <c r="B165" s="1" t="s">
        <v>1014</v>
      </c>
      <c r="C165" s="1" t="s">
        <v>52</v>
      </c>
      <c r="D165" s="1" t="str">
        <f>VLOOKUP(A165,'High Beta'!A8:B57,2,)</f>
        <v>Y</v>
      </c>
      <c r="E165" s="1">
        <f>VLOOKUP(A165,symbol_2[[symbol]:[Price1]],2,)</f>
        <v>190.15</v>
      </c>
      <c r="F165" s="1">
        <f>VLOOKUP(A165,symbol_2[[symbol]:[Price2]],6,)</f>
        <v>176.8</v>
      </c>
      <c r="G165" s="1">
        <f>VLOOKUP(A165,symbol_2[[symbol]:[Price3]],10,)</f>
        <v>179.1</v>
      </c>
      <c r="H165" s="1">
        <f>VLOOKUP(A165,symbol_2[[symbol]:[Price4]],14,)</f>
        <v>175.15</v>
      </c>
      <c r="I165" s="1">
        <f>VLOOKUP(A165,symbol_2[[symbol]:[Price5]],18,)</f>
        <v>182.3</v>
      </c>
      <c r="J165" s="49" t="str">
        <f t="shared" si="144"/>
        <v>N</v>
      </c>
      <c r="K165" s="49" t="str">
        <f t="shared" si="145"/>
        <v>Y</v>
      </c>
      <c r="L165" s="49" t="str">
        <f t="shared" si="146"/>
        <v>N</v>
      </c>
      <c r="M165" s="49" t="str">
        <f t="shared" si="147"/>
        <v>Y</v>
      </c>
      <c r="N165" s="52">
        <f t="shared" si="148"/>
        <v>-7.0207730738890319</v>
      </c>
      <c r="O165" s="52">
        <f t="shared" si="149"/>
        <v>1.3009049773755559</v>
      </c>
      <c r="P165" s="52">
        <f t="shared" si="150"/>
        <v>-2.2054718034617471</v>
      </c>
      <c r="Q165" s="52">
        <f t="shared" si="151"/>
        <v>4.0822152440765089</v>
      </c>
      <c r="R165" s="1">
        <f>VLOOKUP(A165,symbol_2[[symbol]:[TV1]],3,)</f>
        <v>29.87</v>
      </c>
      <c r="S165" s="1">
        <f>VLOOKUP(A165,symbol_2[[symbol]:[TV2]],7,)</f>
        <v>57.82</v>
      </c>
      <c r="T165" s="1">
        <f>VLOOKUP(A165,symbol_2[[symbol]:[TV3]],11,)</f>
        <v>25.85</v>
      </c>
      <c r="U165" s="1">
        <f>VLOOKUP(A165,symbol_2[[symbol]:[TV4]],15,)</f>
        <v>22.91</v>
      </c>
      <c r="V165" s="1">
        <f>VLOOKUP(A165,symbol_2[[symbol]:[TV5]],19,)</f>
        <v>22.49</v>
      </c>
      <c r="W165" s="1" t="str">
        <f t="shared" si="152"/>
        <v>Y</v>
      </c>
      <c r="X165" s="1" t="str">
        <f t="shared" si="153"/>
        <v>N</v>
      </c>
      <c r="Y165" s="1" t="str">
        <f t="shared" si="154"/>
        <v>N</v>
      </c>
      <c r="Z165" s="1" t="str">
        <f t="shared" si="155"/>
        <v>N</v>
      </c>
      <c r="AA165" s="1">
        <f>VLOOKUP(A165,symbol_2[[symbol]:[TradedValue1]],4,)</f>
        <v>5556.95</v>
      </c>
      <c r="AB165" s="1">
        <f>VLOOKUP(A165,symbol_2[[symbol]:[TradedValue2]],8,)</f>
        <v>10372.11</v>
      </c>
      <c r="AC165" s="1">
        <f>VLOOKUP(A165,symbol_2[[symbol]:[TradedValue3]],12,)</f>
        <v>4594.45</v>
      </c>
      <c r="AD165" s="1">
        <f>VLOOKUP(A165,symbol_2[[symbol]:[TradedValue4]],16,)</f>
        <v>4094.96</v>
      </c>
      <c r="AE165" s="1">
        <f>VLOOKUP(A165,symbol_2[[symbol]:[TradedValue5]],20,)</f>
        <v>4047.42</v>
      </c>
      <c r="AF165" s="1">
        <f>Table2[[#This Row],[TradedValue2]]-Table2[[#This Row],[TradedValue1]]</f>
        <v>4815.1600000000008</v>
      </c>
      <c r="AG165" s="1">
        <f>Table2[[#This Row],[TradedValue3]]-Table2[[#This Row],[TradedValue2]]</f>
        <v>-5777.6600000000008</v>
      </c>
      <c r="AH165" s="1">
        <f>Table2[[#This Row],[TradedValue4]]-Table2[[#This Row],[TradedValue3]]</f>
        <v>-499.48999999999978</v>
      </c>
      <c r="AI165" s="1">
        <f>Table2[[#This Row],[TradedValue5]]-Table2[[#This Row],[TradedValue4]]</f>
        <v>-47.539999999999964</v>
      </c>
      <c r="AJ165" s="49" t="str">
        <f>IF(Table2[[#This Row],[TradedValue2]]&gt;Table2[[#This Row],[TradedValue1]],"Y","N")</f>
        <v>Y</v>
      </c>
      <c r="AK165" s="49" t="str">
        <f>IF(Table2[[#This Row],[TradedValue3]]&gt;Table2[[#This Row],[TradedValue2]],"Y","N")</f>
        <v>N</v>
      </c>
      <c r="AL165" s="49" t="str">
        <f>IF(Table2[[#This Row],[TradedValue5]]&gt;Table2[[#This Row],[TradedValue3]],"Y","N")</f>
        <v>N</v>
      </c>
      <c r="AM165" s="49" t="str">
        <f>IF(Table2[[#This Row],[TradedValue5]]&gt;Table2[[#This Row],[TradedValue4]],"Y","N")</f>
        <v>N</v>
      </c>
      <c r="AN165" s="1">
        <f t="shared" si="156"/>
        <v>27.95</v>
      </c>
      <c r="AO165" s="1">
        <f t="shared" si="157"/>
        <v>-31.97</v>
      </c>
      <c r="AP165" s="1">
        <f t="shared" si="158"/>
        <v>-2.9400000000000013</v>
      </c>
      <c r="AQ165" s="1">
        <f t="shared" si="159"/>
        <v>-0.42000000000000171</v>
      </c>
      <c r="AR165" s="1">
        <f>VLOOKUP(A165,symbol_2[[symbol]:[DelPer1]],5,)</f>
        <v>11.88</v>
      </c>
      <c r="AS165" s="1">
        <f>VLOOKUP(A165,symbol_2[[symbol]:[DelPer2]],9,)</f>
        <v>15.53</v>
      </c>
      <c r="AT165" s="1">
        <f>VLOOKUP(A165,symbol_2[[symbol]:[DelPer3]],13,)</f>
        <v>15.41</v>
      </c>
      <c r="AU165" s="1">
        <f>VLOOKUP(A165,symbol_2[[symbol]:[DelPer4]],17,)</f>
        <v>14.87</v>
      </c>
      <c r="AV165" s="1">
        <f>VLOOKUP(A165,symbol_2[[symbol]:[DelPer5]],21,)</f>
        <v>14.84</v>
      </c>
      <c r="AW165" s="49" t="str">
        <f t="shared" si="160"/>
        <v>Y</v>
      </c>
      <c r="AX165" s="49" t="str">
        <f t="shared" si="161"/>
        <v>N</v>
      </c>
      <c r="AY165" s="49" t="str">
        <f t="shared" si="162"/>
        <v>N</v>
      </c>
      <c r="AZ165" s="49" t="str">
        <f t="shared" si="163"/>
        <v>N</v>
      </c>
      <c r="BA165" s="1">
        <f t="shared" si="164"/>
        <v>3.6499999999999986</v>
      </c>
      <c r="BB165" s="1">
        <f t="shared" si="165"/>
        <v>-0.11999999999999922</v>
      </c>
      <c r="BC165" s="1">
        <f t="shared" si="166"/>
        <v>-0.54000000000000092</v>
      </c>
      <c r="BD165" s="1">
        <f t="shared" si="167"/>
        <v>-2.9999999999999361E-2</v>
      </c>
    </row>
    <row r="166" spans="1:56" hidden="1" x14ac:dyDescent="0.35">
      <c r="A166" s="2" t="s">
        <v>70</v>
      </c>
      <c r="B166" s="1" t="s">
        <v>1018</v>
      </c>
      <c r="C166" s="1" t="s">
        <v>52</v>
      </c>
      <c r="D166" s="1" t="s">
        <v>199</v>
      </c>
      <c r="E166" s="1">
        <f>VLOOKUP(A166,symbol_2[[symbol]:[Price1]],2,)</f>
        <v>915.9</v>
      </c>
      <c r="F166" s="1">
        <f>VLOOKUP(A166,symbol_2[[symbol]:[Price2]],6,)</f>
        <v>897.4</v>
      </c>
      <c r="G166" s="1">
        <f>VLOOKUP(A166,symbol_2[[symbol]:[Price3]],10,)</f>
        <v>922.35</v>
      </c>
      <c r="H166" s="1">
        <f>VLOOKUP(A166,symbol_2[[symbol]:[Price4]],14,)</f>
        <v>936.95</v>
      </c>
      <c r="I166" s="1">
        <f>VLOOKUP(A166,symbol_2[[symbol]:[Price5]],18,)</f>
        <v>975.65</v>
      </c>
      <c r="J166" s="49" t="str">
        <f t="shared" si="144"/>
        <v>N</v>
      </c>
      <c r="K166" s="49" t="str">
        <f t="shared" si="145"/>
        <v>Y</v>
      </c>
      <c r="L166" s="49" t="str">
        <f t="shared" si="146"/>
        <v>Y</v>
      </c>
      <c r="M166" s="49" t="str">
        <f t="shared" si="147"/>
        <v>Y</v>
      </c>
      <c r="N166" s="52">
        <f t="shared" si="148"/>
        <v>-2.0198711649743424</v>
      </c>
      <c r="O166" s="52">
        <f t="shared" si="149"/>
        <v>2.7802540673055547</v>
      </c>
      <c r="P166" s="52">
        <f t="shared" si="150"/>
        <v>1.5829132108201902</v>
      </c>
      <c r="Q166" s="52">
        <f t="shared" si="151"/>
        <v>4.1304231815998644</v>
      </c>
      <c r="R166" s="1">
        <f>VLOOKUP(A166,symbol_2[[symbol]:[TV1]],3,)</f>
        <v>2.33</v>
      </c>
      <c r="S166" s="1">
        <f>VLOOKUP(A166,symbol_2[[symbol]:[TV2]],7,)</f>
        <v>1.34</v>
      </c>
      <c r="T166" s="1">
        <f>VLOOKUP(A166,symbol_2[[symbol]:[TV3]],11,)</f>
        <v>1.84</v>
      </c>
      <c r="U166" s="1">
        <f>VLOOKUP(A166,symbol_2[[symbol]:[TV4]],15,)</f>
        <v>2.58</v>
      </c>
      <c r="V166" s="1">
        <f>VLOOKUP(A166,symbol_2[[symbol]:[TV5]],19,)</f>
        <v>2.41</v>
      </c>
      <c r="W166" s="1" t="str">
        <f t="shared" si="152"/>
        <v>N</v>
      </c>
      <c r="X166" s="1" t="str">
        <f t="shared" si="153"/>
        <v>Y</v>
      </c>
      <c r="Y166" s="1" t="str">
        <f t="shared" si="154"/>
        <v>Y</v>
      </c>
      <c r="Z166" s="1" t="str">
        <f t="shared" si="155"/>
        <v>N</v>
      </c>
      <c r="AA166" s="1">
        <f>VLOOKUP(A166,symbol_2[[symbol]:[TradedValue1]],4,)</f>
        <v>2105.42</v>
      </c>
      <c r="AB166" s="1">
        <f>VLOOKUP(A166,symbol_2[[symbol]:[TradedValue2]],8,)</f>
        <v>1220.8599999999999</v>
      </c>
      <c r="AC166" s="1">
        <f>VLOOKUP(A166,symbol_2[[symbol]:[TradedValue3]],12,)</f>
        <v>1685.5</v>
      </c>
      <c r="AD166" s="1">
        <f>VLOOKUP(A166,symbol_2[[symbol]:[TradedValue4]],16,)</f>
        <v>2471.71</v>
      </c>
      <c r="AE166" s="1">
        <f>VLOOKUP(A166,symbol_2[[symbol]:[TradedValue5]],20,)</f>
        <v>2331.3000000000002</v>
      </c>
      <c r="AF166" s="1">
        <f>Table2[[#This Row],[TradedValue2]]-Table2[[#This Row],[TradedValue1]]</f>
        <v>-884.56000000000017</v>
      </c>
      <c r="AG166" s="1">
        <f>Table2[[#This Row],[TradedValue3]]-Table2[[#This Row],[TradedValue2]]</f>
        <v>464.6400000000001</v>
      </c>
      <c r="AH166" s="1">
        <f>Table2[[#This Row],[TradedValue4]]-Table2[[#This Row],[TradedValue3]]</f>
        <v>786.21</v>
      </c>
      <c r="AI166" s="1">
        <f>Table2[[#This Row],[TradedValue5]]-Table2[[#This Row],[TradedValue4]]</f>
        <v>-140.40999999999985</v>
      </c>
      <c r="AJ166" s="49" t="str">
        <f>IF(Table2[[#This Row],[TradedValue2]]&gt;Table2[[#This Row],[TradedValue1]],"Y","N")</f>
        <v>N</v>
      </c>
      <c r="AK166" s="49" t="str">
        <f>IF(Table2[[#This Row],[TradedValue3]]&gt;Table2[[#This Row],[TradedValue2]],"Y","N")</f>
        <v>Y</v>
      </c>
      <c r="AL166" s="49" t="str">
        <f>IF(Table2[[#This Row],[TradedValue5]]&gt;Table2[[#This Row],[TradedValue3]],"Y","N")</f>
        <v>Y</v>
      </c>
      <c r="AM166" s="49" t="str">
        <f>IF(Table2[[#This Row],[TradedValue5]]&gt;Table2[[#This Row],[TradedValue4]],"Y","N")</f>
        <v>N</v>
      </c>
      <c r="AN166" s="1">
        <f t="shared" si="156"/>
        <v>-0.99</v>
      </c>
      <c r="AO166" s="1">
        <f t="shared" si="157"/>
        <v>0.5</v>
      </c>
      <c r="AP166" s="1">
        <f t="shared" si="158"/>
        <v>0.74</v>
      </c>
      <c r="AQ166" s="1">
        <f t="shared" si="159"/>
        <v>-0.16999999999999993</v>
      </c>
      <c r="AR166" s="1">
        <f>VLOOKUP(A166,symbol_2[[symbol]:[DelPer1]],5,)</f>
        <v>11.35</v>
      </c>
      <c r="AS166" s="1">
        <f>VLOOKUP(A166,symbol_2[[symbol]:[DelPer2]],9,)</f>
        <v>6.13</v>
      </c>
      <c r="AT166" s="1">
        <f>VLOOKUP(A166,symbol_2[[symbol]:[DelPer3]],13,)</f>
        <v>5.8</v>
      </c>
      <c r="AU166" s="1">
        <f>VLOOKUP(A166,symbol_2[[symbol]:[DelPer4]],17,)</f>
        <v>6.64</v>
      </c>
      <c r="AV166" s="1">
        <f>VLOOKUP(A166,symbol_2[[symbol]:[DelPer5]],21,)</f>
        <v>7.85</v>
      </c>
      <c r="AW166" s="49" t="str">
        <f t="shared" si="160"/>
        <v>N</v>
      </c>
      <c r="AX166" s="49" t="str">
        <f t="shared" si="161"/>
        <v>N</v>
      </c>
      <c r="AY166" s="49" t="str">
        <f t="shared" si="162"/>
        <v>Y</v>
      </c>
      <c r="AZ166" s="49" t="str">
        <f t="shared" si="163"/>
        <v>Y</v>
      </c>
      <c r="BA166" s="1">
        <f t="shared" si="164"/>
        <v>-5.22</v>
      </c>
      <c r="BB166" s="1">
        <f t="shared" si="165"/>
        <v>-0.33000000000000007</v>
      </c>
      <c r="BC166" s="1">
        <f t="shared" si="166"/>
        <v>0.83999999999999986</v>
      </c>
      <c r="BD166" s="1">
        <f t="shared" si="167"/>
        <v>1.21</v>
      </c>
    </row>
    <row r="167" spans="1:56" hidden="1" x14ac:dyDescent="0.35">
      <c r="A167" s="1" t="s">
        <v>139</v>
      </c>
      <c r="B167" s="1" t="s">
        <v>1022</v>
      </c>
      <c r="C167" s="1" t="s">
        <v>52</v>
      </c>
      <c r="D167" s="1" t="s">
        <v>199</v>
      </c>
      <c r="E167" s="1">
        <f>VLOOKUP(A167,symbol_2[[symbol]:[Price1]],2,)</f>
        <v>845.35</v>
      </c>
      <c r="F167" s="1">
        <f>VLOOKUP(A167,symbol_2[[symbol]:[Price2]],6,)</f>
        <v>827.15</v>
      </c>
      <c r="G167" s="1">
        <f>VLOOKUP(A167,symbol_2[[symbol]:[Price3]],10,)</f>
        <v>833.65</v>
      </c>
      <c r="H167" s="1">
        <f>VLOOKUP(A167,symbol_2[[symbol]:[Price4]],14,)</f>
        <v>810</v>
      </c>
      <c r="I167" s="1">
        <f>VLOOKUP(A167,symbol_2[[symbol]:[Price5]],18,)</f>
        <v>844.95</v>
      </c>
      <c r="J167" s="49" t="str">
        <f t="shared" si="144"/>
        <v>N</v>
      </c>
      <c r="K167" s="49" t="str">
        <f t="shared" si="145"/>
        <v>Y</v>
      </c>
      <c r="L167" s="49" t="str">
        <f t="shared" si="146"/>
        <v>N</v>
      </c>
      <c r="M167" s="49" t="str">
        <f t="shared" si="147"/>
        <v>Y</v>
      </c>
      <c r="N167" s="52">
        <f t="shared" si="148"/>
        <v>-2.1529543975868037</v>
      </c>
      <c r="O167" s="52">
        <f t="shared" si="149"/>
        <v>0.7858308650184368</v>
      </c>
      <c r="P167" s="52">
        <f t="shared" si="150"/>
        <v>-2.83692196965153</v>
      </c>
      <c r="Q167" s="52">
        <f t="shared" si="151"/>
        <v>4.3148148148148202</v>
      </c>
      <c r="R167" s="1">
        <f>VLOOKUP(A167,symbol_2[[symbol]:[TV1]],3,)</f>
        <v>0.31</v>
      </c>
      <c r="S167" s="1">
        <f>VLOOKUP(A167,symbol_2[[symbol]:[TV2]],7,)</f>
        <v>0.18</v>
      </c>
      <c r="T167" s="1">
        <f>VLOOKUP(A167,symbol_2[[symbol]:[TV3]],11,)</f>
        <v>0.18</v>
      </c>
      <c r="U167" s="1">
        <f>VLOOKUP(A167,symbol_2[[symbol]:[TV4]],15,)</f>
        <v>0.27</v>
      </c>
      <c r="V167" s="1">
        <f>VLOOKUP(A167,symbol_2[[symbol]:[TV5]],19,)</f>
        <v>0.49</v>
      </c>
      <c r="W167" s="1" t="str">
        <f t="shared" si="152"/>
        <v>N</v>
      </c>
      <c r="X167" s="1" t="str">
        <f t="shared" si="153"/>
        <v>N</v>
      </c>
      <c r="Y167" s="1" t="str">
        <f t="shared" si="154"/>
        <v>Y</v>
      </c>
      <c r="Z167" s="1" t="str">
        <f t="shared" si="155"/>
        <v>Y</v>
      </c>
      <c r="AA167" s="1">
        <f>VLOOKUP(A169,symbol_2[[symbol]:[TradedValue1]],4,)</f>
        <v>978.29</v>
      </c>
      <c r="AB167" s="1">
        <f>VLOOKUP(A167,symbol_2[[symbol]:[TradedValue2]],8,)</f>
        <v>154.15</v>
      </c>
      <c r="AC167" s="1">
        <f>VLOOKUP(A167,symbol_2[[symbol]:[TradedValue3]],12,)</f>
        <v>145.51</v>
      </c>
      <c r="AD167" s="1">
        <f>VLOOKUP(A167,symbol_2[[symbol]:[TradedValue4]],16,)</f>
        <v>218.76</v>
      </c>
      <c r="AE167" s="1">
        <f>VLOOKUP(A167,symbol_2[[symbol]:[TradedValue5]],20,)</f>
        <v>412.64</v>
      </c>
      <c r="AF167" s="1">
        <f>Table2[[#This Row],[TradedValue2]]-Table2[[#This Row],[TradedValue1]]</f>
        <v>-824.14</v>
      </c>
      <c r="AG167" s="1">
        <f>Table2[[#This Row],[TradedValue3]]-Table2[[#This Row],[TradedValue2]]</f>
        <v>-8.6400000000000148</v>
      </c>
      <c r="AH167" s="1">
        <f>Table2[[#This Row],[TradedValue4]]-Table2[[#This Row],[TradedValue3]]</f>
        <v>73.25</v>
      </c>
      <c r="AI167" s="1">
        <f>Table2[[#This Row],[TradedValue5]]-Table2[[#This Row],[TradedValue4]]</f>
        <v>193.88</v>
      </c>
      <c r="AJ167" s="49" t="str">
        <f>IF(Table2[[#This Row],[TradedValue2]]&gt;Table2[[#This Row],[TradedValue1]],"Y","N")</f>
        <v>N</v>
      </c>
      <c r="AK167" s="49" t="str">
        <f>IF(Table2[[#This Row],[TradedValue3]]&gt;Table2[[#This Row],[TradedValue2]],"Y","N")</f>
        <v>N</v>
      </c>
      <c r="AL167" s="49" t="str">
        <f>IF(Table2[[#This Row],[TradedValue5]]&gt;Table2[[#This Row],[TradedValue3]],"Y","N")</f>
        <v>Y</v>
      </c>
      <c r="AM167" s="49" t="str">
        <f>IF(Table2[[#This Row],[TradedValue5]]&gt;Table2[[#This Row],[TradedValue4]],"Y","N")</f>
        <v>Y</v>
      </c>
      <c r="AN167" s="1">
        <f t="shared" si="156"/>
        <v>-0.13</v>
      </c>
      <c r="AO167" s="1">
        <f t="shared" si="157"/>
        <v>0</v>
      </c>
      <c r="AP167" s="1">
        <f t="shared" si="158"/>
        <v>9.0000000000000024E-2</v>
      </c>
      <c r="AQ167" s="1">
        <f t="shared" si="159"/>
        <v>0.21999999999999997</v>
      </c>
      <c r="AR167" s="1">
        <f>VLOOKUP(A167,symbol_2[[symbol]:[DelPer1]],5,)</f>
        <v>52.65</v>
      </c>
      <c r="AS167" s="1">
        <f>VLOOKUP(A167,symbol_2[[symbol]:[DelPer2]],9,)</f>
        <v>29.46</v>
      </c>
      <c r="AT167" s="1">
        <f>VLOOKUP(A167,symbol_2[[symbol]:[DelPer3]],13,)</f>
        <v>32.659999999999997</v>
      </c>
      <c r="AU167" s="1">
        <f>VLOOKUP(A167,symbol_2[[symbol]:[DelPer4]],17,)</f>
        <v>30.15</v>
      </c>
      <c r="AV167" s="1">
        <f>VLOOKUP(A167,symbol_2[[symbol]:[DelPer5]],21,)</f>
        <v>39.18</v>
      </c>
      <c r="AW167" s="49" t="str">
        <f t="shared" si="160"/>
        <v>N</v>
      </c>
      <c r="AX167" s="49" t="str">
        <f t="shared" si="161"/>
        <v>Y</v>
      </c>
      <c r="AY167" s="49" t="str">
        <f t="shared" si="162"/>
        <v>N</v>
      </c>
      <c r="AZ167" s="49" t="str">
        <f t="shared" si="163"/>
        <v>Y</v>
      </c>
      <c r="BA167" s="1">
        <f t="shared" si="164"/>
        <v>-23.189999999999998</v>
      </c>
      <c r="BB167" s="1">
        <f t="shared" si="165"/>
        <v>3.1999999999999957</v>
      </c>
      <c r="BC167" s="1">
        <f t="shared" si="166"/>
        <v>-2.509999999999998</v>
      </c>
      <c r="BD167" s="1">
        <f t="shared" si="167"/>
        <v>9.0300000000000011</v>
      </c>
    </row>
    <row r="168" spans="1:56" hidden="1" x14ac:dyDescent="0.35">
      <c r="A168" s="1" t="s">
        <v>171</v>
      </c>
      <c r="B168" s="1" t="s">
        <v>1006</v>
      </c>
      <c r="C168" s="1" t="s">
        <v>52</v>
      </c>
      <c r="D168" s="1" t="s">
        <v>199</v>
      </c>
      <c r="E168" s="1">
        <f>VLOOKUP(A168,symbol_2[[symbol]:[Price1]],2,)</f>
        <v>437.3</v>
      </c>
      <c r="F168" s="1">
        <f>VLOOKUP(A168,symbol_2[[symbol]:[Price2]],6,)</f>
        <v>425.7</v>
      </c>
      <c r="G168" s="1">
        <f>VLOOKUP(A168,symbol_2[[symbol]:[Price3]],10,)</f>
        <v>418.35</v>
      </c>
      <c r="H168" s="1">
        <f>VLOOKUP(A168,symbol_2[[symbol]:[Price4]],14,)</f>
        <v>419.3</v>
      </c>
      <c r="I168" s="1">
        <f>VLOOKUP(A168,symbol_2[[symbol]:[Price5]],18,)</f>
        <v>419.85</v>
      </c>
      <c r="J168" s="49" t="str">
        <f t="shared" si="144"/>
        <v>N</v>
      </c>
      <c r="K168" s="49" t="str">
        <f t="shared" si="145"/>
        <v>N</v>
      </c>
      <c r="L168" s="49" t="str">
        <f t="shared" si="146"/>
        <v>Y</v>
      </c>
      <c r="M168" s="49" t="str">
        <f t="shared" si="147"/>
        <v>Y</v>
      </c>
      <c r="N168" s="52">
        <f t="shared" si="148"/>
        <v>-2.6526412074091068</v>
      </c>
      <c r="O168" s="52">
        <f t="shared" si="149"/>
        <v>-1.726568005637765</v>
      </c>
      <c r="P168" s="52">
        <f t="shared" si="150"/>
        <v>0.22708258635113868</v>
      </c>
      <c r="Q168" s="52">
        <f t="shared" si="151"/>
        <v>0.13117099928452453</v>
      </c>
      <c r="R168" s="1">
        <f>VLOOKUP(A168,symbol_2[[symbol]:[TV1]],3,)</f>
        <v>0.23</v>
      </c>
      <c r="S168" s="1">
        <f>VLOOKUP(A168,symbol_2[[symbol]:[TV2]],7,)</f>
        <v>0.25</v>
      </c>
      <c r="T168" s="1">
        <f>VLOOKUP(A168,symbol_2[[symbol]:[TV3]],11,)</f>
        <v>0.14000000000000001</v>
      </c>
      <c r="U168" s="1">
        <f>VLOOKUP(A168,symbol_2[[symbol]:[TV4]],15,)</f>
        <v>0.44</v>
      </c>
      <c r="V168" s="1">
        <f>VLOOKUP(A168,symbol_2[[symbol]:[TV5]],19,)</f>
        <v>0.34</v>
      </c>
      <c r="W168" s="1" t="str">
        <f t="shared" si="152"/>
        <v>Y</v>
      </c>
      <c r="X168" s="1" t="str">
        <f t="shared" si="153"/>
        <v>N</v>
      </c>
      <c r="Y168" s="1" t="str">
        <f t="shared" si="154"/>
        <v>Y</v>
      </c>
      <c r="Z168" s="1" t="str">
        <f t="shared" si="155"/>
        <v>N</v>
      </c>
      <c r="AA168" s="1">
        <f>VLOOKUP(A168,symbol_2[[symbol]:[TradedValue1]],4,)</f>
        <v>99.87</v>
      </c>
      <c r="AB168" s="1">
        <f>VLOOKUP(A168,symbol_2[[symbol]:[TradedValue2]],8,)</f>
        <v>107.02</v>
      </c>
      <c r="AC168" s="1">
        <f>VLOOKUP(A168,symbol_2[[symbol]:[TradedValue3]],12,)</f>
        <v>59.14</v>
      </c>
      <c r="AD168" s="1">
        <f>VLOOKUP(A168,symbol_2[[symbol]:[TradedValue4]],16,)</f>
        <v>191.29</v>
      </c>
      <c r="AE168" s="1">
        <f>VLOOKUP(A168,symbol_2[[symbol]:[TradedValue5]],20,)</f>
        <v>144.38999999999999</v>
      </c>
      <c r="AF168" s="1">
        <f>Table2[[#This Row],[TradedValue2]]-Table2[[#This Row],[TradedValue1]]</f>
        <v>7.1499999999999915</v>
      </c>
      <c r="AG168" s="1">
        <f>Table2[[#This Row],[TradedValue3]]-Table2[[#This Row],[TradedValue2]]</f>
        <v>-47.879999999999995</v>
      </c>
      <c r="AH168" s="1">
        <f>Table2[[#This Row],[TradedValue4]]-Table2[[#This Row],[TradedValue3]]</f>
        <v>132.14999999999998</v>
      </c>
      <c r="AI168" s="1">
        <f>Table2[[#This Row],[TradedValue5]]-Table2[[#This Row],[TradedValue4]]</f>
        <v>-46.900000000000006</v>
      </c>
      <c r="AJ168" s="49" t="str">
        <f>IF(Table2[[#This Row],[TradedValue2]]&gt;Table2[[#This Row],[TradedValue1]],"Y","N")</f>
        <v>Y</v>
      </c>
      <c r="AK168" s="49" t="str">
        <f>IF(Table2[[#This Row],[TradedValue3]]&gt;Table2[[#This Row],[TradedValue2]],"Y","N")</f>
        <v>N</v>
      </c>
      <c r="AL168" s="49" t="str">
        <f>IF(Table2[[#This Row],[TradedValue5]]&gt;Table2[[#This Row],[TradedValue3]],"Y","N")</f>
        <v>Y</v>
      </c>
      <c r="AM168" s="49" t="str">
        <f>IF(Table2[[#This Row],[TradedValue5]]&gt;Table2[[#This Row],[TradedValue4]],"Y","N")</f>
        <v>N</v>
      </c>
      <c r="AN168" s="1">
        <f t="shared" si="156"/>
        <v>1.999999999999999E-2</v>
      </c>
      <c r="AO168" s="1">
        <f t="shared" si="157"/>
        <v>-0.10999999999999999</v>
      </c>
      <c r="AP168" s="1">
        <f t="shared" si="158"/>
        <v>0.3</v>
      </c>
      <c r="AQ168" s="1">
        <f t="shared" si="159"/>
        <v>-9.9999999999999978E-2</v>
      </c>
      <c r="AR168" s="1">
        <f>VLOOKUP(A168,symbol_2[[symbol]:[DelPer1]],5,)</f>
        <v>16.190000000000001</v>
      </c>
      <c r="AS168" s="1">
        <f>VLOOKUP(A168,symbol_2[[symbol]:[DelPer2]],9,)</f>
        <v>10.51</v>
      </c>
      <c r="AT168" s="1">
        <f>VLOOKUP(A168,symbol_2[[symbol]:[DelPer3]],13,)</f>
        <v>21.73</v>
      </c>
      <c r="AU168" s="1">
        <f>VLOOKUP(A168,symbol_2[[symbol]:[DelPer4]],17,)</f>
        <v>18.96</v>
      </c>
      <c r="AV168" s="1">
        <f>VLOOKUP(A168,symbol_2[[symbol]:[DelPer5]],21,)</f>
        <v>50.18</v>
      </c>
      <c r="AW168" s="49" t="str">
        <f t="shared" si="160"/>
        <v>N</v>
      </c>
      <c r="AX168" s="49" t="str">
        <f t="shared" si="161"/>
        <v>Y</v>
      </c>
      <c r="AY168" s="49" t="str">
        <f t="shared" si="162"/>
        <v>N</v>
      </c>
      <c r="AZ168" s="49" t="str">
        <f t="shared" si="163"/>
        <v>Y</v>
      </c>
      <c r="BA168" s="1">
        <f t="shared" si="164"/>
        <v>-5.6800000000000015</v>
      </c>
      <c r="BB168" s="1">
        <f t="shared" si="165"/>
        <v>11.22</v>
      </c>
      <c r="BC168" s="1">
        <f t="shared" si="166"/>
        <v>-2.7699999999999996</v>
      </c>
      <c r="BD168" s="1">
        <f t="shared" si="167"/>
        <v>31.22</v>
      </c>
    </row>
    <row r="169" spans="1:56" hidden="1" x14ac:dyDescent="0.35">
      <c r="A169" s="1" t="s">
        <v>194</v>
      </c>
      <c r="B169" s="1" t="s">
        <v>1006</v>
      </c>
      <c r="C169" s="1" t="s">
        <v>52</v>
      </c>
      <c r="D169" s="1" t="s">
        <v>199</v>
      </c>
      <c r="E169" s="1">
        <f>VLOOKUP(A169,symbol_2[[symbol]:[Price1]],2,)</f>
        <v>339.35</v>
      </c>
      <c r="F169" s="1">
        <f>VLOOKUP(A169,symbol_2[[symbol]:[Price2]],6,)</f>
        <v>330.7</v>
      </c>
      <c r="G169" s="1">
        <f>VLOOKUP(A169,symbol_2[[symbol]:[Price3]],10,)</f>
        <v>330</v>
      </c>
      <c r="H169" s="1">
        <f>VLOOKUP(A169,symbol_2[[symbol]:[Price4]],14,)</f>
        <v>332.55</v>
      </c>
      <c r="I169" s="1">
        <f>VLOOKUP(A169,symbol_2[[symbol]:[Price5]],18,)</f>
        <v>347.25</v>
      </c>
      <c r="J169" s="49" t="str">
        <f t="shared" si="144"/>
        <v>N</v>
      </c>
      <c r="K169" s="49" t="str">
        <f t="shared" si="145"/>
        <v>N</v>
      </c>
      <c r="L169" s="49" t="str">
        <f t="shared" si="146"/>
        <v>Y</v>
      </c>
      <c r="M169" s="49" t="str">
        <f t="shared" si="147"/>
        <v>Y</v>
      </c>
      <c r="N169" s="52">
        <f t="shared" si="148"/>
        <v>-2.5489907175482638</v>
      </c>
      <c r="O169" s="52">
        <f t="shared" si="149"/>
        <v>-0.21167221046265156</v>
      </c>
      <c r="P169" s="52">
        <f t="shared" si="150"/>
        <v>0.77272727272727615</v>
      </c>
      <c r="Q169" s="52">
        <f t="shared" si="151"/>
        <v>4.420387911592238</v>
      </c>
      <c r="R169" s="1">
        <f>VLOOKUP(A169,symbol_2[[symbol]:[TV1]],3,)</f>
        <v>2.95</v>
      </c>
      <c r="S169" s="1">
        <f>VLOOKUP(A169,symbol_2[[symbol]:[TV2]],7,)</f>
        <v>2.06</v>
      </c>
      <c r="T169" s="1">
        <f>VLOOKUP(A169,symbol_2[[symbol]:[TV3]],11,)</f>
        <v>1.04</v>
      </c>
      <c r="U169" s="1">
        <f>VLOOKUP(A169,symbol_2[[symbol]:[TV4]],15,)</f>
        <v>3.03</v>
      </c>
      <c r="V169" s="1">
        <f>VLOOKUP(A169,symbol_2[[symbol]:[TV5]],19,)</f>
        <v>1.63</v>
      </c>
      <c r="W169" s="1" t="str">
        <f t="shared" si="152"/>
        <v>N</v>
      </c>
      <c r="X169" s="1" t="str">
        <f t="shared" si="153"/>
        <v>N</v>
      </c>
      <c r="Y169" s="1" t="str">
        <f t="shared" si="154"/>
        <v>Y</v>
      </c>
      <c r="Z169" s="1" t="str">
        <f t="shared" si="155"/>
        <v>N</v>
      </c>
      <c r="AA169" s="1">
        <f>VLOOKUP(A171,symbol_2[[symbol]:[TradedValue1]],4,)</f>
        <v>452.94</v>
      </c>
      <c r="AB169" s="1">
        <f>VLOOKUP(A169,symbol_2[[symbol]:[TradedValue2]],8,)</f>
        <v>696.9</v>
      </c>
      <c r="AC169" s="1">
        <f>VLOOKUP(A169,symbol_2[[symbol]:[TradedValue3]],12,)</f>
        <v>344.21</v>
      </c>
      <c r="AD169" s="1">
        <f>VLOOKUP(A169,symbol_2[[symbol]:[TradedValue4]],16,)</f>
        <v>1036.98</v>
      </c>
      <c r="AE169" s="1">
        <f>VLOOKUP(A169,symbol_2[[symbol]:[TradedValue5]],20,)</f>
        <v>557.16</v>
      </c>
      <c r="AF169" s="1">
        <f>Table2[[#This Row],[TradedValue2]]-Table2[[#This Row],[TradedValue1]]</f>
        <v>243.95999999999998</v>
      </c>
      <c r="AG169" s="1">
        <f>Table2[[#This Row],[TradedValue3]]-Table2[[#This Row],[TradedValue2]]</f>
        <v>-352.69</v>
      </c>
      <c r="AH169" s="1">
        <f>Table2[[#This Row],[TradedValue4]]-Table2[[#This Row],[TradedValue3]]</f>
        <v>692.77</v>
      </c>
      <c r="AI169" s="1">
        <f>Table2[[#This Row],[TradedValue5]]-Table2[[#This Row],[TradedValue4]]</f>
        <v>-479.82000000000005</v>
      </c>
      <c r="AJ169" s="49" t="str">
        <f>IF(Table2[[#This Row],[TradedValue2]]&gt;Table2[[#This Row],[TradedValue1]],"Y","N")</f>
        <v>Y</v>
      </c>
      <c r="AK169" s="49" t="str">
        <f>IF(Table2[[#This Row],[TradedValue3]]&gt;Table2[[#This Row],[TradedValue2]],"Y","N")</f>
        <v>N</v>
      </c>
      <c r="AL169" s="49" t="str">
        <f>IF(Table2[[#This Row],[TradedValue5]]&gt;Table2[[#This Row],[TradedValue3]],"Y","N")</f>
        <v>Y</v>
      </c>
      <c r="AM169" s="49" t="str">
        <f>IF(Table2[[#This Row],[TradedValue5]]&gt;Table2[[#This Row],[TradedValue4]],"Y","N")</f>
        <v>N</v>
      </c>
      <c r="AN169" s="1">
        <f t="shared" si="156"/>
        <v>-0.89000000000000012</v>
      </c>
      <c r="AO169" s="1">
        <f t="shared" si="157"/>
        <v>-1.02</v>
      </c>
      <c r="AP169" s="1">
        <f t="shared" si="158"/>
        <v>1.9899999999999998</v>
      </c>
      <c r="AQ169" s="1">
        <f t="shared" si="159"/>
        <v>-1.4</v>
      </c>
      <c r="AR169" s="1">
        <f>VLOOKUP(A169,symbol_2[[symbol]:[DelPer1]],5,)</f>
        <v>23.38</v>
      </c>
      <c r="AS169" s="1">
        <f>VLOOKUP(A169,symbol_2[[symbol]:[DelPer2]],9,)</f>
        <v>10.83</v>
      </c>
      <c r="AT169" s="1">
        <f>VLOOKUP(A169,symbol_2[[symbol]:[DelPer3]],13,)</f>
        <v>13.87</v>
      </c>
      <c r="AU169" s="1">
        <f>VLOOKUP(A169,symbol_2[[symbol]:[DelPer4]],17,)</f>
        <v>17.170000000000002</v>
      </c>
      <c r="AV169" s="1">
        <f>VLOOKUP(A169,symbol_2[[symbol]:[DelPer5]],21,)</f>
        <v>22.62</v>
      </c>
      <c r="AW169" s="49" t="str">
        <f t="shared" si="160"/>
        <v>N</v>
      </c>
      <c r="AX169" s="49" t="str">
        <f t="shared" si="161"/>
        <v>Y</v>
      </c>
      <c r="AY169" s="49" t="str">
        <f t="shared" si="162"/>
        <v>Y</v>
      </c>
      <c r="AZ169" s="49" t="str">
        <f t="shared" si="163"/>
        <v>Y</v>
      </c>
      <c r="BA169" s="1">
        <f t="shared" si="164"/>
        <v>-12.549999999999999</v>
      </c>
      <c r="BB169" s="1">
        <f t="shared" si="165"/>
        <v>3.0399999999999991</v>
      </c>
      <c r="BC169" s="1">
        <f t="shared" si="166"/>
        <v>3.3000000000000025</v>
      </c>
      <c r="BD169" s="1">
        <f t="shared" si="167"/>
        <v>5.4499999999999993</v>
      </c>
    </row>
    <row r="170" spans="1:56" hidden="1" x14ac:dyDescent="0.35">
      <c r="A170" s="1" t="s">
        <v>111</v>
      </c>
      <c r="B170" s="1" t="s">
        <v>1021</v>
      </c>
      <c r="C170" s="1" t="s">
        <v>52</v>
      </c>
      <c r="D170" s="1" t="s">
        <v>199</v>
      </c>
      <c r="E170" s="1">
        <f>VLOOKUP(A170,symbol_2[[symbol]:[Price1]],2,)</f>
        <v>261.10000000000002</v>
      </c>
      <c r="F170" s="1">
        <f>VLOOKUP(A170,symbol_2[[symbol]:[Price2]],6,)</f>
        <v>255.25</v>
      </c>
      <c r="G170" s="1">
        <f>VLOOKUP(A170,symbol_2[[symbol]:[Price3]],10,)</f>
        <v>250.45</v>
      </c>
      <c r="H170" s="1">
        <f>VLOOKUP(A170,symbol_2[[symbol]:[Price4]],14,)</f>
        <v>248.6</v>
      </c>
      <c r="I170" s="1">
        <f>VLOOKUP(A170,symbol_2[[symbol]:[Price5]],18,)</f>
        <v>252.8</v>
      </c>
      <c r="J170" s="49" t="str">
        <f t="shared" si="144"/>
        <v>N</v>
      </c>
      <c r="K170" s="49" t="str">
        <f t="shared" si="145"/>
        <v>N</v>
      </c>
      <c r="L170" s="49" t="str">
        <f t="shared" si="146"/>
        <v>N</v>
      </c>
      <c r="M170" s="49" t="str">
        <f t="shared" si="147"/>
        <v>Y</v>
      </c>
      <c r="N170" s="52">
        <f t="shared" si="148"/>
        <v>-2.2405208732286566</v>
      </c>
      <c r="O170" s="52">
        <f t="shared" si="149"/>
        <v>-1.8805093046033345</v>
      </c>
      <c r="P170" s="52">
        <f t="shared" si="150"/>
        <v>-0.73867039329207207</v>
      </c>
      <c r="Q170" s="52">
        <f t="shared" si="151"/>
        <v>1.6894609814963866</v>
      </c>
      <c r="R170" s="1">
        <f>VLOOKUP(A170,symbol_2[[symbol]:[TV1]],3,)</f>
        <v>0.77</v>
      </c>
      <c r="S170" s="1">
        <f>VLOOKUP(A170,symbol_2[[symbol]:[TV2]],7,)</f>
        <v>0.61</v>
      </c>
      <c r="T170" s="1">
        <f>VLOOKUP(A170,symbol_2[[symbol]:[TV3]],11,)</f>
        <v>1.34</v>
      </c>
      <c r="U170" s="1">
        <f>VLOOKUP(A170,symbol_2[[symbol]:[TV4]],15,)</f>
        <v>0.78</v>
      </c>
      <c r="V170" s="1">
        <f>VLOOKUP(A170,symbol_2[[symbol]:[TV5]],19,)</f>
        <v>0.92</v>
      </c>
      <c r="W170" s="1" t="str">
        <f t="shared" si="152"/>
        <v>N</v>
      </c>
      <c r="X170" s="1" t="str">
        <f t="shared" si="153"/>
        <v>Y</v>
      </c>
      <c r="Y170" s="1" t="str">
        <f t="shared" si="154"/>
        <v>N</v>
      </c>
      <c r="Z170" s="1" t="str">
        <f t="shared" si="155"/>
        <v>Y</v>
      </c>
      <c r="AA170" s="1">
        <f>VLOOKUP(A172,symbol_2[[symbol]:[TradedValue1]],4,)</f>
        <v>1110.05</v>
      </c>
      <c r="AB170" s="1">
        <f>VLOOKUP(A170,symbol_2[[symbol]:[TradedValue2]],8,)</f>
        <v>156.6</v>
      </c>
      <c r="AC170" s="1">
        <f>VLOOKUP(A170,symbol_2[[symbol]:[TradedValue3]],12,)</f>
        <v>337.15</v>
      </c>
      <c r="AD170" s="1">
        <f>VLOOKUP(A170,symbol_2[[symbol]:[TradedValue4]],16,)</f>
        <v>196.85</v>
      </c>
      <c r="AE170" s="1">
        <f>VLOOKUP(A170,symbol_2[[symbol]:[TradedValue5]],20,)</f>
        <v>230.18</v>
      </c>
      <c r="AF170" s="1">
        <f>Table2[[#This Row],[TradedValue2]]-Table2[[#This Row],[TradedValue1]]</f>
        <v>-953.44999999999993</v>
      </c>
      <c r="AG170" s="1">
        <f>Table2[[#This Row],[TradedValue3]]-Table2[[#This Row],[TradedValue2]]</f>
        <v>180.54999999999998</v>
      </c>
      <c r="AH170" s="1">
        <f>Table2[[#This Row],[TradedValue4]]-Table2[[#This Row],[TradedValue3]]</f>
        <v>-140.29999999999998</v>
      </c>
      <c r="AI170" s="1">
        <f>Table2[[#This Row],[TradedValue5]]-Table2[[#This Row],[TradedValue4]]</f>
        <v>33.330000000000013</v>
      </c>
      <c r="AJ170" s="49" t="str">
        <f>IF(Table2[[#This Row],[TradedValue2]]&gt;Table2[[#This Row],[TradedValue1]],"Y","N")</f>
        <v>N</v>
      </c>
      <c r="AK170" s="49" t="str">
        <f>IF(Table2[[#This Row],[TradedValue3]]&gt;Table2[[#This Row],[TradedValue2]],"Y","N")</f>
        <v>Y</v>
      </c>
      <c r="AL170" s="49" t="str">
        <f>IF(Table2[[#This Row],[TradedValue5]]&gt;Table2[[#This Row],[TradedValue3]],"Y","N")</f>
        <v>N</v>
      </c>
      <c r="AM170" s="49" t="str">
        <f>IF(Table2[[#This Row],[TradedValue5]]&gt;Table2[[#This Row],[TradedValue4]],"Y","N")</f>
        <v>Y</v>
      </c>
      <c r="AN170" s="1">
        <f t="shared" si="156"/>
        <v>-0.16000000000000003</v>
      </c>
      <c r="AO170" s="1">
        <f t="shared" si="157"/>
        <v>0.73000000000000009</v>
      </c>
      <c r="AP170" s="1">
        <f t="shared" si="158"/>
        <v>-0.56000000000000005</v>
      </c>
      <c r="AQ170" s="1">
        <f t="shared" si="159"/>
        <v>0.14000000000000001</v>
      </c>
      <c r="AR170" s="1">
        <f>VLOOKUP(A170,symbol_2[[symbol]:[DelPer1]],5,)</f>
        <v>40.020000000000003</v>
      </c>
      <c r="AS170" s="1">
        <f>VLOOKUP(A170,symbol_2[[symbol]:[DelPer2]],9,)</f>
        <v>50.19</v>
      </c>
      <c r="AT170" s="1">
        <f>VLOOKUP(A170,symbol_2[[symbol]:[DelPer3]],13,)</f>
        <v>64.7</v>
      </c>
      <c r="AU170" s="1">
        <f>VLOOKUP(A170,symbol_2[[symbol]:[DelPer4]],17,)</f>
        <v>52.9</v>
      </c>
      <c r="AV170" s="1">
        <f>VLOOKUP(A170,symbol_2[[symbol]:[DelPer5]],21,)</f>
        <v>39.5</v>
      </c>
      <c r="AW170" s="49" t="str">
        <f t="shared" si="160"/>
        <v>Y</v>
      </c>
      <c r="AX170" s="49" t="str">
        <f t="shared" si="161"/>
        <v>Y</v>
      </c>
      <c r="AY170" s="49" t="str">
        <f t="shared" si="162"/>
        <v>N</v>
      </c>
      <c r="AZ170" s="49" t="str">
        <f t="shared" si="163"/>
        <v>N</v>
      </c>
      <c r="BA170" s="1">
        <f t="shared" si="164"/>
        <v>10.169999999999995</v>
      </c>
      <c r="BB170" s="1">
        <f t="shared" si="165"/>
        <v>14.510000000000005</v>
      </c>
      <c r="BC170" s="1">
        <f t="shared" si="166"/>
        <v>-11.800000000000004</v>
      </c>
      <c r="BD170" s="1">
        <f t="shared" si="167"/>
        <v>-13.399999999999999</v>
      </c>
    </row>
    <row r="171" spans="1:56" hidden="1" x14ac:dyDescent="0.35">
      <c r="A171" s="1" t="s">
        <v>60</v>
      </c>
      <c r="B171" s="1" t="s">
        <v>1014</v>
      </c>
      <c r="C171" s="1" t="s">
        <v>52</v>
      </c>
      <c r="D171" s="1" t="s">
        <v>199</v>
      </c>
      <c r="E171" s="1">
        <f>VLOOKUP(A171,symbol_2[[symbol]:[Price1]],2,)</f>
        <v>640.85</v>
      </c>
      <c r="F171" s="1">
        <f>VLOOKUP(A171,symbol_2[[symbol]:[Price2]],6,)</f>
        <v>629.1</v>
      </c>
      <c r="G171" s="1">
        <f>VLOOKUP(A171,symbol_2[[symbol]:[Price3]],10,)</f>
        <v>616.1</v>
      </c>
      <c r="H171" s="1">
        <f>VLOOKUP(A171,symbol_2[[symbol]:[Price4]],14,)</f>
        <v>621.9</v>
      </c>
      <c r="I171" s="1">
        <f>VLOOKUP(A171,symbol_2[[symbol]:[Price5]],18,)</f>
        <v>638.6</v>
      </c>
      <c r="J171" s="49" t="str">
        <f t="shared" si="144"/>
        <v>N</v>
      </c>
      <c r="K171" s="49" t="str">
        <f t="shared" si="145"/>
        <v>N</v>
      </c>
      <c r="L171" s="49" t="str">
        <f t="shared" si="146"/>
        <v>Y</v>
      </c>
      <c r="M171" s="49" t="str">
        <f t="shared" si="147"/>
        <v>Y</v>
      </c>
      <c r="N171" s="52">
        <f t="shared" si="148"/>
        <v>-1.8335023796520244</v>
      </c>
      <c r="O171" s="52">
        <f t="shared" si="149"/>
        <v>-2.0664441265299636</v>
      </c>
      <c r="P171" s="52">
        <f t="shared" si="150"/>
        <v>0.9414056159714258</v>
      </c>
      <c r="Q171" s="52">
        <f t="shared" si="151"/>
        <v>2.6853191831484233</v>
      </c>
      <c r="R171" s="1">
        <f>VLOOKUP(A171,symbol_2[[symbol]:[TV1]],3,)</f>
        <v>0.7</v>
      </c>
      <c r="S171" s="1">
        <f>VLOOKUP(A171,symbol_2[[symbol]:[TV2]],7,)</f>
        <v>0.18</v>
      </c>
      <c r="T171" s="1">
        <f>VLOOKUP(A171,symbol_2[[symbol]:[TV3]],11,)</f>
        <v>1</v>
      </c>
      <c r="U171" s="1">
        <f>VLOOKUP(A171,symbol_2[[symbol]:[TV4]],15,)</f>
        <v>0.34</v>
      </c>
      <c r="V171" s="1">
        <f>VLOOKUP(A171,symbol_2[[symbol]:[TV5]],19,)</f>
        <v>0.69</v>
      </c>
      <c r="W171" s="1" t="str">
        <f t="shared" si="152"/>
        <v>N</v>
      </c>
      <c r="X171" s="1" t="str">
        <f t="shared" si="153"/>
        <v>Y</v>
      </c>
      <c r="Y171" s="1" t="str">
        <f t="shared" si="154"/>
        <v>N</v>
      </c>
      <c r="Z171" s="1" t="str">
        <f t="shared" si="155"/>
        <v>Y</v>
      </c>
      <c r="AA171" s="1">
        <f>VLOOKUP(A171,symbol_2[[symbol]:[TradedValue1]],4,)</f>
        <v>452.94</v>
      </c>
      <c r="AB171" s="1">
        <f>VLOOKUP(A171,symbol_2[[symbol]:[TradedValue2]],8,)</f>
        <v>114.33</v>
      </c>
      <c r="AC171" s="1">
        <f>VLOOKUP(A171,symbol_2[[symbol]:[TradedValue3]],12,)</f>
        <v>610.6</v>
      </c>
      <c r="AD171" s="1">
        <f>VLOOKUP(A171,symbol_2[[symbol]:[TradedValue4]],16,)</f>
        <v>210.83</v>
      </c>
      <c r="AE171" s="1">
        <f>VLOOKUP(A171,symbol_2[[symbol]:[TradedValue5]],20,)</f>
        <v>432.62</v>
      </c>
      <c r="AF171" s="1">
        <f>Table2[[#This Row],[TradedValue2]]-Table2[[#This Row],[TradedValue1]]</f>
        <v>-338.61</v>
      </c>
      <c r="AG171" s="1">
        <f>Table2[[#This Row],[TradedValue3]]-Table2[[#This Row],[TradedValue2]]</f>
        <v>496.27000000000004</v>
      </c>
      <c r="AH171" s="1">
        <f>Table2[[#This Row],[TradedValue4]]-Table2[[#This Row],[TradedValue3]]</f>
        <v>-399.77</v>
      </c>
      <c r="AI171" s="1">
        <f>Table2[[#This Row],[TradedValue5]]-Table2[[#This Row],[TradedValue4]]</f>
        <v>221.79</v>
      </c>
      <c r="AJ171" s="49" t="str">
        <f>IF(Table2[[#This Row],[TradedValue2]]&gt;Table2[[#This Row],[TradedValue1]],"Y","N")</f>
        <v>N</v>
      </c>
      <c r="AK171" s="49" t="str">
        <f>IF(Table2[[#This Row],[TradedValue3]]&gt;Table2[[#This Row],[TradedValue2]],"Y","N")</f>
        <v>Y</v>
      </c>
      <c r="AL171" s="49" t="str">
        <f>IF(Table2[[#This Row],[TradedValue5]]&gt;Table2[[#This Row],[TradedValue3]],"Y","N")</f>
        <v>N</v>
      </c>
      <c r="AM171" s="49" t="str">
        <f>IF(Table2[[#This Row],[TradedValue5]]&gt;Table2[[#This Row],[TradedValue4]],"Y","N")</f>
        <v>Y</v>
      </c>
      <c r="AN171" s="1">
        <f t="shared" si="156"/>
        <v>-0.52</v>
      </c>
      <c r="AO171" s="1">
        <f t="shared" si="157"/>
        <v>0.82000000000000006</v>
      </c>
      <c r="AP171" s="1">
        <f t="shared" si="158"/>
        <v>-0.65999999999999992</v>
      </c>
      <c r="AQ171" s="1">
        <f t="shared" si="159"/>
        <v>0.34999999999999992</v>
      </c>
      <c r="AR171" s="1">
        <f>VLOOKUP(A171,symbol_2[[symbol]:[DelPer1]],5,)</f>
        <v>57.67</v>
      </c>
      <c r="AS171" s="1">
        <f>VLOOKUP(A171,symbol_2[[symbol]:[DelPer2]],9,)</f>
        <v>22.95</v>
      </c>
      <c r="AT171" s="1">
        <f>VLOOKUP(A171,symbol_2[[symbol]:[DelPer3]],13,)</f>
        <v>20.63</v>
      </c>
      <c r="AU171" s="1">
        <f>VLOOKUP(A171,symbol_2[[symbol]:[DelPer4]],17,)</f>
        <v>27.32</v>
      </c>
      <c r="AV171" s="1">
        <f>VLOOKUP(A171,symbol_2[[symbol]:[DelPer5]],21,)</f>
        <v>35.700000000000003</v>
      </c>
      <c r="AW171" s="49" t="str">
        <f t="shared" si="160"/>
        <v>N</v>
      </c>
      <c r="AX171" s="49" t="str">
        <f t="shared" si="161"/>
        <v>N</v>
      </c>
      <c r="AY171" s="49" t="str">
        <f t="shared" si="162"/>
        <v>Y</v>
      </c>
      <c r="AZ171" s="49" t="str">
        <f t="shared" si="163"/>
        <v>Y</v>
      </c>
      <c r="BA171" s="1">
        <f t="shared" si="164"/>
        <v>-34.72</v>
      </c>
      <c r="BB171" s="1">
        <f t="shared" si="165"/>
        <v>-2.3200000000000003</v>
      </c>
      <c r="BC171" s="1">
        <f t="shared" si="166"/>
        <v>6.6900000000000013</v>
      </c>
      <c r="BD171" s="1">
        <f t="shared" si="167"/>
        <v>8.3800000000000026</v>
      </c>
    </row>
    <row r="172" spans="1:56" x14ac:dyDescent="0.35">
      <c r="A172" s="1" t="s">
        <v>135</v>
      </c>
      <c r="B172" s="1" t="s">
        <v>1006</v>
      </c>
      <c r="C172" s="1" t="s">
        <v>52</v>
      </c>
      <c r="D172" s="1" t="s">
        <v>199</v>
      </c>
      <c r="E172" s="1">
        <f>VLOOKUP(A172,symbol_2[[symbol]:[Price1]],2,)</f>
        <v>408.85</v>
      </c>
      <c r="F172" s="1">
        <f>VLOOKUP(A172,symbol_2[[symbol]:[Price2]],6,)</f>
        <v>402.95</v>
      </c>
      <c r="G172" s="1">
        <f>VLOOKUP(A172,symbol_2[[symbol]:[Price3]],10,)</f>
        <v>400.95</v>
      </c>
      <c r="H172" s="1">
        <f>VLOOKUP(A172,symbol_2[[symbol]:[Price4]],14,)</f>
        <v>401.45</v>
      </c>
      <c r="I172" s="1">
        <f>VLOOKUP(A172,symbol_2[[symbol]:[Price5]],18,)</f>
        <v>408</v>
      </c>
      <c r="J172" s="49" t="str">
        <f t="shared" si="144"/>
        <v>N</v>
      </c>
      <c r="K172" s="49" t="str">
        <f t="shared" si="145"/>
        <v>N</v>
      </c>
      <c r="L172" s="49" t="str">
        <f t="shared" si="146"/>
        <v>Y</v>
      </c>
      <c r="M172" s="49" t="str">
        <f t="shared" si="147"/>
        <v>Y</v>
      </c>
      <c r="N172" s="52">
        <f t="shared" si="148"/>
        <v>-1.4430720313073337</v>
      </c>
      <c r="O172" s="52">
        <f t="shared" si="149"/>
        <v>-0.49633949621541135</v>
      </c>
      <c r="P172" s="52">
        <f t="shared" si="150"/>
        <v>0.12470382840753212</v>
      </c>
      <c r="Q172" s="52">
        <f t="shared" si="151"/>
        <v>1.6315855025532473</v>
      </c>
      <c r="R172" s="1">
        <f>VLOOKUP(A172,symbol_2[[symbol]:[TV1]],3,)</f>
        <v>2.73</v>
      </c>
      <c r="S172" s="1">
        <f>VLOOKUP(A172,symbol_2[[symbol]:[TV2]],7,)</f>
        <v>1.57</v>
      </c>
      <c r="T172" s="1">
        <f>VLOOKUP(A172,symbol_2[[symbol]:[TV3]],11,)</f>
        <v>2.7</v>
      </c>
      <c r="U172" s="1">
        <f>VLOOKUP(A172,symbol_2[[symbol]:[TV4]],15,)</f>
        <v>4.01</v>
      </c>
      <c r="V172" s="1">
        <f>VLOOKUP(A172,symbol_2[[symbol]:[TV5]],19,)</f>
        <v>4.24</v>
      </c>
      <c r="W172" s="1" t="str">
        <f t="shared" si="152"/>
        <v>N</v>
      </c>
      <c r="X172" s="1" t="str">
        <f t="shared" si="153"/>
        <v>Y</v>
      </c>
      <c r="Y172" s="1" t="str">
        <f t="shared" si="154"/>
        <v>Y</v>
      </c>
      <c r="Z172" s="1" t="str">
        <f t="shared" si="155"/>
        <v>Y</v>
      </c>
      <c r="AA172" s="1">
        <f>VLOOKUP(A172,symbol_2[[symbol]:[TradedValue1]],4,)</f>
        <v>1110.05</v>
      </c>
      <c r="AB172" s="1">
        <f>VLOOKUP(A172,symbol_2[[symbol]:[TradedValue2]],8,)</f>
        <v>638.26</v>
      </c>
      <c r="AC172" s="1">
        <f>VLOOKUP(A172,symbol_2[[symbol]:[TradedValue3]],12,)</f>
        <v>1067.78</v>
      </c>
      <c r="AD172" s="1">
        <f>VLOOKUP(A172,symbol_2[[symbol]:[TradedValue4]],16,)</f>
        <v>1639.2</v>
      </c>
      <c r="AE172" s="1">
        <f>VLOOKUP(A172,symbol_2[[symbol]:[TradedValue5]],20,)</f>
        <v>1735.55</v>
      </c>
      <c r="AF172" s="1">
        <f>Table2[[#This Row],[TradedValue2]]-Table2[[#This Row],[TradedValue1]]</f>
        <v>-471.78999999999996</v>
      </c>
      <c r="AG172" s="1">
        <f>Table2[[#This Row],[TradedValue3]]-Table2[[#This Row],[TradedValue2]]</f>
        <v>429.52</v>
      </c>
      <c r="AH172" s="1">
        <f>Table2[[#This Row],[TradedValue4]]-Table2[[#This Row],[TradedValue3]]</f>
        <v>571.42000000000007</v>
      </c>
      <c r="AI172" s="1">
        <f>Table2[[#This Row],[TradedValue5]]-Table2[[#This Row],[TradedValue4]]</f>
        <v>96.349999999999909</v>
      </c>
      <c r="AJ172" s="49" t="str">
        <f>IF(Table2[[#This Row],[TradedValue2]]&gt;Table2[[#This Row],[TradedValue1]],"Y","N")</f>
        <v>N</v>
      </c>
      <c r="AK172" s="49" t="str">
        <f>IF(Table2[[#This Row],[TradedValue3]]&gt;Table2[[#This Row],[TradedValue2]],"Y","N")</f>
        <v>Y</v>
      </c>
      <c r="AL172" s="49" t="str">
        <f>IF(Table2[[#This Row],[TradedValue5]]&gt;Table2[[#This Row],[TradedValue3]],"Y","N")</f>
        <v>Y</v>
      </c>
      <c r="AM172" s="49" t="str">
        <f>IF(Table2[[#This Row],[TradedValue5]]&gt;Table2[[#This Row],[TradedValue4]],"Y","N")</f>
        <v>Y</v>
      </c>
      <c r="AN172" s="1">
        <f t="shared" si="156"/>
        <v>-1.1599999999999999</v>
      </c>
      <c r="AO172" s="1">
        <f t="shared" si="157"/>
        <v>1.1300000000000001</v>
      </c>
      <c r="AP172" s="1">
        <f t="shared" si="158"/>
        <v>1.3099999999999996</v>
      </c>
      <c r="AQ172" s="1">
        <f t="shared" si="159"/>
        <v>0.23000000000000043</v>
      </c>
      <c r="AR172" s="1">
        <f>VLOOKUP(A172,symbol_2[[symbol]:[DelPer1]],5,)</f>
        <v>51.55</v>
      </c>
      <c r="AS172" s="1">
        <f>VLOOKUP(A172,symbol_2[[symbol]:[DelPer2]],9,)</f>
        <v>46.23</v>
      </c>
      <c r="AT172" s="1">
        <f>VLOOKUP(A172,symbol_2[[symbol]:[DelPer3]],13,)</f>
        <v>50.07</v>
      </c>
      <c r="AU172" s="1">
        <f>VLOOKUP(A172,symbol_2[[symbol]:[DelPer4]],17,)</f>
        <v>50.55</v>
      </c>
      <c r="AV172" s="1">
        <f>VLOOKUP(A172,symbol_2[[symbol]:[DelPer5]],21,)</f>
        <v>66.94</v>
      </c>
      <c r="AW172" s="49" t="str">
        <f t="shared" si="160"/>
        <v>N</v>
      </c>
      <c r="AX172" s="49" t="str">
        <f t="shared" si="161"/>
        <v>Y</v>
      </c>
      <c r="AY172" s="49" t="str">
        <f t="shared" si="162"/>
        <v>Y</v>
      </c>
      <c r="AZ172" s="49" t="str">
        <f t="shared" si="163"/>
        <v>Y</v>
      </c>
      <c r="BA172" s="1">
        <f t="shared" si="164"/>
        <v>-5.32</v>
      </c>
      <c r="BB172" s="1">
        <f t="shared" si="165"/>
        <v>3.8400000000000034</v>
      </c>
      <c r="BC172" s="1">
        <f t="shared" si="166"/>
        <v>0.47999999999999687</v>
      </c>
      <c r="BD172" s="1">
        <f t="shared" si="167"/>
        <v>16.39</v>
      </c>
    </row>
    <row r="173" spans="1:56" x14ac:dyDescent="0.35">
      <c r="A173" s="1" t="s">
        <v>99</v>
      </c>
      <c r="B173" s="1" t="s">
        <v>1014</v>
      </c>
      <c r="C173" s="1" t="s">
        <v>52</v>
      </c>
      <c r="D173" s="1" t="s">
        <v>199</v>
      </c>
      <c r="E173" s="1">
        <f>VLOOKUP(A173,symbol_2[[symbol]:[Price1]],2,)</f>
        <v>588.65</v>
      </c>
      <c r="F173" s="1">
        <f>VLOOKUP(A173,symbol_2[[symbol]:[Price2]],6,)</f>
        <v>595.75</v>
      </c>
      <c r="G173" s="1">
        <f>VLOOKUP(A173,symbol_2[[symbol]:[Price3]],10,)</f>
        <v>594.35</v>
      </c>
      <c r="H173" s="1">
        <f>VLOOKUP(A173,symbol_2[[symbol]:[Price4]],14,)</f>
        <v>602.95000000000005</v>
      </c>
      <c r="I173" s="1">
        <f>VLOOKUP(A173,symbol_2[[symbol]:[Price5]],18,)</f>
        <v>634.9</v>
      </c>
      <c r="J173" s="49" t="str">
        <f t="shared" si="144"/>
        <v>Y</v>
      </c>
      <c r="K173" s="49" t="str">
        <f t="shared" si="145"/>
        <v>N</v>
      </c>
      <c r="L173" s="49" t="str">
        <f t="shared" si="146"/>
        <v>Y</v>
      </c>
      <c r="M173" s="49" t="str">
        <f t="shared" si="147"/>
        <v>Y</v>
      </c>
      <c r="N173" s="52">
        <f t="shared" si="148"/>
        <v>1.2061496644865408</v>
      </c>
      <c r="O173" s="52">
        <f t="shared" si="149"/>
        <v>-0.23499790180444435</v>
      </c>
      <c r="P173" s="52">
        <f t="shared" si="150"/>
        <v>1.4469588626230374</v>
      </c>
      <c r="Q173" s="52">
        <f t="shared" si="151"/>
        <v>5.2989468446803096</v>
      </c>
      <c r="R173" s="1">
        <f>VLOOKUP(A173,symbol_2[[symbol]:[TV1]],3,)</f>
        <v>2.19</v>
      </c>
      <c r="S173" s="1">
        <f>VLOOKUP(A173,symbol_2[[symbol]:[TV2]],7,)</f>
        <v>3.11</v>
      </c>
      <c r="T173" s="1">
        <f>VLOOKUP(A173,symbol_2[[symbol]:[TV3]],11,)</f>
        <v>1.36</v>
      </c>
      <c r="U173" s="1">
        <f>VLOOKUP(A173,symbol_2[[symbol]:[TV4]],15,)</f>
        <v>3.02</v>
      </c>
      <c r="V173" s="1">
        <f>VLOOKUP(A173,symbol_2[[symbol]:[TV5]],19,)</f>
        <v>3.42</v>
      </c>
      <c r="W173" s="1" t="str">
        <f t="shared" si="152"/>
        <v>Y</v>
      </c>
      <c r="X173" s="1" t="str">
        <f t="shared" si="153"/>
        <v>N</v>
      </c>
      <c r="Y173" s="1" t="str">
        <f t="shared" si="154"/>
        <v>Y</v>
      </c>
      <c r="Z173" s="1" t="str">
        <f t="shared" si="155"/>
        <v>Y</v>
      </c>
      <c r="AA173" s="1">
        <f>VLOOKUP(A175,symbol_2[[symbol]:[TradedValue1]],4,)</f>
        <v>329.47</v>
      </c>
      <c r="AB173" s="1">
        <f>VLOOKUP(A173,symbol_2[[symbol]:[TradedValue2]],8,)</f>
        <v>1863.88</v>
      </c>
      <c r="AC173" s="1">
        <f>VLOOKUP(A173,symbol_2[[symbol]:[TradedValue3]],12,)</f>
        <v>810.33</v>
      </c>
      <c r="AD173" s="1">
        <f>VLOOKUP(A173,symbol_2[[symbol]:[TradedValue4]],16,)</f>
        <v>1841.81</v>
      </c>
      <c r="AE173" s="1">
        <f>VLOOKUP(A173,symbol_2[[symbol]:[TradedValue5]],20,)</f>
        <v>2144.08</v>
      </c>
      <c r="AF173" s="1">
        <f>Table2[[#This Row],[TradedValue2]]-Table2[[#This Row],[TradedValue1]]</f>
        <v>1534.41</v>
      </c>
      <c r="AG173" s="1">
        <f>Table2[[#This Row],[TradedValue3]]-Table2[[#This Row],[TradedValue2]]</f>
        <v>-1053.5500000000002</v>
      </c>
      <c r="AH173" s="1">
        <f>Table2[[#This Row],[TradedValue4]]-Table2[[#This Row],[TradedValue3]]</f>
        <v>1031.48</v>
      </c>
      <c r="AI173" s="1">
        <f>Table2[[#This Row],[TradedValue5]]-Table2[[#This Row],[TradedValue4]]</f>
        <v>302.27</v>
      </c>
      <c r="AJ173" s="49" t="str">
        <f>IF(Table2[[#This Row],[TradedValue2]]&gt;Table2[[#This Row],[TradedValue1]],"Y","N")</f>
        <v>Y</v>
      </c>
      <c r="AK173" s="49" t="str">
        <f>IF(Table2[[#This Row],[TradedValue3]]&gt;Table2[[#This Row],[TradedValue2]],"Y","N")</f>
        <v>N</v>
      </c>
      <c r="AL173" s="49" t="str">
        <f>IF(Table2[[#This Row],[TradedValue5]]&gt;Table2[[#This Row],[TradedValue3]],"Y","N")</f>
        <v>Y</v>
      </c>
      <c r="AM173" s="49" t="str">
        <f>IF(Table2[[#This Row],[TradedValue5]]&gt;Table2[[#This Row],[TradedValue4]],"Y","N")</f>
        <v>Y</v>
      </c>
      <c r="AN173" s="1">
        <f t="shared" si="156"/>
        <v>0.91999999999999993</v>
      </c>
      <c r="AO173" s="1">
        <f t="shared" si="157"/>
        <v>-1.7499999999999998</v>
      </c>
      <c r="AP173" s="1">
        <f t="shared" si="158"/>
        <v>1.66</v>
      </c>
      <c r="AQ173" s="1">
        <f t="shared" si="159"/>
        <v>0.39999999999999991</v>
      </c>
      <c r="AR173" s="1">
        <f>VLOOKUP(A173,symbol_2[[symbol]:[DelPer1]],5,)</f>
        <v>17.61</v>
      </c>
      <c r="AS173" s="1">
        <f>VLOOKUP(A173,symbol_2[[symbol]:[DelPer2]],9,)</f>
        <v>17.72</v>
      </c>
      <c r="AT173" s="1">
        <f>VLOOKUP(A173,symbol_2[[symbol]:[DelPer3]],13,)</f>
        <v>16.399999999999999</v>
      </c>
      <c r="AU173" s="1">
        <f>VLOOKUP(A173,symbol_2[[symbol]:[DelPer4]],17,)</f>
        <v>17.72</v>
      </c>
      <c r="AV173" s="1">
        <f>VLOOKUP(A173,symbol_2[[symbol]:[DelPer5]],21,)</f>
        <v>24.57</v>
      </c>
      <c r="AW173" s="49" t="str">
        <f t="shared" si="160"/>
        <v>Y</v>
      </c>
      <c r="AX173" s="49" t="str">
        <f t="shared" si="161"/>
        <v>N</v>
      </c>
      <c r="AY173" s="49" t="str">
        <f t="shared" si="162"/>
        <v>Y</v>
      </c>
      <c r="AZ173" s="49" t="str">
        <f t="shared" si="163"/>
        <v>Y</v>
      </c>
      <c r="BA173" s="1">
        <f t="shared" si="164"/>
        <v>0.10999999999999943</v>
      </c>
      <c r="BB173" s="1">
        <f t="shared" si="165"/>
        <v>-1.3200000000000003</v>
      </c>
      <c r="BC173" s="1">
        <f t="shared" si="166"/>
        <v>1.3200000000000003</v>
      </c>
      <c r="BD173" s="1">
        <f t="shared" si="167"/>
        <v>6.8500000000000014</v>
      </c>
    </row>
    <row r="174" spans="1:56" hidden="1" x14ac:dyDescent="0.35">
      <c r="A174" s="108" t="s">
        <v>56</v>
      </c>
      <c r="B174" s="1" t="s">
        <v>1023</v>
      </c>
      <c r="C174" s="1" t="s">
        <v>52</v>
      </c>
      <c r="D174" s="1" t="s">
        <v>199</v>
      </c>
      <c r="E174" s="1">
        <f>VLOOKUP(A174,symbol_2[[symbol]:[Price1]],2,)</f>
        <v>151.94999999999999</v>
      </c>
      <c r="F174" s="1">
        <f>VLOOKUP(A174,symbol_2[[symbol]:[Price2]],6,)</f>
        <v>154.65</v>
      </c>
      <c r="G174" s="1">
        <f>VLOOKUP(A174,symbol_2[[symbol]:[Price3]],10,)</f>
        <v>157.94999999999999</v>
      </c>
      <c r="H174" s="1">
        <f>VLOOKUP(A174,symbol_2[[symbol]:[Price4]],14,)</f>
        <v>161.05000000000001</v>
      </c>
      <c r="I174" s="1">
        <f>VLOOKUP(A174,symbol_2[[symbol]:[Price5]],18,)</f>
        <v>156.4</v>
      </c>
      <c r="J174" s="109" t="str">
        <f t="shared" si="144"/>
        <v>Y</v>
      </c>
      <c r="K174" s="109" t="str">
        <f t="shared" si="145"/>
        <v>Y</v>
      </c>
      <c r="L174" s="109" t="str">
        <f t="shared" si="146"/>
        <v>Y</v>
      </c>
      <c r="M174" s="109" t="str">
        <f t="shared" si="147"/>
        <v>N</v>
      </c>
      <c r="N174" s="110">
        <f t="shared" si="148"/>
        <v>1.7769002961500608</v>
      </c>
      <c r="O174" s="110">
        <f t="shared" si="149"/>
        <v>2.1338506304558571</v>
      </c>
      <c r="P174" s="110">
        <f t="shared" si="150"/>
        <v>1.962646407090866</v>
      </c>
      <c r="Q174" s="110">
        <f t="shared" si="151"/>
        <v>-2.8873020800993512</v>
      </c>
      <c r="R174" s="1">
        <f>VLOOKUP(A174,symbol_2[[symbol]:[TV1]],3,)</f>
        <v>37.67</v>
      </c>
      <c r="S174" s="1">
        <f>VLOOKUP(A174,symbol_2[[symbol]:[TV2]],7,)</f>
        <v>39.729999999999997</v>
      </c>
      <c r="T174" s="1">
        <f>VLOOKUP(A174,symbol_2[[symbol]:[TV3]],11,)</f>
        <v>13.57</v>
      </c>
      <c r="U174" s="1">
        <f>VLOOKUP(A174,symbol_2[[symbol]:[TV4]],15,)</f>
        <v>61.33</v>
      </c>
      <c r="V174" s="1">
        <f>VLOOKUP(A174,symbol_2[[symbol]:[TV5]],19,)</f>
        <v>19.440000000000001</v>
      </c>
      <c r="W174" s="1" t="str">
        <f t="shared" si="152"/>
        <v>Y</v>
      </c>
      <c r="X174" s="1" t="str">
        <f t="shared" si="153"/>
        <v>N</v>
      </c>
      <c r="Y174" s="1" t="str">
        <f t="shared" si="154"/>
        <v>Y</v>
      </c>
      <c r="Z174" s="1" t="str">
        <f t="shared" si="155"/>
        <v>N</v>
      </c>
      <c r="AA174" s="1">
        <f>VLOOKUP(A174,symbol_2[[symbol]:[TradedValue1]],4,)</f>
        <v>5366.62</v>
      </c>
      <c r="AB174" s="1">
        <f>VLOOKUP(A174,symbol_2[[symbol]:[TradedValue2]],8,)</f>
        <v>6108.95</v>
      </c>
      <c r="AC174" s="1">
        <f>VLOOKUP(A174,symbol_2[[symbol]:[TradedValue3]],12,)</f>
        <v>2120.7399999999998</v>
      </c>
      <c r="AD174" s="1">
        <f>VLOOKUP(A174,symbol_2[[symbol]:[TradedValue4]],16,)</f>
        <v>10410.64</v>
      </c>
      <c r="AE174" s="1">
        <f>VLOOKUP(A174,symbol_2[[symbol]:[TradedValue5]],20,)</f>
        <v>3028.28</v>
      </c>
      <c r="AF174" s="1">
        <f>Table2[[#This Row],[TradedValue2]]-Table2[[#This Row],[TradedValue1]]</f>
        <v>742.32999999999993</v>
      </c>
      <c r="AG174" s="1">
        <f>Table2[[#This Row],[TradedValue3]]-Table2[[#This Row],[TradedValue2]]</f>
        <v>-3988.21</v>
      </c>
      <c r="AH174" s="1">
        <f>Table2[[#This Row],[TradedValue4]]-Table2[[#This Row],[TradedValue3]]</f>
        <v>8289.9</v>
      </c>
      <c r="AI174" s="1">
        <f>Table2[[#This Row],[TradedValue5]]-Table2[[#This Row],[TradedValue4]]</f>
        <v>-7382.3599999999988</v>
      </c>
      <c r="AJ174" s="109" t="str">
        <f>IF(Table2[[#This Row],[TradedValue2]]&gt;Table2[[#This Row],[TradedValue1]],"Y","N")</f>
        <v>Y</v>
      </c>
      <c r="AK174" s="109" t="str">
        <f>IF(Table2[[#This Row],[TradedValue3]]&gt;Table2[[#This Row],[TradedValue2]],"Y","N")</f>
        <v>N</v>
      </c>
      <c r="AL174" s="109" t="str">
        <f>IF(Table2[[#This Row],[TradedValue5]]&gt;Table2[[#This Row],[TradedValue3]],"Y","N")</f>
        <v>Y</v>
      </c>
      <c r="AM174" s="109" t="str">
        <f>IF(Table2[[#This Row],[TradedValue5]]&gt;Table2[[#This Row],[TradedValue4]],"Y","N")</f>
        <v>N</v>
      </c>
      <c r="AN174" s="1">
        <f t="shared" si="156"/>
        <v>2.0599999999999952</v>
      </c>
      <c r="AO174" s="1">
        <f t="shared" si="157"/>
        <v>-26.159999999999997</v>
      </c>
      <c r="AP174" s="1">
        <f t="shared" si="158"/>
        <v>47.76</v>
      </c>
      <c r="AQ174" s="1">
        <f t="shared" si="159"/>
        <v>-41.89</v>
      </c>
      <c r="AR174" s="1">
        <f>VLOOKUP(A174,symbol_2[[symbol]:[DelPer1]],5,)</f>
        <v>12.41</v>
      </c>
      <c r="AS174" s="1">
        <f>VLOOKUP(A174,symbol_2[[symbol]:[DelPer2]],9,)</f>
        <v>4.74</v>
      </c>
      <c r="AT174" s="1">
        <f>VLOOKUP(A174,symbol_2[[symbol]:[DelPer3]],13,)</f>
        <v>11.46</v>
      </c>
      <c r="AU174" s="1">
        <f>VLOOKUP(A174,symbol_2[[symbol]:[DelPer4]],17,)</f>
        <v>7.54</v>
      </c>
      <c r="AV174" s="1">
        <f>VLOOKUP(A174,symbol_2[[symbol]:[DelPer5]],21,)</f>
        <v>6.86</v>
      </c>
      <c r="AW174" s="109" t="str">
        <f t="shared" si="160"/>
        <v>N</v>
      </c>
      <c r="AX174" s="109" t="str">
        <f t="shared" si="161"/>
        <v>Y</v>
      </c>
      <c r="AY174" s="109" t="str">
        <f t="shared" si="162"/>
        <v>N</v>
      </c>
      <c r="AZ174" s="109" t="str">
        <f t="shared" si="163"/>
        <v>N</v>
      </c>
      <c r="BA174" s="1">
        <f t="shared" si="164"/>
        <v>-7.67</v>
      </c>
      <c r="BB174" s="1">
        <f t="shared" si="165"/>
        <v>6.7200000000000006</v>
      </c>
      <c r="BC174" s="1">
        <f t="shared" si="166"/>
        <v>-3.9200000000000008</v>
      </c>
      <c r="BD174" s="1">
        <f t="shared" si="167"/>
        <v>-0.67999999999999972</v>
      </c>
    </row>
    <row r="175" spans="1:56" hidden="1" x14ac:dyDescent="0.35">
      <c r="A175" s="1" t="s">
        <v>98</v>
      </c>
      <c r="B175" s="1" t="s">
        <v>1006</v>
      </c>
      <c r="C175" s="1" t="s">
        <v>52</v>
      </c>
      <c r="D175" s="1" t="s">
        <v>199</v>
      </c>
      <c r="E175" s="1">
        <f>VLOOKUP(A175,symbol_2[[symbol]:[Price1]],2,)</f>
        <v>135.85</v>
      </c>
      <c r="F175" s="1">
        <f>VLOOKUP(A175,symbol_2[[symbol]:[Price2]],6,)</f>
        <v>132.85</v>
      </c>
      <c r="G175" s="1">
        <f>VLOOKUP(A175,symbol_2[[symbol]:[Price3]],10,)</f>
        <v>133.19999999999999</v>
      </c>
      <c r="H175" s="1">
        <f>VLOOKUP(A175,symbol_2[[symbol]:[Price4]],14,)</f>
        <v>134.4</v>
      </c>
      <c r="I175" s="1">
        <f>VLOOKUP(A175,symbol_2[[symbol]:[Price5]],18,)</f>
        <v>137.05000000000001</v>
      </c>
      <c r="J175" s="49" t="str">
        <f t="shared" si="144"/>
        <v>N</v>
      </c>
      <c r="K175" s="49" t="str">
        <f t="shared" si="145"/>
        <v>Y</v>
      </c>
      <c r="L175" s="49" t="str">
        <f t="shared" si="146"/>
        <v>Y</v>
      </c>
      <c r="M175" s="49" t="str">
        <f t="shared" si="147"/>
        <v>Y</v>
      </c>
      <c r="N175" s="52">
        <f t="shared" si="148"/>
        <v>-2.2083179977916823</v>
      </c>
      <c r="O175" s="52">
        <f t="shared" si="149"/>
        <v>0.26345502446367658</v>
      </c>
      <c r="P175" s="52">
        <f t="shared" si="150"/>
        <v>0.90090090090091368</v>
      </c>
      <c r="Q175" s="52">
        <f t="shared" si="151"/>
        <v>1.9717261904761947</v>
      </c>
      <c r="R175" s="1">
        <f>VLOOKUP(A175,symbol_2[[symbol]:[TV1]],3,)</f>
        <v>2.44</v>
      </c>
      <c r="S175" s="1">
        <f>VLOOKUP(A175,symbol_2[[symbol]:[TV2]],7,)</f>
        <v>0.73</v>
      </c>
      <c r="T175" s="1">
        <f>VLOOKUP(A175,symbol_2[[symbol]:[TV3]],11,)</f>
        <v>1.06</v>
      </c>
      <c r="U175" s="1">
        <f>VLOOKUP(A175,symbol_2[[symbol]:[TV4]],15,)</f>
        <v>6</v>
      </c>
      <c r="V175" s="1">
        <f>VLOOKUP(A175,symbol_2[[symbol]:[TV5]],19,)</f>
        <v>1.57</v>
      </c>
      <c r="W175" s="1" t="str">
        <f t="shared" si="152"/>
        <v>N</v>
      </c>
      <c r="X175" s="1" t="str">
        <f t="shared" si="153"/>
        <v>Y</v>
      </c>
      <c r="Y175" s="1" t="str">
        <f t="shared" si="154"/>
        <v>Y</v>
      </c>
      <c r="Z175" s="1" t="str">
        <f t="shared" si="155"/>
        <v>N</v>
      </c>
      <c r="AA175" s="1">
        <f>VLOOKUP(A175,symbol_2[[symbol]:[TradedValue1]],4,)</f>
        <v>329.47</v>
      </c>
      <c r="AB175" s="1">
        <f>VLOOKUP(A175,symbol_2[[symbol]:[TradedValue2]],8,)</f>
        <v>97.51</v>
      </c>
      <c r="AC175" s="1">
        <f>VLOOKUP(A175,symbol_2[[symbol]:[TradedValue3]],12,)</f>
        <v>139.99</v>
      </c>
      <c r="AD175" s="1">
        <f>VLOOKUP(A175,symbol_2[[symbol]:[TradedValue4]],16,)</f>
        <v>821.94</v>
      </c>
      <c r="AE175" s="1">
        <f>VLOOKUP(A175,symbol_2[[symbol]:[TradedValue5]],20,)</f>
        <v>214.65</v>
      </c>
      <c r="AF175" s="1">
        <f>Table2[[#This Row],[TradedValue2]]-Table2[[#This Row],[TradedValue1]]</f>
        <v>-231.96000000000004</v>
      </c>
      <c r="AG175" s="1">
        <f>Table2[[#This Row],[TradedValue3]]-Table2[[#This Row],[TradedValue2]]</f>
        <v>42.480000000000004</v>
      </c>
      <c r="AH175" s="1">
        <f>Table2[[#This Row],[TradedValue4]]-Table2[[#This Row],[TradedValue3]]</f>
        <v>681.95</v>
      </c>
      <c r="AI175" s="1">
        <f>Table2[[#This Row],[TradedValue5]]-Table2[[#This Row],[TradedValue4]]</f>
        <v>-607.29000000000008</v>
      </c>
      <c r="AJ175" s="49" t="str">
        <f>IF(Table2[[#This Row],[TradedValue2]]&gt;Table2[[#This Row],[TradedValue1]],"Y","N")</f>
        <v>N</v>
      </c>
      <c r="AK175" s="49" t="str">
        <f>IF(Table2[[#This Row],[TradedValue3]]&gt;Table2[[#This Row],[TradedValue2]],"Y","N")</f>
        <v>Y</v>
      </c>
      <c r="AL175" s="49" t="str">
        <f>IF(Table2[[#This Row],[TradedValue5]]&gt;Table2[[#This Row],[TradedValue3]],"Y","N")</f>
        <v>Y</v>
      </c>
      <c r="AM175" s="49" t="str">
        <f>IF(Table2[[#This Row],[TradedValue5]]&gt;Table2[[#This Row],[TradedValue4]],"Y","N")</f>
        <v>N</v>
      </c>
      <c r="AN175" s="1">
        <f t="shared" si="156"/>
        <v>-1.71</v>
      </c>
      <c r="AO175" s="1">
        <f t="shared" si="157"/>
        <v>0.33000000000000007</v>
      </c>
      <c r="AP175" s="1">
        <f t="shared" si="158"/>
        <v>4.9399999999999995</v>
      </c>
      <c r="AQ175" s="1">
        <f t="shared" si="159"/>
        <v>-4.43</v>
      </c>
      <c r="AR175" s="1">
        <f>VLOOKUP(A175,symbol_2[[symbol]:[DelPer1]],5,)</f>
        <v>47.88</v>
      </c>
      <c r="AS175" s="1">
        <f>VLOOKUP(A175,symbol_2[[symbol]:[DelPer2]],9,)</f>
        <v>25.11</v>
      </c>
      <c r="AT175" s="1">
        <f>VLOOKUP(A175,symbol_2[[symbol]:[DelPer3]],13,)</f>
        <v>37.130000000000003</v>
      </c>
      <c r="AU175" s="1">
        <f>VLOOKUP(A175,symbol_2[[symbol]:[DelPer4]],17,)</f>
        <v>41.88</v>
      </c>
      <c r="AV175" s="1">
        <f>VLOOKUP(A175,symbol_2[[symbol]:[DelPer5]],21,)</f>
        <v>36.130000000000003</v>
      </c>
      <c r="AW175" s="49" t="str">
        <f t="shared" si="160"/>
        <v>N</v>
      </c>
      <c r="AX175" s="49" t="str">
        <f t="shared" si="161"/>
        <v>Y</v>
      </c>
      <c r="AY175" s="49" t="str">
        <f t="shared" si="162"/>
        <v>Y</v>
      </c>
      <c r="AZ175" s="49" t="str">
        <f t="shared" si="163"/>
        <v>N</v>
      </c>
      <c r="BA175" s="1">
        <f t="shared" si="164"/>
        <v>-22.770000000000003</v>
      </c>
      <c r="BB175" s="1">
        <f t="shared" si="165"/>
        <v>12.020000000000003</v>
      </c>
      <c r="BC175" s="1">
        <f t="shared" si="166"/>
        <v>4.75</v>
      </c>
      <c r="BD175" s="1">
        <f t="shared" si="167"/>
        <v>-5.75</v>
      </c>
    </row>
    <row r="176" spans="1:56" hidden="1" x14ac:dyDescent="0.35">
      <c r="A176" s="1" t="s">
        <v>118</v>
      </c>
      <c r="B176" s="1" t="s">
        <v>1008</v>
      </c>
      <c r="C176" s="1" t="s">
        <v>52</v>
      </c>
      <c r="D176" s="1" t="s">
        <v>199</v>
      </c>
      <c r="E176" s="1">
        <f>VLOOKUP(A176,symbol_2[[symbol]:[Price1]],2,)</f>
        <v>102.7</v>
      </c>
      <c r="F176" s="1">
        <f>VLOOKUP(A176,symbol_2[[symbol]:[Price2]],6,)</f>
        <v>99.8</v>
      </c>
      <c r="G176" s="1">
        <f>VLOOKUP(A176,symbol_2[[symbol]:[Price3]],10,)</f>
        <v>100.75</v>
      </c>
      <c r="H176" s="1">
        <f>VLOOKUP(A176,symbol_2[[symbol]:[Price4]],14,)</f>
        <v>102.1</v>
      </c>
      <c r="I176" s="1">
        <f>VLOOKUP(A176,symbol_2[[symbol]:[Price5]],18,)</f>
        <v>114.4</v>
      </c>
      <c r="J176" s="49" t="str">
        <f t="shared" si="144"/>
        <v>N</v>
      </c>
      <c r="K176" s="49" t="str">
        <f t="shared" si="145"/>
        <v>Y</v>
      </c>
      <c r="L176" s="49" t="str">
        <f t="shared" si="146"/>
        <v>Y</v>
      </c>
      <c r="M176" s="49" t="str">
        <f t="shared" si="147"/>
        <v>Y</v>
      </c>
      <c r="N176" s="52">
        <f t="shared" si="148"/>
        <v>-2.8237585199610571</v>
      </c>
      <c r="O176" s="52">
        <f t="shared" si="149"/>
        <v>0.9519038076152333</v>
      </c>
      <c r="P176" s="52">
        <f t="shared" si="150"/>
        <v>1.3399503722084312</v>
      </c>
      <c r="Q176" s="52">
        <f t="shared" si="151"/>
        <v>12.047012732615094</v>
      </c>
      <c r="R176" s="1">
        <f>VLOOKUP(A176,symbol_2[[symbol]:[TV1]],3,)</f>
        <v>8.19</v>
      </c>
      <c r="S176" s="1">
        <f>VLOOKUP(A176,symbol_2[[symbol]:[TV2]],7,)</f>
        <v>4.6500000000000004</v>
      </c>
      <c r="T176" s="1">
        <f>VLOOKUP(A176,symbol_2[[symbol]:[TV3]],11,)</f>
        <v>4.3</v>
      </c>
      <c r="U176" s="1">
        <f>VLOOKUP(A176,symbol_2[[symbol]:[TV4]],15,)</f>
        <v>11.57</v>
      </c>
      <c r="V176" s="1">
        <f>VLOOKUP(A176,symbol_2[[symbol]:[TV5]],19,)</f>
        <v>19.02</v>
      </c>
      <c r="W176" s="1" t="str">
        <f t="shared" si="152"/>
        <v>N</v>
      </c>
      <c r="X176" s="1" t="str">
        <f t="shared" si="153"/>
        <v>N</v>
      </c>
      <c r="Y176" s="1" t="str">
        <f t="shared" si="154"/>
        <v>Y</v>
      </c>
      <c r="Z176" s="1" t="str">
        <f t="shared" si="155"/>
        <v>Y</v>
      </c>
      <c r="AA176" s="1">
        <f>VLOOKUP(A176,symbol_2[[symbol]:[TradedValue1]],4,)</f>
        <v>833.82</v>
      </c>
      <c r="AB176" s="1">
        <f>VLOOKUP(A176,symbol_2[[symbol]:[TradedValue2]],8,)</f>
        <v>469.44</v>
      </c>
      <c r="AC176" s="1">
        <f>VLOOKUP(A176,symbol_2[[symbol]:[TradedValue3]],12,)</f>
        <v>430.54</v>
      </c>
      <c r="AD176" s="1">
        <f>VLOOKUP(A176,symbol_2[[symbol]:[TradedValue4]],16,)</f>
        <v>1221.53</v>
      </c>
      <c r="AE176" s="1">
        <f>VLOOKUP(A176,symbol_2[[symbol]:[TradedValue5]],20,)</f>
        <v>2101.7399999999998</v>
      </c>
      <c r="AF176" s="1">
        <f>Table2[[#This Row],[TradedValue2]]-Table2[[#This Row],[TradedValue1]]</f>
        <v>-364.38000000000005</v>
      </c>
      <c r="AG176" s="1">
        <f>Table2[[#This Row],[TradedValue3]]-Table2[[#This Row],[TradedValue2]]</f>
        <v>-38.899999999999977</v>
      </c>
      <c r="AH176" s="1">
        <f>Table2[[#This Row],[TradedValue4]]-Table2[[#This Row],[TradedValue3]]</f>
        <v>790.99</v>
      </c>
      <c r="AI176" s="1">
        <f>Table2[[#This Row],[TradedValue5]]-Table2[[#This Row],[TradedValue4]]</f>
        <v>880.20999999999981</v>
      </c>
      <c r="AJ176" s="49" t="str">
        <f>IF(Table2[[#This Row],[TradedValue2]]&gt;Table2[[#This Row],[TradedValue1]],"Y","N")</f>
        <v>N</v>
      </c>
      <c r="AK176" s="49" t="str">
        <f>IF(Table2[[#This Row],[TradedValue3]]&gt;Table2[[#This Row],[TradedValue2]],"Y","N")</f>
        <v>N</v>
      </c>
      <c r="AL176" s="49" t="str">
        <f>IF(Table2[[#This Row],[TradedValue5]]&gt;Table2[[#This Row],[TradedValue3]],"Y","N")</f>
        <v>Y</v>
      </c>
      <c r="AM176" s="49" t="str">
        <f>IF(Table2[[#This Row],[TradedValue5]]&gt;Table2[[#This Row],[TradedValue4]],"Y","N")</f>
        <v>Y</v>
      </c>
      <c r="AN176" s="1">
        <f t="shared" si="156"/>
        <v>-3.5399999999999991</v>
      </c>
      <c r="AO176" s="1">
        <f t="shared" si="157"/>
        <v>-0.35000000000000053</v>
      </c>
      <c r="AP176" s="1">
        <f t="shared" si="158"/>
        <v>7.2700000000000005</v>
      </c>
      <c r="AQ176" s="1">
        <f t="shared" si="159"/>
        <v>7.4499999999999993</v>
      </c>
      <c r="AR176" s="1">
        <f>VLOOKUP(A176,symbol_2[[symbol]:[DelPer1]],5,)</f>
        <v>22.79</v>
      </c>
      <c r="AS176" s="1">
        <f>VLOOKUP(A176,symbol_2[[symbol]:[DelPer2]],9,)</f>
        <v>14.41</v>
      </c>
      <c r="AT176" s="1">
        <f>VLOOKUP(A176,symbol_2[[symbol]:[DelPer3]],13,)</f>
        <v>14.3</v>
      </c>
      <c r="AU176" s="1">
        <f>VLOOKUP(A176,symbol_2[[symbol]:[DelPer4]],17,)</f>
        <v>11.88</v>
      </c>
      <c r="AV176" s="1">
        <f>VLOOKUP(A176,symbol_2[[symbol]:[DelPer5]],21,)</f>
        <v>15.42</v>
      </c>
      <c r="AW176" s="49" t="str">
        <f t="shared" si="160"/>
        <v>N</v>
      </c>
      <c r="AX176" s="49" t="str">
        <f t="shared" si="161"/>
        <v>N</v>
      </c>
      <c r="AY176" s="49" t="str">
        <f t="shared" si="162"/>
        <v>N</v>
      </c>
      <c r="AZ176" s="49" t="str">
        <f t="shared" si="163"/>
        <v>Y</v>
      </c>
      <c r="BA176" s="1">
        <f t="shared" si="164"/>
        <v>-8.379999999999999</v>
      </c>
      <c r="BB176" s="1">
        <f t="shared" si="165"/>
        <v>-0.10999999999999943</v>
      </c>
      <c r="BC176" s="1">
        <f t="shared" si="166"/>
        <v>-2.42</v>
      </c>
      <c r="BD176" s="1">
        <f t="shared" si="167"/>
        <v>3.5399999999999991</v>
      </c>
    </row>
    <row r="177" spans="1:56" hidden="1" x14ac:dyDescent="0.35">
      <c r="A177" s="1" t="s">
        <v>1</v>
      </c>
      <c r="B177" s="1" t="s">
        <v>1008</v>
      </c>
      <c r="C177" s="1" t="s">
        <v>52</v>
      </c>
      <c r="D177" s="1" t="s">
        <v>199</v>
      </c>
      <c r="E177" s="1">
        <f>VLOOKUP(A177,symbol_2[[symbol]:[Price1]],2,)</f>
        <v>1662.95</v>
      </c>
      <c r="F177" s="1">
        <f>VLOOKUP(A177,symbol_2[[symbol]:[Price2]],6,)</f>
        <v>1609.85</v>
      </c>
      <c r="G177" s="1">
        <f>VLOOKUP(A177,symbol_2[[symbol]:[Price3]],10,)</f>
        <v>1615</v>
      </c>
      <c r="H177" s="1">
        <f>VLOOKUP(A177,symbol_2[[symbol]:[Price4]],14,)</f>
        <v>1639.8</v>
      </c>
      <c r="I177" s="1">
        <f>VLOOKUP(A177,symbol_2[[symbol]:[Price5]],18,)</f>
        <v>1704.9</v>
      </c>
      <c r="J177" s="49" t="str">
        <f t="shared" si="144"/>
        <v>N</v>
      </c>
      <c r="K177" s="49" t="str">
        <f t="shared" si="145"/>
        <v>Y</v>
      </c>
      <c r="L177" s="49" t="str">
        <f t="shared" si="146"/>
        <v>Y</v>
      </c>
      <c r="M177" s="49" t="str">
        <f t="shared" si="147"/>
        <v>Y</v>
      </c>
      <c r="N177" s="52">
        <f t="shared" si="148"/>
        <v>-3.1931206590697334</v>
      </c>
      <c r="O177" s="52">
        <f t="shared" si="149"/>
        <v>0.31990558126534097</v>
      </c>
      <c r="P177" s="52">
        <f t="shared" si="150"/>
        <v>1.5356037151702757</v>
      </c>
      <c r="Q177" s="52">
        <f t="shared" si="151"/>
        <v>3.9699963410172052</v>
      </c>
      <c r="R177" s="1">
        <f>VLOOKUP(A177,symbol_2[[symbol]:[TV1]],3,)</f>
        <v>0.59</v>
      </c>
      <c r="S177" s="1">
        <f>VLOOKUP(A177,symbol_2[[symbol]:[TV2]],7,)</f>
        <v>1</v>
      </c>
      <c r="T177" s="1">
        <f>VLOOKUP(A177,symbol_2[[symbol]:[TV3]],11,)</f>
        <v>0.57999999999999996</v>
      </c>
      <c r="U177" s="1">
        <f>VLOOKUP(A177,symbol_2[[symbol]:[TV4]],15,)</f>
        <v>0.96</v>
      </c>
      <c r="V177" s="1">
        <f>VLOOKUP(A177,symbol_2[[symbol]:[TV5]],19,)</f>
        <v>0.89</v>
      </c>
      <c r="W177" s="1" t="str">
        <f t="shared" si="152"/>
        <v>Y</v>
      </c>
      <c r="X177" s="1" t="str">
        <f t="shared" si="153"/>
        <v>N</v>
      </c>
      <c r="Y177" s="1" t="str">
        <f t="shared" si="154"/>
        <v>Y</v>
      </c>
      <c r="Z177" s="1" t="str">
        <f t="shared" si="155"/>
        <v>N</v>
      </c>
      <c r="AA177" s="1">
        <f>VLOOKUP(A177,symbol_2[[symbol]:[TradedValue1]],4,)</f>
        <v>978.17</v>
      </c>
      <c r="AB177" s="1">
        <f>VLOOKUP(A177,symbol_2[[symbol]:[TradedValue2]],8,)</f>
        <v>1625.04</v>
      </c>
      <c r="AC177" s="1">
        <f>VLOOKUP(A177,symbol_2[[symbol]:[TradedValue3]],12,)</f>
        <v>939.72</v>
      </c>
      <c r="AD177" s="1">
        <f>VLOOKUP(A177,symbol_2[[symbol]:[TradedValue4]],16,)</f>
        <v>1583.65</v>
      </c>
      <c r="AE177" s="1">
        <f>VLOOKUP(A177,symbol_2[[symbol]:[TradedValue5]],20,)</f>
        <v>1503.79</v>
      </c>
      <c r="AF177" s="1">
        <f>Table2[[#This Row],[TradedValue2]]-Table2[[#This Row],[TradedValue1]]</f>
        <v>646.87</v>
      </c>
      <c r="AG177" s="1">
        <f>Table2[[#This Row],[TradedValue3]]-Table2[[#This Row],[TradedValue2]]</f>
        <v>-685.31999999999994</v>
      </c>
      <c r="AH177" s="1">
        <f>Table2[[#This Row],[TradedValue4]]-Table2[[#This Row],[TradedValue3]]</f>
        <v>643.93000000000006</v>
      </c>
      <c r="AI177" s="1">
        <f>Table2[[#This Row],[TradedValue5]]-Table2[[#This Row],[TradedValue4]]</f>
        <v>-79.860000000000127</v>
      </c>
      <c r="AJ177" s="49" t="str">
        <f>IF(Table2[[#This Row],[TradedValue2]]&gt;Table2[[#This Row],[TradedValue1]],"Y","N")</f>
        <v>Y</v>
      </c>
      <c r="AK177" s="49" t="str">
        <f>IF(Table2[[#This Row],[TradedValue3]]&gt;Table2[[#This Row],[TradedValue2]],"Y","N")</f>
        <v>N</v>
      </c>
      <c r="AL177" s="49" t="str">
        <f>IF(Table2[[#This Row],[TradedValue5]]&gt;Table2[[#This Row],[TradedValue3]],"Y","N")</f>
        <v>Y</v>
      </c>
      <c r="AM177" s="49" t="str">
        <f>IF(Table2[[#This Row],[TradedValue5]]&gt;Table2[[#This Row],[TradedValue4]],"Y","N")</f>
        <v>N</v>
      </c>
      <c r="AN177" s="1">
        <f t="shared" si="156"/>
        <v>0.41000000000000003</v>
      </c>
      <c r="AO177" s="1">
        <f t="shared" si="157"/>
        <v>-0.42000000000000004</v>
      </c>
      <c r="AP177" s="1">
        <f t="shared" si="158"/>
        <v>0.38</v>
      </c>
      <c r="AQ177" s="1">
        <f t="shared" si="159"/>
        <v>-6.9999999999999951E-2</v>
      </c>
      <c r="AR177" s="1">
        <f>VLOOKUP(A177,symbol_2[[symbol]:[DelPer1]],5,)</f>
        <v>36.31</v>
      </c>
      <c r="AS177" s="1">
        <f>VLOOKUP(A177,symbol_2[[symbol]:[DelPer2]],9,)</f>
        <v>42.25</v>
      </c>
      <c r="AT177" s="1">
        <f>VLOOKUP(A177,symbol_2[[symbol]:[DelPer3]],13,)</f>
        <v>34.6</v>
      </c>
      <c r="AU177" s="1">
        <f>VLOOKUP(A177,symbol_2[[symbol]:[DelPer4]],17,)</f>
        <v>42.1</v>
      </c>
      <c r="AV177" s="1">
        <f>VLOOKUP(A177,symbol_2[[symbol]:[DelPer5]],21,)</f>
        <v>24.85</v>
      </c>
      <c r="AW177" s="49" t="str">
        <f t="shared" si="160"/>
        <v>Y</v>
      </c>
      <c r="AX177" s="49" t="str">
        <f t="shared" si="161"/>
        <v>N</v>
      </c>
      <c r="AY177" s="49" t="str">
        <f t="shared" si="162"/>
        <v>Y</v>
      </c>
      <c r="AZ177" s="49" t="str">
        <f t="shared" si="163"/>
        <v>N</v>
      </c>
      <c r="BA177" s="1">
        <f t="shared" si="164"/>
        <v>5.9399999999999977</v>
      </c>
      <c r="BB177" s="1">
        <f t="shared" si="165"/>
        <v>-7.6499999999999986</v>
      </c>
      <c r="BC177" s="1">
        <f t="shared" si="166"/>
        <v>7.5</v>
      </c>
      <c r="BD177" s="1">
        <f t="shared" si="167"/>
        <v>-17.25</v>
      </c>
    </row>
    <row r="178" spans="1:56" hidden="1" x14ac:dyDescent="0.35">
      <c r="A178" s="1" t="s">
        <v>14</v>
      </c>
      <c r="B178" s="1" t="s">
        <v>1009</v>
      </c>
      <c r="C178" s="1" t="s">
        <v>52</v>
      </c>
      <c r="D178" s="1" t="s">
        <v>199</v>
      </c>
      <c r="E178" s="1">
        <f>VLOOKUP(A178,symbol_2[[symbol]:[Price1]],2,)</f>
        <v>2589.4</v>
      </c>
      <c r="F178" s="1">
        <f>VLOOKUP(A178,symbol_2[[symbol]:[Price2]],6,)</f>
        <v>2667</v>
      </c>
      <c r="G178" s="1">
        <f>VLOOKUP(A178,symbol_2[[symbol]:[Price3]],10,)</f>
        <v>2657.75</v>
      </c>
      <c r="H178" s="1">
        <f>VLOOKUP(A178,symbol_2[[symbol]:[Price4]],14,)</f>
        <v>2637.3</v>
      </c>
      <c r="I178" s="1">
        <f>VLOOKUP(A178,symbol_2[[symbol]:[Price5]],18,)</f>
        <v>2663.9</v>
      </c>
      <c r="J178" s="49" t="str">
        <f t="shared" si="144"/>
        <v>Y</v>
      </c>
      <c r="K178" s="49" t="str">
        <f t="shared" si="145"/>
        <v>N</v>
      </c>
      <c r="L178" s="49" t="str">
        <f t="shared" si="146"/>
        <v>N</v>
      </c>
      <c r="M178" s="49" t="str">
        <f t="shared" si="147"/>
        <v>Y</v>
      </c>
      <c r="N178" s="52">
        <f t="shared" si="148"/>
        <v>2.9968332432223646</v>
      </c>
      <c r="O178" s="52">
        <f t="shared" si="149"/>
        <v>-0.34683164604424443</v>
      </c>
      <c r="P178" s="52">
        <f t="shared" si="150"/>
        <v>-0.7694478412190694</v>
      </c>
      <c r="Q178" s="52">
        <f t="shared" si="151"/>
        <v>1.0086072877564141</v>
      </c>
      <c r="R178" s="1">
        <f>VLOOKUP(A178,symbol_2[[symbol]:[TV1]],3,)</f>
        <v>2.66</v>
      </c>
      <c r="S178" s="1">
        <f>VLOOKUP(A178,symbol_2[[symbol]:[TV2]],7,)</f>
        <v>2.0099999999999998</v>
      </c>
      <c r="T178" s="1">
        <f>VLOOKUP(A178,symbol_2[[symbol]:[TV3]],11,)</f>
        <v>0.77</v>
      </c>
      <c r="U178" s="1">
        <f>VLOOKUP(A178,symbol_2[[symbol]:[TV4]],15,)</f>
        <v>0.55000000000000004</v>
      </c>
      <c r="V178" s="1">
        <f>VLOOKUP(A178,symbol_2[[symbol]:[TV5]],19,)</f>
        <v>0.47</v>
      </c>
      <c r="W178" s="1" t="str">
        <f t="shared" si="152"/>
        <v>N</v>
      </c>
      <c r="X178" s="1" t="str">
        <f t="shared" si="153"/>
        <v>N</v>
      </c>
      <c r="Y178" s="1" t="str">
        <f t="shared" si="154"/>
        <v>N</v>
      </c>
      <c r="Z178" s="1" t="str">
        <f t="shared" si="155"/>
        <v>N</v>
      </c>
      <c r="AA178" s="1">
        <f>VLOOKUP(A178,symbol_2[[symbol]:[TradedValue1]],4,)</f>
        <v>6902.19</v>
      </c>
      <c r="AB178" s="1">
        <f>VLOOKUP(A178,symbol_2[[symbol]:[TradedValue2]],8,)</f>
        <v>5368.66</v>
      </c>
      <c r="AC178" s="1">
        <f>VLOOKUP(A178,symbol_2[[symbol]:[TradedValue3]],12,)</f>
        <v>2032.14</v>
      </c>
      <c r="AD178" s="1">
        <f>VLOOKUP(A178,symbol_2[[symbol]:[TradedValue4]],16,)</f>
        <v>1453.08</v>
      </c>
      <c r="AE178" s="1">
        <f>VLOOKUP(A178,symbol_2[[symbol]:[TradedValue5]],20,)</f>
        <v>1250.69</v>
      </c>
      <c r="AF178" s="1">
        <f>Table2[[#This Row],[TradedValue2]]-Table2[[#This Row],[TradedValue1]]</f>
        <v>-1533.5299999999997</v>
      </c>
      <c r="AG178" s="1">
        <f>Table2[[#This Row],[TradedValue3]]-Table2[[#This Row],[TradedValue2]]</f>
        <v>-3336.5199999999995</v>
      </c>
      <c r="AH178" s="1">
        <f>Table2[[#This Row],[TradedValue4]]-Table2[[#This Row],[TradedValue3]]</f>
        <v>-579.06000000000017</v>
      </c>
      <c r="AI178" s="1">
        <f>Table2[[#This Row],[TradedValue5]]-Table2[[#This Row],[TradedValue4]]</f>
        <v>-202.38999999999987</v>
      </c>
      <c r="AJ178" s="49" t="str">
        <f>IF(Table2[[#This Row],[TradedValue2]]&gt;Table2[[#This Row],[TradedValue1]],"Y","N")</f>
        <v>N</v>
      </c>
      <c r="AK178" s="49" t="str">
        <f>IF(Table2[[#This Row],[TradedValue3]]&gt;Table2[[#This Row],[TradedValue2]],"Y","N")</f>
        <v>N</v>
      </c>
      <c r="AL178" s="49" t="str">
        <f>IF(Table2[[#This Row],[TradedValue5]]&gt;Table2[[#This Row],[TradedValue3]],"Y","N")</f>
        <v>N</v>
      </c>
      <c r="AM178" s="49" t="str">
        <f>IF(Table2[[#This Row],[TradedValue5]]&gt;Table2[[#This Row],[TradedValue4]],"Y","N")</f>
        <v>N</v>
      </c>
      <c r="AN178" s="1">
        <f t="shared" si="156"/>
        <v>-0.65000000000000036</v>
      </c>
      <c r="AO178" s="1">
        <f t="shared" si="157"/>
        <v>-1.2399999999999998</v>
      </c>
      <c r="AP178" s="1">
        <f t="shared" si="158"/>
        <v>-0.21999999999999997</v>
      </c>
      <c r="AQ178" s="1">
        <f t="shared" si="159"/>
        <v>-8.0000000000000071E-2</v>
      </c>
      <c r="AR178" s="1">
        <f>VLOOKUP(A178,symbol_2[[symbol]:[DelPer1]],5,)</f>
        <v>33.229999999999997</v>
      </c>
      <c r="AS178" s="1">
        <f>VLOOKUP(A178,symbol_2[[symbol]:[DelPer2]],9,)</f>
        <v>40.68</v>
      </c>
      <c r="AT178" s="1">
        <f>VLOOKUP(A178,symbol_2[[symbol]:[DelPer3]],13,)</f>
        <v>22.65</v>
      </c>
      <c r="AU178" s="1">
        <f>VLOOKUP(A178,symbol_2[[symbol]:[DelPer4]],17,)</f>
        <v>28.96</v>
      </c>
      <c r="AV178" s="1">
        <f>VLOOKUP(A178,symbol_2[[symbol]:[DelPer5]],21,)</f>
        <v>26.59</v>
      </c>
      <c r="AW178" s="49" t="str">
        <f t="shared" si="160"/>
        <v>Y</v>
      </c>
      <c r="AX178" s="49" t="str">
        <f t="shared" si="161"/>
        <v>N</v>
      </c>
      <c r="AY178" s="49" t="str">
        <f t="shared" si="162"/>
        <v>Y</v>
      </c>
      <c r="AZ178" s="49" t="str">
        <f t="shared" si="163"/>
        <v>N</v>
      </c>
      <c r="BA178" s="1">
        <f t="shared" si="164"/>
        <v>7.4500000000000028</v>
      </c>
      <c r="BB178" s="1">
        <f t="shared" si="165"/>
        <v>-18.03</v>
      </c>
      <c r="BC178" s="1">
        <f t="shared" si="166"/>
        <v>6.3100000000000023</v>
      </c>
      <c r="BD178" s="1">
        <f t="shared" si="167"/>
        <v>-2.370000000000001</v>
      </c>
    </row>
    <row r="179" spans="1:56" hidden="1" x14ac:dyDescent="0.35">
      <c r="A179" s="108" t="s">
        <v>149</v>
      </c>
      <c r="B179" s="1" t="s">
        <v>1008</v>
      </c>
      <c r="C179" s="1" t="s">
        <v>52</v>
      </c>
      <c r="D179" s="1" t="s">
        <v>199</v>
      </c>
      <c r="E179" s="1">
        <f>VLOOKUP(A179,symbol_2[[symbol]:[Price1]],2,)</f>
        <v>105.75</v>
      </c>
      <c r="F179" s="1">
        <f>VLOOKUP(A179,symbol_2[[symbol]:[Price2]],6,)</f>
        <v>107.1</v>
      </c>
      <c r="G179" s="1">
        <f>VLOOKUP(A179,symbol_2[[symbol]:[Price3]],10,)</f>
        <v>109.65</v>
      </c>
      <c r="H179" s="1">
        <f>VLOOKUP(A179,symbol_2[[symbol]:[Price4]],14,)</f>
        <v>108.85</v>
      </c>
      <c r="I179" s="1">
        <f>VLOOKUP(A179,symbol_2[[symbol]:[Price5]],18,)</f>
        <v>114.1</v>
      </c>
      <c r="J179" s="109" t="str">
        <f t="shared" si="144"/>
        <v>Y</v>
      </c>
      <c r="K179" s="109" t="str">
        <f t="shared" si="145"/>
        <v>Y</v>
      </c>
      <c r="L179" s="109" t="str">
        <f t="shared" si="146"/>
        <v>N</v>
      </c>
      <c r="M179" s="109" t="str">
        <f t="shared" si="147"/>
        <v>Y</v>
      </c>
      <c r="N179" s="110">
        <f t="shared" si="148"/>
        <v>1.2765957446808456</v>
      </c>
      <c r="O179" s="110">
        <f t="shared" si="149"/>
        <v>2.3809523809523916</v>
      </c>
      <c r="P179" s="110">
        <f t="shared" si="150"/>
        <v>-0.72959416324670434</v>
      </c>
      <c r="Q179" s="110">
        <f t="shared" si="151"/>
        <v>4.8231511254019299</v>
      </c>
      <c r="R179" s="1">
        <f>VLOOKUP(A179,symbol_2[[symbol]:[TV1]],3,)</f>
        <v>19.16</v>
      </c>
      <c r="S179" s="1">
        <f>VLOOKUP(A179,symbol_2[[symbol]:[TV2]],7,)</f>
        <v>12.61</v>
      </c>
      <c r="T179" s="1">
        <f>VLOOKUP(A179,symbol_2[[symbol]:[TV3]],11,)</f>
        <v>11.78</v>
      </c>
      <c r="U179" s="1">
        <f>VLOOKUP(A179,symbol_2[[symbol]:[TV4]],15,)</f>
        <v>23.7</v>
      </c>
      <c r="V179" s="1">
        <f>VLOOKUP(A179,symbol_2[[symbol]:[TV5]],19,)</f>
        <v>13.43</v>
      </c>
      <c r="W179" s="1" t="str">
        <f t="shared" si="152"/>
        <v>N</v>
      </c>
      <c r="X179" s="1" t="str">
        <f t="shared" si="153"/>
        <v>N</v>
      </c>
      <c r="Y179" s="1" t="str">
        <f t="shared" si="154"/>
        <v>Y</v>
      </c>
      <c r="Z179" s="1" t="str">
        <f t="shared" si="155"/>
        <v>N</v>
      </c>
      <c r="AA179" s="1">
        <f>VLOOKUP(A179,symbol_2[[symbol]:[TradedValue1]],4,)</f>
        <v>1970.29</v>
      </c>
      <c r="AB179" s="1">
        <f>VLOOKUP(A179,symbol_2[[symbol]:[TradedValue2]],8,)</f>
        <v>1331.3</v>
      </c>
      <c r="AC179" s="1">
        <f>VLOOKUP(A179,symbol_2[[symbol]:[TradedValue3]],12,)</f>
        <v>1281.19</v>
      </c>
      <c r="AD179" s="1">
        <f>VLOOKUP(A179,symbol_2[[symbol]:[TradedValue4]],16,)</f>
        <v>2636.63</v>
      </c>
      <c r="AE179" s="1">
        <f>VLOOKUP(A179,symbol_2[[symbol]:[TradedValue5]],20,)</f>
        <v>1514.21</v>
      </c>
      <c r="AF179" s="1">
        <f>Table2[[#This Row],[TradedValue2]]-Table2[[#This Row],[TradedValue1]]</f>
        <v>-638.99</v>
      </c>
      <c r="AG179" s="1">
        <f>Table2[[#This Row],[TradedValue3]]-Table2[[#This Row],[TradedValue2]]</f>
        <v>-50.1099999999999</v>
      </c>
      <c r="AH179" s="1">
        <f>Table2[[#This Row],[TradedValue4]]-Table2[[#This Row],[TradedValue3]]</f>
        <v>1355.44</v>
      </c>
      <c r="AI179" s="1">
        <f>Table2[[#This Row],[TradedValue5]]-Table2[[#This Row],[TradedValue4]]</f>
        <v>-1122.42</v>
      </c>
      <c r="AJ179" s="109" t="str">
        <f>IF(Table2[[#This Row],[TradedValue2]]&gt;Table2[[#This Row],[TradedValue1]],"Y","N")</f>
        <v>N</v>
      </c>
      <c r="AK179" s="109" t="str">
        <f>IF(Table2[[#This Row],[TradedValue3]]&gt;Table2[[#This Row],[TradedValue2]],"Y","N")</f>
        <v>N</v>
      </c>
      <c r="AL179" s="109" t="str">
        <f>IF(Table2[[#This Row],[TradedValue5]]&gt;Table2[[#This Row],[TradedValue3]],"Y","N")</f>
        <v>Y</v>
      </c>
      <c r="AM179" s="109" t="str">
        <f>IF(Table2[[#This Row],[TradedValue5]]&gt;Table2[[#This Row],[TradedValue4]],"Y","N")</f>
        <v>N</v>
      </c>
      <c r="AN179" s="1">
        <f t="shared" si="156"/>
        <v>-6.5500000000000007</v>
      </c>
      <c r="AO179" s="1">
        <f t="shared" si="157"/>
        <v>-0.83000000000000007</v>
      </c>
      <c r="AP179" s="1">
        <f t="shared" si="158"/>
        <v>11.92</v>
      </c>
      <c r="AQ179" s="1">
        <f t="shared" si="159"/>
        <v>-10.27</v>
      </c>
      <c r="AR179" s="1">
        <f>VLOOKUP(A179,symbol_2[[symbol]:[DelPer1]],5,)</f>
        <v>22.14</v>
      </c>
      <c r="AS179" s="1">
        <f>VLOOKUP(A179,symbol_2[[symbol]:[DelPer2]],9,)</f>
        <v>21.47</v>
      </c>
      <c r="AT179" s="1">
        <f>VLOOKUP(A179,symbol_2[[symbol]:[DelPer3]],13,)</f>
        <v>14.97</v>
      </c>
      <c r="AU179" s="1">
        <f>VLOOKUP(A179,symbol_2[[symbol]:[DelPer4]],17,)</f>
        <v>30.21</v>
      </c>
      <c r="AV179" s="1">
        <f>VLOOKUP(A179,symbol_2[[symbol]:[DelPer5]],21,)</f>
        <v>18.989999999999998</v>
      </c>
      <c r="AW179" s="109" t="str">
        <f t="shared" si="160"/>
        <v>N</v>
      </c>
      <c r="AX179" s="109" t="str">
        <f t="shared" si="161"/>
        <v>N</v>
      </c>
      <c r="AY179" s="109" t="str">
        <f t="shared" si="162"/>
        <v>Y</v>
      </c>
      <c r="AZ179" s="109" t="str">
        <f t="shared" si="163"/>
        <v>N</v>
      </c>
      <c r="BA179" s="1">
        <f t="shared" si="164"/>
        <v>-0.67000000000000171</v>
      </c>
      <c r="BB179" s="1">
        <f t="shared" si="165"/>
        <v>-6.4999999999999982</v>
      </c>
      <c r="BC179" s="1">
        <f t="shared" si="166"/>
        <v>15.24</v>
      </c>
      <c r="BD179" s="1">
        <f t="shared" si="167"/>
        <v>-11.220000000000002</v>
      </c>
    </row>
    <row r="180" spans="1:56" hidden="1" x14ac:dyDescent="0.35">
      <c r="A180" s="115" t="s">
        <v>23</v>
      </c>
      <c r="B180" s="1" t="s">
        <v>1006</v>
      </c>
      <c r="C180" s="1" t="s">
        <v>52</v>
      </c>
      <c r="D180" s="1" t="s">
        <v>199</v>
      </c>
      <c r="E180" s="1">
        <f>VLOOKUP(A180,symbol_2[[symbol]:[Price1]],2,)</f>
        <v>814.55</v>
      </c>
      <c r="F180" s="1">
        <f>VLOOKUP(A180,symbol_2[[symbol]:[Price2]],6,)</f>
        <v>807.75</v>
      </c>
      <c r="G180" s="1">
        <f>VLOOKUP(A180,symbol_2[[symbol]:[Price3]],10,)</f>
        <v>784.55</v>
      </c>
      <c r="H180" s="1">
        <f>VLOOKUP(A180,symbol_2[[symbol]:[Price4]],14,)</f>
        <v>783.55</v>
      </c>
      <c r="I180" s="1">
        <f>VLOOKUP(A180,symbol_2[[symbol]:[Price5]],18,)</f>
        <v>794.1</v>
      </c>
      <c r="J180" s="109" t="str">
        <f t="shared" si="144"/>
        <v>N</v>
      </c>
      <c r="K180" s="109" t="str">
        <f t="shared" si="145"/>
        <v>N</v>
      </c>
      <c r="L180" s="109" t="str">
        <f t="shared" si="146"/>
        <v>N</v>
      </c>
      <c r="M180" s="109" t="str">
        <f t="shared" si="147"/>
        <v>Y</v>
      </c>
      <c r="N180" s="110">
        <f t="shared" si="148"/>
        <v>-0.83481676999569765</v>
      </c>
      <c r="O180" s="110">
        <f t="shared" si="149"/>
        <v>-2.8721757969668893</v>
      </c>
      <c r="P180" s="110">
        <f t="shared" si="150"/>
        <v>-0.12746160219233957</v>
      </c>
      <c r="Q180" s="110">
        <f t="shared" si="151"/>
        <v>1.3464360921447347</v>
      </c>
      <c r="R180" s="1">
        <f>VLOOKUP(A180,symbol_2[[symbol]:[TV1]],3,)</f>
        <v>19.77</v>
      </c>
      <c r="S180" s="1">
        <f>VLOOKUP(A180,symbol_2[[symbol]:[TV2]],7,)</f>
        <v>15.06</v>
      </c>
      <c r="T180" s="1">
        <f>VLOOKUP(A180,symbol_2[[symbol]:[TV3]],11,)</f>
        <v>12.79</v>
      </c>
      <c r="U180" s="1">
        <f>VLOOKUP(A180,symbol_2[[symbol]:[TV4]],15,)</f>
        <v>10.44</v>
      </c>
      <c r="V180" s="1">
        <f>VLOOKUP(A180,symbol_2[[symbol]:[TV5]],19,)</f>
        <v>7.02</v>
      </c>
      <c r="W180" s="1" t="str">
        <f t="shared" si="152"/>
        <v>N</v>
      </c>
      <c r="X180" s="1" t="str">
        <f t="shared" si="153"/>
        <v>N</v>
      </c>
      <c r="Y180" s="1" t="str">
        <f t="shared" si="154"/>
        <v>N</v>
      </c>
      <c r="Z180" s="1" t="str">
        <f t="shared" si="155"/>
        <v>N</v>
      </c>
      <c r="AA180" s="1">
        <f>VLOOKUP(A182,symbol_2[[symbol]:[TradedValue1]],4,)</f>
        <v>444.32</v>
      </c>
      <c r="AB180" s="1">
        <f>VLOOKUP(A180,symbol_2[[symbol]:[TradedValue2]],8,)</f>
        <v>12326.55</v>
      </c>
      <c r="AC180" s="1">
        <f>VLOOKUP(A180,symbol_2[[symbol]:[TradedValue3]],12,)</f>
        <v>10088.65</v>
      </c>
      <c r="AD180" s="1">
        <f>VLOOKUP(A180,symbol_2[[symbol]:[TradedValue4]],16,)</f>
        <v>8456.5400000000009</v>
      </c>
      <c r="AE180" s="1">
        <f>VLOOKUP(A180,symbol_2[[symbol]:[TradedValue5]],20,)</f>
        <v>5536.63</v>
      </c>
      <c r="AF180" s="1">
        <f>Table2[[#This Row],[TradedValue2]]-Table2[[#This Row],[TradedValue1]]</f>
        <v>11882.23</v>
      </c>
      <c r="AG180" s="1">
        <f>Table2[[#This Row],[TradedValue3]]-Table2[[#This Row],[TradedValue2]]</f>
        <v>-2237.8999999999996</v>
      </c>
      <c r="AH180" s="1">
        <f>Table2[[#This Row],[TradedValue4]]-Table2[[#This Row],[TradedValue3]]</f>
        <v>-1632.1099999999988</v>
      </c>
      <c r="AI180" s="1">
        <f>Table2[[#This Row],[TradedValue5]]-Table2[[#This Row],[TradedValue4]]</f>
        <v>-2919.9100000000008</v>
      </c>
      <c r="AJ180" s="109" t="str">
        <f>IF(Table2[[#This Row],[TradedValue2]]&gt;Table2[[#This Row],[TradedValue1]],"Y","N")</f>
        <v>Y</v>
      </c>
      <c r="AK180" s="109" t="str">
        <f>IF(Table2[[#This Row],[TradedValue3]]&gt;Table2[[#This Row],[TradedValue2]],"Y","N")</f>
        <v>N</v>
      </c>
      <c r="AL180" s="109" t="str">
        <f>IF(Table2[[#This Row],[TradedValue5]]&gt;Table2[[#This Row],[TradedValue3]],"Y","N")</f>
        <v>N</v>
      </c>
      <c r="AM180" s="109" t="str">
        <f>IF(Table2[[#This Row],[TradedValue5]]&gt;Table2[[#This Row],[TradedValue4]],"Y","N")</f>
        <v>N</v>
      </c>
      <c r="AN180" s="1">
        <f t="shared" si="156"/>
        <v>-4.7099999999999991</v>
      </c>
      <c r="AO180" s="1">
        <f t="shared" si="157"/>
        <v>-2.2700000000000014</v>
      </c>
      <c r="AP180" s="1">
        <f t="shared" si="158"/>
        <v>-2.3499999999999996</v>
      </c>
      <c r="AQ180" s="1">
        <f t="shared" si="159"/>
        <v>-3.42</v>
      </c>
      <c r="AR180" s="1">
        <f>VLOOKUP(A180,symbol_2[[symbol]:[DelPer1]],5,)</f>
        <v>17.29</v>
      </c>
      <c r="AS180" s="1">
        <f>VLOOKUP(A180,symbol_2[[symbol]:[DelPer2]],9,)</f>
        <v>17.78</v>
      </c>
      <c r="AT180" s="1">
        <f>VLOOKUP(A180,symbol_2[[symbol]:[DelPer3]],13,)</f>
        <v>26.76</v>
      </c>
      <c r="AU180" s="1">
        <f>VLOOKUP(A180,symbol_2[[symbol]:[DelPer4]],17,)</f>
        <v>14.76</v>
      </c>
      <c r="AV180" s="1">
        <f>VLOOKUP(A180,symbol_2[[symbol]:[DelPer5]],21,)</f>
        <v>10.66</v>
      </c>
      <c r="AW180" s="109" t="str">
        <f t="shared" si="160"/>
        <v>Y</v>
      </c>
      <c r="AX180" s="109" t="str">
        <f t="shared" si="161"/>
        <v>Y</v>
      </c>
      <c r="AY180" s="109" t="str">
        <f t="shared" si="162"/>
        <v>N</v>
      </c>
      <c r="AZ180" s="109" t="str">
        <f t="shared" si="163"/>
        <v>N</v>
      </c>
      <c r="BA180" s="1">
        <f t="shared" si="164"/>
        <v>0.49000000000000199</v>
      </c>
      <c r="BB180" s="1">
        <f t="shared" si="165"/>
        <v>8.98</v>
      </c>
      <c r="BC180" s="1">
        <f t="shared" si="166"/>
        <v>-12.000000000000002</v>
      </c>
      <c r="BD180" s="1">
        <f t="shared" si="167"/>
        <v>-4.0999999999999996</v>
      </c>
    </row>
    <row r="181" spans="1:56" hidden="1" x14ac:dyDescent="0.35">
      <c r="A181" s="1" t="s">
        <v>63</v>
      </c>
      <c r="B181" s="1" t="s">
        <v>1020</v>
      </c>
      <c r="C181" s="1" t="s">
        <v>52</v>
      </c>
      <c r="D181" s="1" t="s">
        <v>199</v>
      </c>
      <c r="E181" s="1">
        <f>VLOOKUP(A181,symbol_2[[symbol]:[Price1]],2,)</f>
        <v>80.2</v>
      </c>
      <c r="F181" s="1">
        <f>VLOOKUP(A181,symbol_2[[symbol]:[Price2]],6,)</f>
        <v>77.25</v>
      </c>
      <c r="G181" s="1">
        <f>VLOOKUP(A181,symbol_2[[symbol]:[Price3]],10,)</f>
        <v>77.7</v>
      </c>
      <c r="H181" s="1">
        <f>VLOOKUP(A181,symbol_2[[symbol]:[Price4]],14,)</f>
        <v>74.900000000000006</v>
      </c>
      <c r="I181" s="1">
        <f>VLOOKUP(A181,symbol_2[[symbol]:[Price5]],18,)</f>
        <v>77.95</v>
      </c>
      <c r="J181" s="49" t="str">
        <f t="shared" si="144"/>
        <v>N</v>
      </c>
      <c r="K181" s="49" t="str">
        <f t="shared" si="145"/>
        <v>Y</v>
      </c>
      <c r="L181" s="49" t="str">
        <f t="shared" si="146"/>
        <v>N</v>
      </c>
      <c r="M181" s="49" t="str">
        <f t="shared" si="147"/>
        <v>Y</v>
      </c>
      <c r="N181" s="52">
        <f t="shared" si="148"/>
        <v>-3.6783042394014998</v>
      </c>
      <c r="O181" s="52">
        <f t="shared" si="149"/>
        <v>0.58252427184466382</v>
      </c>
      <c r="P181" s="52">
        <f t="shared" si="150"/>
        <v>-3.6036036036036001</v>
      </c>
      <c r="Q181" s="52">
        <f t="shared" si="151"/>
        <v>4.0720961281708909</v>
      </c>
      <c r="R181" s="1">
        <f>VLOOKUP(A181,symbol_2[[symbol]:[TV1]],3,)</f>
        <v>5.8</v>
      </c>
      <c r="S181" s="1">
        <f>VLOOKUP(A181,symbol_2[[symbol]:[TV2]],7,)</f>
        <v>2.04</v>
      </c>
      <c r="T181" s="1">
        <f>VLOOKUP(A181,symbol_2[[symbol]:[TV3]],11,)</f>
        <v>1.36</v>
      </c>
      <c r="U181" s="1">
        <f>VLOOKUP(A181,symbol_2[[symbol]:[TV4]],15,)</f>
        <v>2.5</v>
      </c>
      <c r="V181" s="1">
        <f>VLOOKUP(A181,symbol_2[[symbol]:[TV5]],19,)</f>
        <v>2.34</v>
      </c>
      <c r="W181" s="1" t="str">
        <f t="shared" si="152"/>
        <v>N</v>
      </c>
      <c r="X181" s="1" t="str">
        <f t="shared" si="153"/>
        <v>N</v>
      </c>
      <c r="Y181" s="1" t="str">
        <f t="shared" si="154"/>
        <v>Y</v>
      </c>
      <c r="Z181" s="1" t="str">
        <f t="shared" si="155"/>
        <v>N</v>
      </c>
      <c r="AA181" s="1">
        <f>VLOOKUP(A181,symbol_2[[symbol]:[TradedValue1]],4,)</f>
        <v>464.29</v>
      </c>
      <c r="AB181" s="1">
        <f>VLOOKUP(A181,symbol_2[[symbol]:[TradedValue2]],8,)</f>
        <v>159.59</v>
      </c>
      <c r="AC181" s="1">
        <f>VLOOKUP(A181,symbol_2[[symbol]:[TradedValue3]],12,)</f>
        <v>105.04</v>
      </c>
      <c r="AD181" s="1">
        <f>VLOOKUP(A181,symbol_2[[symbol]:[TradedValue4]],16,)</f>
        <v>191.72</v>
      </c>
      <c r="AE181" s="1">
        <f>VLOOKUP(A181,symbol_2[[symbol]:[TradedValue5]],20,)</f>
        <v>180.01</v>
      </c>
      <c r="AF181" s="1">
        <f>Table2[[#This Row],[TradedValue2]]-Table2[[#This Row],[TradedValue1]]</f>
        <v>-304.70000000000005</v>
      </c>
      <c r="AG181" s="1">
        <f>Table2[[#This Row],[TradedValue3]]-Table2[[#This Row],[TradedValue2]]</f>
        <v>-54.55</v>
      </c>
      <c r="AH181" s="1">
        <f>Table2[[#This Row],[TradedValue4]]-Table2[[#This Row],[TradedValue3]]</f>
        <v>86.679999999999993</v>
      </c>
      <c r="AI181" s="1">
        <f>Table2[[#This Row],[TradedValue5]]-Table2[[#This Row],[TradedValue4]]</f>
        <v>-11.710000000000008</v>
      </c>
      <c r="AJ181" s="49" t="str">
        <f>IF(Table2[[#This Row],[TradedValue2]]&gt;Table2[[#This Row],[TradedValue1]],"Y","N")</f>
        <v>N</v>
      </c>
      <c r="AK181" s="49" t="str">
        <f>IF(Table2[[#This Row],[TradedValue3]]&gt;Table2[[#This Row],[TradedValue2]],"Y","N")</f>
        <v>N</v>
      </c>
      <c r="AL181" s="49" t="str">
        <f>IF(Table2[[#This Row],[TradedValue5]]&gt;Table2[[#This Row],[TradedValue3]],"Y","N")</f>
        <v>Y</v>
      </c>
      <c r="AM181" s="49" t="str">
        <f>IF(Table2[[#This Row],[TradedValue5]]&gt;Table2[[#This Row],[TradedValue4]],"Y","N")</f>
        <v>N</v>
      </c>
      <c r="AN181" s="1">
        <f t="shared" si="156"/>
        <v>-3.76</v>
      </c>
      <c r="AO181" s="1">
        <f t="shared" si="157"/>
        <v>-0.67999999999999994</v>
      </c>
      <c r="AP181" s="1">
        <f t="shared" si="158"/>
        <v>1.1399999999999999</v>
      </c>
      <c r="AQ181" s="1">
        <f t="shared" si="159"/>
        <v>-0.16000000000000014</v>
      </c>
      <c r="AR181" s="1">
        <f>VLOOKUP(A181,symbol_2[[symbol]:[DelPer1]],5,)</f>
        <v>15.65</v>
      </c>
      <c r="AS181" s="1">
        <f>VLOOKUP(A181,symbol_2[[symbol]:[DelPer2]],9,)</f>
        <v>19.75</v>
      </c>
      <c r="AT181" s="1">
        <f>VLOOKUP(A181,symbol_2[[symbol]:[DelPer3]],13,)</f>
        <v>19.579999999999998</v>
      </c>
      <c r="AU181" s="1">
        <f>VLOOKUP(A181,symbol_2[[symbol]:[DelPer4]],17,)</f>
        <v>27.3</v>
      </c>
      <c r="AV181" s="1">
        <f>VLOOKUP(A181,symbol_2[[symbol]:[DelPer5]],21,)</f>
        <v>24.29</v>
      </c>
      <c r="AW181" s="49" t="str">
        <f t="shared" si="160"/>
        <v>Y</v>
      </c>
      <c r="AX181" s="49" t="str">
        <f t="shared" si="161"/>
        <v>N</v>
      </c>
      <c r="AY181" s="49" t="str">
        <f t="shared" si="162"/>
        <v>Y</v>
      </c>
      <c r="AZ181" s="49" t="str">
        <f t="shared" si="163"/>
        <v>N</v>
      </c>
      <c r="BA181" s="1">
        <f t="shared" si="164"/>
        <v>4.0999999999999996</v>
      </c>
      <c r="BB181" s="1">
        <f t="shared" si="165"/>
        <v>-0.17000000000000171</v>
      </c>
      <c r="BC181" s="1">
        <f t="shared" si="166"/>
        <v>7.7200000000000024</v>
      </c>
      <c r="BD181" s="1">
        <f t="shared" si="167"/>
        <v>-3.0100000000000016</v>
      </c>
    </row>
    <row r="182" spans="1:56" hidden="1" x14ac:dyDescent="0.35">
      <c r="A182" s="1" t="s">
        <v>156</v>
      </c>
      <c r="B182" s="1" t="s">
        <v>1006</v>
      </c>
      <c r="C182" s="1" t="s">
        <v>52</v>
      </c>
      <c r="D182" s="1" t="s">
        <v>199</v>
      </c>
      <c r="E182" s="1">
        <f>VLOOKUP(A182,symbol_2[[symbol]:[Price1]],2,)</f>
        <v>95.9</v>
      </c>
      <c r="F182" s="1">
        <f>VLOOKUP(A182,symbol_2[[symbol]:[Price2]],6,)</f>
        <v>95.2</v>
      </c>
      <c r="G182" s="1">
        <f>VLOOKUP(A182,symbol_2[[symbol]:[Price3]],10,)</f>
        <v>96.8</v>
      </c>
      <c r="H182" s="1">
        <f>VLOOKUP(A182,symbol_2[[symbol]:[Price4]],14,)</f>
        <v>96.1</v>
      </c>
      <c r="I182" s="1">
        <f>VLOOKUP(A182,symbol_2[[symbol]:[Price5]],18,)</f>
        <v>101.65</v>
      </c>
      <c r="J182" s="49" t="str">
        <f t="shared" si="144"/>
        <v>N</v>
      </c>
      <c r="K182" s="49" t="str">
        <f t="shared" si="145"/>
        <v>Y</v>
      </c>
      <c r="L182" s="49" t="str">
        <f t="shared" si="146"/>
        <v>N</v>
      </c>
      <c r="M182" s="49" t="str">
        <f t="shared" si="147"/>
        <v>Y</v>
      </c>
      <c r="N182" s="52">
        <f t="shared" si="148"/>
        <v>-0.72992700729927296</v>
      </c>
      <c r="O182" s="52">
        <f t="shared" si="149"/>
        <v>1.6806722689075571</v>
      </c>
      <c r="P182" s="52">
        <f t="shared" si="150"/>
        <v>-0.72314049586777152</v>
      </c>
      <c r="Q182" s="52">
        <f t="shared" si="151"/>
        <v>5.7752341311134359</v>
      </c>
      <c r="R182" s="1">
        <f>VLOOKUP(A182,symbol_2[[symbol]:[TV1]],3,)</f>
        <v>4.67</v>
      </c>
      <c r="S182" s="1">
        <f>VLOOKUP(A182,symbol_2[[symbol]:[TV2]],7,)</f>
        <v>4.54</v>
      </c>
      <c r="T182" s="1">
        <f>VLOOKUP(A182,symbol_2[[symbol]:[TV3]],11,)</f>
        <v>3.97</v>
      </c>
      <c r="U182" s="1">
        <f>VLOOKUP(A182,symbol_2[[symbol]:[TV4]],15,)</f>
        <v>7.41</v>
      </c>
      <c r="V182" s="1">
        <f>VLOOKUP(A182,symbol_2[[symbol]:[TV5]],19,)</f>
        <v>5.21</v>
      </c>
      <c r="W182" s="1" t="str">
        <f t="shared" si="152"/>
        <v>N</v>
      </c>
      <c r="X182" s="1" t="str">
        <f t="shared" si="153"/>
        <v>N</v>
      </c>
      <c r="Y182" s="1" t="str">
        <f t="shared" si="154"/>
        <v>Y</v>
      </c>
      <c r="Z182" s="1" t="str">
        <f t="shared" si="155"/>
        <v>N</v>
      </c>
      <c r="AA182" s="1">
        <f>VLOOKUP(A184,symbol_2[[symbol]:[TradedValue1]],4,)</f>
        <v>234.04</v>
      </c>
      <c r="AB182" s="1">
        <f>VLOOKUP(A182,symbol_2[[symbol]:[TradedValue2]],8,)</f>
        <v>435.97</v>
      </c>
      <c r="AC182" s="1">
        <f>VLOOKUP(A182,symbol_2[[symbol]:[TradedValue3]],12,)</f>
        <v>380.64</v>
      </c>
      <c r="AD182" s="1">
        <f>VLOOKUP(A182,symbol_2[[symbol]:[TradedValue4]],16,)</f>
        <v>732.07</v>
      </c>
      <c r="AE182" s="1">
        <f>VLOOKUP(A182,symbol_2[[symbol]:[TradedValue5]],20,)</f>
        <v>518.01</v>
      </c>
      <c r="AF182" s="1">
        <f>Table2[[#This Row],[TradedValue2]]-Table2[[#This Row],[TradedValue1]]</f>
        <v>201.93000000000004</v>
      </c>
      <c r="AG182" s="1">
        <f>Table2[[#This Row],[TradedValue3]]-Table2[[#This Row],[TradedValue2]]</f>
        <v>-55.330000000000041</v>
      </c>
      <c r="AH182" s="1">
        <f>Table2[[#This Row],[TradedValue4]]-Table2[[#This Row],[TradedValue3]]</f>
        <v>351.43000000000006</v>
      </c>
      <c r="AI182" s="1">
        <f>Table2[[#This Row],[TradedValue5]]-Table2[[#This Row],[TradedValue4]]</f>
        <v>-214.06000000000006</v>
      </c>
      <c r="AJ182" s="49" t="str">
        <f>IF(Table2[[#This Row],[TradedValue2]]&gt;Table2[[#This Row],[TradedValue1]],"Y","N")</f>
        <v>Y</v>
      </c>
      <c r="AK182" s="49" t="str">
        <f>IF(Table2[[#This Row],[TradedValue3]]&gt;Table2[[#This Row],[TradedValue2]],"Y","N")</f>
        <v>N</v>
      </c>
      <c r="AL182" s="49" t="str">
        <f>IF(Table2[[#This Row],[TradedValue5]]&gt;Table2[[#This Row],[TradedValue3]],"Y","N")</f>
        <v>Y</v>
      </c>
      <c r="AM182" s="49" t="str">
        <f>IF(Table2[[#This Row],[TradedValue5]]&gt;Table2[[#This Row],[TradedValue4]],"Y","N")</f>
        <v>N</v>
      </c>
      <c r="AN182" s="1">
        <f t="shared" si="156"/>
        <v>-0.12999999999999989</v>
      </c>
      <c r="AO182" s="1">
        <f t="shared" si="157"/>
        <v>-0.56999999999999984</v>
      </c>
      <c r="AP182" s="1">
        <f t="shared" si="158"/>
        <v>3.44</v>
      </c>
      <c r="AQ182" s="1">
        <f t="shared" si="159"/>
        <v>-2.2000000000000002</v>
      </c>
      <c r="AR182" s="1">
        <f>VLOOKUP(A182,symbol_2[[symbol]:[DelPer1]],5,)</f>
        <v>11.01</v>
      </c>
      <c r="AS182" s="1">
        <f>VLOOKUP(A182,symbol_2[[symbol]:[DelPer2]],9,)</f>
        <v>9.7799999999999994</v>
      </c>
      <c r="AT182" s="1">
        <f>VLOOKUP(A182,symbol_2[[symbol]:[DelPer3]],13,)</f>
        <v>12.24</v>
      </c>
      <c r="AU182" s="1">
        <f>VLOOKUP(A182,symbol_2[[symbol]:[DelPer4]],17,)</f>
        <v>10.119999999999999</v>
      </c>
      <c r="AV182" s="1">
        <f>VLOOKUP(A182,symbol_2[[symbol]:[DelPer5]],21,)</f>
        <v>16.8</v>
      </c>
      <c r="AW182" s="49" t="str">
        <f t="shared" si="160"/>
        <v>N</v>
      </c>
      <c r="AX182" s="49" t="str">
        <f t="shared" si="161"/>
        <v>Y</v>
      </c>
      <c r="AY182" s="49" t="str">
        <f t="shared" si="162"/>
        <v>N</v>
      </c>
      <c r="AZ182" s="49" t="str">
        <f t="shared" si="163"/>
        <v>Y</v>
      </c>
      <c r="BA182" s="1">
        <f t="shared" si="164"/>
        <v>-1.2300000000000004</v>
      </c>
      <c r="BB182" s="1">
        <f t="shared" si="165"/>
        <v>2.4600000000000009</v>
      </c>
      <c r="BC182" s="1">
        <f t="shared" si="166"/>
        <v>-2.120000000000001</v>
      </c>
      <c r="BD182" s="1">
        <f t="shared" si="167"/>
        <v>6.6800000000000015</v>
      </c>
    </row>
    <row r="183" spans="1:56" hidden="1" x14ac:dyDescent="0.35">
      <c r="A183" s="116" t="s">
        <v>67</v>
      </c>
      <c r="B183" s="1" t="s">
        <v>1006</v>
      </c>
      <c r="C183" s="1" t="s">
        <v>52</v>
      </c>
      <c r="D183" s="1" t="s">
        <v>199</v>
      </c>
      <c r="E183" s="1">
        <f>VLOOKUP(A183,symbol_2[[symbol]:[Price1]],2,)</f>
        <v>89.9</v>
      </c>
      <c r="F183" s="1">
        <f>VLOOKUP(A183,symbol_2[[symbol]:[Price2]],6,)</f>
        <v>88.1</v>
      </c>
      <c r="G183" s="1">
        <f>VLOOKUP(A183,symbol_2[[symbol]:[Price3]],10,)</f>
        <v>89.65</v>
      </c>
      <c r="H183" s="1">
        <f>VLOOKUP(A183,symbol_2[[symbol]:[Price4]],14,)</f>
        <v>89.2</v>
      </c>
      <c r="I183" s="1">
        <f>VLOOKUP(A183,symbol_2[[symbol]:[Price5]],18,)</f>
        <v>96.7</v>
      </c>
      <c r="J183" s="49" t="str">
        <f t="shared" si="144"/>
        <v>N</v>
      </c>
      <c r="K183" s="49" t="str">
        <f t="shared" si="145"/>
        <v>Y</v>
      </c>
      <c r="L183" s="49" t="str">
        <f t="shared" si="146"/>
        <v>N</v>
      </c>
      <c r="M183" s="49" t="str">
        <f t="shared" si="147"/>
        <v>Y</v>
      </c>
      <c r="N183" s="52">
        <f t="shared" si="148"/>
        <v>-2.0022246941045729</v>
      </c>
      <c r="O183" s="52">
        <f t="shared" si="149"/>
        <v>1.7593643586833276</v>
      </c>
      <c r="P183" s="52">
        <f t="shared" si="150"/>
        <v>-0.50195203569437019</v>
      </c>
      <c r="Q183" s="52">
        <f t="shared" si="151"/>
        <v>8.4080717488789229</v>
      </c>
      <c r="R183" s="1">
        <f>VLOOKUP(A183,symbol_2[[symbol]:[TV1]],3,)</f>
        <v>15.42</v>
      </c>
      <c r="S183" s="1">
        <f>VLOOKUP(A183,symbol_2[[symbol]:[TV2]],7,)</f>
        <v>10.26</v>
      </c>
      <c r="T183" s="1">
        <f>VLOOKUP(A183,symbol_2[[symbol]:[TV3]],11,)</f>
        <v>9.19</v>
      </c>
      <c r="U183" s="1">
        <f>VLOOKUP(A183,symbol_2[[symbol]:[TV4]],15,)</f>
        <v>17.43</v>
      </c>
      <c r="V183" s="1">
        <f>VLOOKUP(A183,symbol_2[[symbol]:[TV5]],19,)</f>
        <v>17.14</v>
      </c>
      <c r="W183" s="1" t="str">
        <f t="shared" si="152"/>
        <v>N</v>
      </c>
      <c r="X183" s="1" t="str">
        <f t="shared" si="153"/>
        <v>N</v>
      </c>
      <c r="Y183" s="1" t="str">
        <f t="shared" si="154"/>
        <v>Y</v>
      </c>
      <c r="Z183" s="1" t="str">
        <f t="shared" si="155"/>
        <v>N</v>
      </c>
      <c r="AA183" s="1">
        <f>VLOOKUP(A185,symbol_2[[symbol]:[TradedValue1]],4,)</f>
        <v>449.27</v>
      </c>
      <c r="AB183" s="1">
        <f>VLOOKUP(A183,symbol_2[[symbol]:[TradedValue2]],8,)</f>
        <v>913.24</v>
      </c>
      <c r="AC183" s="1">
        <f>VLOOKUP(A183,symbol_2[[symbol]:[TradedValue3]],12,)</f>
        <v>816.76</v>
      </c>
      <c r="AD183" s="1">
        <f>VLOOKUP(A183,symbol_2[[symbol]:[TradedValue4]],16,)</f>
        <v>1615.73</v>
      </c>
      <c r="AE183" s="1">
        <f>VLOOKUP(A183,symbol_2[[symbol]:[TradedValue5]],20,)</f>
        <v>1614.95</v>
      </c>
      <c r="AF183" s="1">
        <f>Table2[[#This Row],[TradedValue2]]-Table2[[#This Row],[TradedValue1]]</f>
        <v>463.97</v>
      </c>
      <c r="AG183" s="1">
        <f>Table2[[#This Row],[TradedValue3]]-Table2[[#This Row],[TradedValue2]]</f>
        <v>-96.480000000000018</v>
      </c>
      <c r="AH183" s="1">
        <f>Table2[[#This Row],[TradedValue4]]-Table2[[#This Row],[TradedValue3]]</f>
        <v>798.97</v>
      </c>
      <c r="AI183" s="1">
        <f>Table2[[#This Row],[TradedValue5]]-Table2[[#This Row],[TradedValue4]]</f>
        <v>-0.77999999999997272</v>
      </c>
      <c r="AJ183" s="49" t="str">
        <f>IF(Table2[[#This Row],[TradedValue2]]&gt;Table2[[#This Row],[TradedValue1]],"Y","N")</f>
        <v>Y</v>
      </c>
      <c r="AK183" s="49" t="str">
        <f>IF(Table2[[#This Row],[TradedValue3]]&gt;Table2[[#This Row],[TradedValue2]],"Y","N")</f>
        <v>N</v>
      </c>
      <c r="AL183" s="49" t="str">
        <f>IF(Table2[[#This Row],[TradedValue5]]&gt;Table2[[#This Row],[TradedValue3]],"Y","N")</f>
        <v>Y</v>
      </c>
      <c r="AM183" s="49" t="str">
        <f>IF(Table2[[#This Row],[TradedValue5]]&gt;Table2[[#This Row],[TradedValue4]],"Y","N")</f>
        <v>N</v>
      </c>
      <c r="AN183" s="1">
        <f t="shared" si="156"/>
        <v>-5.16</v>
      </c>
      <c r="AO183" s="1">
        <f t="shared" si="157"/>
        <v>-1.0700000000000003</v>
      </c>
      <c r="AP183" s="1">
        <f t="shared" si="158"/>
        <v>8.24</v>
      </c>
      <c r="AQ183" s="1">
        <f t="shared" si="159"/>
        <v>-0.28999999999999915</v>
      </c>
      <c r="AR183" s="1">
        <f>VLOOKUP(A183,symbol_2[[symbol]:[DelPer1]],5,)</f>
        <v>15.64</v>
      </c>
      <c r="AS183" s="1">
        <f>VLOOKUP(A183,symbol_2[[symbol]:[DelPer2]],9,)</f>
        <v>10.75</v>
      </c>
      <c r="AT183" s="1">
        <f>VLOOKUP(A183,symbol_2[[symbol]:[DelPer3]],13,)</f>
        <v>10.36</v>
      </c>
      <c r="AU183" s="1">
        <f>VLOOKUP(A183,symbol_2[[symbol]:[DelPer4]],17,)</f>
        <v>11.71</v>
      </c>
      <c r="AV183" s="1">
        <f>VLOOKUP(A183,symbol_2[[symbol]:[DelPer5]],21,)</f>
        <v>15.65</v>
      </c>
      <c r="AW183" s="49" t="str">
        <f t="shared" si="160"/>
        <v>N</v>
      </c>
      <c r="AX183" s="49" t="str">
        <f t="shared" si="161"/>
        <v>N</v>
      </c>
      <c r="AY183" s="49" t="str">
        <f t="shared" si="162"/>
        <v>Y</v>
      </c>
      <c r="AZ183" s="49" t="str">
        <f t="shared" si="163"/>
        <v>Y</v>
      </c>
      <c r="BA183" s="1">
        <f t="shared" si="164"/>
        <v>-4.8900000000000006</v>
      </c>
      <c r="BB183" s="1">
        <f t="shared" si="165"/>
        <v>-0.39000000000000057</v>
      </c>
      <c r="BC183" s="1">
        <f t="shared" si="166"/>
        <v>1.3500000000000014</v>
      </c>
      <c r="BD183" s="1">
        <f t="shared" si="167"/>
        <v>3.9399999999999995</v>
      </c>
    </row>
    <row r="184" spans="1:56" hidden="1" x14ac:dyDescent="0.35">
      <c r="A184" s="1" t="s">
        <v>130</v>
      </c>
      <c r="B184" s="1" t="s">
        <v>1008</v>
      </c>
      <c r="C184" s="1" t="s">
        <v>52</v>
      </c>
      <c r="D184" s="1" t="s">
        <v>199</v>
      </c>
      <c r="E184" s="1">
        <f>VLOOKUP(A184,symbol_2[[symbol]:[Price1]],2,)</f>
        <v>612.1</v>
      </c>
      <c r="F184" s="1">
        <f>VLOOKUP(A184,symbol_2[[symbol]:[Price2]],6,)</f>
        <v>619.5</v>
      </c>
      <c r="G184" s="1">
        <f>VLOOKUP(A184,symbol_2[[symbol]:[Price3]],10,)</f>
        <v>609.65</v>
      </c>
      <c r="H184" s="1">
        <f>VLOOKUP(A184,symbol_2[[symbol]:[Price4]],14,)</f>
        <v>615.79999999999995</v>
      </c>
      <c r="I184" s="1">
        <f>VLOOKUP(A184,symbol_2[[symbol]:[Price5]],18,)</f>
        <v>600.9</v>
      </c>
      <c r="J184" s="49" t="str">
        <f t="shared" si="144"/>
        <v>Y</v>
      </c>
      <c r="K184" s="49" t="str">
        <f t="shared" si="145"/>
        <v>N</v>
      </c>
      <c r="L184" s="49" t="str">
        <f t="shared" si="146"/>
        <v>Y</v>
      </c>
      <c r="M184" s="49" t="str">
        <f t="shared" si="147"/>
        <v>N</v>
      </c>
      <c r="N184" s="52">
        <f t="shared" si="148"/>
        <v>1.2089527854925628</v>
      </c>
      <c r="O184" s="52">
        <f t="shared" si="149"/>
        <v>-1.5899919289749833</v>
      </c>
      <c r="P184" s="52">
        <f t="shared" si="150"/>
        <v>1.0087755269416843</v>
      </c>
      <c r="Q184" s="52">
        <f t="shared" si="151"/>
        <v>-2.4196167586878823</v>
      </c>
      <c r="R184" s="1">
        <f>VLOOKUP(A184,symbol_2[[symbol]:[TV1]],3,)</f>
        <v>0.39</v>
      </c>
      <c r="S184" s="1">
        <f>VLOOKUP(A184,symbol_2[[symbol]:[TV2]],7,)</f>
        <v>0.53</v>
      </c>
      <c r="T184" s="1">
        <f>VLOOKUP(A184,symbol_2[[symbol]:[TV3]],11,)</f>
        <v>0.62</v>
      </c>
      <c r="U184" s="1">
        <f>VLOOKUP(A184,symbol_2[[symbol]:[TV4]],15,)</f>
        <v>0.31</v>
      </c>
      <c r="V184" s="1">
        <f>VLOOKUP(A184,symbol_2[[symbol]:[TV5]],19,)</f>
        <v>0.83</v>
      </c>
      <c r="W184" s="1" t="str">
        <f t="shared" si="152"/>
        <v>Y</v>
      </c>
      <c r="X184" s="1" t="str">
        <f t="shared" si="153"/>
        <v>Y</v>
      </c>
      <c r="Y184" s="1" t="str">
        <f t="shared" si="154"/>
        <v>N</v>
      </c>
      <c r="Z184" s="1" t="str">
        <f t="shared" si="155"/>
        <v>Y</v>
      </c>
      <c r="AA184" s="1">
        <f>VLOOKUP(A186,symbol_2[[symbol]:[TradedValue1]],4,)</f>
        <v>59.45</v>
      </c>
      <c r="AB184" s="1">
        <f>VLOOKUP(A184,symbol_2[[symbol]:[TradedValue2]],8,)</f>
        <v>330.62</v>
      </c>
      <c r="AC184" s="1">
        <f>VLOOKUP(A184,symbol_2[[symbol]:[TradedValue3]],12,)</f>
        <v>376.24</v>
      </c>
      <c r="AD184" s="1">
        <f>VLOOKUP(A184,symbol_2[[symbol]:[TradedValue4]],16,)</f>
        <v>193.53</v>
      </c>
      <c r="AE184" s="1">
        <f>VLOOKUP(A184,symbol_2[[symbol]:[TradedValue5]],20,)</f>
        <v>502.19</v>
      </c>
      <c r="AF184" s="1">
        <f>Table2[[#This Row],[TradedValue2]]-Table2[[#This Row],[TradedValue1]]</f>
        <v>271.17</v>
      </c>
      <c r="AG184" s="1">
        <f>Table2[[#This Row],[TradedValue3]]-Table2[[#This Row],[TradedValue2]]</f>
        <v>45.620000000000005</v>
      </c>
      <c r="AH184" s="1">
        <f>Table2[[#This Row],[TradedValue4]]-Table2[[#This Row],[TradedValue3]]</f>
        <v>-182.71</v>
      </c>
      <c r="AI184" s="1">
        <f>Table2[[#This Row],[TradedValue5]]-Table2[[#This Row],[TradedValue4]]</f>
        <v>308.65999999999997</v>
      </c>
      <c r="AJ184" s="49" t="str">
        <f>IF(Table2[[#This Row],[TradedValue2]]&gt;Table2[[#This Row],[TradedValue1]],"Y","N")</f>
        <v>Y</v>
      </c>
      <c r="AK184" s="49" t="str">
        <f>IF(Table2[[#This Row],[TradedValue3]]&gt;Table2[[#This Row],[TradedValue2]],"Y","N")</f>
        <v>Y</v>
      </c>
      <c r="AL184" s="49" t="str">
        <f>IF(Table2[[#This Row],[TradedValue5]]&gt;Table2[[#This Row],[TradedValue3]],"Y","N")</f>
        <v>Y</v>
      </c>
      <c r="AM184" s="49" t="str">
        <f>IF(Table2[[#This Row],[TradedValue5]]&gt;Table2[[#This Row],[TradedValue4]],"Y","N")</f>
        <v>Y</v>
      </c>
      <c r="AN184" s="1">
        <f t="shared" si="156"/>
        <v>0.14000000000000001</v>
      </c>
      <c r="AO184" s="1">
        <f t="shared" si="157"/>
        <v>8.9999999999999969E-2</v>
      </c>
      <c r="AP184" s="1">
        <f t="shared" si="158"/>
        <v>-0.31</v>
      </c>
      <c r="AQ184" s="1">
        <f t="shared" si="159"/>
        <v>0.52</v>
      </c>
      <c r="AR184" s="1">
        <f>VLOOKUP(A184,symbol_2[[symbol]:[DelPer1]],5,)</f>
        <v>33.79</v>
      </c>
      <c r="AS184" s="1">
        <f>VLOOKUP(A184,symbol_2[[symbol]:[DelPer2]],9,)</f>
        <v>24.83</v>
      </c>
      <c r="AT184" s="1">
        <f>VLOOKUP(A184,symbol_2[[symbol]:[DelPer3]],13,)</f>
        <v>54.27</v>
      </c>
      <c r="AU184" s="1">
        <f>VLOOKUP(A184,symbol_2[[symbol]:[DelPer4]],17,)</f>
        <v>26.66</v>
      </c>
      <c r="AV184" s="1">
        <f>VLOOKUP(A184,symbol_2[[symbol]:[DelPer5]],21,)</f>
        <v>43.07</v>
      </c>
      <c r="AW184" s="49" t="str">
        <f t="shared" si="160"/>
        <v>N</v>
      </c>
      <c r="AX184" s="49" t="str">
        <f t="shared" si="161"/>
        <v>Y</v>
      </c>
      <c r="AY184" s="49" t="str">
        <f t="shared" si="162"/>
        <v>N</v>
      </c>
      <c r="AZ184" s="49" t="str">
        <f t="shared" si="163"/>
        <v>Y</v>
      </c>
      <c r="BA184" s="1">
        <f t="shared" si="164"/>
        <v>-8.9600000000000009</v>
      </c>
      <c r="BB184" s="1">
        <f t="shared" si="165"/>
        <v>29.440000000000005</v>
      </c>
      <c r="BC184" s="1">
        <f t="shared" si="166"/>
        <v>-27.610000000000003</v>
      </c>
      <c r="BD184" s="1">
        <f t="shared" si="167"/>
        <v>16.41</v>
      </c>
    </row>
    <row r="185" spans="1:56" hidden="1" x14ac:dyDescent="0.35">
      <c r="A185" s="116" t="s">
        <v>105</v>
      </c>
      <c r="B185" s="1" t="s">
        <v>1017</v>
      </c>
      <c r="C185" s="1" t="s">
        <v>52</v>
      </c>
      <c r="D185" s="1" t="s">
        <v>199</v>
      </c>
      <c r="E185" s="1">
        <f>VLOOKUP(A185,symbol_2[[symbol]:[Price1]],2,)</f>
        <v>677.95</v>
      </c>
      <c r="F185" s="1">
        <f>VLOOKUP(A185,symbol_2[[symbol]:[Price2]],6,)</f>
        <v>657.95</v>
      </c>
      <c r="G185" s="1">
        <f>VLOOKUP(A185,symbol_2[[symbol]:[Price3]],10,)</f>
        <v>658.7</v>
      </c>
      <c r="H185" s="1">
        <f>VLOOKUP(A185,symbol_2[[symbol]:[Price4]],14,)</f>
        <v>656.75</v>
      </c>
      <c r="I185" s="1">
        <f>VLOOKUP(A185,symbol_2[[symbol]:[Price5]],18,)</f>
        <v>659.7</v>
      </c>
      <c r="J185" s="49" t="str">
        <f t="shared" si="144"/>
        <v>N</v>
      </c>
      <c r="K185" s="49" t="str">
        <f t="shared" si="145"/>
        <v>Y</v>
      </c>
      <c r="L185" s="49" t="str">
        <f t="shared" si="146"/>
        <v>N</v>
      </c>
      <c r="M185" s="49" t="str">
        <f t="shared" si="147"/>
        <v>Y</v>
      </c>
      <c r="N185" s="52">
        <f t="shared" si="148"/>
        <v>-2.9500700641640241</v>
      </c>
      <c r="O185" s="52">
        <f t="shared" si="149"/>
        <v>0.11399042480431643</v>
      </c>
      <c r="P185" s="52">
        <f t="shared" si="150"/>
        <v>-0.2960376499165091</v>
      </c>
      <c r="Q185" s="52">
        <f t="shared" si="151"/>
        <v>0.44918157594214619</v>
      </c>
      <c r="R185" s="1">
        <f>VLOOKUP(A185,symbol_2[[symbol]:[TV1]],3,)</f>
        <v>0.66</v>
      </c>
      <c r="S185" s="1">
        <f>VLOOKUP(A185,symbol_2[[symbol]:[TV2]],7,)</f>
        <v>0.62</v>
      </c>
      <c r="T185" s="1">
        <f>VLOOKUP(A185,symbol_2[[symbol]:[TV3]],11,)</f>
        <v>0.48</v>
      </c>
      <c r="U185" s="1">
        <f>VLOOKUP(A185,symbol_2[[symbol]:[TV4]],15,)</f>
        <v>0.93</v>
      </c>
      <c r="V185" s="1">
        <f>VLOOKUP(A185,symbol_2[[symbol]:[TV5]],19,)</f>
        <v>1.75</v>
      </c>
      <c r="W185" s="1" t="str">
        <f t="shared" si="152"/>
        <v>N</v>
      </c>
      <c r="X185" s="1" t="str">
        <f t="shared" si="153"/>
        <v>N</v>
      </c>
      <c r="Y185" s="1" t="str">
        <f t="shared" si="154"/>
        <v>Y</v>
      </c>
      <c r="Z185" s="1" t="str">
        <f t="shared" si="155"/>
        <v>Y</v>
      </c>
      <c r="AA185" s="1">
        <f>VLOOKUP(A187,symbol_2[[symbol]:[TradedValue1]],4,)</f>
        <v>948.45</v>
      </c>
      <c r="AB185" s="1">
        <f>VLOOKUP(A185,symbol_2[[symbol]:[TradedValue2]],8,)</f>
        <v>411.96</v>
      </c>
      <c r="AC185" s="1">
        <f>VLOOKUP(A185,symbol_2[[symbol]:[TradedValue3]],12,)</f>
        <v>318.51</v>
      </c>
      <c r="AD185" s="1">
        <f>VLOOKUP(A185,symbol_2[[symbol]:[TradedValue4]],16,)</f>
        <v>617.92999999999995</v>
      </c>
      <c r="AE185" s="1">
        <f>VLOOKUP(A185,symbol_2[[symbol]:[TradedValue5]],20,)</f>
        <v>1147.0999999999999</v>
      </c>
      <c r="AF185" s="1">
        <f>Table2[[#This Row],[TradedValue2]]-Table2[[#This Row],[TradedValue1]]</f>
        <v>-536.49</v>
      </c>
      <c r="AG185" s="1">
        <f>Table2[[#This Row],[TradedValue3]]-Table2[[#This Row],[TradedValue2]]</f>
        <v>-93.449999999999989</v>
      </c>
      <c r="AH185" s="1">
        <f>Table2[[#This Row],[TradedValue4]]-Table2[[#This Row],[TradedValue3]]</f>
        <v>299.41999999999996</v>
      </c>
      <c r="AI185" s="1">
        <f>Table2[[#This Row],[TradedValue5]]-Table2[[#This Row],[TradedValue4]]</f>
        <v>529.16999999999996</v>
      </c>
      <c r="AJ185" s="49" t="str">
        <f>IF(Table2[[#This Row],[TradedValue2]]&gt;Table2[[#This Row],[TradedValue1]],"Y","N")</f>
        <v>N</v>
      </c>
      <c r="AK185" s="49" t="str">
        <f>IF(Table2[[#This Row],[TradedValue3]]&gt;Table2[[#This Row],[TradedValue2]],"Y","N")</f>
        <v>N</v>
      </c>
      <c r="AL185" s="49" t="str">
        <f>IF(Table2[[#This Row],[TradedValue5]]&gt;Table2[[#This Row],[TradedValue3]],"Y","N")</f>
        <v>Y</v>
      </c>
      <c r="AM185" s="49" t="str">
        <f>IF(Table2[[#This Row],[TradedValue5]]&gt;Table2[[#This Row],[TradedValue4]],"Y","N")</f>
        <v>Y</v>
      </c>
      <c r="AN185" s="1">
        <f t="shared" si="156"/>
        <v>-4.0000000000000036E-2</v>
      </c>
      <c r="AO185" s="1">
        <f t="shared" si="157"/>
        <v>-0.14000000000000001</v>
      </c>
      <c r="AP185" s="1">
        <f t="shared" si="158"/>
        <v>0.45000000000000007</v>
      </c>
      <c r="AQ185" s="1">
        <f t="shared" si="159"/>
        <v>0.82</v>
      </c>
      <c r="AR185" s="1">
        <f>VLOOKUP(A185,symbol_2[[symbol]:[DelPer1]],5,)</f>
        <v>40.46</v>
      </c>
      <c r="AS185" s="1">
        <f>VLOOKUP(A185,symbol_2[[symbol]:[DelPer2]],9,)</f>
        <v>54.23</v>
      </c>
      <c r="AT185" s="1">
        <f>VLOOKUP(A185,symbol_2[[symbol]:[DelPer3]],13,)</f>
        <v>52.63</v>
      </c>
      <c r="AU185" s="1">
        <f>VLOOKUP(A185,symbol_2[[symbol]:[DelPer4]],17,)</f>
        <v>48.78</v>
      </c>
      <c r="AV185" s="1">
        <f>VLOOKUP(A185,symbol_2[[symbol]:[DelPer5]],21,)</f>
        <v>84.04</v>
      </c>
      <c r="AW185" s="49" t="str">
        <f t="shared" si="160"/>
        <v>Y</v>
      </c>
      <c r="AX185" s="49" t="str">
        <f t="shared" si="161"/>
        <v>N</v>
      </c>
      <c r="AY185" s="49" t="str">
        <f t="shared" si="162"/>
        <v>N</v>
      </c>
      <c r="AZ185" s="49" t="str">
        <f t="shared" si="163"/>
        <v>Y</v>
      </c>
      <c r="BA185" s="1">
        <f t="shared" si="164"/>
        <v>13.769999999999996</v>
      </c>
      <c r="BB185" s="1">
        <f t="shared" si="165"/>
        <v>-1.5999999999999943</v>
      </c>
      <c r="BC185" s="1">
        <f t="shared" si="166"/>
        <v>-3.8500000000000014</v>
      </c>
      <c r="BD185" s="1">
        <f t="shared" si="167"/>
        <v>35.260000000000005</v>
      </c>
    </row>
    <row r="186" spans="1:56" hidden="1" x14ac:dyDescent="0.35">
      <c r="A186" s="1" t="s">
        <v>154</v>
      </c>
      <c r="B186" s="1" t="s">
        <v>1010</v>
      </c>
      <c r="C186" s="1" t="s">
        <v>52</v>
      </c>
      <c r="D186" s="1" t="s">
        <v>199</v>
      </c>
      <c r="E186" s="1">
        <f>VLOOKUP(A186,symbol_2[[symbol]:[Price1]],2,)</f>
        <v>3426.85</v>
      </c>
      <c r="F186" s="1">
        <f>VLOOKUP(A186,symbol_2[[symbol]:[Price2]],6,)</f>
        <v>3403</v>
      </c>
      <c r="G186" s="1">
        <f>VLOOKUP(A186,symbol_2[[symbol]:[Price3]],10,)</f>
        <v>3415</v>
      </c>
      <c r="H186" s="1">
        <f>VLOOKUP(A186,symbol_2[[symbol]:[Price4]],14,)</f>
        <v>3407.15</v>
      </c>
      <c r="I186" s="1">
        <f>VLOOKUP(A186,symbol_2[[symbol]:[Price5]],18,)</f>
        <v>3418.45</v>
      </c>
      <c r="J186" s="49" t="str">
        <f t="shared" si="144"/>
        <v>N</v>
      </c>
      <c r="K186" s="49" t="str">
        <f t="shared" si="145"/>
        <v>Y</v>
      </c>
      <c r="L186" s="49" t="str">
        <f t="shared" si="146"/>
        <v>N</v>
      </c>
      <c r="M186" s="49" t="str">
        <f t="shared" si="147"/>
        <v>Y</v>
      </c>
      <c r="N186" s="52">
        <f t="shared" si="148"/>
        <v>-0.69597443716532414</v>
      </c>
      <c r="O186" s="52">
        <f t="shared" si="149"/>
        <v>0.35263003232441964</v>
      </c>
      <c r="P186" s="52">
        <f t="shared" si="150"/>
        <v>-0.2298682284040969</v>
      </c>
      <c r="Q186" s="52">
        <f t="shared" si="151"/>
        <v>0.33165548919183852</v>
      </c>
      <c r="R186" s="1">
        <f>VLOOKUP(A186,symbol_2[[symbol]:[TV1]],3,)</f>
        <v>0.02</v>
      </c>
      <c r="S186" s="1">
        <f>VLOOKUP(A186,symbol_2[[symbol]:[TV2]],7,)</f>
        <v>0.08</v>
      </c>
      <c r="T186" s="1">
        <f>VLOOKUP(A186,symbol_2[[symbol]:[TV3]],11,)</f>
        <v>0.02</v>
      </c>
      <c r="U186" s="1">
        <f>VLOOKUP(A186,symbol_2[[symbol]:[TV4]],15,)</f>
        <v>0.02</v>
      </c>
      <c r="V186" s="1">
        <f>VLOOKUP(A186,symbol_2[[symbol]:[TV5]],19,)</f>
        <v>0.01</v>
      </c>
      <c r="W186" s="1" t="str">
        <f t="shared" si="152"/>
        <v>Y</v>
      </c>
      <c r="X186" s="1" t="str">
        <f t="shared" si="153"/>
        <v>N</v>
      </c>
      <c r="Y186" s="1" t="str">
        <f t="shared" si="154"/>
        <v>N</v>
      </c>
      <c r="Z186" s="1" t="str">
        <f t="shared" si="155"/>
        <v>N</v>
      </c>
      <c r="AA186" s="1">
        <f>VLOOKUP(A186,symbol_2[[symbol]:[TradedValue1]],4,)</f>
        <v>59.45</v>
      </c>
      <c r="AB186" s="1">
        <f>VLOOKUP(A186,symbol_2[[symbol]:[TradedValue2]],8,)</f>
        <v>274.85000000000002</v>
      </c>
      <c r="AC186" s="1">
        <f>VLOOKUP(A186,symbol_2[[symbol]:[TradedValue3]],12,)</f>
        <v>67.63</v>
      </c>
      <c r="AD186" s="1">
        <f>VLOOKUP(A186,symbol_2[[symbol]:[TradedValue4]],16,)</f>
        <v>82.47</v>
      </c>
      <c r="AE186" s="1">
        <f>VLOOKUP(A186,symbol_2[[symbol]:[TradedValue5]],20,)</f>
        <v>28.37</v>
      </c>
      <c r="AF186" s="1">
        <f>Table2[[#This Row],[TradedValue2]]-Table2[[#This Row],[TradedValue1]]</f>
        <v>215.40000000000003</v>
      </c>
      <c r="AG186" s="1">
        <f>Table2[[#This Row],[TradedValue3]]-Table2[[#This Row],[TradedValue2]]</f>
        <v>-207.22000000000003</v>
      </c>
      <c r="AH186" s="1">
        <f>Table2[[#This Row],[TradedValue4]]-Table2[[#This Row],[TradedValue3]]</f>
        <v>14.840000000000003</v>
      </c>
      <c r="AI186" s="1">
        <f>Table2[[#This Row],[TradedValue5]]-Table2[[#This Row],[TradedValue4]]</f>
        <v>-54.099999999999994</v>
      </c>
      <c r="AJ186" s="49" t="str">
        <f>IF(Table2[[#This Row],[TradedValue2]]&gt;Table2[[#This Row],[TradedValue1]],"Y","N")</f>
        <v>Y</v>
      </c>
      <c r="AK186" s="49" t="str">
        <f>IF(Table2[[#This Row],[TradedValue3]]&gt;Table2[[#This Row],[TradedValue2]],"Y","N")</f>
        <v>N</v>
      </c>
      <c r="AL186" s="49" t="str">
        <f>IF(Table2[[#This Row],[TradedValue5]]&gt;Table2[[#This Row],[TradedValue3]],"Y","N")</f>
        <v>N</v>
      </c>
      <c r="AM186" s="49" t="str">
        <f>IF(Table2[[#This Row],[TradedValue5]]&gt;Table2[[#This Row],[TradedValue4]],"Y","N")</f>
        <v>N</v>
      </c>
      <c r="AN186" s="1">
        <f t="shared" si="156"/>
        <v>0.06</v>
      </c>
      <c r="AO186" s="1">
        <f t="shared" si="157"/>
        <v>-0.06</v>
      </c>
      <c r="AP186" s="1">
        <f t="shared" si="158"/>
        <v>0</v>
      </c>
      <c r="AQ186" s="1">
        <f t="shared" si="159"/>
        <v>-0.01</v>
      </c>
      <c r="AR186" s="1">
        <f>VLOOKUP(A186,symbol_2[[symbol]:[DelPer1]],5,)</f>
        <v>48.12</v>
      </c>
      <c r="AS186" s="1">
        <f>VLOOKUP(A186,symbol_2[[symbol]:[DelPer2]],9,)</f>
        <v>86.95</v>
      </c>
      <c r="AT186" s="1">
        <f>VLOOKUP(A186,symbol_2[[symbol]:[DelPer3]],13,)</f>
        <v>59.81</v>
      </c>
      <c r="AU186" s="1">
        <f>VLOOKUP(A186,symbol_2[[symbol]:[DelPer4]],17,)</f>
        <v>46.67</v>
      </c>
      <c r="AV186" s="1">
        <f>VLOOKUP(A186,symbol_2[[symbol]:[DelPer5]],21,)</f>
        <v>40</v>
      </c>
      <c r="AW186" s="49" t="str">
        <f t="shared" si="160"/>
        <v>Y</v>
      </c>
      <c r="AX186" s="49" t="str">
        <f t="shared" si="161"/>
        <v>N</v>
      </c>
      <c r="AY186" s="49" t="str">
        <f t="shared" si="162"/>
        <v>N</v>
      </c>
      <c r="AZ186" s="49" t="str">
        <f t="shared" si="163"/>
        <v>N</v>
      </c>
      <c r="BA186" s="1">
        <f t="shared" si="164"/>
        <v>38.830000000000005</v>
      </c>
      <c r="BB186" s="1">
        <f t="shared" si="165"/>
        <v>-27.14</v>
      </c>
      <c r="BC186" s="1">
        <f t="shared" si="166"/>
        <v>-13.14</v>
      </c>
      <c r="BD186" s="1">
        <f t="shared" si="167"/>
        <v>-6.6700000000000017</v>
      </c>
    </row>
    <row r="187" spans="1:56" hidden="1" x14ac:dyDescent="0.35">
      <c r="A187" s="116" t="s">
        <v>195</v>
      </c>
      <c r="B187" s="1" t="s">
        <v>1006</v>
      </c>
      <c r="C187" s="1" t="s">
        <v>52</v>
      </c>
      <c r="D187" s="1" t="str">
        <f>VLOOKUP(A187,'High Beta'!A41:B90,2,)</f>
        <v>Y</v>
      </c>
      <c r="E187" s="1">
        <f>VLOOKUP(A187,symbol_2[[symbol]:[Price1]],2,)</f>
        <v>74</v>
      </c>
      <c r="F187" s="1">
        <f>VLOOKUP(A187,symbol_2[[symbol]:[Price2]],6,)</f>
        <v>71.55</v>
      </c>
      <c r="G187" s="1">
        <f>VLOOKUP(A187,symbol_2[[symbol]:[Price3]],10,)</f>
        <v>71.2</v>
      </c>
      <c r="H187" s="1">
        <f>VLOOKUP(A187,symbol_2[[symbol]:[Price4]],14,)</f>
        <v>69.75</v>
      </c>
      <c r="I187" s="1">
        <f>VLOOKUP(A187,symbol_2[[symbol]:[Price5]],18,)</f>
        <v>75</v>
      </c>
      <c r="J187" s="49" t="str">
        <f t="shared" ref="J187:J192" si="168">IF(F187&gt;E187,"Y","N")</f>
        <v>N</v>
      </c>
      <c r="K187" s="49" t="str">
        <f t="shared" ref="K187:K192" si="169">IF(G187&gt;F187,"Y","N")</f>
        <v>N</v>
      </c>
      <c r="L187" s="49" t="str">
        <f t="shared" ref="L187:L192" si="170">IF(H187&gt;G187,"Y","N")</f>
        <v>N</v>
      </c>
      <c r="M187" s="49" t="str">
        <f t="shared" ref="M187:M192" si="171">IF(I187&gt;H187,"Y","N")</f>
        <v>Y</v>
      </c>
      <c r="N187" s="52">
        <f t="shared" ref="N187:N192" si="172">((F187-E187)/E187)*100</f>
        <v>-3.3108108108108145</v>
      </c>
      <c r="O187" s="52">
        <f t="shared" ref="O187:O192" si="173">((G187-F187)/F187)*100</f>
        <v>-0.48916841369670772</v>
      </c>
      <c r="P187" s="52">
        <f t="shared" ref="P187:P192" si="174">((H187-G187)/G187)*100</f>
        <v>-2.0365168539325884</v>
      </c>
      <c r="Q187" s="52">
        <f t="shared" ref="Q187:Q192" si="175">((I187-H187)/H187)*100</f>
        <v>7.5268817204301079</v>
      </c>
      <c r="R187" s="1">
        <f>VLOOKUP(A187,symbol_2[[symbol]:[TV1]],3,)</f>
        <v>12.81</v>
      </c>
      <c r="S187" s="1">
        <f>VLOOKUP(A187,symbol_2[[symbol]:[TV2]],7,)</f>
        <v>9.07</v>
      </c>
      <c r="T187" s="1">
        <f>VLOOKUP(A187,symbol_2[[symbol]:[TV3]],11,)</f>
        <v>7.99</v>
      </c>
      <c r="U187" s="1">
        <f>VLOOKUP(A187,symbol_2[[symbol]:[TV4]],15,)</f>
        <v>20.94</v>
      </c>
      <c r="V187" s="1">
        <f>VLOOKUP(A187,symbol_2[[symbol]:[TV5]],19,)</f>
        <v>13.54</v>
      </c>
      <c r="W187" s="1" t="str">
        <f t="shared" ref="W187:W192" si="176">IF(S187&gt;R187,"Y","N")</f>
        <v>N</v>
      </c>
      <c r="X187" s="1" t="str">
        <f t="shared" ref="X187:X192" si="177">IF(T187&gt;S187,"Y","N")</f>
        <v>N</v>
      </c>
      <c r="Y187" s="1" t="str">
        <f t="shared" ref="Y187:Y192" si="178">IF(U187&gt;T187,"Y","N")</f>
        <v>Y</v>
      </c>
      <c r="Z187" s="1" t="str">
        <f t="shared" ref="Z187:Z192" si="179">IF(V187&gt;U187,"Y","N")</f>
        <v>N</v>
      </c>
      <c r="AA187" s="1">
        <f>VLOOKUP(A187,symbol_2[[symbol]:[TradedValue1]],4,)</f>
        <v>948.45</v>
      </c>
      <c r="AB187" s="1">
        <f>VLOOKUP(A187,symbol_2[[symbol]:[TradedValue2]],8,)</f>
        <v>656.1</v>
      </c>
      <c r="AC187" s="1">
        <f>VLOOKUP(A187,symbol_2[[symbol]:[TradedValue3]],12,)</f>
        <v>567.35</v>
      </c>
      <c r="AD187" s="1">
        <f>VLOOKUP(A187,symbol_2[[symbol]:[TradedValue4]],16,)</f>
        <v>1516.43</v>
      </c>
      <c r="AE187" s="1">
        <f>VLOOKUP(A187,symbol_2[[symbol]:[TradedValue5]],20,)</f>
        <v>991.18</v>
      </c>
      <c r="AF187" s="1">
        <f>Table2[[#This Row],[TradedValue2]]-Table2[[#This Row],[TradedValue1]]</f>
        <v>-292.35000000000002</v>
      </c>
      <c r="AG187" s="1">
        <f>Table2[[#This Row],[TradedValue3]]-Table2[[#This Row],[TradedValue2]]</f>
        <v>-88.75</v>
      </c>
      <c r="AH187" s="1">
        <f>Table2[[#This Row],[TradedValue4]]-Table2[[#This Row],[TradedValue3]]</f>
        <v>949.08</v>
      </c>
      <c r="AI187" s="1">
        <f>Table2[[#This Row],[TradedValue5]]-Table2[[#This Row],[TradedValue4]]</f>
        <v>-525.25000000000011</v>
      </c>
      <c r="AJ187" s="49" t="str">
        <f>IF(Table2[[#This Row],[TradedValue2]]&gt;Table2[[#This Row],[TradedValue1]],"Y","N")</f>
        <v>N</v>
      </c>
      <c r="AK187" s="49" t="str">
        <f>IF(Table2[[#This Row],[TradedValue3]]&gt;Table2[[#This Row],[TradedValue2]],"Y","N")</f>
        <v>N</v>
      </c>
      <c r="AL187" s="49" t="str">
        <f>IF(Table2[[#This Row],[TradedValue5]]&gt;Table2[[#This Row],[TradedValue3]],"Y","N")</f>
        <v>Y</v>
      </c>
      <c r="AM187" s="49" t="str">
        <f>IF(Table2[[#This Row],[TradedValue5]]&gt;Table2[[#This Row],[TradedValue4]],"Y","N")</f>
        <v>N</v>
      </c>
      <c r="AN187" s="1">
        <f t="shared" ref="AN187:AN192" si="180">S187-R187</f>
        <v>-3.74</v>
      </c>
      <c r="AO187" s="1">
        <f t="shared" ref="AO187:AO192" si="181">T187-S187</f>
        <v>-1.08</v>
      </c>
      <c r="AP187" s="1">
        <f t="shared" ref="AP187:AP192" si="182">U187-T187</f>
        <v>12.950000000000001</v>
      </c>
      <c r="AQ187" s="1">
        <f t="shared" ref="AQ187:AQ192" si="183">V187-U187</f>
        <v>-7.4000000000000021</v>
      </c>
      <c r="AR187" s="1">
        <f>VLOOKUP(A187,symbol_2[[symbol]:[DelPer1]],5,)</f>
        <v>26.28</v>
      </c>
      <c r="AS187" s="1">
        <f>VLOOKUP(A187,symbol_2[[symbol]:[DelPer2]],9,)</f>
        <v>17.78</v>
      </c>
      <c r="AT187" s="1">
        <f>VLOOKUP(A187,symbol_2[[symbol]:[DelPer3]],13,)</f>
        <v>30.26</v>
      </c>
      <c r="AU187" s="1">
        <f>VLOOKUP(A187,symbol_2[[symbol]:[DelPer4]],17,)</f>
        <v>24.45</v>
      </c>
      <c r="AV187" s="1">
        <f>VLOOKUP(A187,symbol_2[[symbol]:[DelPer5]],21,)</f>
        <v>20.48</v>
      </c>
      <c r="AW187" s="49" t="str">
        <f t="shared" ref="AW187:AW192" si="184">IF(AS187&gt;AR187,"Y","N")</f>
        <v>N</v>
      </c>
      <c r="AX187" s="49" t="str">
        <f t="shared" ref="AX187:AX192" si="185">IF(AT187&gt;AS187,"Y","N")</f>
        <v>Y</v>
      </c>
      <c r="AY187" s="49" t="str">
        <f t="shared" ref="AY187:AY192" si="186">IF(AU187&gt;AT187,"Y","N")</f>
        <v>N</v>
      </c>
      <c r="AZ187" s="49" t="str">
        <f t="shared" ref="AZ187:AZ192" si="187">IF(AV187&gt;AU187,"Y","N")</f>
        <v>N</v>
      </c>
      <c r="BA187" s="1">
        <f t="shared" ref="BA187:BA192" si="188">AS187-AR187</f>
        <v>-8.5</v>
      </c>
      <c r="BB187" s="1">
        <f t="shared" ref="BB187:BB192" si="189">AT187-AS187</f>
        <v>12.48</v>
      </c>
      <c r="BC187" s="1">
        <f t="shared" ref="BC187:BC192" si="190">AU187-AT187</f>
        <v>-5.8100000000000023</v>
      </c>
      <c r="BD187" s="1">
        <f t="shared" ref="BD187:BD192" si="191">AV187-AU187</f>
        <v>-3.9699999999999989</v>
      </c>
    </row>
    <row r="188" spans="1:56" hidden="1" x14ac:dyDescent="0.35">
      <c r="A188" s="116" t="s">
        <v>8</v>
      </c>
      <c r="B188" s="1" t="s">
        <v>1006</v>
      </c>
      <c r="C188" s="1" t="s">
        <v>52</v>
      </c>
      <c r="D188" s="1" t="s">
        <v>52</v>
      </c>
      <c r="E188" s="1">
        <f>VLOOKUP(A188,symbol_2[[symbol]:[Price1]],2,)</f>
        <v>122.9</v>
      </c>
      <c r="F188" s="1">
        <f>VLOOKUP(A188,symbol_2[[symbol]:[Price2]],6,)</f>
        <v>125.8</v>
      </c>
      <c r="G188" s="1">
        <f>VLOOKUP(A188,symbol_2[[symbol]:[Price3]],10,)</f>
        <v>126.15</v>
      </c>
      <c r="H188" s="1">
        <f>VLOOKUP(A188,symbol_2[[symbol]:[Price4]],14,)</f>
        <v>127.55</v>
      </c>
      <c r="I188" s="1">
        <f>VLOOKUP(A188,symbol_2[[symbol]:[Price5]],18,)</f>
        <v>137.35</v>
      </c>
      <c r="J188" s="49" t="str">
        <f t="shared" si="168"/>
        <v>Y</v>
      </c>
      <c r="K188" s="49" t="str">
        <f t="shared" si="169"/>
        <v>Y</v>
      </c>
      <c r="L188" s="49" t="str">
        <f t="shared" si="170"/>
        <v>Y</v>
      </c>
      <c r="M188" s="49" t="str">
        <f t="shared" si="171"/>
        <v>Y</v>
      </c>
      <c r="N188" s="52">
        <f t="shared" si="172"/>
        <v>2.3596419853539392</v>
      </c>
      <c r="O188" s="52">
        <f t="shared" si="173"/>
        <v>0.27821939586646149</v>
      </c>
      <c r="P188" s="52">
        <f t="shared" si="174"/>
        <v>1.1097899326198901</v>
      </c>
      <c r="Q188" s="52">
        <f t="shared" si="175"/>
        <v>7.6832614660917269</v>
      </c>
      <c r="R188" s="1">
        <f>VLOOKUP(A188,symbol_2[[symbol]:[TV1]],3,)</f>
        <v>28.83</v>
      </c>
      <c r="S188" s="1">
        <f>VLOOKUP(A188,symbol_2[[symbol]:[TV2]],7,)</f>
        <v>36.96</v>
      </c>
      <c r="T188" s="1">
        <f>VLOOKUP(A188,symbol_2[[symbol]:[TV3]],11,)</f>
        <v>24.19</v>
      </c>
      <c r="U188" s="1">
        <f>VLOOKUP(A188,symbol_2[[symbol]:[TV4]],15,)</f>
        <v>107.99</v>
      </c>
      <c r="V188" s="1">
        <f>VLOOKUP(A188,symbol_2[[symbol]:[TV5]],19,)</f>
        <v>55.81</v>
      </c>
      <c r="W188" s="1" t="str">
        <f t="shared" si="176"/>
        <v>Y</v>
      </c>
      <c r="X188" s="1" t="str">
        <f t="shared" si="177"/>
        <v>N</v>
      </c>
      <c r="Y188" s="1" t="str">
        <f t="shared" si="178"/>
        <v>Y</v>
      </c>
      <c r="Z188" s="1" t="str">
        <f t="shared" si="179"/>
        <v>N</v>
      </c>
      <c r="AA188" s="1">
        <f>VLOOKUP(A188,symbol_2[[symbol]:[TradedValue1]],4,)</f>
        <v>3481.22</v>
      </c>
      <c r="AB188" s="1">
        <f>VLOOKUP(A188,symbol_2[[symbol]:[TradedValue2]],8,)</f>
        <v>4625.71</v>
      </c>
      <c r="AC188" s="1">
        <f>VLOOKUP(A188,symbol_2[[symbol]:[TradedValue3]],12,)</f>
        <v>3052.79</v>
      </c>
      <c r="AD188" s="1">
        <f>VLOOKUP(A188,symbol_2[[symbol]:[TradedValue4]],16,)</f>
        <v>14551.46</v>
      </c>
      <c r="AE188" s="1">
        <f>VLOOKUP(A188,symbol_2[[symbol]:[TradedValue5]],20,)</f>
        <v>7482.8</v>
      </c>
      <c r="AF188" s="1">
        <f>Table2[[#This Row],[TradedValue2]]-Table2[[#This Row],[TradedValue1]]</f>
        <v>1144.4900000000002</v>
      </c>
      <c r="AG188" s="1">
        <f>Table2[[#This Row],[TradedValue3]]-Table2[[#This Row],[TradedValue2]]</f>
        <v>-1572.92</v>
      </c>
      <c r="AH188" s="1">
        <f>Table2[[#This Row],[TradedValue4]]-Table2[[#This Row],[TradedValue3]]</f>
        <v>11498.669999999998</v>
      </c>
      <c r="AI188" s="1">
        <f>Table2[[#This Row],[TradedValue5]]-Table2[[#This Row],[TradedValue4]]</f>
        <v>-7068.6599999999989</v>
      </c>
      <c r="AJ188" s="49" t="str">
        <f>IF(Table2[[#This Row],[TradedValue2]]&gt;Table2[[#This Row],[TradedValue1]],"Y","N")</f>
        <v>Y</v>
      </c>
      <c r="AK188" s="49" t="str">
        <f>IF(Table2[[#This Row],[TradedValue3]]&gt;Table2[[#This Row],[TradedValue2]],"Y","N")</f>
        <v>N</v>
      </c>
      <c r="AL188" s="49" t="str">
        <f>IF(Table2[[#This Row],[TradedValue5]]&gt;Table2[[#This Row],[TradedValue3]],"Y","N")</f>
        <v>Y</v>
      </c>
      <c r="AM188" s="49" t="str">
        <f>IF(Table2[[#This Row],[TradedValue5]]&gt;Table2[[#This Row],[TradedValue4]],"Y","N")</f>
        <v>N</v>
      </c>
      <c r="AN188" s="1">
        <f t="shared" si="180"/>
        <v>8.1300000000000026</v>
      </c>
      <c r="AO188" s="1">
        <f t="shared" si="181"/>
        <v>-12.77</v>
      </c>
      <c r="AP188" s="1">
        <f t="shared" si="182"/>
        <v>83.8</v>
      </c>
      <c r="AQ188" s="1">
        <f t="shared" si="183"/>
        <v>-52.179999999999993</v>
      </c>
      <c r="AR188" s="1">
        <f>VLOOKUP(A188,symbol_2[[symbol]:[DelPer1]],5,)</f>
        <v>20.41</v>
      </c>
      <c r="AS188" s="1">
        <f>VLOOKUP(A188,symbol_2[[symbol]:[DelPer2]],9,)</f>
        <v>27.14</v>
      </c>
      <c r="AT188" s="1">
        <f>VLOOKUP(A188,symbol_2[[symbol]:[DelPer3]],13,)</f>
        <v>23.37</v>
      </c>
      <c r="AU188" s="1">
        <f>VLOOKUP(A188,symbol_2[[symbol]:[DelPer4]],17,)</f>
        <v>22.89</v>
      </c>
      <c r="AV188" s="1">
        <f>VLOOKUP(A188,symbol_2[[symbol]:[DelPer5]],21,)</f>
        <v>17.010000000000002</v>
      </c>
      <c r="AW188" s="49" t="str">
        <f t="shared" si="184"/>
        <v>Y</v>
      </c>
      <c r="AX188" s="49" t="str">
        <f t="shared" si="185"/>
        <v>N</v>
      </c>
      <c r="AY188" s="49" t="str">
        <f t="shared" si="186"/>
        <v>N</v>
      </c>
      <c r="AZ188" s="49" t="str">
        <f t="shared" si="187"/>
        <v>N</v>
      </c>
      <c r="BA188" s="1">
        <f t="shared" si="188"/>
        <v>6.73</v>
      </c>
      <c r="BB188" s="1">
        <f t="shared" si="189"/>
        <v>-3.7699999999999996</v>
      </c>
      <c r="BC188" s="1">
        <f t="shared" si="190"/>
        <v>-0.48000000000000043</v>
      </c>
      <c r="BD188" s="1">
        <f t="shared" si="191"/>
        <v>-5.879999999999999</v>
      </c>
    </row>
    <row r="189" spans="1:56" hidden="1" x14ac:dyDescent="0.35">
      <c r="A189" s="115" t="s">
        <v>85</v>
      </c>
      <c r="B189" s="1" t="s">
        <v>1018</v>
      </c>
      <c r="C189" s="1" t="s">
        <v>52</v>
      </c>
      <c r="D189" s="1" t="s">
        <v>199</v>
      </c>
      <c r="E189" s="1">
        <f>VLOOKUP(A189,symbol_2[[symbol]:[Price1]],2,)</f>
        <v>38.85</v>
      </c>
      <c r="F189" s="1">
        <f>VLOOKUP(A189,symbol_2[[symbol]:[Price2]],6,)</f>
        <v>37.9</v>
      </c>
      <c r="G189" s="1">
        <f>VLOOKUP(A189,symbol_2[[symbol]:[Price3]],10,)</f>
        <v>38.9</v>
      </c>
      <c r="H189" s="1">
        <f>VLOOKUP(A189,symbol_2[[symbol]:[Price4]],14,)</f>
        <v>38.15</v>
      </c>
      <c r="I189" s="1">
        <f>VLOOKUP(A189,symbol_2[[symbol]:[Price5]],18,)</f>
        <v>39.200000000000003</v>
      </c>
      <c r="J189" s="109" t="str">
        <f t="shared" si="168"/>
        <v>N</v>
      </c>
      <c r="K189" s="109" t="str">
        <f t="shared" si="169"/>
        <v>Y</v>
      </c>
      <c r="L189" s="109" t="str">
        <f t="shared" si="170"/>
        <v>N</v>
      </c>
      <c r="M189" s="109" t="str">
        <f t="shared" si="171"/>
        <v>Y</v>
      </c>
      <c r="N189" s="110">
        <f t="shared" si="172"/>
        <v>-2.4453024453024526</v>
      </c>
      <c r="O189" s="110">
        <f t="shared" si="173"/>
        <v>2.6385224274406331</v>
      </c>
      <c r="P189" s="110">
        <f t="shared" si="174"/>
        <v>-1.9280205655526992</v>
      </c>
      <c r="Q189" s="110">
        <f t="shared" si="175"/>
        <v>2.7522935779816624</v>
      </c>
      <c r="R189" s="1">
        <f>VLOOKUP(A189,symbol_2[[symbol]:[TV1]],3,)</f>
        <v>10.17</v>
      </c>
      <c r="S189" s="1">
        <f>VLOOKUP(A189,symbol_2[[symbol]:[TV2]],7,)</f>
        <v>5.21</v>
      </c>
      <c r="T189" s="1">
        <f>VLOOKUP(A189,symbol_2[[symbol]:[TV3]],11,)</f>
        <v>7.43</v>
      </c>
      <c r="U189" s="1">
        <f>VLOOKUP(A189,symbol_2[[symbol]:[TV4]],15,)</f>
        <v>6.43</v>
      </c>
      <c r="V189" s="1">
        <f>VLOOKUP(A189,symbol_2[[symbol]:[TV5]],19,)</f>
        <v>5.16</v>
      </c>
      <c r="W189" s="1" t="str">
        <f t="shared" si="176"/>
        <v>N</v>
      </c>
      <c r="X189" s="1" t="str">
        <f t="shared" si="177"/>
        <v>Y</v>
      </c>
      <c r="Y189" s="1" t="str">
        <f t="shared" si="178"/>
        <v>N</v>
      </c>
      <c r="Z189" s="1" t="str">
        <f t="shared" si="179"/>
        <v>N</v>
      </c>
      <c r="AA189" s="1">
        <f>VLOOKUP(A189,symbol_2[[symbol]:[TradedValue1]],4,)</f>
        <v>388.4</v>
      </c>
      <c r="AB189" s="1">
        <f>VLOOKUP(A189,symbol_2[[symbol]:[TradedValue2]],8,)</f>
        <v>198.41</v>
      </c>
      <c r="AC189" s="1">
        <f>VLOOKUP(A189,symbol_2[[symbol]:[TradedValue3]],12,)</f>
        <v>285.26</v>
      </c>
      <c r="AD189" s="1">
        <f>VLOOKUP(A189,symbol_2[[symbol]:[TradedValue4]],16,)</f>
        <v>249.08</v>
      </c>
      <c r="AE189" s="1">
        <f>VLOOKUP(A189,symbol_2[[symbol]:[TradedValue5]],20,)</f>
        <v>199.34</v>
      </c>
      <c r="AF189" s="1">
        <f>Table2[[#This Row],[TradedValue2]]-Table2[[#This Row],[TradedValue1]]</f>
        <v>-189.98999999999998</v>
      </c>
      <c r="AG189" s="1">
        <f>Table2[[#This Row],[TradedValue3]]-Table2[[#This Row],[TradedValue2]]</f>
        <v>86.85</v>
      </c>
      <c r="AH189" s="1">
        <f>Table2[[#This Row],[TradedValue4]]-Table2[[#This Row],[TradedValue3]]</f>
        <v>-36.179999999999978</v>
      </c>
      <c r="AI189" s="1">
        <f>Table2[[#This Row],[TradedValue5]]-Table2[[#This Row],[TradedValue4]]</f>
        <v>-49.740000000000009</v>
      </c>
      <c r="AJ189" s="109" t="str">
        <f>IF(Table2[[#This Row],[TradedValue2]]&gt;Table2[[#This Row],[TradedValue1]],"Y","N")</f>
        <v>N</v>
      </c>
      <c r="AK189" s="109" t="str">
        <f>IF(Table2[[#This Row],[TradedValue3]]&gt;Table2[[#This Row],[TradedValue2]],"Y","N")</f>
        <v>Y</v>
      </c>
      <c r="AL189" s="109" t="str">
        <f>IF(Table2[[#This Row],[TradedValue5]]&gt;Table2[[#This Row],[TradedValue3]],"Y","N")</f>
        <v>N</v>
      </c>
      <c r="AM189" s="109" t="str">
        <f>IF(Table2[[#This Row],[TradedValue5]]&gt;Table2[[#This Row],[TradedValue4]],"Y","N")</f>
        <v>N</v>
      </c>
      <c r="AN189" s="1">
        <f t="shared" si="180"/>
        <v>-4.96</v>
      </c>
      <c r="AO189" s="1">
        <f t="shared" si="181"/>
        <v>2.2199999999999998</v>
      </c>
      <c r="AP189" s="1">
        <f t="shared" si="182"/>
        <v>-1</v>
      </c>
      <c r="AQ189" s="1">
        <f t="shared" si="183"/>
        <v>-1.2699999999999996</v>
      </c>
      <c r="AR189" s="1">
        <f>VLOOKUP(A189,symbol_2[[symbol]:[DelPer1]],5,)</f>
        <v>30.03</v>
      </c>
      <c r="AS189" s="1">
        <f>VLOOKUP(A189,symbol_2[[symbol]:[DelPer2]],9,)</f>
        <v>11.83</v>
      </c>
      <c r="AT189" s="1">
        <f>VLOOKUP(A189,symbol_2[[symbol]:[DelPer3]],13,)</f>
        <v>13.12</v>
      </c>
      <c r="AU189" s="1">
        <f>VLOOKUP(A189,symbol_2[[symbol]:[DelPer4]],17,)</f>
        <v>12.55</v>
      </c>
      <c r="AV189" s="1">
        <f>VLOOKUP(A189,symbol_2[[symbol]:[DelPer5]],21,)</f>
        <v>16.91</v>
      </c>
      <c r="AW189" s="109" t="str">
        <f t="shared" si="184"/>
        <v>N</v>
      </c>
      <c r="AX189" s="109" t="str">
        <f t="shared" si="185"/>
        <v>Y</v>
      </c>
      <c r="AY189" s="109" t="str">
        <f t="shared" si="186"/>
        <v>N</v>
      </c>
      <c r="AZ189" s="109" t="str">
        <f t="shared" si="187"/>
        <v>Y</v>
      </c>
      <c r="BA189" s="1">
        <f t="shared" si="188"/>
        <v>-18.200000000000003</v>
      </c>
      <c r="BB189" s="1">
        <f t="shared" si="189"/>
        <v>1.2899999999999991</v>
      </c>
      <c r="BC189" s="1">
        <f t="shared" si="190"/>
        <v>-0.56999999999999851</v>
      </c>
      <c r="BD189" s="1">
        <f t="shared" si="191"/>
        <v>4.3599999999999994</v>
      </c>
    </row>
    <row r="190" spans="1:56" hidden="1" x14ac:dyDescent="0.35">
      <c r="A190" s="1" t="s">
        <v>129</v>
      </c>
      <c r="B190" s="1" t="s">
        <v>1022</v>
      </c>
      <c r="C190" s="1" t="s">
        <v>52</v>
      </c>
      <c r="D190" s="1" t="s">
        <v>199</v>
      </c>
      <c r="E190" s="1">
        <f>VLOOKUP(A190,symbol_2[[symbol]:[Price1]],2,)</f>
        <v>668.6</v>
      </c>
      <c r="F190" s="1">
        <f>VLOOKUP(A190,symbol_2[[symbol]:[Price2]],6,)</f>
        <v>714.75</v>
      </c>
      <c r="G190" s="1">
        <f>VLOOKUP(A190,symbol_2[[symbol]:[Price3]],10,)</f>
        <v>742.75</v>
      </c>
      <c r="H190" s="1">
        <f>VLOOKUP(A190,symbol_2[[symbol]:[Price4]],14,)</f>
        <v>746.95</v>
      </c>
      <c r="I190" s="1">
        <f>VLOOKUP(A190,symbol_2[[symbol]:[Price5]],18,)</f>
        <v>679.55</v>
      </c>
      <c r="J190" s="49" t="str">
        <f t="shared" si="168"/>
        <v>Y</v>
      </c>
      <c r="K190" s="49" t="str">
        <f t="shared" si="169"/>
        <v>Y</v>
      </c>
      <c r="L190" s="49" t="str">
        <f t="shared" si="170"/>
        <v>Y</v>
      </c>
      <c r="M190" s="49" t="str">
        <f t="shared" si="171"/>
        <v>N</v>
      </c>
      <c r="N190" s="52">
        <f t="shared" si="172"/>
        <v>6.9024827998803442</v>
      </c>
      <c r="O190" s="52">
        <f t="shared" si="173"/>
        <v>3.9174536551241692</v>
      </c>
      <c r="P190" s="52">
        <f t="shared" si="174"/>
        <v>0.5654661730057281</v>
      </c>
      <c r="Q190" s="52">
        <f t="shared" si="175"/>
        <v>-9.0233616707945767</v>
      </c>
      <c r="R190" s="1">
        <f>VLOOKUP(A190,symbol_2[[symbol]:[TV1]],3,)</f>
        <v>3.78</v>
      </c>
      <c r="S190" s="1">
        <f>VLOOKUP(A190,symbol_2[[symbol]:[TV2]],7,)</f>
        <v>12.98</v>
      </c>
      <c r="T190" s="1">
        <f>VLOOKUP(A190,symbol_2[[symbol]:[TV3]],11,)</f>
        <v>10.72</v>
      </c>
      <c r="U190" s="1">
        <f>VLOOKUP(A190,symbol_2[[symbol]:[TV4]],15,)</f>
        <v>4.5599999999999996</v>
      </c>
      <c r="V190" s="1">
        <f>VLOOKUP(A190,symbol_2[[symbol]:[TV5]],19,)</f>
        <v>8.01</v>
      </c>
      <c r="W190" s="1" t="str">
        <f t="shared" si="176"/>
        <v>Y</v>
      </c>
      <c r="X190" s="1" t="str">
        <f t="shared" si="177"/>
        <v>N</v>
      </c>
      <c r="Y190" s="1" t="str">
        <f t="shared" si="178"/>
        <v>N</v>
      </c>
      <c r="Z190" s="1" t="str">
        <f t="shared" si="179"/>
        <v>Y</v>
      </c>
      <c r="AA190" s="1">
        <f>VLOOKUP(A190,symbol_2[[symbol]:[TradedValue1]],4,)</f>
        <v>2474.77</v>
      </c>
      <c r="AB190" s="1">
        <f>VLOOKUP(A190,symbol_2[[symbol]:[TradedValue2]],8,)</f>
        <v>9200.75</v>
      </c>
      <c r="AC190" s="1">
        <f>VLOOKUP(A190,symbol_2[[symbol]:[TradedValue3]],12,)</f>
        <v>7935.09</v>
      </c>
      <c r="AD190" s="1">
        <f>VLOOKUP(A190,symbol_2[[symbol]:[TradedValue4]],16,)</f>
        <v>3406.51</v>
      </c>
      <c r="AE190" s="1">
        <f>VLOOKUP(A190,symbol_2[[symbol]:[TradedValue5]],20,)</f>
        <v>5555.93</v>
      </c>
      <c r="AF190" s="1">
        <f>Table2[[#This Row],[TradedValue2]]-Table2[[#This Row],[TradedValue1]]</f>
        <v>6725.98</v>
      </c>
      <c r="AG190" s="1">
        <f>Table2[[#This Row],[TradedValue3]]-Table2[[#This Row],[TradedValue2]]</f>
        <v>-1265.6599999999999</v>
      </c>
      <c r="AH190" s="1">
        <f>Table2[[#This Row],[TradedValue4]]-Table2[[#This Row],[TradedValue3]]</f>
        <v>-4528.58</v>
      </c>
      <c r="AI190" s="1">
        <f>Table2[[#This Row],[TradedValue5]]-Table2[[#This Row],[TradedValue4]]</f>
        <v>2149.42</v>
      </c>
      <c r="AJ190" s="49" t="str">
        <f>IF(Table2[[#This Row],[TradedValue2]]&gt;Table2[[#This Row],[TradedValue1]],"Y","N")</f>
        <v>Y</v>
      </c>
      <c r="AK190" s="49" t="str">
        <f>IF(Table2[[#This Row],[TradedValue3]]&gt;Table2[[#This Row],[TradedValue2]],"Y","N")</f>
        <v>N</v>
      </c>
      <c r="AL190" s="49" t="str">
        <f>IF(Table2[[#This Row],[TradedValue5]]&gt;Table2[[#This Row],[TradedValue3]],"Y","N")</f>
        <v>N</v>
      </c>
      <c r="AM190" s="49" t="str">
        <f>IF(Table2[[#This Row],[TradedValue5]]&gt;Table2[[#This Row],[TradedValue4]],"Y","N")</f>
        <v>Y</v>
      </c>
      <c r="AN190" s="1">
        <f t="shared" si="180"/>
        <v>9.2000000000000011</v>
      </c>
      <c r="AO190" s="1">
        <f t="shared" si="181"/>
        <v>-2.2599999999999998</v>
      </c>
      <c r="AP190" s="1">
        <f t="shared" si="182"/>
        <v>-6.160000000000001</v>
      </c>
      <c r="AQ190" s="1">
        <f t="shared" si="183"/>
        <v>3.45</v>
      </c>
      <c r="AR190" s="1">
        <f>VLOOKUP(A190,symbol_2[[symbol]:[DelPer1]],5,)</f>
        <v>11.83</v>
      </c>
      <c r="AS190" s="1">
        <f>VLOOKUP(A190,symbol_2[[symbol]:[DelPer2]],9,)</f>
        <v>6.8</v>
      </c>
      <c r="AT190" s="1">
        <f>VLOOKUP(A190,symbol_2[[symbol]:[DelPer3]],13,)</f>
        <v>5.33</v>
      </c>
      <c r="AU190" s="1">
        <f>VLOOKUP(A190,symbol_2[[symbol]:[DelPer4]],17,)</f>
        <v>19.940000000000001</v>
      </c>
      <c r="AV190" s="1">
        <f>VLOOKUP(A190,symbol_2[[symbol]:[DelPer5]],21,)</f>
        <v>9.65</v>
      </c>
      <c r="AW190" s="49" t="str">
        <f t="shared" si="184"/>
        <v>N</v>
      </c>
      <c r="AX190" s="49" t="str">
        <f t="shared" si="185"/>
        <v>N</v>
      </c>
      <c r="AY190" s="49" t="str">
        <f t="shared" si="186"/>
        <v>Y</v>
      </c>
      <c r="AZ190" s="49" t="str">
        <f t="shared" si="187"/>
        <v>N</v>
      </c>
      <c r="BA190" s="1">
        <f t="shared" si="188"/>
        <v>-5.03</v>
      </c>
      <c r="BB190" s="1">
        <f t="shared" si="189"/>
        <v>-1.4699999999999998</v>
      </c>
      <c r="BC190" s="1">
        <f t="shared" si="190"/>
        <v>14.610000000000001</v>
      </c>
      <c r="BD190" s="1">
        <f t="shared" si="191"/>
        <v>-10.290000000000001</v>
      </c>
    </row>
    <row r="191" spans="1:56" hidden="1" x14ac:dyDescent="0.35">
      <c r="A191" s="115" t="s">
        <v>51</v>
      </c>
      <c r="B191" s="1" t="s">
        <v>1019</v>
      </c>
      <c r="C191" s="1" t="s">
        <v>52</v>
      </c>
      <c r="D191" s="1" t="s">
        <v>199</v>
      </c>
      <c r="E191" s="1">
        <f>VLOOKUP(A191,symbol_2[[symbol]:[Price1]],2,)</f>
        <v>362.5</v>
      </c>
      <c r="F191" s="1">
        <f>VLOOKUP(A191,symbol_2[[symbol]:[Price2]],6,)</f>
        <v>347.7</v>
      </c>
      <c r="G191" s="1">
        <f>VLOOKUP(A191,symbol_2[[symbol]:[Price3]],10,)</f>
        <v>342.2</v>
      </c>
      <c r="H191" s="1">
        <f>VLOOKUP(A191,symbol_2[[symbol]:[Price4]],14,)</f>
        <v>360.45</v>
      </c>
      <c r="I191" s="1">
        <f>VLOOKUP(A191,symbol_2[[symbol]:[Price5]],18,)</f>
        <v>376.85</v>
      </c>
      <c r="J191" s="109" t="str">
        <f t="shared" si="168"/>
        <v>N</v>
      </c>
      <c r="K191" s="109" t="str">
        <f t="shared" si="169"/>
        <v>N</v>
      </c>
      <c r="L191" s="109" t="str">
        <f t="shared" si="170"/>
        <v>Y</v>
      </c>
      <c r="M191" s="109" t="str">
        <f t="shared" si="171"/>
        <v>Y</v>
      </c>
      <c r="N191" s="110">
        <f t="shared" si="172"/>
        <v>-4.082758620689658</v>
      </c>
      <c r="O191" s="110">
        <f t="shared" si="173"/>
        <v>-1.5818234109864826</v>
      </c>
      <c r="P191" s="110">
        <f t="shared" si="174"/>
        <v>5.3331385154880184</v>
      </c>
      <c r="Q191" s="110">
        <f t="shared" si="175"/>
        <v>4.5498682202802145</v>
      </c>
      <c r="R191" s="1">
        <f>VLOOKUP(A191,symbol_2[[symbol]:[TV1]],3,)</f>
        <v>18.3</v>
      </c>
      <c r="S191" s="1">
        <f>VLOOKUP(A191,symbol_2[[symbol]:[TV2]],7,)</f>
        <v>13.36</v>
      </c>
      <c r="T191" s="1">
        <f>VLOOKUP(A191,symbol_2[[symbol]:[TV3]],11,)</f>
        <v>10.8</v>
      </c>
      <c r="U191" s="1">
        <f>VLOOKUP(A191,symbol_2[[symbol]:[TV4]],15,)</f>
        <v>15.92</v>
      </c>
      <c r="V191" s="1">
        <f>VLOOKUP(A191,symbol_2[[symbol]:[TV5]],19,)</f>
        <v>19.47</v>
      </c>
      <c r="W191" s="1" t="str">
        <f t="shared" si="176"/>
        <v>N</v>
      </c>
      <c r="X191" s="1" t="str">
        <f t="shared" si="177"/>
        <v>N</v>
      </c>
      <c r="Y191" s="1" t="str">
        <f t="shared" si="178"/>
        <v>Y</v>
      </c>
      <c r="Z191" s="1" t="str">
        <f t="shared" si="179"/>
        <v>Y</v>
      </c>
      <c r="AA191" s="1">
        <f>VLOOKUP(A193,symbol_2[[symbol]:[TradedValue1]],4,)</f>
        <v>664.52</v>
      </c>
      <c r="AB191" s="1">
        <f>VLOOKUP(A191,symbol_2[[symbol]:[TradedValue2]],8,)</f>
        <v>4722.18</v>
      </c>
      <c r="AC191" s="1">
        <f>VLOOKUP(A191,symbol_2[[symbol]:[TradedValue3]],12,)</f>
        <v>3709.28</v>
      </c>
      <c r="AD191" s="1">
        <f>VLOOKUP(A191,symbol_2[[symbol]:[TradedValue4]],16,)</f>
        <v>5710.17</v>
      </c>
      <c r="AE191" s="1">
        <f>VLOOKUP(A191,symbol_2[[symbol]:[TradedValue5]],20,)</f>
        <v>7238.41</v>
      </c>
      <c r="AF191" s="1">
        <f>Table2[[#This Row],[TradedValue2]]-Table2[[#This Row],[TradedValue1]]</f>
        <v>4057.6600000000003</v>
      </c>
      <c r="AG191" s="1">
        <f>Table2[[#This Row],[TradedValue3]]-Table2[[#This Row],[TradedValue2]]</f>
        <v>-1012.9000000000001</v>
      </c>
      <c r="AH191" s="1">
        <f>Table2[[#This Row],[TradedValue4]]-Table2[[#This Row],[TradedValue3]]</f>
        <v>2000.8899999999999</v>
      </c>
      <c r="AI191" s="1">
        <f>Table2[[#This Row],[TradedValue5]]-Table2[[#This Row],[TradedValue4]]</f>
        <v>1528.2399999999998</v>
      </c>
      <c r="AJ191" s="109" t="str">
        <f>IF(Table2[[#This Row],[TradedValue2]]&gt;Table2[[#This Row],[TradedValue1]],"Y","N")</f>
        <v>Y</v>
      </c>
      <c r="AK191" s="109" t="str">
        <f>IF(Table2[[#This Row],[TradedValue3]]&gt;Table2[[#This Row],[TradedValue2]],"Y","N")</f>
        <v>N</v>
      </c>
      <c r="AL191" s="109" t="str">
        <f>IF(Table2[[#This Row],[TradedValue5]]&gt;Table2[[#This Row],[TradedValue3]],"Y","N")</f>
        <v>Y</v>
      </c>
      <c r="AM191" s="109" t="str">
        <f>IF(Table2[[#This Row],[TradedValue5]]&gt;Table2[[#This Row],[TradedValue4]],"Y","N")</f>
        <v>Y</v>
      </c>
      <c r="AN191" s="1">
        <f t="shared" si="180"/>
        <v>-4.9400000000000013</v>
      </c>
      <c r="AO191" s="1">
        <f t="shared" si="181"/>
        <v>-2.5599999999999987</v>
      </c>
      <c r="AP191" s="1">
        <f t="shared" si="182"/>
        <v>5.1199999999999992</v>
      </c>
      <c r="AQ191" s="1">
        <f t="shared" si="183"/>
        <v>3.5499999999999989</v>
      </c>
      <c r="AR191" s="1">
        <f>VLOOKUP(A191,symbol_2[[symbol]:[DelPer1]],5,)</f>
        <v>20.97</v>
      </c>
      <c r="AS191" s="1">
        <f>VLOOKUP(A191,symbol_2[[symbol]:[DelPer2]],9,)</f>
        <v>22.61</v>
      </c>
      <c r="AT191" s="1">
        <f>VLOOKUP(A191,symbol_2[[symbol]:[DelPer3]],13,)</f>
        <v>29.97</v>
      </c>
      <c r="AU191" s="1">
        <f>VLOOKUP(A191,symbol_2[[symbol]:[DelPer4]],17,)</f>
        <v>36.35</v>
      </c>
      <c r="AV191" s="1">
        <f>VLOOKUP(A191,symbol_2[[symbol]:[DelPer5]],21,)</f>
        <v>18.86</v>
      </c>
      <c r="AW191" s="109" t="str">
        <f t="shared" si="184"/>
        <v>Y</v>
      </c>
      <c r="AX191" s="109" t="str">
        <f t="shared" si="185"/>
        <v>Y</v>
      </c>
      <c r="AY191" s="109" t="str">
        <f t="shared" si="186"/>
        <v>Y</v>
      </c>
      <c r="AZ191" s="109" t="str">
        <f t="shared" si="187"/>
        <v>N</v>
      </c>
      <c r="BA191">
        <f t="shared" si="188"/>
        <v>1.6400000000000006</v>
      </c>
      <c r="BB191">
        <f t="shared" si="189"/>
        <v>7.3599999999999994</v>
      </c>
      <c r="BC191">
        <f t="shared" si="190"/>
        <v>6.3800000000000026</v>
      </c>
      <c r="BD191">
        <f t="shared" si="191"/>
        <v>-17.490000000000002</v>
      </c>
    </row>
    <row r="192" spans="1:56" hidden="1" x14ac:dyDescent="0.35">
      <c r="A192" s="115" t="s">
        <v>51</v>
      </c>
      <c r="B192" s="1" t="s">
        <v>1019</v>
      </c>
      <c r="C192" s="1" t="s">
        <v>52</v>
      </c>
      <c r="D192" s="1" t="s">
        <v>199</v>
      </c>
      <c r="E192" s="1">
        <f>VLOOKUP(A192,symbol_2[[symbol]:[Price1]],2,)</f>
        <v>362.5</v>
      </c>
      <c r="F192" s="1">
        <f>VLOOKUP(A192,symbol_2[[symbol]:[Price2]],6,)</f>
        <v>347.7</v>
      </c>
      <c r="G192" s="1">
        <f>VLOOKUP(A192,symbol_2[[symbol]:[Price3]],10,)</f>
        <v>342.2</v>
      </c>
      <c r="H192" s="1">
        <f>VLOOKUP(A192,symbol_2[[symbol]:[Price4]],14,)</f>
        <v>360.45</v>
      </c>
      <c r="I192" s="1">
        <f>VLOOKUP(A192,symbol_2[[symbol]:[Price5]],18,)</f>
        <v>376.85</v>
      </c>
      <c r="J192" s="109" t="str">
        <f t="shared" si="168"/>
        <v>N</v>
      </c>
      <c r="K192" s="109" t="str">
        <f t="shared" si="169"/>
        <v>N</v>
      </c>
      <c r="L192" s="109" t="str">
        <f t="shared" si="170"/>
        <v>Y</v>
      </c>
      <c r="M192" s="109" t="str">
        <f t="shared" si="171"/>
        <v>Y</v>
      </c>
      <c r="N192" s="110">
        <f t="shared" si="172"/>
        <v>-4.082758620689658</v>
      </c>
      <c r="O192" s="110">
        <f t="shared" si="173"/>
        <v>-1.5818234109864826</v>
      </c>
      <c r="P192" s="110">
        <f t="shared" si="174"/>
        <v>5.3331385154880184</v>
      </c>
      <c r="Q192" s="110">
        <f t="shared" si="175"/>
        <v>4.5498682202802145</v>
      </c>
      <c r="R192" s="1">
        <f>VLOOKUP(A192,symbol_2[[symbol]:[TV1]],3,)</f>
        <v>18.3</v>
      </c>
      <c r="S192" s="1">
        <f>VLOOKUP(A192,symbol_2[[symbol]:[TV2]],7,)</f>
        <v>13.36</v>
      </c>
      <c r="T192" s="1">
        <f>VLOOKUP(A192,symbol_2[[symbol]:[TV3]],11,)</f>
        <v>10.8</v>
      </c>
      <c r="U192" s="1">
        <f>VLOOKUP(A192,symbol_2[[symbol]:[TV4]],15,)</f>
        <v>15.92</v>
      </c>
      <c r="V192" s="1">
        <f>VLOOKUP(A192,symbol_2[[symbol]:[TV5]],19,)</f>
        <v>19.47</v>
      </c>
      <c r="W192" s="1" t="str">
        <f t="shared" si="176"/>
        <v>N</v>
      </c>
      <c r="X192" s="1" t="str">
        <f t="shared" si="177"/>
        <v>N</v>
      </c>
      <c r="Y192" s="1" t="str">
        <f t="shared" si="178"/>
        <v>Y</v>
      </c>
      <c r="Z192" s="1" t="str">
        <f t="shared" si="179"/>
        <v>Y</v>
      </c>
      <c r="AA192" s="1">
        <f>VLOOKUP(A194,symbol_2[[symbol]:[TradedValue1]],4,)</f>
        <v>3045.76</v>
      </c>
      <c r="AB192" s="1">
        <f>VLOOKUP(A192,symbol_2[[symbol]:[TradedValue2]],8,)</f>
        <v>4722.18</v>
      </c>
      <c r="AC192" s="1">
        <f>VLOOKUP(A192,symbol_2[[symbol]:[TradedValue3]],12,)</f>
        <v>3709.28</v>
      </c>
      <c r="AD192" s="1">
        <f>VLOOKUP(A192,symbol_2[[symbol]:[TradedValue4]],16,)</f>
        <v>5710.17</v>
      </c>
      <c r="AE192" s="1">
        <f>VLOOKUP(A192,symbol_2[[symbol]:[TradedValue5]],20,)</f>
        <v>7238.41</v>
      </c>
      <c r="AF192" s="1">
        <f>Table2[[#This Row],[TradedValue2]]-Table2[[#This Row],[TradedValue1]]</f>
        <v>1676.42</v>
      </c>
      <c r="AG192" s="1">
        <f>Table2[[#This Row],[TradedValue3]]-Table2[[#This Row],[TradedValue2]]</f>
        <v>-1012.9000000000001</v>
      </c>
      <c r="AH192" s="1">
        <f>Table2[[#This Row],[TradedValue4]]-Table2[[#This Row],[TradedValue3]]</f>
        <v>2000.8899999999999</v>
      </c>
      <c r="AI192" s="1">
        <f>Table2[[#This Row],[TradedValue5]]-Table2[[#This Row],[TradedValue4]]</f>
        <v>1528.2399999999998</v>
      </c>
      <c r="AJ192" s="109" t="str">
        <f>IF(Table2[[#This Row],[TradedValue2]]&gt;Table2[[#This Row],[TradedValue1]],"Y","N")</f>
        <v>Y</v>
      </c>
      <c r="AK192" s="109" t="str">
        <f>IF(Table2[[#This Row],[TradedValue3]]&gt;Table2[[#This Row],[TradedValue2]],"Y","N")</f>
        <v>N</v>
      </c>
      <c r="AL192" s="109" t="str">
        <f>IF(Table2[[#This Row],[TradedValue5]]&gt;Table2[[#This Row],[TradedValue3]],"Y","N")</f>
        <v>Y</v>
      </c>
      <c r="AM192" s="109" t="str">
        <f>IF(Table2[[#This Row],[TradedValue5]]&gt;Table2[[#This Row],[TradedValue4]],"Y","N")</f>
        <v>Y</v>
      </c>
      <c r="AN192" s="1">
        <f t="shared" si="180"/>
        <v>-4.9400000000000013</v>
      </c>
      <c r="AO192" s="1">
        <f t="shared" si="181"/>
        <v>-2.5599999999999987</v>
      </c>
      <c r="AP192" s="1">
        <f t="shared" si="182"/>
        <v>5.1199999999999992</v>
      </c>
      <c r="AQ192" s="1">
        <f t="shared" si="183"/>
        <v>3.5499999999999989</v>
      </c>
      <c r="AR192" s="1">
        <f>VLOOKUP(A192,symbol_2[[symbol]:[DelPer1]],5,)</f>
        <v>20.97</v>
      </c>
      <c r="AS192" s="1">
        <f>VLOOKUP(A192,symbol_2[[symbol]:[DelPer2]],9,)</f>
        <v>22.61</v>
      </c>
      <c r="AT192" s="1">
        <f>VLOOKUP(A192,symbol_2[[symbol]:[DelPer3]],13,)</f>
        <v>29.97</v>
      </c>
      <c r="AU192" s="1">
        <f>VLOOKUP(A192,symbol_2[[symbol]:[DelPer4]],17,)</f>
        <v>36.35</v>
      </c>
      <c r="AV192" s="1">
        <f>VLOOKUP(A192,symbol_2[[symbol]:[DelPer5]],21,)</f>
        <v>18.86</v>
      </c>
      <c r="AW192" s="109" t="str">
        <f t="shared" si="184"/>
        <v>Y</v>
      </c>
      <c r="AX192" s="109" t="str">
        <f t="shared" si="185"/>
        <v>Y</v>
      </c>
      <c r="AY192" s="109" t="str">
        <f t="shared" si="186"/>
        <v>Y</v>
      </c>
      <c r="AZ192" s="109" t="str">
        <f t="shared" si="187"/>
        <v>N</v>
      </c>
      <c r="BA192">
        <f t="shared" si="188"/>
        <v>1.6400000000000006</v>
      </c>
      <c r="BB192">
        <f t="shared" si="189"/>
        <v>7.3599999999999994</v>
      </c>
      <c r="BC192">
        <f t="shared" si="190"/>
        <v>6.3800000000000026</v>
      </c>
      <c r="BD192">
        <f t="shared" si="191"/>
        <v>-17.490000000000002</v>
      </c>
    </row>
    <row r="193" spans="1:56" hidden="1" x14ac:dyDescent="0.35">
      <c r="A193" s="115" t="s">
        <v>172</v>
      </c>
      <c r="B193" s="1" t="s">
        <v>1025</v>
      </c>
      <c r="C193" s="1" t="s">
        <v>52</v>
      </c>
      <c r="D193" s="1" t="s">
        <v>199</v>
      </c>
      <c r="E193" s="1">
        <f>VLOOKUP(A193,symbol_2[[symbol]:[Price1]],2,)</f>
        <v>7.05</v>
      </c>
      <c r="F193" s="1">
        <f>VLOOKUP(A193,symbol_2[[symbol]:[Price2]],6,)</f>
        <v>6.95</v>
      </c>
      <c r="G193" s="1">
        <f>VLOOKUP(A193,symbol_2[[symbol]:[Price3]],10,)</f>
        <v>7.75</v>
      </c>
      <c r="H193" s="1">
        <f>VLOOKUP(A193,symbol_2[[symbol]:[Price4]],14,)</f>
        <v>7.65</v>
      </c>
      <c r="I193" s="1">
        <f>VLOOKUP(A193,symbol_2[[symbol]:[Price5]],18,)</f>
        <v>7.55</v>
      </c>
      <c r="J193" s="109" t="str">
        <f t="shared" ref="J193:J195" si="192">IF(F193&gt;E193,"Y","N")</f>
        <v>N</v>
      </c>
      <c r="K193" s="109" t="str">
        <f t="shared" ref="K193:K195" si="193">IF(G193&gt;F193,"Y","N")</f>
        <v>Y</v>
      </c>
      <c r="L193" s="109" t="str">
        <f t="shared" ref="L193:L195" si="194">IF(H193&gt;G193,"Y","N")</f>
        <v>N</v>
      </c>
      <c r="M193" s="109" t="str">
        <f t="shared" ref="M193:M195" si="195">IF(I193&gt;H193,"Y","N")</f>
        <v>N</v>
      </c>
      <c r="N193" s="110">
        <f t="shared" ref="N193:N195" si="196">((F193-E193)/E193)*100</f>
        <v>-1.4184397163120517</v>
      </c>
      <c r="O193" s="110">
        <f t="shared" ref="O193:O195" si="197">((G193-F193)/F193)*100</f>
        <v>11.510791366906473</v>
      </c>
      <c r="P193" s="110">
        <f t="shared" ref="P193:P195" si="198">((H193-G193)/G193)*100</f>
        <v>-1.2903225806451568</v>
      </c>
      <c r="Q193" s="110">
        <f t="shared" ref="Q193:Q195" si="199">((I193-H193)/H193)*100</f>
        <v>-1.307189542483667</v>
      </c>
      <c r="R193" s="1">
        <f>VLOOKUP(A193,symbol_2[[symbol]:[TV1]],3,)</f>
        <v>100</v>
      </c>
      <c r="S193" s="1">
        <f>VLOOKUP(A193,symbol_2[[symbol]:[TV2]],7,)</f>
        <v>72.88</v>
      </c>
      <c r="T193" s="1">
        <f>VLOOKUP(A193,symbol_2[[symbol]:[TV3]],11,)</f>
        <v>124.92</v>
      </c>
      <c r="U193" s="1">
        <f>VLOOKUP(A193,symbol_2[[symbol]:[TV4]],15,)</f>
        <v>150.56</v>
      </c>
      <c r="V193" s="1">
        <f>VLOOKUP(A193,symbol_2[[symbol]:[TV5]],19,)</f>
        <v>69.97</v>
      </c>
      <c r="W193" s="1" t="str">
        <f t="shared" ref="W193:W195" si="200">IF(S193&gt;R193,"Y","N")</f>
        <v>N</v>
      </c>
      <c r="X193" s="1" t="str">
        <f t="shared" ref="X193:X195" si="201">IF(T193&gt;S193,"Y","N")</f>
        <v>Y</v>
      </c>
      <c r="Y193" s="1" t="str">
        <f t="shared" ref="Y193:Y195" si="202">IF(U193&gt;T193,"Y","N")</f>
        <v>Y</v>
      </c>
      <c r="Z193" s="1" t="str">
        <f t="shared" ref="Z193:Z195" si="203">IF(V193&gt;U193,"Y","N")</f>
        <v>N</v>
      </c>
      <c r="AA193" s="1">
        <f>VLOOKUP(A195,symbol_2[[symbol]:[TradedValue1]],4,)</f>
        <v>1151.5899999999999</v>
      </c>
      <c r="AB193" s="1">
        <f>VLOOKUP(A193,symbol_2[[symbol]:[TradedValue2]],8,)</f>
        <v>502.45</v>
      </c>
      <c r="AC193" s="1">
        <f>VLOOKUP(A193,symbol_2[[symbol]:[TradedValue3]],12,)</f>
        <v>918.92</v>
      </c>
      <c r="AD193" s="1">
        <f>VLOOKUP(A193,symbol_2[[symbol]:[TradedValue4]],16,)</f>
        <v>1211.21</v>
      </c>
      <c r="AE193" s="1">
        <f>VLOOKUP(A193,symbol_2[[symbol]:[TradedValue5]],20,)</f>
        <v>525.32000000000005</v>
      </c>
      <c r="AF193" s="1">
        <f>Table2[[#This Row],[TradedValue2]]-Table2[[#This Row],[TradedValue1]]</f>
        <v>-649.13999999999987</v>
      </c>
      <c r="AG193" s="1">
        <f>Table2[[#This Row],[TradedValue3]]-Table2[[#This Row],[TradedValue2]]</f>
        <v>416.46999999999997</v>
      </c>
      <c r="AH193" s="1">
        <f>Table2[[#This Row],[TradedValue4]]-Table2[[#This Row],[TradedValue3]]</f>
        <v>292.29000000000008</v>
      </c>
      <c r="AI193" s="1">
        <f>Table2[[#This Row],[TradedValue5]]-Table2[[#This Row],[TradedValue4]]</f>
        <v>-685.89</v>
      </c>
      <c r="AJ193" s="109" t="str">
        <f>IF(Table2[[#This Row],[TradedValue2]]&gt;Table2[[#This Row],[TradedValue1]],"Y","N")</f>
        <v>N</v>
      </c>
      <c r="AK193" s="109" t="str">
        <f>IF(Table2[[#This Row],[TradedValue3]]&gt;Table2[[#This Row],[TradedValue2]],"Y","N")</f>
        <v>Y</v>
      </c>
      <c r="AL193" s="109" t="str">
        <f>IF(Table2[[#This Row],[TradedValue5]]&gt;Table2[[#This Row],[TradedValue3]],"Y","N")</f>
        <v>N</v>
      </c>
      <c r="AM193" s="109" t="str">
        <f>IF(Table2[[#This Row],[TradedValue5]]&gt;Table2[[#This Row],[TradedValue4]],"Y","N")</f>
        <v>N</v>
      </c>
      <c r="AN193" s="1">
        <f t="shared" ref="AN193:AN195" si="204">S193-R193</f>
        <v>-27.120000000000005</v>
      </c>
      <c r="AO193" s="1">
        <f t="shared" ref="AO193:AO195" si="205">T193-S193</f>
        <v>52.040000000000006</v>
      </c>
      <c r="AP193" s="1">
        <f t="shared" ref="AP193:AP195" si="206">U193-T193</f>
        <v>25.64</v>
      </c>
      <c r="AQ193" s="1">
        <f t="shared" ref="AQ193:AQ195" si="207">V193-U193</f>
        <v>-80.59</v>
      </c>
      <c r="AR193" s="1">
        <f>VLOOKUP(A193,symbol_2[[symbol]:[DelPer1]],5,)</f>
        <v>26.4</v>
      </c>
      <c r="AS193" s="1">
        <f>VLOOKUP(A193,symbol_2[[symbol]:[DelPer2]],9,)</f>
        <v>19.27</v>
      </c>
      <c r="AT193" s="1">
        <f>VLOOKUP(A193,symbol_2[[symbol]:[DelPer3]],13,)</f>
        <v>17.64</v>
      </c>
      <c r="AU193" s="1">
        <f>VLOOKUP(A193,symbol_2[[symbol]:[DelPer4]],17,)</f>
        <v>20.65</v>
      </c>
      <c r="AV193" s="1">
        <f>VLOOKUP(A193,symbol_2[[symbol]:[DelPer5]],21,)</f>
        <v>16.670000000000002</v>
      </c>
      <c r="AW193" s="109" t="str">
        <f t="shared" ref="AW193:AW195" si="208">IF(AS193&gt;AR193,"Y","N")</f>
        <v>N</v>
      </c>
      <c r="AX193" s="109" t="str">
        <f t="shared" ref="AX193:AX195" si="209">IF(AT193&gt;AS193,"Y","N")</f>
        <v>N</v>
      </c>
      <c r="AY193" s="109" t="str">
        <f t="shared" ref="AY193:AY195" si="210">IF(AU193&gt;AT193,"Y","N")</f>
        <v>Y</v>
      </c>
      <c r="AZ193" s="109" t="str">
        <f t="shared" ref="AZ193:AZ195" si="211">IF(AV193&gt;AU193,"Y","N")</f>
        <v>N</v>
      </c>
      <c r="BA193">
        <f t="shared" ref="BA193:BA195" si="212">AS193-AR193</f>
        <v>-7.129999999999999</v>
      </c>
      <c r="BB193">
        <f t="shared" ref="BB193:BB195" si="213">AT193-AS193</f>
        <v>-1.629999999999999</v>
      </c>
      <c r="BC193">
        <f t="shared" ref="BC193:BC195" si="214">AU193-AT193</f>
        <v>3.009999999999998</v>
      </c>
      <c r="BD193">
        <f t="shared" ref="BD193:BD195" si="215">AV193-AU193</f>
        <v>-3.9799999999999969</v>
      </c>
    </row>
    <row r="194" spans="1:56" hidden="1" x14ac:dyDescent="0.35">
      <c r="A194" s="115" t="s">
        <v>163</v>
      </c>
      <c r="B194" s="1" t="s">
        <v>1006</v>
      </c>
      <c r="C194" s="1" t="s">
        <v>52</v>
      </c>
      <c r="D194" s="1" t="str">
        <f>VLOOKUP(A194,'High Beta'!A6:B55,2,)</f>
        <v>Y</v>
      </c>
      <c r="E194" s="1">
        <f>VLOOKUP(A194,symbol_2[[symbol]:[Price1]],2,)</f>
        <v>88.35</v>
      </c>
      <c r="F194" s="1">
        <f>VLOOKUP(A194,symbol_2[[symbol]:[Price2]],6,)</f>
        <v>86.1</v>
      </c>
      <c r="G194" s="1">
        <f>VLOOKUP(A194,symbol_2[[symbol]:[Price3]],10,)</f>
        <v>84.6</v>
      </c>
      <c r="H194" s="1">
        <f>VLOOKUP(A194,symbol_2[[symbol]:[Price4]],14,)</f>
        <v>83.7</v>
      </c>
      <c r="I194" s="1">
        <f>VLOOKUP(A194,symbol_2[[symbol]:[Price5]],18,)</f>
        <v>88.2</v>
      </c>
      <c r="J194" s="109" t="str">
        <f t="shared" si="192"/>
        <v>N</v>
      </c>
      <c r="K194" s="109" t="str">
        <f t="shared" si="193"/>
        <v>N</v>
      </c>
      <c r="L194" s="109" t="str">
        <f t="shared" si="194"/>
        <v>N</v>
      </c>
      <c r="M194" s="109" t="str">
        <f t="shared" si="195"/>
        <v>Y</v>
      </c>
      <c r="N194" s="110">
        <f t="shared" si="196"/>
        <v>-2.5466893039049237</v>
      </c>
      <c r="O194" s="110">
        <f t="shared" si="197"/>
        <v>-1.7421602787456449</v>
      </c>
      <c r="P194" s="110">
        <f t="shared" si="198"/>
        <v>-1.0638297872340325</v>
      </c>
      <c r="Q194" s="110">
        <f t="shared" si="199"/>
        <v>5.376344086021505</v>
      </c>
      <c r="R194" s="1">
        <f>VLOOKUP(A194,symbol_2[[symbol]:[TV1]],3,)</f>
        <v>34.76</v>
      </c>
      <c r="S194" s="1">
        <f>VLOOKUP(A194,symbol_2[[symbol]:[TV2]],7,)</f>
        <v>23.87</v>
      </c>
      <c r="T194" s="1">
        <f>VLOOKUP(A194,symbol_2[[symbol]:[TV3]],11,)</f>
        <v>31.63</v>
      </c>
      <c r="U194" s="1">
        <f>VLOOKUP(A194,symbol_2[[symbol]:[TV4]],15,)</f>
        <v>47.59</v>
      </c>
      <c r="V194" s="1">
        <f>VLOOKUP(A194,symbol_2[[symbol]:[TV5]],19,)</f>
        <v>32.159999999999997</v>
      </c>
      <c r="W194" s="1" t="str">
        <f t="shared" si="200"/>
        <v>N</v>
      </c>
      <c r="X194" s="1" t="str">
        <f t="shared" si="201"/>
        <v>Y</v>
      </c>
      <c r="Y194" s="1" t="str">
        <f t="shared" si="202"/>
        <v>Y</v>
      </c>
      <c r="Z194" s="1" t="str">
        <f t="shared" si="203"/>
        <v>N</v>
      </c>
      <c r="AA194" s="1" t="e">
        <f>VLOOKUP(#REF!,symbol_2[[symbol]:[TradedValue1]],4,)</f>
        <v>#REF!</v>
      </c>
      <c r="AB194" s="1">
        <f>VLOOKUP(A194,symbol_2[[symbol]:[TradedValue2]],8,)</f>
        <v>2082.71</v>
      </c>
      <c r="AC194" s="1">
        <f>VLOOKUP(A194,symbol_2[[symbol]:[TradedValue3]],12,)</f>
        <v>2663.05</v>
      </c>
      <c r="AD194" s="1">
        <f>VLOOKUP(A194,symbol_2[[symbol]:[TradedValue4]],16,)</f>
        <v>4130.4799999999996</v>
      </c>
      <c r="AE194" s="1">
        <f>VLOOKUP(A194,symbol_2[[symbol]:[TradedValue5]],20,)</f>
        <v>2782.09</v>
      </c>
      <c r="AF194" s="1" t="e">
        <f>Table2[[#This Row],[TradedValue2]]-Table2[[#This Row],[TradedValue1]]</f>
        <v>#REF!</v>
      </c>
      <c r="AG194" s="1">
        <f>Table2[[#This Row],[TradedValue3]]-Table2[[#This Row],[TradedValue2]]</f>
        <v>580.34000000000015</v>
      </c>
      <c r="AH194" s="1">
        <f>Table2[[#This Row],[TradedValue4]]-Table2[[#This Row],[TradedValue3]]</f>
        <v>1467.4299999999994</v>
      </c>
      <c r="AI194" s="1">
        <f>Table2[[#This Row],[TradedValue5]]-Table2[[#This Row],[TradedValue4]]</f>
        <v>-1348.3899999999994</v>
      </c>
      <c r="AJ194" s="109" t="e">
        <f>IF(Table2[[#This Row],[TradedValue2]]&gt;Table2[[#This Row],[TradedValue1]],"Y","N")</f>
        <v>#REF!</v>
      </c>
      <c r="AK194" s="109" t="str">
        <f>IF(Table2[[#This Row],[TradedValue3]]&gt;Table2[[#This Row],[TradedValue2]],"Y","N")</f>
        <v>Y</v>
      </c>
      <c r="AL194" s="109" t="str">
        <f>IF(Table2[[#This Row],[TradedValue5]]&gt;Table2[[#This Row],[TradedValue3]],"Y","N")</f>
        <v>Y</v>
      </c>
      <c r="AM194" s="109" t="str">
        <f>IF(Table2[[#This Row],[TradedValue5]]&gt;Table2[[#This Row],[TradedValue4]],"Y","N")</f>
        <v>N</v>
      </c>
      <c r="AN194" s="1">
        <f t="shared" si="204"/>
        <v>-10.889999999999997</v>
      </c>
      <c r="AO194" s="1">
        <f t="shared" si="205"/>
        <v>7.759999999999998</v>
      </c>
      <c r="AP194" s="1">
        <f t="shared" si="206"/>
        <v>15.960000000000004</v>
      </c>
      <c r="AQ194" s="1">
        <f t="shared" si="207"/>
        <v>-15.430000000000007</v>
      </c>
      <c r="AR194" s="1">
        <f>VLOOKUP(A194,symbol_2[[symbol]:[DelPer1]],5,)</f>
        <v>11.55</v>
      </c>
      <c r="AS194" s="1">
        <f>VLOOKUP(A194,symbol_2[[symbol]:[DelPer2]],9,)</f>
        <v>10.37</v>
      </c>
      <c r="AT194" s="1">
        <f>VLOOKUP(A194,symbol_2[[symbol]:[DelPer3]],13,)</f>
        <v>11.14</v>
      </c>
      <c r="AU194" s="1">
        <f>VLOOKUP(A194,symbol_2[[symbol]:[DelPer4]],17,)</f>
        <v>11.79</v>
      </c>
      <c r="AV194" s="1">
        <f>VLOOKUP(A194,symbol_2[[symbol]:[DelPer5]],21,)</f>
        <v>14.59</v>
      </c>
      <c r="AW194" s="109" t="str">
        <f t="shared" si="208"/>
        <v>N</v>
      </c>
      <c r="AX194" s="109" t="str">
        <f t="shared" si="209"/>
        <v>Y</v>
      </c>
      <c r="AY194" s="109" t="str">
        <f t="shared" si="210"/>
        <v>Y</v>
      </c>
      <c r="AZ194" s="109" t="str">
        <f t="shared" si="211"/>
        <v>Y</v>
      </c>
      <c r="BA194">
        <f t="shared" si="212"/>
        <v>-1.1800000000000015</v>
      </c>
      <c r="BB194">
        <f t="shared" si="213"/>
        <v>0.77000000000000135</v>
      </c>
      <c r="BC194">
        <f t="shared" si="214"/>
        <v>0.64999999999999858</v>
      </c>
      <c r="BD194">
        <f t="shared" si="215"/>
        <v>2.8000000000000007</v>
      </c>
    </row>
    <row r="195" spans="1:56" hidden="1" x14ac:dyDescent="0.35">
      <c r="A195" s="115" t="s">
        <v>173</v>
      </c>
      <c r="B195" s="1" t="s">
        <v>1021</v>
      </c>
      <c r="C195" s="1" t="s">
        <v>52</v>
      </c>
      <c r="D195" s="1" t="str">
        <f>VLOOKUP(A195,'High Beta'!A18:B67,2,)</f>
        <v>Y</v>
      </c>
      <c r="E195" s="1">
        <f>VLOOKUP(A195,symbol_2[[symbol]:[Price1]],2,)</f>
        <v>51.45</v>
      </c>
      <c r="F195" s="1">
        <f>VLOOKUP(A195,symbol_2[[symbol]:[Price2]],6,)</f>
        <v>50.4</v>
      </c>
      <c r="G195" s="1">
        <f>VLOOKUP(A195,symbol_2[[symbol]:[Price3]],10,)</f>
        <v>50.85</v>
      </c>
      <c r="H195" s="1">
        <f>VLOOKUP(A195,symbol_2[[symbol]:[Price4]],14,)</f>
        <v>49.05</v>
      </c>
      <c r="I195" s="1">
        <f>VLOOKUP(A195,symbol_2[[symbol]:[Price5]],18,)</f>
        <v>51.65</v>
      </c>
      <c r="J195" s="109" t="str">
        <f t="shared" si="192"/>
        <v>N</v>
      </c>
      <c r="K195" s="109" t="str">
        <f t="shared" si="193"/>
        <v>Y</v>
      </c>
      <c r="L195" s="109" t="str">
        <f t="shared" si="194"/>
        <v>N</v>
      </c>
      <c r="M195" s="109" t="str">
        <f t="shared" si="195"/>
        <v>Y</v>
      </c>
      <c r="N195" s="110">
        <f t="shared" si="196"/>
        <v>-2.0408163265306203</v>
      </c>
      <c r="O195" s="110">
        <f t="shared" si="197"/>
        <v>0.89285714285714857</v>
      </c>
      <c r="P195" s="110">
        <f t="shared" si="198"/>
        <v>-3.5398230088495657</v>
      </c>
      <c r="Q195" s="110">
        <f t="shared" si="199"/>
        <v>5.3007135575942952</v>
      </c>
      <c r="R195" s="1">
        <f>VLOOKUP(A195,symbol_2[[symbol]:[TV1]],3,)</f>
        <v>22.69</v>
      </c>
      <c r="S195" s="1">
        <f>VLOOKUP(A195,symbol_2[[symbol]:[TV2]],7,)</f>
        <v>11.36</v>
      </c>
      <c r="T195" s="1">
        <f>VLOOKUP(A195,symbol_2[[symbol]:[TV3]],11,)</f>
        <v>15.94</v>
      </c>
      <c r="U195" s="1">
        <f>VLOOKUP(A195,symbol_2[[symbol]:[TV4]],15,)</f>
        <v>25.56</v>
      </c>
      <c r="V195" s="1">
        <f>VLOOKUP(A195,symbol_2[[symbol]:[TV5]],19,)</f>
        <v>22.74</v>
      </c>
      <c r="W195" s="1" t="str">
        <f t="shared" si="200"/>
        <v>N</v>
      </c>
      <c r="X195" s="1" t="str">
        <f t="shared" si="201"/>
        <v>Y</v>
      </c>
      <c r="Y195" s="1" t="str">
        <f t="shared" si="202"/>
        <v>Y</v>
      </c>
      <c r="Z195" s="1" t="str">
        <f t="shared" si="203"/>
        <v>N</v>
      </c>
      <c r="AA195" s="1">
        <f>VLOOKUP(A195,symbol_2[[symbol]:[TradedValue1]],4,)</f>
        <v>1151.5899999999999</v>
      </c>
      <c r="AB195" s="1">
        <f>VLOOKUP(A195,symbol_2[[symbol]:[TradedValue2]],8,)</f>
        <v>576.83000000000004</v>
      </c>
      <c r="AC195" s="1">
        <f>VLOOKUP(A195,symbol_2[[symbol]:[TradedValue3]],12,)</f>
        <v>799.3</v>
      </c>
      <c r="AD195" s="1">
        <f>VLOOKUP(A195,symbol_2[[symbol]:[TradedValue4]],16,)</f>
        <v>1301.0999999999999</v>
      </c>
      <c r="AE195" s="1">
        <f>VLOOKUP(A195,symbol_2[[symbol]:[TradedValue5]],20,)</f>
        <v>1146.3499999999999</v>
      </c>
      <c r="AF195" s="1">
        <f>Table2[[#This Row],[TradedValue2]]-Table2[[#This Row],[TradedValue1]]</f>
        <v>-574.75999999999988</v>
      </c>
      <c r="AG195" s="1">
        <f>Table2[[#This Row],[TradedValue3]]-Table2[[#This Row],[TradedValue2]]</f>
        <v>222.46999999999991</v>
      </c>
      <c r="AH195" s="1">
        <f>Table2[[#This Row],[TradedValue4]]-Table2[[#This Row],[TradedValue3]]</f>
        <v>501.79999999999995</v>
      </c>
      <c r="AI195" s="1">
        <f>Table2[[#This Row],[TradedValue5]]-Table2[[#This Row],[TradedValue4]]</f>
        <v>-154.75</v>
      </c>
      <c r="AJ195" s="109" t="str">
        <f>IF(Table2[[#This Row],[TradedValue2]]&gt;Table2[[#This Row],[TradedValue1]],"Y","N")</f>
        <v>N</v>
      </c>
      <c r="AK195" s="109" t="str">
        <f>IF(Table2[[#This Row],[TradedValue3]]&gt;Table2[[#This Row],[TradedValue2]],"Y","N")</f>
        <v>Y</v>
      </c>
      <c r="AL195" s="109" t="str">
        <f>IF(Table2[[#This Row],[TradedValue5]]&gt;Table2[[#This Row],[TradedValue3]],"Y","N")</f>
        <v>Y</v>
      </c>
      <c r="AM195" s="109" t="str">
        <f>IF(Table2[[#This Row],[TradedValue5]]&gt;Table2[[#This Row],[TradedValue4]],"Y","N")</f>
        <v>N</v>
      </c>
      <c r="AN195" s="1">
        <f t="shared" si="204"/>
        <v>-11.330000000000002</v>
      </c>
      <c r="AO195" s="1">
        <f t="shared" si="205"/>
        <v>4.58</v>
      </c>
      <c r="AP195" s="1">
        <f t="shared" si="206"/>
        <v>9.6199999999999992</v>
      </c>
      <c r="AQ195" s="1">
        <f t="shared" si="207"/>
        <v>-2.8200000000000003</v>
      </c>
      <c r="AR195" s="1">
        <f>VLOOKUP(A195,symbol_2[[symbol]:[DelPer1]],5,)</f>
        <v>15.92</v>
      </c>
      <c r="AS195" s="1">
        <f>VLOOKUP(A195,symbol_2[[symbol]:[DelPer2]],9,)</f>
        <v>14.01</v>
      </c>
      <c r="AT195" s="1">
        <f>VLOOKUP(A195,symbol_2[[symbol]:[DelPer3]],13,)</f>
        <v>15.28</v>
      </c>
      <c r="AU195" s="1">
        <f>VLOOKUP(A195,symbol_2[[symbol]:[DelPer4]],17,)</f>
        <v>18.55</v>
      </c>
      <c r="AV195" s="1">
        <f>VLOOKUP(A195,symbol_2[[symbol]:[DelPer5]],21,)</f>
        <v>13.46</v>
      </c>
      <c r="AW195" s="109" t="str">
        <f t="shared" si="208"/>
        <v>N</v>
      </c>
      <c r="AX195" s="109" t="str">
        <f t="shared" si="209"/>
        <v>Y</v>
      </c>
      <c r="AY195" s="109" t="str">
        <f t="shared" si="210"/>
        <v>Y</v>
      </c>
      <c r="AZ195" s="109" t="str">
        <f t="shared" si="211"/>
        <v>N</v>
      </c>
      <c r="BA195">
        <f t="shared" si="212"/>
        <v>-1.9100000000000001</v>
      </c>
      <c r="BB195">
        <f t="shared" si="213"/>
        <v>1.2699999999999996</v>
      </c>
      <c r="BC195">
        <f t="shared" si="214"/>
        <v>3.2700000000000014</v>
      </c>
      <c r="BD195">
        <f t="shared" si="215"/>
        <v>-5.09</v>
      </c>
    </row>
    <row r="197" spans="1:56" x14ac:dyDescent="0.35">
      <c r="B197" s="38" t="s">
        <v>211</v>
      </c>
      <c r="G197" s="1">
        <f>SUM(G2:G196)</f>
        <v>279741.05000000005</v>
      </c>
      <c r="Y197" s="1">
        <f>SUM(Y2:Y196)</f>
        <v>0</v>
      </c>
    </row>
    <row r="202" spans="1:56" x14ac:dyDescent="0.35">
      <c r="A202" s="116" t="s">
        <v>228</v>
      </c>
      <c r="B202" s="1" t="s">
        <v>229</v>
      </c>
      <c r="E202" s="1" t="s">
        <v>232</v>
      </c>
      <c r="F202" s="1" t="s">
        <v>233</v>
      </c>
      <c r="W202" s="1" t="s">
        <v>232</v>
      </c>
      <c r="X202" s="1" t="s">
        <v>233</v>
      </c>
    </row>
    <row r="203" spans="1:56" x14ac:dyDescent="0.35">
      <c r="A203" s="116" t="s">
        <v>230</v>
      </c>
      <c r="B203" s="1" t="s">
        <v>231</v>
      </c>
      <c r="E203" s="1" t="s">
        <v>232</v>
      </c>
      <c r="W203" s="1" t="s">
        <v>232</v>
      </c>
    </row>
    <row r="205" spans="1:56" x14ac:dyDescent="0.35">
      <c r="A205" s="116" t="s">
        <v>228</v>
      </c>
      <c r="B205" s="1" t="s">
        <v>231</v>
      </c>
    </row>
    <row r="206" spans="1:56" x14ac:dyDescent="0.35">
      <c r="A206" s="116" t="s">
        <v>234</v>
      </c>
      <c r="B206" s="1" t="s">
        <v>229</v>
      </c>
      <c r="E206" s="1" t="s">
        <v>235</v>
      </c>
      <c r="F206" s="1" t="s">
        <v>236</v>
      </c>
      <c r="W206" s="1" t="s">
        <v>235</v>
      </c>
      <c r="X206" s="1" t="s">
        <v>236</v>
      </c>
    </row>
    <row r="209" spans="1:24" x14ac:dyDescent="0.35">
      <c r="A209" s="116" t="s">
        <v>228</v>
      </c>
      <c r="B209" s="1" t="s">
        <v>229</v>
      </c>
      <c r="E209" s="1" t="s">
        <v>237</v>
      </c>
      <c r="F209" s="1" t="s">
        <v>238</v>
      </c>
      <c r="W209" s="1" t="s">
        <v>237</v>
      </c>
      <c r="X209" s="1" t="s">
        <v>238</v>
      </c>
    </row>
    <row r="210" spans="1:24" x14ac:dyDescent="0.35">
      <c r="A210" s="116" t="s">
        <v>234</v>
      </c>
      <c r="B210" s="1" t="s">
        <v>229</v>
      </c>
    </row>
    <row r="212" spans="1:24" x14ac:dyDescent="0.35">
      <c r="A212" s="116" t="s">
        <v>239</v>
      </c>
    </row>
    <row r="214" spans="1:24" x14ac:dyDescent="0.35">
      <c r="A214" s="128" t="s">
        <v>0</v>
      </c>
    </row>
    <row r="215" spans="1:24" x14ac:dyDescent="0.35">
      <c r="A215" s="113" t="s">
        <v>64</v>
      </c>
    </row>
    <row r="216" spans="1:24" x14ac:dyDescent="0.35">
      <c r="A216" s="114" t="s">
        <v>175</v>
      </c>
    </row>
    <row r="217" spans="1:24" x14ac:dyDescent="0.35">
      <c r="A217" s="113" t="s">
        <v>146</v>
      </c>
    </row>
    <row r="218" spans="1:24" x14ac:dyDescent="0.35">
      <c r="A218" s="114" t="s">
        <v>112</v>
      </c>
    </row>
    <row r="219" spans="1:24" x14ac:dyDescent="0.35">
      <c r="A219" s="113" t="s">
        <v>133</v>
      </c>
    </row>
    <row r="220" spans="1:24" x14ac:dyDescent="0.35">
      <c r="A220" s="114" t="s">
        <v>135</v>
      </c>
    </row>
    <row r="221" spans="1:24" x14ac:dyDescent="0.35">
      <c r="A221" s="113" t="s">
        <v>99</v>
      </c>
    </row>
  </sheetData>
  <sortState ref="A2:G195">
    <sortCondition ref="A2"/>
  </sortState>
  <conditionalFormatting sqref="A165:A189 C165:AZ189 A1:AZ164 B165:B195">
    <cfRule type="cellIs" dxfId="128" priority="17" operator="equal">
      <formula>"N"</formula>
    </cfRule>
    <cfRule type="cellIs" dxfId="127" priority="18" operator="equal">
      <formula>"Y"</formula>
    </cfRule>
  </conditionalFormatting>
  <conditionalFormatting sqref="A191 C191:AZ191">
    <cfRule type="cellIs" dxfId="126" priority="15" operator="equal">
      <formula>"N"</formula>
    </cfRule>
    <cfRule type="cellIs" dxfId="125" priority="16" operator="equal">
      <formula>"Y"</formula>
    </cfRule>
  </conditionalFormatting>
  <conditionalFormatting sqref="A192 C192:AZ192">
    <cfRule type="cellIs" dxfId="124" priority="13" operator="equal">
      <formula>"N"</formula>
    </cfRule>
    <cfRule type="cellIs" dxfId="123" priority="14" operator="equal">
      <formula>"Y"</formula>
    </cfRule>
  </conditionalFormatting>
  <conditionalFormatting sqref="A193 C193:AZ193">
    <cfRule type="cellIs" dxfId="122" priority="11" operator="equal">
      <formula>"N"</formula>
    </cfRule>
    <cfRule type="cellIs" dxfId="121" priority="12" operator="equal">
      <formula>"Y"</formula>
    </cfRule>
  </conditionalFormatting>
  <conditionalFormatting sqref="A194 C194:AZ194">
    <cfRule type="cellIs" dxfId="120" priority="9" operator="equal">
      <formula>"N"</formula>
    </cfRule>
    <cfRule type="cellIs" dxfId="119" priority="10" operator="equal">
      <formula>"Y"</formula>
    </cfRule>
  </conditionalFormatting>
  <conditionalFormatting sqref="A195 C195:AZ195">
    <cfRule type="cellIs" dxfId="118" priority="7" operator="equal">
      <formula>"N"</formula>
    </cfRule>
    <cfRule type="cellIs" dxfId="117" priority="8" operator="equal">
      <formula>"Y"</formula>
    </cfRule>
  </conditionalFormatting>
  <conditionalFormatting sqref="A214:A221">
    <cfRule type="cellIs" dxfId="1" priority="1" operator="equal">
      <formula>"N"</formula>
    </cfRule>
    <cfRule type="cellIs" dxfId="0" priority="2" operator="equal">
      <formula>"Y"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62DAA-94B5-4962-9000-A133F45C4803}">
  <sheetPr codeName="Sheet4"/>
  <dimension ref="A1:H604"/>
  <sheetViews>
    <sheetView topLeftCell="A40" workbookViewId="0">
      <selection activeCell="C55" sqref="C55"/>
    </sheetView>
  </sheetViews>
  <sheetFormatPr defaultRowHeight="14.5" x14ac:dyDescent="0.35"/>
  <cols>
    <col min="1" max="1" width="10.453125" bestFit="1" customWidth="1"/>
    <col min="2" max="2" width="27.08984375" bestFit="1" customWidth="1"/>
    <col min="3" max="3" width="30.26953125" bestFit="1" customWidth="1"/>
    <col min="4" max="4" width="78.6328125" bestFit="1" customWidth="1"/>
    <col min="5" max="5" width="31.36328125" bestFit="1" customWidth="1"/>
    <col min="6" max="6" width="27.90625" bestFit="1" customWidth="1"/>
    <col min="7" max="7" width="12" bestFit="1" customWidth="1"/>
    <col min="8" max="8" width="16.7265625" bestFit="1" customWidth="1"/>
  </cols>
  <sheetData>
    <row r="1" spans="1:8" x14ac:dyDescent="0.35">
      <c r="A1" s="113" t="s">
        <v>2</v>
      </c>
    </row>
    <row r="2" spans="1:8" x14ac:dyDescent="0.35">
      <c r="A2" s="114" t="s">
        <v>10</v>
      </c>
    </row>
    <row r="3" spans="1:8" x14ac:dyDescent="0.35">
      <c r="A3" s="113" t="s">
        <v>76</v>
      </c>
    </row>
    <row r="4" spans="1:8" x14ac:dyDescent="0.35">
      <c r="A4" s="114" t="s">
        <v>86</v>
      </c>
    </row>
    <row r="5" spans="1:8" x14ac:dyDescent="0.35">
      <c r="A5" s="113" t="s">
        <v>13</v>
      </c>
    </row>
    <row r="6" spans="1:8" x14ac:dyDescent="0.35">
      <c r="A6" s="114" t="s">
        <v>22</v>
      </c>
    </row>
    <row r="7" spans="1:8" x14ac:dyDescent="0.35">
      <c r="A7" s="113" t="s">
        <v>114</v>
      </c>
    </row>
    <row r="8" spans="1:8" x14ac:dyDescent="0.35">
      <c r="A8" s="114" t="s">
        <v>155</v>
      </c>
    </row>
    <row r="12" spans="1:8" x14ac:dyDescent="0.35">
      <c r="A12" t="s">
        <v>325</v>
      </c>
      <c r="B12" t="s">
        <v>406</v>
      </c>
      <c r="C12" t="s">
        <v>407</v>
      </c>
      <c r="D12" t="s">
        <v>408</v>
      </c>
      <c r="E12" t="s">
        <v>409</v>
      </c>
      <c r="F12" t="s">
        <v>410</v>
      </c>
      <c r="G12" t="s">
        <v>411</v>
      </c>
      <c r="H12" t="s">
        <v>412</v>
      </c>
    </row>
    <row r="13" spans="1:8" x14ac:dyDescent="0.35">
      <c r="A13" s="51"/>
      <c r="D13" s="4" t="s">
        <v>413</v>
      </c>
    </row>
    <row r="14" spans="1:8" x14ac:dyDescent="0.35">
      <c r="A14" s="51">
        <v>43573</v>
      </c>
      <c r="B14">
        <v>36372</v>
      </c>
      <c r="C14">
        <v>-48924</v>
      </c>
      <c r="D14" s="4" t="s">
        <v>414</v>
      </c>
      <c r="E14">
        <v>78563</v>
      </c>
      <c r="F14">
        <v>-66011</v>
      </c>
      <c r="G14">
        <v>11753</v>
      </c>
      <c r="H14">
        <v>30223</v>
      </c>
    </row>
    <row r="15" spans="1:8" x14ac:dyDescent="0.35">
      <c r="A15" s="51">
        <v>43571</v>
      </c>
      <c r="B15">
        <v>78734</v>
      </c>
      <c r="C15">
        <v>37893</v>
      </c>
      <c r="D15" s="4" t="s">
        <v>415</v>
      </c>
      <c r="E15">
        <v>-51861</v>
      </c>
      <c r="F15">
        <v>-64766</v>
      </c>
      <c r="G15">
        <v>11787</v>
      </c>
      <c r="H15">
        <v>30531</v>
      </c>
    </row>
    <row r="16" spans="1:8" x14ac:dyDescent="0.35">
      <c r="A16" s="51">
        <v>43570</v>
      </c>
      <c r="B16">
        <v>70697</v>
      </c>
      <c r="C16">
        <v>-18781</v>
      </c>
      <c r="D16" s="4" t="s">
        <v>416</v>
      </c>
      <c r="E16">
        <v>12858</v>
      </c>
      <c r="F16">
        <v>-64774</v>
      </c>
      <c r="G16">
        <v>11690</v>
      </c>
      <c r="H16">
        <v>30104</v>
      </c>
    </row>
    <row r="17" spans="1:8" x14ac:dyDescent="0.35">
      <c r="A17" s="51">
        <v>43567</v>
      </c>
      <c r="B17">
        <v>55135</v>
      </c>
      <c r="C17">
        <v>-47572</v>
      </c>
      <c r="D17" s="4" t="s">
        <v>417</v>
      </c>
      <c r="E17">
        <v>57209</v>
      </c>
      <c r="F17">
        <v>-64772</v>
      </c>
      <c r="G17">
        <v>11643</v>
      </c>
      <c r="H17">
        <v>29938</v>
      </c>
    </row>
    <row r="18" spans="1:8" x14ac:dyDescent="0.35">
      <c r="A18" s="51">
        <v>43566</v>
      </c>
      <c r="B18">
        <v>58155</v>
      </c>
      <c r="C18">
        <v>-62435</v>
      </c>
      <c r="D18" s="4" t="s">
        <v>418</v>
      </c>
      <c r="E18">
        <v>69050</v>
      </c>
      <c r="F18">
        <v>-64770</v>
      </c>
      <c r="G18">
        <v>11597</v>
      </c>
      <c r="H18">
        <v>29786</v>
      </c>
    </row>
    <row r="19" spans="1:8" x14ac:dyDescent="0.35">
      <c r="A19" s="51">
        <v>43565</v>
      </c>
      <c r="B19">
        <v>68008</v>
      </c>
      <c r="C19">
        <v>-171308</v>
      </c>
      <c r="D19" s="4" t="s">
        <v>419</v>
      </c>
      <c r="E19">
        <v>168052</v>
      </c>
      <c r="F19">
        <v>-64752</v>
      </c>
      <c r="G19">
        <v>11572</v>
      </c>
      <c r="H19">
        <v>29768</v>
      </c>
    </row>
    <row r="20" spans="1:8" x14ac:dyDescent="0.35">
      <c r="A20" s="51">
        <v>43564</v>
      </c>
      <c r="B20">
        <v>69554</v>
      </c>
      <c r="C20">
        <v>-18166</v>
      </c>
      <c r="D20" s="4" t="s">
        <v>420</v>
      </c>
      <c r="E20">
        <v>13326</v>
      </c>
      <c r="F20">
        <v>-64714</v>
      </c>
      <c r="G20">
        <v>11671</v>
      </c>
      <c r="H20">
        <v>30114</v>
      </c>
    </row>
    <row r="21" spans="1:8" x14ac:dyDescent="0.35">
      <c r="A21" s="51">
        <v>43563</v>
      </c>
      <c r="B21">
        <v>43343</v>
      </c>
      <c r="C21">
        <v>-93633</v>
      </c>
      <c r="D21" s="4" t="s">
        <v>421</v>
      </c>
      <c r="E21">
        <v>114992</v>
      </c>
      <c r="F21">
        <v>-64702</v>
      </c>
      <c r="G21">
        <v>11604</v>
      </c>
      <c r="H21">
        <v>29845</v>
      </c>
    </row>
    <row r="22" spans="1:8" x14ac:dyDescent="0.35">
      <c r="A22" s="51">
        <v>43560</v>
      </c>
      <c r="B22">
        <v>63144</v>
      </c>
      <c r="C22">
        <v>605</v>
      </c>
      <c r="D22" s="4" t="s">
        <v>422</v>
      </c>
      <c r="E22">
        <v>-327</v>
      </c>
      <c r="F22">
        <v>-63422</v>
      </c>
      <c r="G22">
        <v>11666</v>
      </c>
      <c r="H22">
        <v>30085</v>
      </c>
    </row>
    <row r="23" spans="1:8" x14ac:dyDescent="0.35">
      <c r="A23" s="51">
        <v>43559</v>
      </c>
      <c r="B23">
        <v>63315</v>
      </c>
      <c r="C23">
        <v>-36147</v>
      </c>
      <c r="D23" s="4" t="s">
        <v>423</v>
      </c>
      <c r="E23">
        <v>36267</v>
      </c>
      <c r="F23">
        <v>-63435</v>
      </c>
      <c r="G23">
        <v>11598</v>
      </c>
      <c r="H23">
        <v>29905</v>
      </c>
    </row>
    <row r="24" spans="1:8" x14ac:dyDescent="0.35">
      <c r="A24" s="51">
        <v>43558</v>
      </c>
      <c r="B24">
        <v>39967</v>
      </c>
      <c r="C24">
        <v>-85571</v>
      </c>
      <c r="D24" s="4" t="s">
        <v>424</v>
      </c>
      <c r="E24">
        <v>105719</v>
      </c>
      <c r="F24">
        <v>-60115</v>
      </c>
      <c r="G24">
        <v>11644</v>
      </c>
      <c r="H24">
        <v>30093</v>
      </c>
    </row>
    <row r="25" spans="1:8" x14ac:dyDescent="0.35">
      <c r="A25" s="51">
        <v>43557</v>
      </c>
      <c r="B25">
        <v>55225</v>
      </c>
      <c r="C25">
        <v>1204</v>
      </c>
      <c r="D25" s="4" t="s">
        <v>425</v>
      </c>
      <c r="E25">
        <v>1566</v>
      </c>
      <c r="F25">
        <v>-57995</v>
      </c>
      <c r="G25">
        <v>11713</v>
      </c>
      <c r="H25">
        <v>30354</v>
      </c>
    </row>
    <row r="26" spans="1:8" x14ac:dyDescent="0.35">
      <c r="A26" s="51">
        <v>43556</v>
      </c>
      <c r="B26">
        <v>36736</v>
      </c>
      <c r="C26">
        <v>-32968</v>
      </c>
      <c r="D26" s="4" t="s">
        <v>426</v>
      </c>
      <c r="E26">
        <v>53085</v>
      </c>
      <c r="F26">
        <v>-56853</v>
      </c>
      <c r="G26">
        <v>11669</v>
      </c>
      <c r="H26">
        <v>30327</v>
      </c>
    </row>
    <row r="27" spans="1:8" x14ac:dyDescent="0.35">
      <c r="A27" s="51">
        <v>43553</v>
      </c>
      <c r="B27">
        <v>43904</v>
      </c>
      <c r="C27">
        <v>534</v>
      </c>
      <c r="D27" s="4" t="s">
        <v>427</v>
      </c>
      <c r="E27">
        <v>20425</v>
      </c>
      <c r="F27">
        <v>-64863</v>
      </c>
      <c r="G27">
        <v>11624</v>
      </c>
      <c r="H27">
        <v>30427</v>
      </c>
    </row>
    <row r="28" spans="1:8" x14ac:dyDescent="0.35">
      <c r="A28" s="51">
        <v>43552</v>
      </c>
      <c r="B28">
        <v>56533</v>
      </c>
      <c r="C28">
        <v>10939</v>
      </c>
      <c r="D28" s="4" t="s">
        <v>428</v>
      </c>
      <c r="E28">
        <v>-5175</v>
      </c>
      <c r="F28">
        <v>-62297</v>
      </c>
      <c r="G28">
        <v>11570</v>
      </c>
      <c r="H28">
        <v>30421</v>
      </c>
    </row>
    <row r="29" spans="1:8" x14ac:dyDescent="0.35">
      <c r="A29" s="51">
        <v>43551</v>
      </c>
      <c r="B29">
        <v>80392</v>
      </c>
      <c r="C29">
        <v>-6760</v>
      </c>
      <c r="D29" s="4" t="s">
        <v>429</v>
      </c>
      <c r="E29">
        <v>-9523</v>
      </c>
      <c r="F29">
        <v>-64109</v>
      </c>
      <c r="G29">
        <v>11445</v>
      </c>
      <c r="H29">
        <v>30020</v>
      </c>
    </row>
    <row r="30" spans="1:8" x14ac:dyDescent="0.35">
      <c r="A30" s="51">
        <v>43550</v>
      </c>
      <c r="B30">
        <v>104112</v>
      </c>
      <c r="C30">
        <v>56813</v>
      </c>
      <c r="D30" s="4" t="s">
        <v>430</v>
      </c>
      <c r="E30">
        <v>-96286</v>
      </c>
      <c r="F30">
        <v>-64639</v>
      </c>
      <c r="G30">
        <v>11483</v>
      </c>
      <c r="H30">
        <v>29882</v>
      </c>
    </row>
    <row r="31" spans="1:8" x14ac:dyDescent="0.35">
      <c r="A31" s="51">
        <v>43549</v>
      </c>
      <c r="B31">
        <v>87728</v>
      </c>
      <c r="C31">
        <v>-28102</v>
      </c>
      <c r="D31" s="4" t="s">
        <v>431</v>
      </c>
      <c r="E31">
        <v>6816</v>
      </c>
      <c r="F31">
        <v>-66442</v>
      </c>
      <c r="G31">
        <v>11354</v>
      </c>
      <c r="H31">
        <v>29281</v>
      </c>
    </row>
    <row r="32" spans="1:8" x14ac:dyDescent="0.35">
      <c r="A32" s="51">
        <v>43546</v>
      </c>
      <c r="B32">
        <v>80425</v>
      </c>
      <c r="C32">
        <v>-7920</v>
      </c>
      <c r="D32" s="4" t="s">
        <v>432</v>
      </c>
      <c r="E32">
        <v>-6461</v>
      </c>
      <c r="F32">
        <v>-66044</v>
      </c>
      <c r="G32">
        <v>11435</v>
      </c>
      <c r="H32">
        <v>29583</v>
      </c>
    </row>
    <row r="33" spans="1:8" x14ac:dyDescent="0.35">
      <c r="A33" s="51">
        <v>43544</v>
      </c>
      <c r="B33">
        <v>112774</v>
      </c>
      <c r="C33">
        <v>72039</v>
      </c>
      <c r="D33" s="4" t="s">
        <v>433</v>
      </c>
      <c r="E33">
        <v>-120137</v>
      </c>
      <c r="F33">
        <v>-64676</v>
      </c>
      <c r="G33">
        <v>11521</v>
      </c>
      <c r="H33">
        <v>29832</v>
      </c>
    </row>
    <row r="34" spans="1:8" x14ac:dyDescent="0.35">
      <c r="A34" s="51">
        <v>43543</v>
      </c>
      <c r="B34">
        <v>141457</v>
      </c>
      <c r="C34">
        <v>104021</v>
      </c>
      <c r="D34" s="4" t="s">
        <v>434</v>
      </c>
      <c r="E34">
        <v>-182358</v>
      </c>
      <c r="F34">
        <v>-63120</v>
      </c>
      <c r="G34">
        <v>11532</v>
      </c>
      <c r="H34">
        <v>29768</v>
      </c>
    </row>
    <row r="35" spans="1:8" x14ac:dyDescent="0.35">
      <c r="A35" s="51">
        <v>43542</v>
      </c>
      <c r="B35">
        <v>148764</v>
      </c>
      <c r="C35">
        <v>51021</v>
      </c>
      <c r="D35" s="4" t="s">
        <v>435</v>
      </c>
      <c r="E35">
        <v>-136232</v>
      </c>
      <c r="F35">
        <v>-63553</v>
      </c>
      <c r="G35">
        <v>11462</v>
      </c>
      <c r="H35">
        <v>29596</v>
      </c>
    </row>
    <row r="36" spans="1:8" x14ac:dyDescent="0.35">
      <c r="A36" s="51">
        <v>43539</v>
      </c>
      <c r="B36">
        <v>181587</v>
      </c>
      <c r="C36">
        <v>80931</v>
      </c>
      <c r="D36" s="4" t="s">
        <v>436</v>
      </c>
      <c r="E36">
        <v>-201660</v>
      </c>
      <c r="F36">
        <v>-60858</v>
      </c>
      <c r="G36">
        <v>11427</v>
      </c>
      <c r="H36">
        <v>29381</v>
      </c>
    </row>
    <row r="37" spans="1:8" x14ac:dyDescent="0.35">
      <c r="A37" s="51">
        <v>43538</v>
      </c>
      <c r="B37">
        <v>152155</v>
      </c>
      <c r="C37">
        <v>69984</v>
      </c>
      <c r="D37" s="4" t="s">
        <v>437</v>
      </c>
      <c r="E37">
        <v>-163960</v>
      </c>
      <c r="F37">
        <v>-58179</v>
      </c>
      <c r="G37">
        <v>11343</v>
      </c>
      <c r="H37">
        <v>28923</v>
      </c>
    </row>
    <row r="38" spans="1:8" x14ac:dyDescent="0.35">
      <c r="A38" s="51">
        <v>43537</v>
      </c>
      <c r="B38">
        <v>154291</v>
      </c>
      <c r="C38">
        <v>159916</v>
      </c>
      <c r="D38" s="4" t="s">
        <v>438</v>
      </c>
      <c r="E38">
        <v>-259207</v>
      </c>
      <c r="F38">
        <v>-55000</v>
      </c>
      <c r="G38">
        <v>11342</v>
      </c>
      <c r="H38">
        <v>28884</v>
      </c>
    </row>
    <row r="39" spans="1:8" x14ac:dyDescent="0.35">
      <c r="A39" s="51">
        <v>43536</v>
      </c>
      <c r="B39">
        <v>134604</v>
      </c>
      <c r="C39">
        <v>142521</v>
      </c>
      <c r="D39" s="4" t="s">
        <v>439</v>
      </c>
      <c r="E39">
        <v>-222125</v>
      </c>
      <c r="F39">
        <v>-55000</v>
      </c>
      <c r="G39">
        <v>11301</v>
      </c>
      <c r="H39">
        <v>28444</v>
      </c>
    </row>
    <row r="40" spans="1:8" x14ac:dyDescent="0.35">
      <c r="A40" s="51">
        <v>43535</v>
      </c>
      <c r="B40">
        <v>77134</v>
      </c>
      <c r="C40">
        <v>84127</v>
      </c>
      <c r="D40" s="4" t="s">
        <v>440</v>
      </c>
      <c r="E40">
        <v>-106261</v>
      </c>
      <c r="F40">
        <v>-55000</v>
      </c>
      <c r="G40">
        <v>11168</v>
      </c>
      <c r="H40">
        <v>27967</v>
      </c>
    </row>
    <row r="41" spans="1:8" x14ac:dyDescent="0.35">
      <c r="A41" s="51">
        <v>43532</v>
      </c>
      <c r="B41">
        <v>53445</v>
      </c>
      <c r="C41">
        <v>61594</v>
      </c>
      <c r="D41" s="4" t="s">
        <v>441</v>
      </c>
      <c r="E41">
        <v>-60839</v>
      </c>
      <c r="F41">
        <v>-54200</v>
      </c>
      <c r="G41">
        <v>11035</v>
      </c>
      <c r="H41">
        <v>27762</v>
      </c>
    </row>
    <row r="42" spans="1:8" x14ac:dyDescent="0.35">
      <c r="A42" s="51">
        <v>43531</v>
      </c>
      <c r="B42">
        <v>36905</v>
      </c>
      <c r="C42">
        <v>81707</v>
      </c>
      <c r="D42" s="4" t="s">
        <v>442</v>
      </c>
      <c r="E42">
        <v>-64052</v>
      </c>
      <c r="F42">
        <v>-54560</v>
      </c>
      <c r="G42">
        <v>11058</v>
      </c>
      <c r="H42">
        <v>27765</v>
      </c>
    </row>
    <row r="43" spans="1:8" x14ac:dyDescent="0.35">
      <c r="A43" s="51">
        <v>43530</v>
      </c>
      <c r="B43">
        <v>10097</v>
      </c>
      <c r="C43">
        <v>128454</v>
      </c>
      <c r="D43" s="4" t="s">
        <v>443</v>
      </c>
      <c r="E43">
        <v>-76347</v>
      </c>
      <c r="F43">
        <v>-62204</v>
      </c>
      <c r="G43">
        <v>11053</v>
      </c>
      <c r="H43">
        <v>27626</v>
      </c>
    </row>
    <row r="44" spans="1:8" x14ac:dyDescent="0.35">
      <c r="A44" s="51">
        <v>43529</v>
      </c>
      <c r="B44">
        <v>-23167</v>
      </c>
      <c r="C44">
        <v>137019</v>
      </c>
      <c r="D44" s="4" t="s">
        <v>444</v>
      </c>
      <c r="E44">
        <v>-52675</v>
      </c>
      <c r="F44">
        <v>-61177</v>
      </c>
      <c r="G44">
        <v>10987</v>
      </c>
      <c r="H44">
        <v>27554</v>
      </c>
    </row>
    <row r="45" spans="1:8" x14ac:dyDescent="0.35">
      <c r="A45" s="51">
        <v>43525</v>
      </c>
      <c r="B45">
        <v>-45430</v>
      </c>
      <c r="C45">
        <v>64616</v>
      </c>
      <c r="D45" s="4" t="s">
        <v>445</v>
      </c>
      <c r="E45">
        <v>62015</v>
      </c>
      <c r="F45">
        <v>-81201</v>
      </c>
      <c r="G45">
        <v>10864</v>
      </c>
      <c r="H45">
        <v>27044</v>
      </c>
    </row>
    <row r="46" spans="1:8" x14ac:dyDescent="0.35">
      <c r="A46" s="51">
        <v>43524</v>
      </c>
      <c r="B46">
        <v>-42525</v>
      </c>
      <c r="C46">
        <v>45957</v>
      </c>
      <c r="D46" s="4" t="s">
        <v>446</v>
      </c>
      <c r="E46">
        <v>77151</v>
      </c>
      <c r="F46">
        <v>-80583</v>
      </c>
      <c r="G46">
        <v>10792</v>
      </c>
      <c r="H46">
        <v>26790</v>
      </c>
    </row>
    <row r="47" spans="1:8" x14ac:dyDescent="0.35">
      <c r="A47" s="51">
        <v>43523</v>
      </c>
      <c r="B47">
        <v>-29795</v>
      </c>
      <c r="C47">
        <v>-51343</v>
      </c>
      <c r="D47" s="4" t="s">
        <v>447</v>
      </c>
      <c r="E47">
        <v>161793</v>
      </c>
      <c r="F47">
        <v>-80655</v>
      </c>
      <c r="G47">
        <v>10807</v>
      </c>
      <c r="H47">
        <v>26799</v>
      </c>
    </row>
    <row r="48" spans="1:8" x14ac:dyDescent="0.35">
      <c r="A48" s="51">
        <v>43522</v>
      </c>
      <c r="B48">
        <v>-26031</v>
      </c>
      <c r="C48">
        <v>-9707</v>
      </c>
      <c r="D48" s="4" t="s">
        <v>448</v>
      </c>
      <c r="E48">
        <v>110727</v>
      </c>
      <c r="F48">
        <v>-74989</v>
      </c>
      <c r="G48">
        <v>10835</v>
      </c>
      <c r="H48">
        <v>26953</v>
      </c>
    </row>
    <row r="49" spans="1:8" x14ac:dyDescent="0.35">
      <c r="A49" s="51">
        <v>43521</v>
      </c>
      <c r="B49">
        <v>-30310</v>
      </c>
      <c r="C49">
        <v>22619</v>
      </c>
      <c r="D49" s="4" t="s">
        <v>449</v>
      </c>
      <c r="E49">
        <v>73213</v>
      </c>
      <c r="F49">
        <v>-65522</v>
      </c>
      <c r="G49">
        <v>10880</v>
      </c>
      <c r="H49">
        <v>27159</v>
      </c>
    </row>
    <row r="50" spans="1:8" x14ac:dyDescent="0.35">
      <c r="A50" s="51">
        <v>43518</v>
      </c>
      <c r="B50">
        <v>-67387</v>
      </c>
      <c r="C50">
        <v>-45562</v>
      </c>
      <c r="D50" s="4" t="s">
        <v>450</v>
      </c>
      <c r="E50">
        <v>179599</v>
      </c>
      <c r="F50">
        <v>-66650</v>
      </c>
      <c r="G50">
        <v>10792</v>
      </c>
      <c r="H50">
        <v>26867</v>
      </c>
    </row>
    <row r="51" spans="1:8" x14ac:dyDescent="0.35">
      <c r="A51" s="51">
        <v>43517</v>
      </c>
      <c r="B51">
        <v>-47998</v>
      </c>
      <c r="C51">
        <v>-19868</v>
      </c>
      <c r="D51" s="4" t="s">
        <v>451</v>
      </c>
      <c r="E51">
        <v>134514</v>
      </c>
      <c r="F51">
        <v>-66648</v>
      </c>
      <c r="G51">
        <v>10790</v>
      </c>
      <c r="H51">
        <v>27052</v>
      </c>
    </row>
    <row r="52" spans="1:8" x14ac:dyDescent="0.35">
      <c r="A52" s="51">
        <v>43516</v>
      </c>
      <c r="B52">
        <v>-60960</v>
      </c>
      <c r="C52">
        <v>-41692</v>
      </c>
      <c r="D52" s="4" t="s">
        <v>452</v>
      </c>
      <c r="E52">
        <v>168890</v>
      </c>
      <c r="F52">
        <v>-66238</v>
      </c>
      <c r="G52">
        <v>10735</v>
      </c>
      <c r="H52">
        <v>26956</v>
      </c>
    </row>
    <row r="53" spans="1:8" x14ac:dyDescent="0.35">
      <c r="A53" s="51">
        <v>43515</v>
      </c>
      <c r="B53">
        <v>-79149</v>
      </c>
      <c r="C53">
        <v>-148155</v>
      </c>
      <c r="D53" s="4" t="s">
        <v>453</v>
      </c>
      <c r="E53">
        <v>295632</v>
      </c>
      <c r="F53">
        <v>-68328</v>
      </c>
      <c r="G53">
        <v>10604</v>
      </c>
      <c r="H53">
        <v>26685</v>
      </c>
    </row>
    <row r="54" spans="1:8" x14ac:dyDescent="0.35">
      <c r="A54" s="51">
        <v>43514</v>
      </c>
      <c r="B54">
        <v>-78980</v>
      </c>
      <c r="C54">
        <v>-137205</v>
      </c>
      <c r="D54" s="4" t="s">
        <v>454</v>
      </c>
      <c r="E54">
        <v>288074</v>
      </c>
      <c r="F54">
        <v>-71889</v>
      </c>
      <c r="G54">
        <v>10641</v>
      </c>
      <c r="H54">
        <v>26654</v>
      </c>
    </row>
    <row r="55" spans="1:8" x14ac:dyDescent="0.35">
      <c r="A55" s="51">
        <v>43511</v>
      </c>
      <c r="B55">
        <v>-69506</v>
      </c>
      <c r="C55">
        <v>-84853</v>
      </c>
      <c r="D55" s="4" t="s">
        <v>455</v>
      </c>
      <c r="E55">
        <v>231884</v>
      </c>
      <c r="F55">
        <v>-77525</v>
      </c>
      <c r="G55">
        <v>10724</v>
      </c>
      <c r="H55">
        <v>26794</v>
      </c>
    </row>
    <row r="56" spans="1:8" x14ac:dyDescent="0.35">
      <c r="A56" s="51">
        <v>43510</v>
      </c>
      <c r="B56">
        <v>-53807</v>
      </c>
      <c r="C56">
        <v>-53332</v>
      </c>
      <c r="D56" s="4" t="s">
        <v>456</v>
      </c>
      <c r="E56">
        <v>186892</v>
      </c>
      <c r="F56">
        <v>-79753</v>
      </c>
      <c r="G56">
        <v>10746</v>
      </c>
      <c r="H56">
        <v>26971</v>
      </c>
    </row>
    <row r="57" spans="1:8" x14ac:dyDescent="0.35">
      <c r="A57" s="51">
        <v>43509</v>
      </c>
      <c r="B57">
        <v>-22437</v>
      </c>
      <c r="C57">
        <v>-155601</v>
      </c>
      <c r="D57" s="4" t="s">
        <v>457</v>
      </c>
      <c r="E57">
        <v>259801</v>
      </c>
      <c r="F57">
        <v>-81763</v>
      </c>
      <c r="G57">
        <v>10794</v>
      </c>
      <c r="H57">
        <v>26885</v>
      </c>
    </row>
    <row r="58" spans="1:8" x14ac:dyDescent="0.35">
      <c r="A58" s="51">
        <v>43508</v>
      </c>
      <c r="B58">
        <v>-19108</v>
      </c>
      <c r="C58">
        <v>-92786</v>
      </c>
      <c r="D58" s="4" t="s">
        <v>458</v>
      </c>
      <c r="E58">
        <v>193625</v>
      </c>
      <c r="F58">
        <v>-81731</v>
      </c>
      <c r="G58">
        <v>10831</v>
      </c>
      <c r="H58">
        <v>27011</v>
      </c>
    </row>
    <row r="59" spans="1:8" x14ac:dyDescent="0.35">
      <c r="A59" s="51">
        <v>43507</v>
      </c>
      <c r="B59">
        <v>7652</v>
      </c>
      <c r="C59">
        <v>-12827</v>
      </c>
      <c r="D59" s="4" t="s">
        <v>459</v>
      </c>
      <c r="E59">
        <v>86320</v>
      </c>
      <c r="F59">
        <v>-81145</v>
      </c>
      <c r="G59">
        <v>10889</v>
      </c>
      <c r="H59">
        <v>27228</v>
      </c>
    </row>
    <row r="60" spans="1:8" x14ac:dyDescent="0.35">
      <c r="A60" s="51">
        <v>43504</v>
      </c>
      <c r="B60">
        <v>22375</v>
      </c>
      <c r="C60">
        <v>271</v>
      </c>
      <c r="D60" s="4" t="s">
        <v>460</v>
      </c>
      <c r="E60">
        <v>57885</v>
      </c>
      <c r="F60">
        <v>-80531</v>
      </c>
      <c r="G60">
        <v>10944</v>
      </c>
      <c r="H60">
        <v>27294</v>
      </c>
    </row>
    <row r="61" spans="1:8" x14ac:dyDescent="0.35">
      <c r="A61" s="51">
        <v>43503</v>
      </c>
      <c r="B61">
        <v>11642</v>
      </c>
      <c r="C61">
        <v>75280</v>
      </c>
      <c r="D61" s="4" t="s">
        <v>461</v>
      </c>
      <c r="E61">
        <v>-8661</v>
      </c>
      <c r="F61">
        <v>-78261</v>
      </c>
      <c r="G61">
        <v>11069</v>
      </c>
      <c r="H61">
        <v>27387</v>
      </c>
    </row>
    <row r="62" spans="1:8" x14ac:dyDescent="0.35">
      <c r="A62" s="51">
        <v>43502</v>
      </c>
      <c r="B62">
        <v>-11675</v>
      </c>
      <c r="C62">
        <v>88624</v>
      </c>
      <c r="D62" s="4" t="s">
        <v>462</v>
      </c>
      <c r="E62">
        <v>-6146</v>
      </c>
      <c r="F62">
        <v>-70803</v>
      </c>
      <c r="G62">
        <v>11062</v>
      </c>
      <c r="H62">
        <v>27402</v>
      </c>
    </row>
    <row r="63" spans="1:8" x14ac:dyDescent="0.35">
      <c r="A63" s="51">
        <v>43501</v>
      </c>
      <c r="B63">
        <v>-20964</v>
      </c>
      <c r="C63">
        <v>18246</v>
      </c>
      <c r="D63" s="4" t="s">
        <v>463</v>
      </c>
      <c r="E63">
        <v>68586</v>
      </c>
      <c r="F63">
        <v>-65868</v>
      </c>
      <c r="G63">
        <v>10934</v>
      </c>
      <c r="H63">
        <v>27272</v>
      </c>
    </row>
    <row r="64" spans="1:8" x14ac:dyDescent="0.35">
      <c r="A64" s="51">
        <v>43500</v>
      </c>
      <c r="B64">
        <v>-31455</v>
      </c>
      <c r="C64">
        <v>22757</v>
      </c>
      <c r="D64" s="4" t="s">
        <v>464</v>
      </c>
      <c r="E64">
        <v>74536</v>
      </c>
      <c r="F64">
        <v>-65838</v>
      </c>
      <c r="G64">
        <v>10912</v>
      </c>
      <c r="H64">
        <v>27187</v>
      </c>
    </row>
    <row r="65" spans="1:8" x14ac:dyDescent="0.35">
      <c r="A65" s="51">
        <v>43497</v>
      </c>
      <c r="B65">
        <v>-13438</v>
      </c>
      <c r="C65">
        <v>-10828</v>
      </c>
      <c r="D65" s="4" t="s">
        <v>465</v>
      </c>
      <c r="E65">
        <v>90094</v>
      </c>
      <c r="F65">
        <v>-65828</v>
      </c>
      <c r="G65">
        <v>10894</v>
      </c>
      <c r="H65">
        <v>27086</v>
      </c>
    </row>
    <row r="66" spans="1:8" x14ac:dyDescent="0.35">
      <c r="A66" s="51">
        <v>43496</v>
      </c>
      <c r="B66">
        <v>-17110</v>
      </c>
      <c r="C66">
        <v>19199</v>
      </c>
      <c r="D66" s="4" t="s">
        <v>466</v>
      </c>
      <c r="E66">
        <v>62436</v>
      </c>
      <c r="F66">
        <v>-64525</v>
      </c>
      <c r="G66">
        <v>10831</v>
      </c>
      <c r="H66">
        <v>27295</v>
      </c>
    </row>
    <row r="67" spans="1:8" x14ac:dyDescent="0.35">
      <c r="A67" s="51">
        <v>43495</v>
      </c>
      <c r="B67">
        <v>-149643</v>
      </c>
      <c r="C67">
        <v>-119494</v>
      </c>
      <c r="D67" s="4" t="s">
        <v>467</v>
      </c>
      <c r="E67">
        <v>333592</v>
      </c>
      <c r="F67">
        <v>-64455</v>
      </c>
      <c r="G67">
        <v>10652</v>
      </c>
      <c r="H67">
        <v>26826</v>
      </c>
    </row>
    <row r="68" spans="1:8" x14ac:dyDescent="0.35">
      <c r="A68" s="51">
        <v>43494</v>
      </c>
      <c r="B68">
        <v>-138322</v>
      </c>
      <c r="C68">
        <v>-157154</v>
      </c>
      <c r="D68" s="4" t="s">
        <v>468</v>
      </c>
      <c r="E68">
        <v>361855</v>
      </c>
      <c r="F68">
        <v>-66379</v>
      </c>
      <c r="G68">
        <v>10652</v>
      </c>
      <c r="H68">
        <v>26573</v>
      </c>
    </row>
    <row r="69" spans="1:8" x14ac:dyDescent="0.35">
      <c r="A69" s="51">
        <v>43493</v>
      </c>
      <c r="B69">
        <v>-141866</v>
      </c>
      <c r="C69">
        <v>-145731</v>
      </c>
      <c r="D69" s="4" t="s">
        <v>469</v>
      </c>
      <c r="E69">
        <v>353976</v>
      </c>
      <c r="F69">
        <v>-66379</v>
      </c>
      <c r="G69">
        <v>10662</v>
      </c>
      <c r="H69">
        <v>26653</v>
      </c>
    </row>
    <row r="70" spans="1:8" x14ac:dyDescent="0.35">
      <c r="A70" s="51">
        <v>43490</v>
      </c>
      <c r="B70">
        <v>-95125</v>
      </c>
      <c r="C70">
        <v>-77307</v>
      </c>
      <c r="D70" s="4" t="s">
        <v>470</v>
      </c>
      <c r="E70">
        <v>238811</v>
      </c>
      <c r="F70">
        <v>-66379</v>
      </c>
      <c r="G70">
        <v>10780</v>
      </c>
      <c r="H70">
        <v>27115</v>
      </c>
    </row>
    <row r="71" spans="1:8" x14ac:dyDescent="0.35">
      <c r="A71" s="51">
        <v>43489</v>
      </c>
      <c r="B71">
        <v>-88588</v>
      </c>
      <c r="C71">
        <v>-37608</v>
      </c>
      <c r="D71" s="4" t="s">
        <v>471</v>
      </c>
      <c r="E71">
        <v>192545</v>
      </c>
      <c r="F71">
        <v>-66349</v>
      </c>
      <c r="G71">
        <v>10850</v>
      </c>
      <c r="H71">
        <v>27266</v>
      </c>
    </row>
    <row r="72" spans="1:8" x14ac:dyDescent="0.35">
      <c r="A72" s="51">
        <v>43488</v>
      </c>
      <c r="B72">
        <v>-93669</v>
      </c>
      <c r="C72">
        <v>-86951</v>
      </c>
      <c r="D72" s="4" t="s">
        <v>472</v>
      </c>
      <c r="E72">
        <v>246989</v>
      </c>
      <c r="F72">
        <v>-66369</v>
      </c>
      <c r="G72">
        <v>10832</v>
      </c>
      <c r="H72">
        <v>27251</v>
      </c>
    </row>
    <row r="73" spans="1:8" x14ac:dyDescent="0.35">
      <c r="A73" s="51">
        <v>43487</v>
      </c>
      <c r="B73">
        <v>-81317</v>
      </c>
      <c r="C73">
        <v>4383</v>
      </c>
      <c r="D73" s="4" t="s">
        <v>473</v>
      </c>
      <c r="E73">
        <v>143950</v>
      </c>
      <c r="F73">
        <v>-67016</v>
      </c>
      <c r="G73">
        <v>10923</v>
      </c>
      <c r="H73">
        <v>27482</v>
      </c>
    </row>
    <row r="74" spans="1:8" x14ac:dyDescent="0.35">
      <c r="A74" s="51">
        <v>43486</v>
      </c>
      <c r="B74">
        <v>-49685</v>
      </c>
      <c r="C74">
        <v>32484</v>
      </c>
      <c r="D74" s="4" t="s">
        <v>474</v>
      </c>
      <c r="E74">
        <v>84304</v>
      </c>
      <c r="F74">
        <v>-67103</v>
      </c>
      <c r="G74">
        <v>10962</v>
      </c>
      <c r="H74">
        <v>27534</v>
      </c>
    </row>
    <row r="75" spans="1:8" x14ac:dyDescent="0.35">
      <c r="A75" s="51">
        <v>43483</v>
      </c>
      <c r="B75">
        <v>-69863</v>
      </c>
      <c r="C75">
        <v>10929</v>
      </c>
      <c r="D75" s="4" t="s">
        <v>475</v>
      </c>
      <c r="E75">
        <v>124362</v>
      </c>
      <c r="F75">
        <v>-65428</v>
      </c>
      <c r="G75">
        <v>10907</v>
      </c>
      <c r="H75">
        <v>27457</v>
      </c>
    </row>
    <row r="76" spans="1:8" x14ac:dyDescent="0.35">
      <c r="A76" s="51">
        <v>43482</v>
      </c>
      <c r="B76">
        <v>-82068</v>
      </c>
      <c r="C76">
        <v>27589</v>
      </c>
      <c r="D76" s="4" t="s">
        <v>476</v>
      </c>
      <c r="E76">
        <v>119907</v>
      </c>
      <c r="F76">
        <v>-65428</v>
      </c>
      <c r="G76">
        <v>10905</v>
      </c>
      <c r="H76">
        <v>27529</v>
      </c>
    </row>
    <row r="77" spans="1:8" x14ac:dyDescent="0.35">
      <c r="A77" s="51">
        <v>43481</v>
      </c>
      <c r="B77">
        <v>-94173</v>
      </c>
      <c r="C77">
        <v>-2472</v>
      </c>
      <c r="D77" s="4" t="s">
        <v>477</v>
      </c>
      <c r="E77">
        <v>161406</v>
      </c>
      <c r="F77">
        <v>-64761</v>
      </c>
      <c r="G77">
        <v>10890</v>
      </c>
      <c r="H77">
        <v>27484</v>
      </c>
    </row>
    <row r="78" spans="1:8" x14ac:dyDescent="0.35">
      <c r="A78" s="51">
        <v>43480</v>
      </c>
      <c r="B78">
        <v>-97687</v>
      </c>
      <c r="C78">
        <v>15371</v>
      </c>
      <c r="D78" s="4" t="s">
        <v>478</v>
      </c>
      <c r="E78">
        <v>147077</v>
      </c>
      <c r="F78">
        <v>-64761</v>
      </c>
      <c r="G78">
        <v>10887</v>
      </c>
      <c r="H78">
        <v>27401</v>
      </c>
    </row>
    <row r="79" spans="1:8" x14ac:dyDescent="0.35">
      <c r="A79" s="51">
        <v>43479</v>
      </c>
      <c r="B79">
        <v>-102861</v>
      </c>
      <c r="C79">
        <v>-106932</v>
      </c>
      <c r="D79" s="4" t="s">
        <v>479</v>
      </c>
      <c r="E79">
        <v>276514</v>
      </c>
      <c r="F79">
        <v>-66721</v>
      </c>
      <c r="G79">
        <v>10738</v>
      </c>
      <c r="H79">
        <v>27248</v>
      </c>
    </row>
    <row r="80" spans="1:8" x14ac:dyDescent="0.35">
      <c r="A80" s="51">
        <v>43476</v>
      </c>
      <c r="B80">
        <v>-98728</v>
      </c>
      <c r="C80">
        <v>-82307</v>
      </c>
      <c r="D80" s="4" t="s">
        <v>480</v>
      </c>
      <c r="E80">
        <v>247756</v>
      </c>
      <c r="F80">
        <v>-66721</v>
      </c>
      <c r="G80">
        <v>10795</v>
      </c>
      <c r="H80">
        <v>27454</v>
      </c>
    </row>
    <row r="81" spans="1:8" x14ac:dyDescent="0.35">
      <c r="A81" s="51">
        <v>43475</v>
      </c>
      <c r="B81">
        <v>-95291</v>
      </c>
      <c r="C81">
        <v>-28211</v>
      </c>
      <c r="D81" s="4" t="s">
        <v>481</v>
      </c>
      <c r="E81">
        <v>190223</v>
      </c>
      <c r="F81">
        <v>-66721</v>
      </c>
      <c r="G81">
        <v>10822</v>
      </c>
      <c r="H81">
        <v>27528</v>
      </c>
    </row>
    <row r="82" spans="1:8" x14ac:dyDescent="0.35">
      <c r="A82" s="51">
        <v>43474</v>
      </c>
      <c r="B82">
        <v>-98726</v>
      </c>
      <c r="C82">
        <v>28048</v>
      </c>
      <c r="D82" s="4" t="s">
        <v>482</v>
      </c>
      <c r="E82">
        <v>137399</v>
      </c>
      <c r="F82">
        <v>-66721</v>
      </c>
      <c r="G82">
        <v>10855</v>
      </c>
      <c r="H82">
        <v>27720</v>
      </c>
    </row>
    <row r="83" spans="1:8" x14ac:dyDescent="0.35">
      <c r="A83" s="51">
        <v>43473</v>
      </c>
      <c r="B83">
        <v>-90364</v>
      </c>
      <c r="C83">
        <v>-4559</v>
      </c>
      <c r="D83" s="4" t="s">
        <v>483</v>
      </c>
      <c r="E83">
        <v>161644</v>
      </c>
      <c r="F83">
        <v>-66721</v>
      </c>
      <c r="G83">
        <v>10802</v>
      </c>
      <c r="H83">
        <v>27510</v>
      </c>
    </row>
    <row r="84" spans="1:8" x14ac:dyDescent="0.35">
      <c r="A84" s="51">
        <v>43472</v>
      </c>
      <c r="B84">
        <v>-99848</v>
      </c>
      <c r="C84">
        <v>-58003</v>
      </c>
      <c r="D84" s="4" t="s">
        <v>484</v>
      </c>
      <c r="E84">
        <v>224572</v>
      </c>
      <c r="F84">
        <v>-66721</v>
      </c>
      <c r="G84">
        <v>10772</v>
      </c>
      <c r="H84">
        <v>27305</v>
      </c>
    </row>
    <row r="85" spans="1:8" x14ac:dyDescent="0.35">
      <c r="A85" s="51">
        <v>43469</v>
      </c>
      <c r="B85">
        <v>-100617</v>
      </c>
      <c r="C85">
        <v>-53654</v>
      </c>
      <c r="D85" s="4" t="s">
        <v>485</v>
      </c>
      <c r="E85">
        <v>220992</v>
      </c>
      <c r="F85">
        <v>-66721</v>
      </c>
      <c r="G85">
        <v>10727</v>
      </c>
      <c r="H85">
        <v>27195</v>
      </c>
    </row>
    <row r="86" spans="1:8" x14ac:dyDescent="0.35">
      <c r="A86" s="51">
        <v>43468</v>
      </c>
      <c r="B86">
        <v>-99834</v>
      </c>
      <c r="C86">
        <v>-93263</v>
      </c>
      <c r="D86" s="4" t="s">
        <v>486</v>
      </c>
      <c r="E86">
        <v>259818</v>
      </c>
      <c r="F86">
        <v>-66721</v>
      </c>
      <c r="G86">
        <v>10672</v>
      </c>
      <c r="H86">
        <v>26960</v>
      </c>
    </row>
    <row r="87" spans="1:8" x14ac:dyDescent="0.35">
      <c r="A87" s="51">
        <v>43467</v>
      </c>
      <c r="B87">
        <v>-86431</v>
      </c>
      <c r="C87">
        <v>-91732</v>
      </c>
      <c r="D87" s="4" t="s">
        <v>487</v>
      </c>
      <c r="E87">
        <v>242244</v>
      </c>
      <c r="F87">
        <v>-64081</v>
      </c>
      <c r="G87">
        <v>10793</v>
      </c>
      <c r="H87">
        <v>27175</v>
      </c>
    </row>
    <row r="88" spans="1:8" x14ac:dyDescent="0.35">
      <c r="A88" s="51">
        <v>43466</v>
      </c>
      <c r="B88">
        <v>-86059</v>
      </c>
      <c r="C88">
        <v>37728</v>
      </c>
      <c r="D88" s="4" t="s">
        <v>488</v>
      </c>
      <c r="E88">
        <v>111752</v>
      </c>
      <c r="F88">
        <v>-63421</v>
      </c>
      <c r="G88">
        <v>10910</v>
      </c>
      <c r="H88">
        <v>27392</v>
      </c>
    </row>
    <row r="89" spans="1:8" x14ac:dyDescent="0.35">
      <c r="A89" s="51">
        <v>43465</v>
      </c>
      <c r="B89">
        <v>-86639</v>
      </c>
      <c r="C89">
        <v>15922</v>
      </c>
      <c r="D89" s="4" t="s">
        <v>489</v>
      </c>
      <c r="E89">
        <v>135089</v>
      </c>
      <c r="F89">
        <v>-64372</v>
      </c>
      <c r="G89">
        <v>10863</v>
      </c>
      <c r="H89">
        <v>27160</v>
      </c>
    </row>
    <row r="90" spans="1:8" x14ac:dyDescent="0.35">
      <c r="A90" s="51">
        <v>43462</v>
      </c>
      <c r="B90">
        <v>-71244</v>
      </c>
      <c r="C90">
        <v>3528</v>
      </c>
      <c r="D90" s="4" t="s">
        <v>490</v>
      </c>
      <c r="E90">
        <v>131088</v>
      </c>
      <c r="F90">
        <v>-63372</v>
      </c>
      <c r="G90">
        <v>10860</v>
      </c>
      <c r="H90">
        <v>27125</v>
      </c>
    </row>
    <row r="91" spans="1:8" x14ac:dyDescent="0.35">
      <c r="A91" s="51">
        <v>43461</v>
      </c>
      <c r="B91">
        <v>-63629</v>
      </c>
      <c r="C91">
        <v>-16418</v>
      </c>
      <c r="D91" s="4" t="s">
        <v>491</v>
      </c>
      <c r="E91">
        <v>144959</v>
      </c>
      <c r="F91">
        <v>-64912</v>
      </c>
      <c r="G91">
        <v>10780</v>
      </c>
      <c r="H91">
        <v>26879</v>
      </c>
    </row>
    <row r="92" spans="1:8" x14ac:dyDescent="0.35">
      <c r="A92" s="51">
        <v>43460</v>
      </c>
      <c r="B92">
        <v>-122576</v>
      </c>
      <c r="C92">
        <v>-33298</v>
      </c>
      <c r="D92" s="4" t="s">
        <v>492</v>
      </c>
      <c r="E92">
        <v>214605</v>
      </c>
      <c r="F92">
        <v>-58731</v>
      </c>
      <c r="G92">
        <v>10730</v>
      </c>
      <c r="H92">
        <v>26987</v>
      </c>
    </row>
    <row r="93" spans="1:8" x14ac:dyDescent="0.35">
      <c r="A93" s="51">
        <v>43458</v>
      </c>
      <c r="B93">
        <v>-110072</v>
      </c>
      <c r="C93">
        <v>-169203</v>
      </c>
      <c r="D93" s="4" t="s">
        <v>493</v>
      </c>
      <c r="E93">
        <v>337976</v>
      </c>
      <c r="F93">
        <v>-58701</v>
      </c>
      <c r="G93">
        <v>10664</v>
      </c>
      <c r="H93">
        <v>26715</v>
      </c>
    </row>
    <row r="94" spans="1:8" x14ac:dyDescent="0.35">
      <c r="A94" s="51">
        <v>43455</v>
      </c>
      <c r="B94">
        <v>-93603</v>
      </c>
      <c r="C94">
        <v>-122357</v>
      </c>
      <c r="D94" s="4" t="s">
        <v>494</v>
      </c>
      <c r="E94">
        <v>274661</v>
      </c>
      <c r="F94">
        <v>-58701</v>
      </c>
      <c r="G94">
        <v>10754</v>
      </c>
      <c r="H94">
        <v>26870</v>
      </c>
    </row>
    <row r="95" spans="1:8" x14ac:dyDescent="0.35">
      <c r="A95" s="51">
        <v>43454</v>
      </c>
      <c r="B95">
        <v>-64136</v>
      </c>
      <c r="C95">
        <v>40893</v>
      </c>
      <c r="D95" s="4" t="s">
        <v>495</v>
      </c>
      <c r="E95">
        <v>75548</v>
      </c>
      <c r="F95">
        <v>-52305</v>
      </c>
      <c r="G95">
        <v>10952</v>
      </c>
      <c r="H95">
        <v>27275</v>
      </c>
    </row>
    <row r="96" spans="1:8" x14ac:dyDescent="0.35">
      <c r="A96" s="51">
        <v>43453</v>
      </c>
      <c r="B96">
        <v>-68944</v>
      </c>
      <c r="C96">
        <v>72433</v>
      </c>
      <c r="D96" s="4" t="s">
        <v>496</v>
      </c>
      <c r="E96">
        <v>48816</v>
      </c>
      <c r="F96">
        <v>-52305</v>
      </c>
      <c r="G96">
        <v>10967</v>
      </c>
      <c r="H96">
        <v>27298</v>
      </c>
    </row>
    <row r="97" spans="1:8" x14ac:dyDescent="0.35">
      <c r="A97" s="51">
        <v>43452</v>
      </c>
      <c r="B97">
        <v>-67823</v>
      </c>
      <c r="C97">
        <v>53160</v>
      </c>
      <c r="D97" s="4" t="s">
        <v>497</v>
      </c>
      <c r="E97">
        <v>70640</v>
      </c>
      <c r="F97">
        <v>-55977</v>
      </c>
      <c r="G97">
        <v>10909</v>
      </c>
      <c r="H97">
        <v>27175</v>
      </c>
    </row>
    <row r="98" spans="1:8" x14ac:dyDescent="0.35">
      <c r="A98" s="51">
        <v>43451</v>
      </c>
      <c r="B98">
        <v>-66850</v>
      </c>
      <c r="C98">
        <v>78078</v>
      </c>
      <c r="D98" s="4" t="s">
        <v>498</v>
      </c>
      <c r="E98">
        <v>44249</v>
      </c>
      <c r="F98">
        <v>-55477</v>
      </c>
      <c r="G98">
        <v>10888</v>
      </c>
      <c r="H98">
        <v>27016</v>
      </c>
    </row>
    <row r="99" spans="1:8" x14ac:dyDescent="0.35">
      <c r="A99" s="51">
        <v>43448</v>
      </c>
      <c r="B99">
        <v>-72546</v>
      </c>
      <c r="C99">
        <v>42092</v>
      </c>
      <c r="D99" s="4" t="s">
        <v>499</v>
      </c>
      <c r="E99">
        <v>85032</v>
      </c>
      <c r="F99">
        <v>-54578</v>
      </c>
      <c r="G99">
        <v>10805</v>
      </c>
      <c r="H99">
        <v>26826</v>
      </c>
    </row>
    <row r="100" spans="1:8" x14ac:dyDescent="0.35">
      <c r="A100" s="51">
        <v>43447</v>
      </c>
      <c r="B100">
        <v>-59799</v>
      </c>
      <c r="C100">
        <v>14857</v>
      </c>
      <c r="D100" s="4" t="s">
        <v>500</v>
      </c>
      <c r="E100">
        <v>110772</v>
      </c>
      <c r="F100">
        <v>-65830</v>
      </c>
      <c r="G100">
        <v>10792</v>
      </c>
      <c r="H100">
        <v>26816</v>
      </c>
    </row>
    <row r="101" spans="1:8" x14ac:dyDescent="0.35">
      <c r="A101" s="51">
        <v>43446</v>
      </c>
      <c r="B101">
        <v>-12693</v>
      </c>
      <c r="C101">
        <v>44392</v>
      </c>
      <c r="D101" s="4" t="s">
        <v>501</v>
      </c>
      <c r="E101">
        <v>50358</v>
      </c>
      <c r="F101">
        <v>-82057</v>
      </c>
      <c r="G101">
        <v>10738</v>
      </c>
      <c r="H101">
        <v>26644</v>
      </c>
    </row>
    <row r="102" spans="1:8" x14ac:dyDescent="0.35">
      <c r="A102" s="51">
        <v>43445</v>
      </c>
      <c r="B102">
        <v>-7874</v>
      </c>
      <c r="C102">
        <v>-15581</v>
      </c>
      <c r="D102" s="4" t="s">
        <v>502</v>
      </c>
      <c r="E102">
        <v>107277</v>
      </c>
      <c r="F102">
        <v>-83822</v>
      </c>
      <c r="G102">
        <v>10549</v>
      </c>
      <c r="H102">
        <v>26163</v>
      </c>
    </row>
    <row r="103" spans="1:8" x14ac:dyDescent="0.35">
      <c r="A103" s="51">
        <v>43444</v>
      </c>
      <c r="B103">
        <v>-25077</v>
      </c>
      <c r="C103">
        <v>-59174</v>
      </c>
      <c r="D103" s="4" t="s">
        <v>503</v>
      </c>
      <c r="E103">
        <v>171164</v>
      </c>
      <c r="F103">
        <v>-86913</v>
      </c>
      <c r="G103">
        <v>10488</v>
      </c>
      <c r="H103">
        <v>26103</v>
      </c>
    </row>
    <row r="104" spans="1:8" x14ac:dyDescent="0.35">
      <c r="A104" s="51">
        <v>43441</v>
      </c>
      <c r="B104">
        <v>-23103</v>
      </c>
      <c r="C104">
        <v>5191</v>
      </c>
      <c r="D104" s="4" t="s">
        <v>504</v>
      </c>
      <c r="E104">
        <v>108834</v>
      </c>
      <c r="F104">
        <v>-90922</v>
      </c>
      <c r="G104">
        <v>10694</v>
      </c>
      <c r="H104">
        <v>26594</v>
      </c>
    </row>
    <row r="105" spans="1:8" x14ac:dyDescent="0.35">
      <c r="A105" s="51">
        <v>43440</v>
      </c>
      <c r="B105">
        <v>-33149</v>
      </c>
      <c r="C105">
        <v>-24020</v>
      </c>
      <c r="D105" s="4" t="s">
        <v>505</v>
      </c>
      <c r="E105">
        <v>148092</v>
      </c>
      <c r="F105">
        <v>-90923</v>
      </c>
      <c r="G105">
        <v>10601</v>
      </c>
      <c r="H105">
        <v>26198</v>
      </c>
    </row>
    <row r="106" spans="1:8" x14ac:dyDescent="0.35">
      <c r="A106" s="51">
        <v>43439</v>
      </c>
      <c r="B106">
        <v>-14962</v>
      </c>
      <c r="C106">
        <v>-87959</v>
      </c>
      <c r="D106" s="4" t="s">
        <v>506</v>
      </c>
      <c r="E106">
        <v>194328</v>
      </c>
      <c r="F106">
        <v>-91407</v>
      </c>
      <c r="G106">
        <v>10783</v>
      </c>
      <c r="H106">
        <v>26520</v>
      </c>
    </row>
    <row r="107" spans="1:8" x14ac:dyDescent="0.35">
      <c r="A107" s="51">
        <v>43438</v>
      </c>
      <c r="B107">
        <v>-43627</v>
      </c>
      <c r="C107">
        <v>1229</v>
      </c>
      <c r="D107" s="4" t="s">
        <v>507</v>
      </c>
      <c r="E107">
        <v>133673</v>
      </c>
      <c r="F107">
        <v>-91275</v>
      </c>
      <c r="G107">
        <v>10870</v>
      </c>
      <c r="H107">
        <v>26694</v>
      </c>
    </row>
    <row r="108" spans="1:8" x14ac:dyDescent="0.35">
      <c r="A108" s="51">
        <v>43437</v>
      </c>
      <c r="B108">
        <v>-48839</v>
      </c>
      <c r="C108">
        <v>26723</v>
      </c>
      <c r="D108" s="4" t="s">
        <v>508</v>
      </c>
      <c r="E108">
        <v>112388</v>
      </c>
      <c r="F108">
        <v>-90272</v>
      </c>
      <c r="G108">
        <v>10884</v>
      </c>
      <c r="H108">
        <v>26858</v>
      </c>
    </row>
    <row r="109" spans="1:8" x14ac:dyDescent="0.35">
      <c r="A109" s="51">
        <v>43434</v>
      </c>
      <c r="B109">
        <v>-56994</v>
      </c>
      <c r="C109">
        <v>39705</v>
      </c>
      <c r="D109" s="4" t="s">
        <v>509</v>
      </c>
      <c r="E109">
        <v>103781</v>
      </c>
      <c r="F109">
        <v>-86492</v>
      </c>
      <c r="G109">
        <v>10877</v>
      </c>
      <c r="H109">
        <v>26863</v>
      </c>
    </row>
    <row r="110" spans="1:8" x14ac:dyDescent="0.35">
      <c r="A110" s="51">
        <v>43433</v>
      </c>
      <c r="B110">
        <v>-22673</v>
      </c>
      <c r="C110">
        <v>57246</v>
      </c>
      <c r="D110" s="4" t="s">
        <v>510</v>
      </c>
      <c r="E110">
        <v>52069</v>
      </c>
      <c r="F110">
        <v>-86642</v>
      </c>
      <c r="G110">
        <v>10859</v>
      </c>
      <c r="H110">
        <v>26940</v>
      </c>
    </row>
    <row r="111" spans="1:8" x14ac:dyDescent="0.35">
      <c r="A111" s="51">
        <v>43432</v>
      </c>
      <c r="B111">
        <v>-69156</v>
      </c>
      <c r="C111">
        <v>50952</v>
      </c>
      <c r="D111" s="4" t="s">
        <v>511</v>
      </c>
      <c r="E111">
        <v>134238</v>
      </c>
      <c r="F111">
        <v>-116034</v>
      </c>
      <c r="G111">
        <v>10729</v>
      </c>
      <c r="H111">
        <v>26458</v>
      </c>
    </row>
    <row r="112" spans="1:8" x14ac:dyDescent="0.35">
      <c r="A112" s="51">
        <v>43431</v>
      </c>
      <c r="B112">
        <v>-40439</v>
      </c>
      <c r="C112">
        <v>59097</v>
      </c>
      <c r="D112" s="4" t="s">
        <v>512</v>
      </c>
      <c r="E112">
        <v>98314</v>
      </c>
      <c r="F112">
        <v>-116972</v>
      </c>
      <c r="G112">
        <v>10686</v>
      </c>
      <c r="H112">
        <v>26443</v>
      </c>
    </row>
    <row r="113" spans="1:8" x14ac:dyDescent="0.35">
      <c r="A113" s="51">
        <v>43430</v>
      </c>
      <c r="B113">
        <v>-40223</v>
      </c>
      <c r="C113">
        <v>37129</v>
      </c>
      <c r="D113" s="4" t="s">
        <v>513</v>
      </c>
      <c r="E113">
        <v>120000</v>
      </c>
      <c r="F113">
        <v>-116906</v>
      </c>
      <c r="G113">
        <v>10629</v>
      </c>
      <c r="H113">
        <v>26366</v>
      </c>
    </row>
    <row r="114" spans="1:8" x14ac:dyDescent="0.35">
      <c r="A114" s="51">
        <v>43426</v>
      </c>
      <c r="B114">
        <v>-61729</v>
      </c>
      <c r="C114">
        <v>-58020</v>
      </c>
      <c r="D114" s="4" t="s">
        <v>514</v>
      </c>
      <c r="E114">
        <v>234775</v>
      </c>
      <c r="F114">
        <v>-115026</v>
      </c>
      <c r="G114">
        <v>10527</v>
      </c>
      <c r="H114">
        <v>25999</v>
      </c>
    </row>
    <row r="115" spans="1:8" x14ac:dyDescent="0.35">
      <c r="A115" s="51">
        <v>43425</v>
      </c>
      <c r="B115">
        <v>-35272</v>
      </c>
      <c r="C115">
        <v>-58570</v>
      </c>
      <c r="D115" s="4" t="s">
        <v>515</v>
      </c>
      <c r="E115">
        <v>206998</v>
      </c>
      <c r="F115">
        <v>-113156</v>
      </c>
      <c r="G115">
        <v>10600</v>
      </c>
      <c r="H115">
        <v>26262</v>
      </c>
    </row>
    <row r="116" spans="1:8" x14ac:dyDescent="0.35">
      <c r="A116" s="51">
        <v>43424</v>
      </c>
      <c r="B116">
        <v>-14819</v>
      </c>
      <c r="C116">
        <v>-42217</v>
      </c>
      <c r="D116" s="4" t="s">
        <v>516</v>
      </c>
      <c r="E116">
        <v>167694</v>
      </c>
      <c r="F116">
        <v>-110658</v>
      </c>
      <c r="G116">
        <v>10656</v>
      </c>
      <c r="H116">
        <v>26113</v>
      </c>
    </row>
    <row r="117" spans="1:8" x14ac:dyDescent="0.35">
      <c r="A117" s="51">
        <v>43423</v>
      </c>
      <c r="B117">
        <v>-7212</v>
      </c>
      <c r="C117">
        <v>50752</v>
      </c>
      <c r="D117" s="4" t="s">
        <v>517</v>
      </c>
      <c r="E117">
        <v>52382</v>
      </c>
      <c r="F117">
        <v>-95922</v>
      </c>
      <c r="G117">
        <v>10763</v>
      </c>
      <c r="H117">
        <v>26301</v>
      </c>
    </row>
    <row r="118" spans="1:8" x14ac:dyDescent="0.35">
      <c r="A118" s="51">
        <v>43420</v>
      </c>
      <c r="B118">
        <v>-22070</v>
      </c>
      <c r="C118">
        <v>7190</v>
      </c>
      <c r="D118" s="4" t="s">
        <v>518</v>
      </c>
      <c r="E118">
        <v>110802</v>
      </c>
      <c r="F118">
        <v>-95922</v>
      </c>
      <c r="G118">
        <v>10682</v>
      </c>
      <c r="H118">
        <v>26246</v>
      </c>
    </row>
    <row r="119" spans="1:8" x14ac:dyDescent="0.35">
      <c r="A119" s="51">
        <v>43419</v>
      </c>
      <c r="B119">
        <v>-11160</v>
      </c>
      <c r="C119">
        <v>-19617</v>
      </c>
      <c r="D119" s="4" t="s">
        <v>519</v>
      </c>
      <c r="E119">
        <v>126682</v>
      </c>
      <c r="F119">
        <v>-95905</v>
      </c>
      <c r="G119">
        <v>10617</v>
      </c>
      <c r="H119">
        <v>26155</v>
      </c>
    </row>
    <row r="120" spans="1:8" x14ac:dyDescent="0.35">
      <c r="A120" s="51">
        <v>43418</v>
      </c>
      <c r="B120">
        <v>-24991</v>
      </c>
      <c r="C120">
        <v>-22972</v>
      </c>
      <c r="D120" s="4" t="s">
        <v>520</v>
      </c>
      <c r="E120">
        <v>143834</v>
      </c>
      <c r="F120">
        <v>-95871</v>
      </c>
      <c r="G120">
        <v>10576</v>
      </c>
      <c r="H120">
        <v>25930</v>
      </c>
    </row>
    <row r="121" spans="1:8" x14ac:dyDescent="0.35">
      <c r="A121" s="51">
        <v>43417</v>
      </c>
      <c r="B121">
        <v>-19795</v>
      </c>
      <c r="C121">
        <v>-6661</v>
      </c>
      <c r="D121" s="4" t="s">
        <v>521</v>
      </c>
      <c r="E121">
        <v>122293</v>
      </c>
      <c r="F121">
        <v>-95837</v>
      </c>
      <c r="G121">
        <v>10583</v>
      </c>
      <c r="H121">
        <v>25769</v>
      </c>
    </row>
    <row r="122" spans="1:8" x14ac:dyDescent="0.35">
      <c r="A122" s="51">
        <v>43416</v>
      </c>
      <c r="B122">
        <v>-19247</v>
      </c>
      <c r="C122">
        <v>-78936</v>
      </c>
      <c r="D122" s="4" t="s">
        <v>522</v>
      </c>
      <c r="E122">
        <v>195868</v>
      </c>
      <c r="F122">
        <v>-97685</v>
      </c>
      <c r="G122">
        <v>10482</v>
      </c>
      <c r="H122">
        <v>25540</v>
      </c>
    </row>
    <row r="123" spans="1:8" x14ac:dyDescent="0.35">
      <c r="A123" s="51">
        <v>43413</v>
      </c>
      <c r="B123">
        <v>2303</v>
      </c>
      <c r="C123">
        <v>-1022</v>
      </c>
      <c r="D123" s="4" t="s">
        <v>523</v>
      </c>
      <c r="E123">
        <v>96404</v>
      </c>
      <c r="F123">
        <v>-97685</v>
      </c>
      <c r="G123">
        <v>10585</v>
      </c>
      <c r="H123">
        <v>25771</v>
      </c>
    </row>
    <row r="124" spans="1:8" x14ac:dyDescent="0.35">
      <c r="A124" s="51">
        <v>43411</v>
      </c>
      <c r="B124">
        <v>-31900</v>
      </c>
      <c r="C124">
        <v>989</v>
      </c>
      <c r="D124" s="4" t="s">
        <v>524</v>
      </c>
      <c r="E124">
        <v>119209</v>
      </c>
      <c r="F124">
        <v>-88298</v>
      </c>
      <c r="G124">
        <v>10598</v>
      </c>
      <c r="H124">
        <v>25738</v>
      </c>
    </row>
    <row r="125" spans="1:8" x14ac:dyDescent="0.35">
      <c r="A125" s="51">
        <v>43410</v>
      </c>
      <c r="B125">
        <v>-32748</v>
      </c>
      <c r="C125">
        <v>-7668</v>
      </c>
      <c r="D125" s="4" t="s">
        <v>525</v>
      </c>
      <c r="E125">
        <v>128714</v>
      </c>
      <c r="F125">
        <v>-88298</v>
      </c>
      <c r="G125">
        <v>10530</v>
      </c>
      <c r="H125">
        <v>25598</v>
      </c>
    </row>
    <row r="126" spans="1:8" x14ac:dyDescent="0.35">
      <c r="A126" s="51">
        <v>43409</v>
      </c>
      <c r="B126">
        <v>-34508</v>
      </c>
      <c r="C126">
        <v>11831</v>
      </c>
      <c r="D126" s="4" t="s">
        <v>526</v>
      </c>
      <c r="E126">
        <v>110975</v>
      </c>
      <c r="F126">
        <v>-88298</v>
      </c>
      <c r="G126">
        <v>10524</v>
      </c>
      <c r="H126">
        <v>25732</v>
      </c>
    </row>
    <row r="127" spans="1:8" x14ac:dyDescent="0.35">
      <c r="A127" s="51">
        <v>43406</v>
      </c>
      <c r="B127">
        <v>-16648</v>
      </c>
      <c r="C127">
        <v>20067</v>
      </c>
      <c r="D127" s="4" t="s">
        <v>527</v>
      </c>
      <c r="E127">
        <v>84879</v>
      </c>
      <c r="F127">
        <v>-88298</v>
      </c>
      <c r="G127">
        <v>10553</v>
      </c>
      <c r="H127">
        <v>25702</v>
      </c>
    </row>
    <row r="128" spans="1:8" x14ac:dyDescent="0.35">
      <c r="A128" s="51">
        <v>43405</v>
      </c>
      <c r="B128">
        <v>-54470</v>
      </c>
      <c r="C128">
        <v>-17137</v>
      </c>
      <c r="D128" s="4" t="s">
        <v>528</v>
      </c>
      <c r="E128">
        <v>168320</v>
      </c>
      <c r="F128">
        <v>-96713</v>
      </c>
      <c r="G128">
        <v>10380</v>
      </c>
      <c r="H128">
        <v>25324</v>
      </c>
    </row>
    <row r="129" spans="1:8" x14ac:dyDescent="0.35">
      <c r="A129" s="51">
        <v>43404</v>
      </c>
      <c r="B129">
        <v>-65669</v>
      </c>
      <c r="C129">
        <v>13324</v>
      </c>
      <c r="D129" s="4" t="s">
        <v>529</v>
      </c>
      <c r="E129">
        <v>146474</v>
      </c>
      <c r="F129">
        <v>-94129</v>
      </c>
      <c r="G129">
        <v>10387</v>
      </c>
      <c r="H129">
        <v>25153</v>
      </c>
    </row>
    <row r="130" spans="1:8" x14ac:dyDescent="0.35">
      <c r="A130" s="51">
        <v>43403</v>
      </c>
      <c r="B130">
        <v>-110629</v>
      </c>
      <c r="C130">
        <v>-84984</v>
      </c>
      <c r="D130" s="4" t="s">
        <v>530</v>
      </c>
      <c r="E130">
        <v>291022</v>
      </c>
      <c r="F130">
        <v>-95409</v>
      </c>
      <c r="G130">
        <v>10198</v>
      </c>
      <c r="H130">
        <v>24808</v>
      </c>
    </row>
    <row r="131" spans="1:8" x14ac:dyDescent="0.35">
      <c r="A131" s="51">
        <v>43402</v>
      </c>
      <c r="B131">
        <v>-92536</v>
      </c>
      <c r="C131">
        <v>-18498</v>
      </c>
      <c r="D131" s="4" t="s">
        <v>531</v>
      </c>
      <c r="E131">
        <v>206443</v>
      </c>
      <c r="F131">
        <v>-95409</v>
      </c>
      <c r="G131">
        <v>10251</v>
      </c>
      <c r="H131">
        <v>24960</v>
      </c>
    </row>
    <row r="132" spans="1:8" x14ac:dyDescent="0.35">
      <c r="A132" s="51">
        <v>43399</v>
      </c>
      <c r="B132">
        <v>-120233</v>
      </c>
      <c r="C132">
        <v>-117999</v>
      </c>
      <c r="D132" s="4" t="s">
        <v>532</v>
      </c>
      <c r="E132">
        <v>331521</v>
      </c>
      <c r="F132">
        <v>-93289</v>
      </c>
      <c r="G132">
        <v>10030</v>
      </c>
      <c r="H132">
        <v>24421</v>
      </c>
    </row>
    <row r="133" spans="1:8" x14ac:dyDescent="0.35">
      <c r="A133" s="51">
        <v>43398</v>
      </c>
      <c r="B133">
        <v>-35005</v>
      </c>
      <c r="C133">
        <v>-67822</v>
      </c>
      <c r="D133" s="4" t="s">
        <v>533</v>
      </c>
      <c r="E133">
        <v>199236</v>
      </c>
      <c r="F133">
        <v>-96409</v>
      </c>
      <c r="G133">
        <v>10125</v>
      </c>
      <c r="H133">
        <v>24817</v>
      </c>
    </row>
    <row r="134" spans="1:8" x14ac:dyDescent="0.35">
      <c r="A134" s="51">
        <v>43397</v>
      </c>
      <c r="B134">
        <v>-180274</v>
      </c>
      <c r="C134">
        <v>-119059</v>
      </c>
      <c r="D134" s="4" t="s">
        <v>534</v>
      </c>
      <c r="E134">
        <v>396486</v>
      </c>
      <c r="F134">
        <v>-97153</v>
      </c>
      <c r="G134">
        <v>10225</v>
      </c>
      <c r="H134">
        <v>25064</v>
      </c>
    </row>
    <row r="135" spans="1:8" x14ac:dyDescent="0.35">
      <c r="A135" s="51">
        <v>43396</v>
      </c>
      <c r="B135">
        <v>-178805</v>
      </c>
      <c r="C135">
        <v>-150126</v>
      </c>
      <c r="D135" s="4" t="s">
        <v>535</v>
      </c>
      <c r="E135">
        <v>429614</v>
      </c>
      <c r="F135">
        <v>-100683</v>
      </c>
      <c r="G135">
        <v>10147</v>
      </c>
      <c r="H135">
        <v>24972</v>
      </c>
    </row>
    <row r="136" spans="1:8" x14ac:dyDescent="0.35">
      <c r="A136" s="51">
        <v>43395</v>
      </c>
      <c r="B136">
        <v>-158481</v>
      </c>
      <c r="C136">
        <v>-138266</v>
      </c>
      <c r="D136" s="4" t="s">
        <v>536</v>
      </c>
      <c r="E136">
        <v>407001</v>
      </c>
      <c r="F136">
        <v>-110254</v>
      </c>
      <c r="G136">
        <v>10245</v>
      </c>
      <c r="H136">
        <v>25079</v>
      </c>
    </row>
    <row r="137" spans="1:8" x14ac:dyDescent="0.35">
      <c r="A137" s="51">
        <v>43392</v>
      </c>
      <c r="B137">
        <v>-155929</v>
      </c>
      <c r="C137">
        <v>-123416</v>
      </c>
      <c r="D137" s="4" t="s">
        <v>537</v>
      </c>
      <c r="E137">
        <v>381225</v>
      </c>
      <c r="F137">
        <v>-101880</v>
      </c>
      <c r="G137">
        <v>10304</v>
      </c>
      <c r="H137">
        <v>25086</v>
      </c>
    </row>
    <row r="138" spans="1:8" x14ac:dyDescent="0.35">
      <c r="A138" s="51">
        <v>43390</v>
      </c>
      <c r="B138">
        <v>-140378</v>
      </c>
      <c r="C138">
        <v>-74779</v>
      </c>
      <c r="D138" s="4" t="s">
        <v>538</v>
      </c>
      <c r="E138">
        <v>297449</v>
      </c>
      <c r="F138">
        <v>-82292</v>
      </c>
      <c r="G138">
        <v>10453</v>
      </c>
      <c r="H138">
        <v>25189</v>
      </c>
    </row>
    <row r="139" spans="1:8" x14ac:dyDescent="0.35">
      <c r="A139" s="51">
        <v>43389</v>
      </c>
      <c r="B139">
        <v>-124946</v>
      </c>
      <c r="C139">
        <v>-17388</v>
      </c>
      <c r="D139" s="4" t="s">
        <v>539</v>
      </c>
      <c r="E139">
        <v>221134</v>
      </c>
      <c r="F139">
        <v>-78800</v>
      </c>
      <c r="G139">
        <v>10585</v>
      </c>
      <c r="H139">
        <v>25590</v>
      </c>
    </row>
    <row r="140" spans="1:8" x14ac:dyDescent="0.35">
      <c r="A140" s="51">
        <v>43388</v>
      </c>
      <c r="B140">
        <v>-117911</v>
      </c>
      <c r="C140">
        <v>-37099</v>
      </c>
      <c r="D140" s="4" t="s">
        <v>540</v>
      </c>
      <c r="E140">
        <v>234207</v>
      </c>
      <c r="F140">
        <v>-79197</v>
      </c>
      <c r="G140">
        <v>10512</v>
      </c>
      <c r="H140">
        <v>25388</v>
      </c>
    </row>
    <row r="141" spans="1:8" x14ac:dyDescent="0.35">
      <c r="A141" s="51">
        <v>43385</v>
      </c>
      <c r="B141">
        <v>-128178</v>
      </c>
      <c r="C141">
        <v>-33689</v>
      </c>
      <c r="D141" s="4" t="s">
        <v>541</v>
      </c>
      <c r="E141">
        <v>242106</v>
      </c>
      <c r="F141">
        <v>-80239</v>
      </c>
      <c r="G141">
        <v>10473</v>
      </c>
      <c r="H141">
        <v>25396</v>
      </c>
    </row>
    <row r="142" spans="1:8" x14ac:dyDescent="0.35">
      <c r="A142" s="51">
        <v>43384</v>
      </c>
      <c r="B142">
        <v>-166335</v>
      </c>
      <c r="C142">
        <v>-52406</v>
      </c>
      <c r="D142" s="4" t="s">
        <v>542</v>
      </c>
      <c r="E142">
        <v>298592</v>
      </c>
      <c r="F142">
        <v>-79851</v>
      </c>
      <c r="G142">
        <v>10235</v>
      </c>
      <c r="H142">
        <v>24784</v>
      </c>
    </row>
    <row r="143" spans="1:8" x14ac:dyDescent="0.35">
      <c r="A143" s="51">
        <v>43383</v>
      </c>
      <c r="B143">
        <v>-149678</v>
      </c>
      <c r="C143">
        <v>-33519</v>
      </c>
      <c r="D143" s="4" t="s">
        <v>543</v>
      </c>
      <c r="E143">
        <v>269581</v>
      </c>
      <c r="F143">
        <v>-86384</v>
      </c>
      <c r="G143">
        <v>10460</v>
      </c>
      <c r="H143">
        <v>25322</v>
      </c>
    </row>
    <row r="144" spans="1:8" x14ac:dyDescent="0.35">
      <c r="A144" s="51">
        <v>43382</v>
      </c>
      <c r="B144">
        <v>-156997</v>
      </c>
      <c r="C144">
        <v>-113040</v>
      </c>
      <c r="D144" s="4" t="s">
        <v>544</v>
      </c>
      <c r="E144">
        <v>382189</v>
      </c>
      <c r="F144">
        <v>-112152</v>
      </c>
      <c r="G144">
        <v>10301</v>
      </c>
      <c r="H144">
        <v>24528</v>
      </c>
    </row>
    <row r="145" spans="1:8" x14ac:dyDescent="0.35">
      <c r="A145" s="51">
        <v>43381</v>
      </c>
      <c r="B145">
        <v>-175337</v>
      </c>
      <c r="C145">
        <v>-90526</v>
      </c>
      <c r="D145" s="4" t="s">
        <v>545</v>
      </c>
      <c r="E145">
        <v>377079</v>
      </c>
      <c r="F145">
        <v>-111216</v>
      </c>
      <c r="G145">
        <v>10348</v>
      </c>
      <c r="H145">
        <v>24618</v>
      </c>
    </row>
    <row r="146" spans="1:8" x14ac:dyDescent="0.35">
      <c r="A146" s="51">
        <v>43378</v>
      </c>
      <c r="B146">
        <v>-189498</v>
      </c>
      <c r="C146">
        <v>-143044</v>
      </c>
      <c r="D146" s="4" t="s">
        <v>546</v>
      </c>
      <c r="E146">
        <v>435086</v>
      </c>
      <c r="F146">
        <v>-102544</v>
      </c>
      <c r="G146">
        <v>10316</v>
      </c>
      <c r="H146">
        <v>24443</v>
      </c>
    </row>
    <row r="147" spans="1:8" x14ac:dyDescent="0.35">
      <c r="A147" s="51">
        <v>43377</v>
      </c>
      <c r="B147">
        <v>-146815</v>
      </c>
      <c r="C147">
        <v>-111685</v>
      </c>
      <c r="D147" s="4" t="s">
        <v>547</v>
      </c>
      <c r="E147">
        <v>368971</v>
      </c>
      <c r="F147">
        <v>-110471</v>
      </c>
      <c r="G147">
        <v>10599</v>
      </c>
      <c r="H147">
        <v>24819</v>
      </c>
    </row>
    <row r="148" spans="1:8" x14ac:dyDescent="0.35">
      <c r="A148" s="51">
        <v>43376</v>
      </c>
      <c r="B148">
        <v>-70749</v>
      </c>
      <c r="C148">
        <v>-131233</v>
      </c>
      <c r="D148" s="4" t="s">
        <v>548</v>
      </c>
      <c r="E148">
        <v>310169</v>
      </c>
      <c r="F148">
        <v>-108187</v>
      </c>
      <c r="G148">
        <v>10858</v>
      </c>
      <c r="H148">
        <v>25070</v>
      </c>
    </row>
    <row r="149" spans="1:8" x14ac:dyDescent="0.35">
      <c r="A149" s="51">
        <v>43374</v>
      </c>
      <c r="B149">
        <v>-66487</v>
      </c>
      <c r="C149">
        <v>-32145</v>
      </c>
      <c r="D149" s="4" t="s">
        <v>549</v>
      </c>
      <c r="E149">
        <v>186819</v>
      </c>
      <c r="F149">
        <v>-88187</v>
      </c>
      <c r="G149">
        <v>11008</v>
      </c>
      <c r="H149">
        <v>25367</v>
      </c>
    </row>
    <row r="150" spans="1:8" x14ac:dyDescent="0.35">
      <c r="A150" s="51">
        <v>43371</v>
      </c>
      <c r="B150">
        <v>-88690</v>
      </c>
      <c r="C150">
        <v>-66293</v>
      </c>
      <c r="D150" s="4" t="s">
        <v>550</v>
      </c>
      <c r="E150">
        <v>213170</v>
      </c>
      <c r="F150">
        <v>-58187</v>
      </c>
      <c r="G150">
        <v>10930</v>
      </c>
      <c r="H150">
        <v>25120</v>
      </c>
    </row>
    <row r="151" spans="1:8" x14ac:dyDescent="0.35">
      <c r="A151" s="51">
        <v>43370</v>
      </c>
      <c r="B151">
        <v>-48243</v>
      </c>
      <c r="C151">
        <v>-48515</v>
      </c>
      <c r="D151" s="4" t="s">
        <v>551</v>
      </c>
      <c r="E151">
        <v>154895</v>
      </c>
      <c r="F151">
        <v>-58137</v>
      </c>
      <c r="G151">
        <v>10978</v>
      </c>
      <c r="H151">
        <v>25042</v>
      </c>
    </row>
    <row r="152" spans="1:8" x14ac:dyDescent="0.35">
      <c r="A152" s="51">
        <v>43369</v>
      </c>
      <c r="B152">
        <v>-229636</v>
      </c>
      <c r="C152">
        <v>-85126</v>
      </c>
      <c r="D152" s="4" t="s">
        <v>552</v>
      </c>
      <c r="E152">
        <v>375925</v>
      </c>
      <c r="F152">
        <v>-61163</v>
      </c>
      <c r="G152">
        <v>11054</v>
      </c>
      <c r="H152">
        <v>25376</v>
      </c>
    </row>
    <row r="153" spans="1:8" x14ac:dyDescent="0.35">
      <c r="A153" s="51">
        <v>43368</v>
      </c>
      <c r="B153">
        <v>-210184</v>
      </c>
      <c r="C153">
        <v>-73360</v>
      </c>
      <c r="D153" s="4" t="s">
        <v>553</v>
      </c>
      <c r="E153">
        <v>344942</v>
      </c>
      <c r="F153">
        <v>-61398</v>
      </c>
      <c r="G153">
        <v>11067</v>
      </c>
      <c r="H153">
        <v>25330</v>
      </c>
    </row>
    <row r="154" spans="1:8" x14ac:dyDescent="0.35">
      <c r="A154" s="51">
        <v>43367</v>
      </c>
      <c r="B154">
        <v>-188152</v>
      </c>
      <c r="C154">
        <v>-148806</v>
      </c>
      <c r="D154" s="4" t="s">
        <v>554</v>
      </c>
      <c r="E154">
        <v>400222</v>
      </c>
      <c r="F154">
        <v>-63264</v>
      </c>
      <c r="G154">
        <v>10967</v>
      </c>
      <c r="H154">
        <v>24970</v>
      </c>
    </row>
    <row r="155" spans="1:8" x14ac:dyDescent="0.35">
      <c r="A155" s="51">
        <v>43364</v>
      </c>
      <c r="B155">
        <v>-148010</v>
      </c>
      <c r="C155">
        <v>-105657</v>
      </c>
      <c r="D155" s="4" t="s">
        <v>555</v>
      </c>
      <c r="E155">
        <v>323322</v>
      </c>
      <c r="F155">
        <v>-69655</v>
      </c>
      <c r="G155">
        <v>11143</v>
      </c>
      <c r="H155">
        <v>25597</v>
      </c>
    </row>
    <row r="156" spans="1:8" x14ac:dyDescent="0.35">
      <c r="A156" s="51">
        <v>43362</v>
      </c>
      <c r="B156">
        <v>-125259</v>
      </c>
      <c r="C156">
        <v>-102251</v>
      </c>
      <c r="D156" s="4" t="s">
        <v>556</v>
      </c>
      <c r="E156">
        <v>299619</v>
      </c>
      <c r="F156">
        <v>-72109</v>
      </c>
      <c r="G156">
        <v>11276</v>
      </c>
      <c r="H156">
        <v>26389</v>
      </c>
    </row>
    <row r="157" spans="1:8" x14ac:dyDescent="0.35">
      <c r="A157" s="51">
        <v>43361</v>
      </c>
      <c r="B157">
        <v>-135138</v>
      </c>
      <c r="C157">
        <v>-127581</v>
      </c>
      <c r="D157" s="4" t="s">
        <v>557</v>
      </c>
      <c r="E157">
        <v>334338</v>
      </c>
      <c r="F157">
        <v>-71619</v>
      </c>
      <c r="G157">
        <v>11279</v>
      </c>
      <c r="H157">
        <v>26441</v>
      </c>
    </row>
    <row r="158" spans="1:8" x14ac:dyDescent="0.35">
      <c r="A158" s="51">
        <v>43360</v>
      </c>
      <c r="B158">
        <v>-103671</v>
      </c>
      <c r="C158">
        <v>-62532</v>
      </c>
      <c r="D158" s="4" t="s">
        <v>558</v>
      </c>
      <c r="E158">
        <v>238172</v>
      </c>
      <c r="F158">
        <v>-71969</v>
      </c>
      <c r="G158">
        <v>11378</v>
      </c>
      <c r="H158">
        <v>26820</v>
      </c>
    </row>
    <row r="159" spans="1:8" x14ac:dyDescent="0.35">
      <c r="A159" s="51">
        <v>43357</v>
      </c>
      <c r="B159">
        <v>-99510</v>
      </c>
      <c r="C159">
        <v>-1500</v>
      </c>
      <c r="D159" s="4" t="s">
        <v>559</v>
      </c>
      <c r="E159">
        <v>172929</v>
      </c>
      <c r="F159">
        <v>-71919</v>
      </c>
      <c r="G159">
        <v>11515</v>
      </c>
      <c r="H159">
        <v>27164</v>
      </c>
    </row>
    <row r="160" spans="1:8" x14ac:dyDescent="0.35">
      <c r="A160" s="51">
        <v>43355</v>
      </c>
      <c r="B160">
        <v>-123757</v>
      </c>
      <c r="C160">
        <v>-52174</v>
      </c>
      <c r="D160" s="4" t="s">
        <v>560</v>
      </c>
      <c r="E160">
        <v>247800</v>
      </c>
      <c r="F160">
        <v>-71869</v>
      </c>
      <c r="G160">
        <v>11370</v>
      </c>
      <c r="H160">
        <v>26819</v>
      </c>
    </row>
    <row r="161" spans="1:8" x14ac:dyDescent="0.35">
      <c r="A161" s="51">
        <v>43354</v>
      </c>
      <c r="B161">
        <v>-132914</v>
      </c>
      <c r="C161">
        <v>-157660</v>
      </c>
      <c r="D161" s="4" t="s">
        <v>561</v>
      </c>
      <c r="E161">
        <v>363018</v>
      </c>
      <c r="F161">
        <v>-72444</v>
      </c>
      <c r="G161">
        <v>11288</v>
      </c>
      <c r="H161">
        <v>26808</v>
      </c>
    </row>
    <row r="162" spans="1:8" x14ac:dyDescent="0.35">
      <c r="A162" s="51">
        <v>43353</v>
      </c>
      <c r="B162">
        <v>-124237</v>
      </c>
      <c r="C162">
        <v>-67010</v>
      </c>
      <c r="D162" s="4" t="s">
        <v>562</v>
      </c>
      <c r="E162">
        <v>264835</v>
      </c>
      <c r="F162">
        <v>-73588</v>
      </c>
      <c r="G162">
        <v>11438</v>
      </c>
      <c r="H162">
        <v>27202</v>
      </c>
    </row>
    <row r="163" spans="1:8" x14ac:dyDescent="0.35">
      <c r="A163" s="51">
        <v>43350</v>
      </c>
      <c r="B163">
        <v>-64827</v>
      </c>
      <c r="C163">
        <v>12265</v>
      </c>
      <c r="D163" s="4" t="s">
        <v>563</v>
      </c>
      <c r="E163">
        <v>126872</v>
      </c>
      <c r="F163">
        <v>-74310</v>
      </c>
      <c r="G163">
        <v>11589</v>
      </c>
      <c r="H163">
        <v>27481</v>
      </c>
    </row>
    <row r="164" spans="1:8" x14ac:dyDescent="0.35">
      <c r="A164" s="51">
        <v>43349</v>
      </c>
      <c r="B164">
        <v>-77861</v>
      </c>
      <c r="C164">
        <v>-19525</v>
      </c>
      <c r="D164" s="4" t="s">
        <v>564</v>
      </c>
      <c r="E164">
        <v>172391</v>
      </c>
      <c r="F164">
        <v>-75005</v>
      </c>
      <c r="G164">
        <v>11537</v>
      </c>
      <c r="H164">
        <v>27469</v>
      </c>
    </row>
    <row r="165" spans="1:8" x14ac:dyDescent="0.35">
      <c r="A165" s="51">
        <v>43348</v>
      </c>
      <c r="B165">
        <v>-75792</v>
      </c>
      <c r="C165">
        <v>-106225</v>
      </c>
      <c r="D165" s="4" t="s">
        <v>565</v>
      </c>
      <c r="E165">
        <v>255878</v>
      </c>
      <c r="F165">
        <v>-73861</v>
      </c>
      <c r="G165">
        <v>11477</v>
      </c>
      <c r="H165">
        <v>27376</v>
      </c>
    </row>
    <row r="166" spans="1:8" x14ac:dyDescent="0.35">
      <c r="A166" s="51">
        <v>43347</v>
      </c>
      <c r="B166">
        <v>-41952</v>
      </c>
      <c r="C166">
        <v>-104717</v>
      </c>
      <c r="D166" s="4" t="s">
        <v>566</v>
      </c>
      <c r="E166">
        <v>222579</v>
      </c>
      <c r="F166">
        <v>-75910</v>
      </c>
      <c r="G166">
        <v>11520</v>
      </c>
      <c r="H166">
        <v>27431</v>
      </c>
    </row>
    <row r="167" spans="1:8" x14ac:dyDescent="0.35">
      <c r="A167" s="51">
        <v>43346</v>
      </c>
      <c r="B167">
        <v>580</v>
      </c>
      <c r="C167">
        <v>-49831</v>
      </c>
      <c r="D167" s="4" t="s">
        <v>567</v>
      </c>
      <c r="E167">
        <v>123841</v>
      </c>
      <c r="F167">
        <v>-74590</v>
      </c>
      <c r="G167">
        <v>11582</v>
      </c>
      <c r="H167">
        <v>27820</v>
      </c>
    </row>
    <row r="168" spans="1:8" x14ac:dyDescent="0.35">
      <c r="A168" s="51">
        <v>43343</v>
      </c>
      <c r="B168">
        <v>9850</v>
      </c>
      <c r="C168">
        <v>10358</v>
      </c>
      <c r="D168" s="4" t="s">
        <v>568</v>
      </c>
      <c r="E168">
        <v>51214</v>
      </c>
      <c r="F168">
        <v>-71422</v>
      </c>
      <c r="G168">
        <v>11680</v>
      </c>
      <c r="H168">
        <v>28062</v>
      </c>
    </row>
    <row r="169" spans="1:8" x14ac:dyDescent="0.35">
      <c r="A169" s="51">
        <v>43342</v>
      </c>
      <c r="B169">
        <v>17045</v>
      </c>
      <c r="C169">
        <v>22395</v>
      </c>
      <c r="D169" s="4" t="s">
        <v>569</v>
      </c>
      <c r="E169">
        <v>30564</v>
      </c>
      <c r="F169">
        <v>-70004</v>
      </c>
      <c r="G169">
        <v>11677</v>
      </c>
      <c r="H169">
        <v>28103</v>
      </c>
    </row>
    <row r="170" spans="1:8" x14ac:dyDescent="0.35">
      <c r="A170" s="51">
        <v>43341</v>
      </c>
      <c r="B170">
        <v>54280</v>
      </c>
      <c r="C170">
        <v>71343</v>
      </c>
      <c r="D170" s="4" t="s">
        <v>570</v>
      </c>
      <c r="E170">
        <v>-52637</v>
      </c>
      <c r="F170">
        <v>-72986</v>
      </c>
      <c r="G170">
        <v>11692</v>
      </c>
      <c r="H170">
        <v>28224</v>
      </c>
    </row>
    <row r="171" spans="1:8" x14ac:dyDescent="0.35">
      <c r="A171" s="51">
        <v>43340</v>
      </c>
      <c r="B171">
        <v>56821</v>
      </c>
      <c r="C171">
        <v>143995</v>
      </c>
      <c r="D171" s="4" t="s">
        <v>571</v>
      </c>
      <c r="E171">
        <v>-131363</v>
      </c>
      <c r="F171">
        <v>-69453</v>
      </c>
      <c r="G171">
        <v>11739</v>
      </c>
      <c r="H171">
        <v>28270</v>
      </c>
    </row>
    <row r="172" spans="1:8" x14ac:dyDescent="0.35">
      <c r="A172" s="51">
        <v>43339</v>
      </c>
      <c r="B172">
        <v>51831</v>
      </c>
      <c r="C172">
        <v>145604</v>
      </c>
      <c r="D172" s="4" t="s">
        <v>572</v>
      </c>
      <c r="E172">
        <v>-127982</v>
      </c>
      <c r="F172">
        <v>-69453</v>
      </c>
      <c r="G172">
        <v>11692</v>
      </c>
      <c r="H172">
        <v>28264</v>
      </c>
    </row>
    <row r="173" spans="1:8" x14ac:dyDescent="0.35">
      <c r="A173" s="51">
        <v>43336</v>
      </c>
      <c r="B173">
        <v>34967</v>
      </c>
      <c r="C173">
        <v>76084</v>
      </c>
      <c r="D173" s="4" t="s">
        <v>573</v>
      </c>
      <c r="E173">
        <v>-41549</v>
      </c>
      <c r="F173">
        <v>-69502</v>
      </c>
      <c r="G173">
        <v>11557</v>
      </c>
      <c r="H173">
        <v>27835</v>
      </c>
    </row>
    <row r="174" spans="1:8" x14ac:dyDescent="0.35">
      <c r="A174" s="51">
        <v>43335</v>
      </c>
      <c r="B174">
        <v>41190</v>
      </c>
      <c r="C174">
        <v>114617</v>
      </c>
      <c r="D174" s="4" t="s">
        <v>574</v>
      </c>
      <c r="E174">
        <v>-87554</v>
      </c>
      <c r="F174">
        <v>-68253</v>
      </c>
      <c r="G174">
        <v>11583</v>
      </c>
      <c r="H174">
        <v>28028</v>
      </c>
    </row>
    <row r="175" spans="1:8" x14ac:dyDescent="0.35">
      <c r="A175" s="51">
        <v>43333</v>
      </c>
      <c r="B175">
        <v>71078</v>
      </c>
      <c r="C175">
        <v>128144</v>
      </c>
      <c r="D175" s="4" t="s">
        <v>575</v>
      </c>
      <c r="E175">
        <v>-132969</v>
      </c>
      <c r="F175">
        <v>-66253</v>
      </c>
      <c r="G175">
        <v>11571</v>
      </c>
      <c r="H175">
        <v>28258</v>
      </c>
    </row>
    <row r="176" spans="1:8" x14ac:dyDescent="0.35">
      <c r="A176" s="51">
        <v>43332</v>
      </c>
      <c r="B176">
        <v>73600</v>
      </c>
      <c r="C176">
        <v>136752</v>
      </c>
      <c r="D176" s="4" t="s">
        <v>576</v>
      </c>
      <c r="E176">
        <v>-144099</v>
      </c>
      <c r="F176">
        <v>-66253</v>
      </c>
      <c r="G176">
        <v>11552</v>
      </c>
      <c r="H176">
        <v>28274</v>
      </c>
    </row>
    <row r="177" spans="1:8" x14ac:dyDescent="0.35">
      <c r="A177" s="51">
        <v>43329</v>
      </c>
      <c r="B177">
        <v>66057</v>
      </c>
      <c r="C177">
        <v>106352</v>
      </c>
      <c r="D177" s="4" t="s">
        <v>577</v>
      </c>
      <c r="E177">
        <v>-106166</v>
      </c>
      <c r="F177">
        <v>-66243</v>
      </c>
      <c r="G177">
        <v>11471</v>
      </c>
      <c r="H177">
        <v>28129</v>
      </c>
    </row>
    <row r="178" spans="1:8" x14ac:dyDescent="0.35">
      <c r="A178" s="51">
        <v>43328</v>
      </c>
      <c r="B178">
        <v>54524</v>
      </c>
      <c r="C178">
        <v>50430</v>
      </c>
      <c r="D178" s="4" t="s">
        <v>578</v>
      </c>
      <c r="E178">
        <v>-37911</v>
      </c>
      <c r="F178">
        <v>-67043</v>
      </c>
      <c r="G178">
        <v>11385</v>
      </c>
      <c r="H178">
        <v>27827</v>
      </c>
    </row>
    <row r="179" spans="1:8" x14ac:dyDescent="0.35">
      <c r="A179" s="51">
        <v>43326</v>
      </c>
      <c r="B179">
        <v>74998</v>
      </c>
      <c r="C179">
        <v>74139</v>
      </c>
      <c r="D179" s="4" t="s">
        <v>579</v>
      </c>
      <c r="E179">
        <v>-82894</v>
      </c>
      <c r="F179">
        <v>-66243</v>
      </c>
      <c r="G179">
        <v>11435</v>
      </c>
      <c r="H179">
        <v>28022</v>
      </c>
    </row>
    <row r="180" spans="1:8" x14ac:dyDescent="0.35">
      <c r="A180" s="51">
        <v>43325</v>
      </c>
      <c r="B180">
        <v>79333</v>
      </c>
      <c r="C180">
        <v>28818</v>
      </c>
      <c r="D180" s="4" t="s">
        <v>580</v>
      </c>
      <c r="E180">
        <v>-48087</v>
      </c>
      <c r="F180">
        <v>-60064</v>
      </c>
      <c r="G180">
        <v>11356</v>
      </c>
      <c r="H180">
        <v>27794</v>
      </c>
    </row>
    <row r="181" spans="1:8" x14ac:dyDescent="0.35">
      <c r="A181" s="51">
        <v>43322</v>
      </c>
      <c r="B181">
        <v>83303</v>
      </c>
      <c r="C181">
        <v>80927</v>
      </c>
      <c r="D181" s="4" t="s">
        <v>581</v>
      </c>
      <c r="E181">
        <v>-104291</v>
      </c>
      <c r="F181">
        <v>-59939</v>
      </c>
      <c r="G181">
        <v>11430</v>
      </c>
      <c r="H181">
        <v>28124</v>
      </c>
    </row>
    <row r="182" spans="1:8" x14ac:dyDescent="0.35">
      <c r="A182" s="51">
        <v>43321</v>
      </c>
      <c r="B182">
        <v>88739</v>
      </c>
      <c r="C182">
        <v>119522</v>
      </c>
      <c r="D182" s="4" t="s">
        <v>582</v>
      </c>
      <c r="E182">
        <v>-148322</v>
      </c>
      <c r="F182">
        <v>-59939</v>
      </c>
      <c r="G182">
        <v>11471</v>
      </c>
      <c r="H182">
        <v>28320</v>
      </c>
    </row>
    <row r="183" spans="1:8" x14ac:dyDescent="0.35">
      <c r="A183" s="51">
        <v>43320</v>
      </c>
      <c r="B183">
        <v>89834</v>
      </c>
      <c r="C183">
        <v>135710</v>
      </c>
      <c r="D183" s="4" t="s">
        <v>583</v>
      </c>
      <c r="E183">
        <v>-163465</v>
      </c>
      <c r="F183">
        <v>-62079</v>
      </c>
      <c r="G183">
        <v>11450</v>
      </c>
      <c r="H183">
        <v>28062</v>
      </c>
    </row>
    <row r="184" spans="1:8" x14ac:dyDescent="0.35">
      <c r="A184" s="51">
        <v>43319</v>
      </c>
      <c r="B184">
        <v>70488</v>
      </c>
      <c r="C184">
        <v>96242</v>
      </c>
      <c r="D184" s="4" t="s">
        <v>584</v>
      </c>
      <c r="E184">
        <v>-104651</v>
      </c>
      <c r="F184">
        <v>-62079</v>
      </c>
      <c r="G184">
        <v>11389</v>
      </c>
      <c r="H184">
        <v>27876</v>
      </c>
    </row>
    <row r="185" spans="1:8" x14ac:dyDescent="0.35">
      <c r="A185" s="51">
        <v>43318</v>
      </c>
      <c r="B185">
        <v>52489</v>
      </c>
      <c r="C185">
        <v>93354</v>
      </c>
      <c r="D185" s="4" t="s">
        <v>585</v>
      </c>
      <c r="E185">
        <v>-85617</v>
      </c>
      <c r="F185">
        <v>-60226</v>
      </c>
      <c r="G185">
        <v>11387</v>
      </c>
      <c r="H185">
        <v>27899</v>
      </c>
    </row>
    <row r="186" spans="1:8" x14ac:dyDescent="0.35">
      <c r="A186" s="51">
        <v>43315</v>
      </c>
      <c r="B186">
        <v>34678</v>
      </c>
      <c r="C186">
        <v>85018</v>
      </c>
      <c r="D186" s="4" t="s">
        <v>586</v>
      </c>
      <c r="E186">
        <v>-59519</v>
      </c>
      <c r="F186">
        <v>-60177</v>
      </c>
      <c r="G186">
        <v>11361</v>
      </c>
      <c r="H186">
        <v>27696</v>
      </c>
    </row>
    <row r="187" spans="1:8" x14ac:dyDescent="0.35">
      <c r="A187" s="51">
        <v>43314</v>
      </c>
      <c r="B187">
        <v>15254</v>
      </c>
      <c r="C187">
        <v>37488</v>
      </c>
      <c r="D187" s="4" t="s">
        <v>587</v>
      </c>
      <c r="E187">
        <v>7423</v>
      </c>
      <c r="F187">
        <v>-60165</v>
      </c>
      <c r="G187">
        <v>11245</v>
      </c>
      <c r="H187">
        <v>27356</v>
      </c>
    </row>
    <row r="188" spans="1:8" x14ac:dyDescent="0.35">
      <c r="A188" s="51">
        <v>43313</v>
      </c>
      <c r="B188">
        <v>-5224</v>
      </c>
      <c r="C188">
        <v>74417</v>
      </c>
      <c r="D188" s="4" t="s">
        <v>588</v>
      </c>
      <c r="E188">
        <v>-14360</v>
      </c>
      <c r="F188">
        <v>-54833</v>
      </c>
      <c r="G188">
        <v>11346</v>
      </c>
      <c r="H188">
        <v>27596</v>
      </c>
    </row>
    <row r="189" spans="1:8" x14ac:dyDescent="0.35">
      <c r="A189" s="51">
        <v>43312</v>
      </c>
      <c r="B189">
        <v>-3399</v>
      </c>
      <c r="C189">
        <v>118040</v>
      </c>
      <c r="D189" s="4" t="s">
        <v>589</v>
      </c>
      <c r="E189">
        <v>-57801</v>
      </c>
      <c r="F189">
        <v>-56840</v>
      </c>
      <c r="G189">
        <v>11357</v>
      </c>
      <c r="H189">
        <v>27764</v>
      </c>
    </row>
    <row r="190" spans="1:8" x14ac:dyDescent="0.35">
      <c r="A190" s="51">
        <v>43311</v>
      </c>
      <c r="B190">
        <v>4385</v>
      </c>
      <c r="C190">
        <v>106031</v>
      </c>
      <c r="D190" s="4" t="s">
        <v>590</v>
      </c>
      <c r="E190">
        <v>-52259</v>
      </c>
      <c r="F190">
        <v>-58157</v>
      </c>
      <c r="G190">
        <v>11320</v>
      </c>
      <c r="H190">
        <v>27843</v>
      </c>
    </row>
    <row r="191" spans="1:8" x14ac:dyDescent="0.35">
      <c r="A191" s="51">
        <v>43308</v>
      </c>
      <c r="B191">
        <v>-17230</v>
      </c>
      <c r="C191">
        <v>90655</v>
      </c>
      <c r="D191" s="4" t="s">
        <v>591</v>
      </c>
      <c r="E191">
        <v>-13898</v>
      </c>
      <c r="F191">
        <v>-59527</v>
      </c>
      <c r="G191">
        <v>11278</v>
      </c>
      <c r="H191">
        <v>27634</v>
      </c>
    </row>
    <row r="192" spans="1:8" x14ac:dyDescent="0.35">
      <c r="A192" s="51">
        <v>43307</v>
      </c>
      <c r="B192">
        <v>-40650</v>
      </c>
      <c r="C192">
        <v>64702</v>
      </c>
      <c r="D192" s="4" t="s">
        <v>592</v>
      </c>
      <c r="E192">
        <v>33799</v>
      </c>
      <c r="F192">
        <v>-57851</v>
      </c>
      <c r="G192">
        <v>11167</v>
      </c>
      <c r="H192">
        <v>27455</v>
      </c>
    </row>
    <row r="193" spans="1:8" x14ac:dyDescent="0.35">
      <c r="A193" s="51">
        <v>43306</v>
      </c>
      <c r="B193">
        <v>-130137</v>
      </c>
      <c r="C193">
        <v>117314</v>
      </c>
      <c r="D193" s="4" t="s">
        <v>593</v>
      </c>
      <c r="E193">
        <v>75735</v>
      </c>
      <c r="F193">
        <v>-62912</v>
      </c>
      <c r="G193">
        <v>11132</v>
      </c>
      <c r="H193">
        <v>27031</v>
      </c>
    </row>
    <row r="194" spans="1:8" x14ac:dyDescent="0.35">
      <c r="A194" s="51">
        <v>43305</v>
      </c>
      <c r="B194">
        <v>-140796</v>
      </c>
      <c r="C194">
        <v>107834</v>
      </c>
      <c r="D194" s="4" t="s">
        <v>594</v>
      </c>
      <c r="E194">
        <v>95966</v>
      </c>
      <c r="F194">
        <v>-63004</v>
      </c>
      <c r="G194">
        <v>11134</v>
      </c>
      <c r="H194">
        <v>26974</v>
      </c>
    </row>
    <row r="195" spans="1:8" x14ac:dyDescent="0.35">
      <c r="A195" s="51">
        <v>43304</v>
      </c>
      <c r="B195">
        <v>-152845</v>
      </c>
      <c r="C195">
        <v>114767</v>
      </c>
      <c r="D195" s="4" t="s">
        <v>595</v>
      </c>
      <c r="E195">
        <v>98029</v>
      </c>
      <c r="F195">
        <v>-59951</v>
      </c>
      <c r="G195">
        <v>11085</v>
      </c>
      <c r="H195">
        <v>27008</v>
      </c>
    </row>
    <row r="196" spans="1:8" x14ac:dyDescent="0.35">
      <c r="A196" s="51">
        <v>43301</v>
      </c>
      <c r="B196">
        <v>-173566</v>
      </c>
      <c r="C196">
        <v>72128</v>
      </c>
      <c r="D196" s="4" t="s">
        <v>596</v>
      </c>
      <c r="E196">
        <v>162013</v>
      </c>
      <c r="F196">
        <v>-60575</v>
      </c>
      <c r="G196">
        <v>11010</v>
      </c>
      <c r="H196">
        <v>26873</v>
      </c>
    </row>
    <row r="197" spans="1:8" x14ac:dyDescent="0.35">
      <c r="A197" s="51">
        <v>43300</v>
      </c>
      <c r="B197">
        <v>-175855</v>
      </c>
      <c r="C197">
        <v>70979</v>
      </c>
      <c r="D197" s="4" t="s">
        <v>597</v>
      </c>
      <c r="E197">
        <v>165439</v>
      </c>
      <c r="F197">
        <v>-60563</v>
      </c>
      <c r="G197">
        <v>10957</v>
      </c>
      <c r="H197">
        <v>26790</v>
      </c>
    </row>
    <row r="198" spans="1:8" x14ac:dyDescent="0.35">
      <c r="A198" s="51">
        <v>43299</v>
      </c>
      <c r="B198">
        <v>-153888</v>
      </c>
      <c r="C198">
        <v>39984</v>
      </c>
      <c r="D198" s="4" t="s">
        <v>598</v>
      </c>
      <c r="E198">
        <v>174456</v>
      </c>
      <c r="F198">
        <v>-60552</v>
      </c>
      <c r="G198">
        <v>10980</v>
      </c>
      <c r="H198">
        <v>26881</v>
      </c>
    </row>
    <row r="199" spans="1:8" x14ac:dyDescent="0.35">
      <c r="A199" s="51">
        <v>43298</v>
      </c>
      <c r="B199">
        <v>-135470</v>
      </c>
      <c r="C199">
        <v>114597</v>
      </c>
      <c r="D199" s="4" t="s">
        <v>599</v>
      </c>
      <c r="E199">
        <v>82794</v>
      </c>
      <c r="F199">
        <v>-61921</v>
      </c>
      <c r="G199">
        <v>11008</v>
      </c>
      <c r="H199">
        <v>27008</v>
      </c>
    </row>
    <row r="200" spans="1:8" x14ac:dyDescent="0.35">
      <c r="A200" s="51">
        <v>43297</v>
      </c>
      <c r="B200">
        <v>-107634</v>
      </c>
      <c r="C200">
        <v>47293</v>
      </c>
      <c r="D200" s="4" t="s">
        <v>600</v>
      </c>
      <c r="E200">
        <v>122218</v>
      </c>
      <c r="F200">
        <v>-61877</v>
      </c>
      <c r="G200">
        <v>10937</v>
      </c>
      <c r="H200">
        <v>26680</v>
      </c>
    </row>
    <row r="201" spans="1:8" x14ac:dyDescent="0.35">
      <c r="A201" s="51">
        <v>43294</v>
      </c>
      <c r="B201">
        <v>-101466</v>
      </c>
      <c r="C201">
        <v>118665</v>
      </c>
      <c r="D201" s="4" t="s">
        <v>601</v>
      </c>
      <c r="E201">
        <v>45664</v>
      </c>
      <c r="F201">
        <v>-62863</v>
      </c>
      <c r="G201">
        <v>11019</v>
      </c>
      <c r="H201">
        <v>26936</v>
      </c>
    </row>
    <row r="202" spans="1:8" x14ac:dyDescent="0.35">
      <c r="A202" s="51">
        <v>43293</v>
      </c>
      <c r="B202">
        <v>-93050</v>
      </c>
      <c r="C202">
        <v>133632</v>
      </c>
      <c r="D202" s="4" t="s">
        <v>602</v>
      </c>
      <c r="E202">
        <v>19049</v>
      </c>
      <c r="F202">
        <v>-59631</v>
      </c>
      <c r="G202">
        <v>11023</v>
      </c>
      <c r="H202">
        <v>27027</v>
      </c>
    </row>
    <row r="203" spans="1:8" x14ac:dyDescent="0.35">
      <c r="A203" s="51">
        <v>43292</v>
      </c>
      <c r="B203">
        <v>-90498</v>
      </c>
      <c r="C203">
        <v>112807</v>
      </c>
      <c r="D203" s="4" t="s">
        <v>603</v>
      </c>
      <c r="E203">
        <v>26853</v>
      </c>
      <c r="F203">
        <v>-49162</v>
      </c>
      <c r="G203">
        <v>10948</v>
      </c>
      <c r="H203">
        <v>26816</v>
      </c>
    </row>
    <row r="204" spans="1:8" x14ac:dyDescent="0.35">
      <c r="A204" s="51">
        <v>43291</v>
      </c>
      <c r="B204">
        <v>-88607</v>
      </c>
      <c r="C204">
        <v>120778</v>
      </c>
      <c r="D204" s="4" t="s">
        <v>604</v>
      </c>
      <c r="E204">
        <v>16990</v>
      </c>
      <c r="F204">
        <v>-49161</v>
      </c>
      <c r="G204">
        <v>10947</v>
      </c>
      <c r="H204">
        <v>26895</v>
      </c>
    </row>
    <row r="205" spans="1:8" x14ac:dyDescent="0.35">
      <c r="A205" s="51">
        <v>43290</v>
      </c>
      <c r="B205">
        <v>-89862</v>
      </c>
      <c r="C205">
        <v>64839</v>
      </c>
      <c r="D205" s="4" t="s">
        <v>605</v>
      </c>
      <c r="E205">
        <v>73824</v>
      </c>
      <c r="F205">
        <v>-48801</v>
      </c>
      <c r="G205">
        <v>10853</v>
      </c>
      <c r="H205">
        <v>26753</v>
      </c>
    </row>
    <row r="206" spans="1:8" x14ac:dyDescent="0.35">
      <c r="A206" s="51">
        <v>43287</v>
      </c>
      <c r="B206">
        <v>-109426</v>
      </c>
      <c r="C206">
        <v>26986</v>
      </c>
      <c r="D206" s="4" t="s">
        <v>606</v>
      </c>
      <c r="E206">
        <v>131241</v>
      </c>
      <c r="F206">
        <v>-48801</v>
      </c>
      <c r="G206">
        <v>10773</v>
      </c>
      <c r="H206">
        <v>26494</v>
      </c>
    </row>
    <row r="207" spans="1:8" x14ac:dyDescent="0.35">
      <c r="A207" s="51">
        <v>43286</v>
      </c>
      <c r="B207">
        <v>-108540</v>
      </c>
      <c r="C207">
        <v>16168</v>
      </c>
      <c r="D207" s="4" t="s">
        <v>607</v>
      </c>
      <c r="E207">
        <v>141173</v>
      </c>
      <c r="F207">
        <v>-48801</v>
      </c>
      <c r="G207">
        <v>10750</v>
      </c>
      <c r="H207">
        <v>26503</v>
      </c>
    </row>
    <row r="208" spans="1:8" x14ac:dyDescent="0.35">
      <c r="A208" s="51">
        <v>43285</v>
      </c>
      <c r="B208">
        <v>-104262</v>
      </c>
      <c r="C208">
        <v>28844</v>
      </c>
      <c r="D208" s="4" t="s">
        <v>608</v>
      </c>
      <c r="E208">
        <v>124219</v>
      </c>
      <c r="F208">
        <v>-48801</v>
      </c>
      <c r="G208">
        <v>10770</v>
      </c>
      <c r="H208">
        <v>26434</v>
      </c>
    </row>
    <row r="209" spans="1:8" x14ac:dyDescent="0.35">
      <c r="A209" s="51">
        <v>43284</v>
      </c>
      <c r="B209">
        <v>-114885</v>
      </c>
      <c r="C209">
        <v>-38437</v>
      </c>
      <c r="D209" s="4" t="s">
        <v>609</v>
      </c>
      <c r="E209">
        <v>203203</v>
      </c>
      <c r="F209">
        <v>-49881</v>
      </c>
      <c r="G209">
        <v>10700</v>
      </c>
      <c r="H209">
        <v>26204</v>
      </c>
    </row>
    <row r="210" spans="1:8" x14ac:dyDescent="0.35">
      <c r="A210" s="51">
        <v>43283</v>
      </c>
      <c r="B210">
        <v>-118611</v>
      </c>
      <c r="C210">
        <v>-64714</v>
      </c>
      <c r="D210" s="4" t="s">
        <v>610</v>
      </c>
      <c r="E210">
        <v>234106</v>
      </c>
      <c r="F210">
        <v>-50781</v>
      </c>
      <c r="G210">
        <v>10657</v>
      </c>
      <c r="H210">
        <v>26230</v>
      </c>
    </row>
    <row r="211" spans="1:8" x14ac:dyDescent="0.35">
      <c r="A211" s="51">
        <v>43280</v>
      </c>
      <c r="B211">
        <v>-107437</v>
      </c>
      <c r="C211">
        <v>-41505</v>
      </c>
      <c r="D211" s="4" t="s">
        <v>611</v>
      </c>
      <c r="E211">
        <v>198327</v>
      </c>
      <c r="F211">
        <v>-49385</v>
      </c>
      <c r="G211">
        <v>10714</v>
      </c>
      <c r="H211">
        <v>26364</v>
      </c>
    </row>
    <row r="212" spans="1:8" x14ac:dyDescent="0.35">
      <c r="A212" s="51">
        <v>43279</v>
      </c>
      <c r="B212">
        <v>-117331</v>
      </c>
      <c r="C212">
        <v>-66351</v>
      </c>
      <c r="D212" s="4" t="s">
        <v>612</v>
      </c>
      <c r="E212">
        <v>233367</v>
      </c>
      <c r="F212">
        <v>-49685</v>
      </c>
      <c r="G212">
        <v>10589</v>
      </c>
      <c r="H212">
        <v>26325</v>
      </c>
    </row>
    <row r="213" spans="1:8" x14ac:dyDescent="0.35">
      <c r="A213" s="51">
        <v>43278</v>
      </c>
      <c r="B213">
        <v>-254888</v>
      </c>
      <c r="C213">
        <v>-124965</v>
      </c>
      <c r="D213" s="4" t="s">
        <v>613</v>
      </c>
      <c r="E213">
        <v>414684</v>
      </c>
      <c r="F213">
        <v>-34830</v>
      </c>
      <c r="G213">
        <v>10671</v>
      </c>
      <c r="H213">
        <v>26423</v>
      </c>
    </row>
    <row r="214" spans="1:8" x14ac:dyDescent="0.35">
      <c r="A214" s="51">
        <v>43277</v>
      </c>
      <c r="B214">
        <v>-190951</v>
      </c>
      <c r="C214">
        <v>-28663</v>
      </c>
      <c r="D214" s="4" t="s">
        <v>614</v>
      </c>
      <c r="E214">
        <v>254632</v>
      </c>
      <c r="F214">
        <v>-35017</v>
      </c>
      <c r="G214">
        <v>10769</v>
      </c>
      <c r="H214">
        <v>26602</v>
      </c>
    </row>
    <row r="215" spans="1:8" x14ac:dyDescent="0.35">
      <c r="A215" s="51">
        <v>43276</v>
      </c>
      <c r="B215">
        <v>-179360</v>
      </c>
      <c r="C215">
        <v>-37014</v>
      </c>
      <c r="D215" s="4" t="s">
        <v>615</v>
      </c>
      <c r="E215">
        <v>248248</v>
      </c>
      <c r="F215">
        <v>-31873</v>
      </c>
      <c r="G215">
        <v>10762</v>
      </c>
      <c r="H215">
        <v>26610</v>
      </c>
    </row>
    <row r="216" spans="1:8" x14ac:dyDescent="0.35">
      <c r="A216" s="51">
        <v>43273</v>
      </c>
      <c r="B216">
        <v>-169295</v>
      </c>
      <c r="C216">
        <v>50653</v>
      </c>
      <c r="D216" s="4" t="s">
        <v>616</v>
      </c>
      <c r="E216">
        <v>147123</v>
      </c>
      <c r="F216">
        <v>-28480</v>
      </c>
      <c r="G216">
        <v>10822</v>
      </c>
      <c r="H216">
        <v>26767</v>
      </c>
    </row>
    <row r="217" spans="1:8" x14ac:dyDescent="0.35">
      <c r="A217" s="51">
        <v>43272</v>
      </c>
      <c r="B217">
        <v>-172154</v>
      </c>
      <c r="C217">
        <v>-21764</v>
      </c>
      <c r="D217" s="4" t="s">
        <v>617</v>
      </c>
      <c r="E217">
        <v>219078</v>
      </c>
      <c r="F217">
        <v>-25159</v>
      </c>
      <c r="G217">
        <v>10741</v>
      </c>
      <c r="H217">
        <v>26497</v>
      </c>
    </row>
    <row r="218" spans="1:8" x14ac:dyDescent="0.35">
      <c r="A218" s="51">
        <v>43271</v>
      </c>
      <c r="B218">
        <v>-173149</v>
      </c>
      <c r="C218">
        <v>19696</v>
      </c>
      <c r="D218" s="4" t="s">
        <v>618</v>
      </c>
      <c r="E218">
        <v>178283</v>
      </c>
      <c r="F218">
        <v>-24829</v>
      </c>
      <c r="G218">
        <v>10772</v>
      </c>
      <c r="H218">
        <v>26558</v>
      </c>
    </row>
    <row r="219" spans="1:8" x14ac:dyDescent="0.35">
      <c r="A219" s="51">
        <v>43270</v>
      </c>
      <c r="B219">
        <v>-179882</v>
      </c>
      <c r="C219">
        <v>-39796</v>
      </c>
      <c r="D219" s="4" t="s">
        <v>619</v>
      </c>
      <c r="E219">
        <v>242076</v>
      </c>
      <c r="F219">
        <v>-22397</v>
      </c>
      <c r="G219">
        <v>10710</v>
      </c>
      <c r="H219">
        <v>26266</v>
      </c>
    </row>
    <row r="220" spans="1:8" x14ac:dyDescent="0.35">
      <c r="A220" s="51">
        <v>43269</v>
      </c>
      <c r="B220">
        <v>-142219</v>
      </c>
      <c r="C220">
        <v>-2210</v>
      </c>
      <c r="D220" s="4" t="s">
        <v>620</v>
      </c>
      <c r="E220">
        <v>171128</v>
      </c>
      <c r="F220">
        <v>-26698</v>
      </c>
      <c r="G220">
        <v>10800</v>
      </c>
      <c r="H220">
        <v>26409</v>
      </c>
    </row>
    <row r="221" spans="1:8" x14ac:dyDescent="0.35">
      <c r="A221" s="51">
        <v>43266</v>
      </c>
      <c r="B221">
        <v>-135424</v>
      </c>
      <c r="C221">
        <v>5965</v>
      </c>
      <c r="D221" s="4" t="s">
        <v>621</v>
      </c>
      <c r="E221">
        <v>156158</v>
      </c>
      <c r="F221">
        <v>-26698</v>
      </c>
      <c r="G221">
        <v>10818</v>
      </c>
      <c r="H221">
        <v>26417</v>
      </c>
    </row>
    <row r="222" spans="1:8" x14ac:dyDescent="0.35">
      <c r="A222" s="51">
        <v>43265</v>
      </c>
      <c r="B222">
        <v>-104114</v>
      </c>
      <c r="C222">
        <v>21443</v>
      </c>
      <c r="D222" s="4" t="s">
        <v>622</v>
      </c>
      <c r="E222">
        <v>109366</v>
      </c>
      <c r="F222">
        <v>-26694</v>
      </c>
      <c r="G222">
        <v>10808</v>
      </c>
      <c r="H222">
        <v>26562</v>
      </c>
    </row>
    <row r="223" spans="1:8" x14ac:dyDescent="0.35">
      <c r="A223" s="51">
        <v>43264</v>
      </c>
      <c r="B223">
        <v>-105482</v>
      </c>
      <c r="C223">
        <v>63602</v>
      </c>
      <c r="D223" s="4" t="s">
        <v>623</v>
      </c>
      <c r="E223">
        <v>68574</v>
      </c>
      <c r="F223">
        <v>-26694</v>
      </c>
      <c r="G223">
        <v>10857</v>
      </c>
      <c r="H223">
        <v>26643</v>
      </c>
    </row>
    <row r="224" spans="1:8" x14ac:dyDescent="0.35">
      <c r="A224" s="51">
        <v>43263</v>
      </c>
      <c r="B224">
        <v>-117435</v>
      </c>
      <c r="C224">
        <v>68400</v>
      </c>
      <c r="D224" s="4" t="s">
        <v>624</v>
      </c>
      <c r="E224">
        <v>75730</v>
      </c>
      <c r="F224">
        <v>-26694</v>
      </c>
      <c r="G224">
        <v>10843</v>
      </c>
      <c r="H224">
        <v>26607</v>
      </c>
    </row>
    <row r="225" spans="1:8" x14ac:dyDescent="0.35">
      <c r="A225" s="51">
        <v>43262</v>
      </c>
      <c r="B225">
        <v>-130548</v>
      </c>
      <c r="C225">
        <v>26505</v>
      </c>
      <c r="D225" s="4" t="s">
        <v>625</v>
      </c>
      <c r="E225">
        <v>136479</v>
      </c>
      <c r="F225">
        <v>-32435</v>
      </c>
      <c r="G225">
        <v>10787</v>
      </c>
      <c r="H225">
        <v>26454</v>
      </c>
    </row>
    <row r="226" spans="1:8" x14ac:dyDescent="0.35">
      <c r="A226" s="51">
        <v>43259</v>
      </c>
      <c r="B226">
        <v>-146008</v>
      </c>
      <c r="C226">
        <v>26387</v>
      </c>
      <c r="D226" s="4" t="s">
        <v>626</v>
      </c>
      <c r="E226">
        <v>150752</v>
      </c>
      <c r="F226">
        <v>-31130</v>
      </c>
      <c r="G226">
        <v>10768</v>
      </c>
      <c r="H226">
        <v>26451</v>
      </c>
    </row>
    <row r="227" spans="1:8" x14ac:dyDescent="0.35">
      <c r="A227" s="51">
        <v>43258</v>
      </c>
      <c r="B227">
        <v>-121535</v>
      </c>
      <c r="C227">
        <v>33607</v>
      </c>
      <c r="D227" s="4" t="s">
        <v>627</v>
      </c>
      <c r="E227">
        <v>119593</v>
      </c>
      <c r="F227">
        <v>-31664</v>
      </c>
      <c r="G227">
        <v>10768</v>
      </c>
      <c r="H227">
        <v>26518</v>
      </c>
    </row>
    <row r="228" spans="1:8" x14ac:dyDescent="0.35">
      <c r="A228" s="51">
        <v>43257</v>
      </c>
      <c r="B228">
        <v>-157230</v>
      </c>
      <c r="C228">
        <v>-59354</v>
      </c>
      <c r="D228" s="4" t="s">
        <v>628</v>
      </c>
      <c r="E228">
        <v>249289</v>
      </c>
      <c r="F228">
        <v>-32704</v>
      </c>
      <c r="G228">
        <v>10685</v>
      </c>
      <c r="H228">
        <v>26368</v>
      </c>
    </row>
    <row r="229" spans="1:8" x14ac:dyDescent="0.35">
      <c r="A229" s="51">
        <v>43256</v>
      </c>
      <c r="B229">
        <v>-151034</v>
      </c>
      <c r="C229">
        <v>-101230</v>
      </c>
      <c r="D229" s="4" t="s">
        <v>629</v>
      </c>
      <c r="E229">
        <v>284969</v>
      </c>
      <c r="F229">
        <v>-32704</v>
      </c>
      <c r="G229">
        <v>10593</v>
      </c>
      <c r="H229">
        <v>26251</v>
      </c>
    </row>
    <row r="230" spans="1:8" x14ac:dyDescent="0.35">
      <c r="A230" s="51">
        <v>43255</v>
      </c>
      <c r="B230">
        <v>-139935</v>
      </c>
      <c r="C230">
        <v>-82509</v>
      </c>
      <c r="D230" s="4" t="s">
        <v>630</v>
      </c>
      <c r="E230">
        <v>255398</v>
      </c>
      <c r="F230">
        <v>-32953</v>
      </c>
      <c r="G230">
        <v>10628</v>
      </c>
      <c r="H230">
        <v>26257</v>
      </c>
    </row>
    <row r="231" spans="1:8" x14ac:dyDescent="0.35">
      <c r="A231" s="51">
        <v>43252</v>
      </c>
      <c r="B231">
        <v>-118665</v>
      </c>
      <c r="C231">
        <v>-18132</v>
      </c>
      <c r="D231" s="4" t="s">
        <v>631</v>
      </c>
      <c r="E231">
        <v>169057</v>
      </c>
      <c r="F231">
        <v>-32259</v>
      </c>
      <c r="G231">
        <v>10696</v>
      </c>
      <c r="H231">
        <v>26693</v>
      </c>
    </row>
    <row r="232" spans="1:8" x14ac:dyDescent="0.35">
      <c r="A232" s="51">
        <v>43251</v>
      </c>
      <c r="B232">
        <v>-87785</v>
      </c>
      <c r="C232">
        <v>18051</v>
      </c>
      <c r="D232" s="4" t="s">
        <v>632</v>
      </c>
      <c r="E232">
        <v>98695</v>
      </c>
      <c r="F232">
        <v>-28960</v>
      </c>
      <c r="G232">
        <v>10736</v>
      </c>
      <c r="H232">
        <v>26956</v>
      </c>
    </row>
    <row r="233" spans="1:8" x14ac:dyDescent="0.35">
      <c r="A233" s="51">
        <v>43250</v>
      </c>
      <c r="B233">
        <v>-151805</v>
      </c>
      <c r="C233">
        <v>-44482</v>
      </c>
      <c r="D233" s="4" t="s">
        <v>633</v>
      </c>
      <c r="E233">
        <v>222853</v>
      </c>
      <c r="F233">
        <v>-26565</v>
      </c>
      <c r="G233">
        <v>10614</v>
      </c>
      <c r="H233">
        <v>26328</v>
      </c>
    </row>
    <row r="234" spans="1:8" x14ac:dyDescent="0.35">
      <c r="A234" s="51">
        <v>43249</v>
      </c>
      <c r="B234">
        <v>-149007</v>
      </c>
      <c r="C234">
        <v>-53657</v>
      </c>
      <c r="D234" s="4" t="s">
        <v>634</v>
      </c>
      <c r="E234">
        <v>229230</v>
      </c>
      <c r="F234">
        <v>-26565</v>
      </c>
      <c r="G234">
        <v>10633</v>
      </c>
      <c r="H234">
        <v>26255</v>
      </c>
    </row>
    <row r="235" spans="1:8" x14ac:dyDescent="0.35">
      <c r="A235" s="51">
        <v>43248</v>
      </c>
      <c r="B235">
        <v>-131191</v>
      </c>
      <c r="C235">
        <v>-1775</v>
      </c>
      <c r="D235" s="4" t="s">
        <v>635</v>
      </c>
      <c r="E235">
        <v>158873</v>
      </c>
      <c r="F235">
        <v>-25906</v>
      </c>
      <c r="G235">
        <v>10689</v>
      </c>
      <c r="H235">
        <v>26614</v>
      </c>
    </row>
    <row r="236" spans="1:8" x14ac:dyDescent="0.35">
      <c r="A236" s="51">
        <v>43245</v>
      </c>
      <c r="B236">
        <v>-142596</v>
      </c>
      <c r="C236">
        <v>-16927</v>
      </c>
      <c r="D236" s="4" t="s">
        <v>636</v>
      </c>
      <c r="E236">
        <v>187030</v>
      </c>
      <c r="F236">
        <v>-27506</v>
      </c>
      <c r="G236">
        <v>10605</v>
      </c>
      <c r="H236">
        <v>26274</v>
      </c>
    </row>
    <row r="237" spans="1:8" x14ac:dyDescent="0.35">
      <c r="A237" s="51">
        <v>43244</v>
      </c>
      <c r="B237">
        <v>-154861</v>
      </c>
      <c r="C237">
        <v>-55040</v>
      </c>
      <c r="D237" s="4" t="s">
        <v>637</v>
      </c>
      <c r="E237">
        <v>239664</v>
      </c>
      <c r="F237">
        <v>-29762</v>
      </c>
      <c r="G237">
        <v>10514</v>
      </c>
      <c r="H237">
        <v>26017</v>
      </c>
    </row>
    <row r="238" spans="1:8" x14ac:dyDescent="0.35">
      <c r="A238" s="51">
        <v>43243</v>
      </c>
      <c r="B238">
        <v>-158833</v>
      </c>
      <c r="C238">
        <v>-131199</v>
      </c>
      <c r="D238" s="4" t="s">
        <v>638</v>
      </c>
      <c r="E238">
        <v>320499</v>
      </c>
      <c r="F238">
        <v>-30466</v>
      </c>
      <c r="G238">
        <v>10430</v>
      </c>
      <c r="H238">
        <v>25685</v>
      </c>
    </row>
    <row r="239" spans="1:8" x14ac:dyDescent="0.35">
      <c r="A239" s="51">
        <v>43242</v>
      </c>
      <c r="B239">
        <v>-164170</v>
      </c>
      <c r="C239">
        <v>-75268</v>
      </c>
      <c r="D239" s="4" t="s">
        <v>639</v>
      </c>
      <c r="E239">
        <v>275184</v>
      </c>
      <c r="F239">
        <v>-35745</v>
      </c>
      <c r="G239">
        <v>10537</v>
      </c>
      <c r="H239">
        <v>25778</v>
      </c>
    </row>
    <row r="240" spans="1:8" x14ac:dyDescent="0.35">
      <c r="A240" s="51">
        <v>43241</v>
      </c>
      <c r="B240">
        <v>-151627</v>
      </c>
      <c r="C240">
        <v>-74980</v>
      </c>
      <c r="D240" s="4" t="s">
        <v>640</v>
      </c>
      <c r="E240">
        <v>267151</v>
      </c>
      <c r="F240">
        <v>-40543</v>
      </c>
      <c r="G240">
        <v>10517</v>
      </c>
      <c r="H240">
        <v>25751</v>
      </c>
    </row>
    <row r="241" spans="1:8" x14ac:dyDescent="0.35">
      <c r="A241" s="51">
        <v>43238</v>
      </c>
      <c r="B241">
        <v>-120949</v>
      </c>
      <c r="C241">
        <v>-50593</v>
      </c>
      <c r="D241" s="4" t="s">
        <v>641</v>
      </c>
      <c r="E241">
        <v>209842</v>
      </c>
      <c r="F241">
        <v>-38299</v>
      </c>
      <c r="G241">
        <v>10596</v>
      </c>
      <c r="H241">
        <v>25876</v>
      </c>
    </row>
    <row r="242" spans="1:8" x14ac:dyDescent="0.35">
      <c r="A242" s="51">
        <v>43237</v>
      </c>
      <c r="B242">
        <v>-86162</v>
      </c>
      <c r="C242">
        <v>-46448</v>
      </c>
      <c r="D242" s="4" t="s">
        <v>642</v>
      </c>
      <c r="E242">
        <v>172051</v>
      </c>
      <c r="F242">
        <v>-39440</v>
      </c>
      <c r="G242">
        <v>10683</v>
      </c>
      <c r="H242">
        <v>26074</v>
      </c>
    </row>
    <row r="243" spans="1:8" x14ac:dyDescent="0.35">
      <c r="A243" s="51">
        <v>43236</v>
      </c>
      <c r="B243">
        <v>-77369</v>
      </c>
      <c r="C243">
        <v>-42779</v>
      </c>
      <c r="D243" s="4" t="s">
        <v>643</v>
      </c>
      <c r="E243">
        <v>154718</v>
      </c>
      <c r="F243">
        <v>-34569</v>
      </c>
      <c r="G243">
        <v>10741</v>
      </c>
      <c r="H243">
        <v>26182</v>
      </c>
    </row>
    <row r="244" spans="1:8" x14ac:dyDescent="0.35">
      <c r="A244" s="51">
        <v>43235</v>
      </c>
      <c r="B244">
        <v>-58967</v>
      </c>
      <c r="C244">
        <v>23027</v>
      </c>
      <c r="D244" s="4" t="s">
        <v>644</v>
      </c>
      <c r="E244">
        <v>70510</v>
      </c>
      <c r="F244">
        <v>-34569</v>
      </c>
      <c r="G244">
        <v>10802</v>
      </c>
      <c r="H244">
        <v>26474</v>
      </c>
    </row>
    <row r="245" spans="1:8" x14ac:dyDescent="0.35">
      <c r="A245" s="51">
        <v>43234</v>
      </c>
      <c r="B245">
        <v>-63591</v>
      </c>
      <c r="C245">
        <v>55460</v>
      </c>
      <c r="D245" s="4" t="s">
        <v>645</v>
      </c>
      <c r="E245">
        <v>48501</v>
      </c>
      <c r="F245">
        <v>-40369</v>
      </c>
      <c r="G245">
        <v>10807</v>
      </c>
      <c r="H245">
        <v>26475</v>
      </c>
    </row>
    <row r="246" spans="1:8" x14ac:dyDescent="0.35">
      <c r="A246" s="51">
        <v>43231</v>
      </c>
      <c r="B246">
        <v>-65828</v>
      </c>
      <c r="C246">
        <v>72125</v>
      </c>
      <c r="D246" s="4" t="s">
        <v>646</v>
      </c>
      <c r="E246">
        <v>30134</v>
      </c>
      <c r="F246">
        <v>-36430</v>
      </c>
      <c r="G246">
        <v>10807</v>
      </c>
      <c r="H246">
        <v>26413</v>
      </c>
    </row>
    <row r="247" spans="1:8" x14ac:dyDescent="0.35">
      <c r="A247" s="51">
        <v>43230</v>
      </c>
      <c r="B247">
        <v>-97698</v>
      </c>
      <c r="C247">
        <v>26553</v>
      </c>
      <c r="D247" s="4" t="s">
        <v>647</v>
      </c>
      <c r="E247">
        <v>91093</v>
      </c>
      <c r="F247">
        <v>-19947</v>
      </c>
      <c r="G247">
        <v>10717</v>
      </c>
      <c r="H247">
        <v>26131</v>
      </c>
    </row>
    <row r="248" spans="1:8" x14ac:dyDescent="0.35">
      <c r="A248" s="51">
        <v>43229</v>
      </c>
      <c r="B248">
        <v>-100439</v>
      </c>
      <c r="C248">
        <v>62859</v>
      </c>
      <c r="D248" s="4" t="s">
        <v>648</v>
      </c>
      <c r="E248">
        <v>57528</v>
      </c>
      <c r="F248">
        <v>-19947</v>
      </c>
      <c r="G248">
        <v>10742</v>
      </c>
      <c r="H248">
        <v>26154</v>
      </c>
    </row>
    <row r="249" spans="1:8" x14ac:dyDescent="0.35">
      <c r="A249" s="51">
        <v>43228</v>
      </c>
      <c r="B249">
        <v>-109483</v>
      </c>
      <c r="C249">
        <v>41978</v>
      </c>
      <c r="D249" s="4" t="s">
        <v>649</v>
      </c>
      <c r="E249">
        <v>87453</v>
      </c>
      <c r="F249">
        <v>-19947</v>
      </c>
      <c r="G249">
        <v>10718</v>
      </c>
      <c r="H249">
        <v>26091</v>
      </c>
    </row>
    <row r="250" spans="1:8" x14ac:dyDescent="0.35">
      <c r="A250" s="51">
        <v>43227</v>
      </c>
      <c r="B250">
        <v>-109211</v>
      </c>
      <c r="C250">
        <v>42129</v>
      </c>
      <c r="D250" s="4" t="s">
        <v>650</v>
      </c>
      <c r="E250">
        <v>87030</v>
      </c>
      <c r="F250">
        <v>-19947</v>
      </c>
      <c r="G250">
        <v>10716</v>
      </c>
      <c r="H250">
        <v>25852</v>
      </c>
    </row>
    <row r="251" spans="1:8" x14ac:dyDescent="0.35">
      <c r="A251" s="51">
        <v>43224</v>
      </c>
      <c r="B251">
        <v>-99756</v>
      </c>
      <c r="C251">
        <v>6568</v>
      </c>
      <c r="D251" s="4" t="s">
        <v>651</v>
      </c>
      <c r="E251">
        <v>112770</v>
      </c>
      <c r="F251">
        <v>-19581</v>
      </c>
      <c r="G251">
        <v>10618</v>
      </c>
      <c r="H251">
        <v>25645</v>
      </c>
    </row>
    <row r="252" spans="1:8" x14ac:dyDescent="0.35">
      <c r="A252" s="51">
        <v>43223</v>
      </c>
      <c r="B252">
        <v>-82480</v>
      </c>
      <c r="C252">
        <v>30512</v>
      </c>
      <c r="D252" s="4" t="s">
        <v>652</v>
      </c>
      <c r="E252">
        <v>71150</v>
      </c>
      <c r="F252">
        <v>-19181</v>
      </c>
      <c r="G252">
        <v>10680</v>
      </c>
      <c r="H252">
        <v>25605</v>
      </c>
    </row>
    <row r="253" spans="1:8" x14ac:dyDescent="0.35">
      <c r="A253" s="51">
        <v>43222</v>
      </c>
      <c r="B253">
        <v>-71026</v>
      </c>
      <c r="C253">
        <v>54926</v>
      </c>
      <c r="D253" s="4" t="s">
        <v>653</v>
      </c>
      <c r="E253">
        <v>35082</v>
      </c>
      <c r="F253">
        <v>-18981</v>
      </c>
      <c r="G253">
        <v>10718</v>
      </c>
      <c r="H253">
        <v>25568</v>
      </c>
    </row>
    <row r="254" spans="1:8" x14ac:dyDescent="0.35">
      <c r="A254" s="51">
        <v>43220</v>
      </c>
      <c r="B254">
        <v>-70056</v>
      </c>
      <c r="C254">
        <v>85087</v>
      </c>
      <c r="D254" s="4" t="s">
        <v>654</v>
      </c>
      <c r="E254">
        <v>3951</v>
      </c>
      <c r="F254">
        <v>-18981</v>
      </c>
      <c r="G254">
        <v>10739</v>
      </c>
      <c r="H254">
        <v>25532</v>
      </c>
    </row>
    <row r="255" spans="1:8" x14ac:dyDescent="0.35">
      <c r="A255" s="51">
        <v>43217</v>
      </c>
      <c r="B255">
        <v>-55176</v>
      </c>
      <c r="C255">
        <v>83866</v>
      </c>
      <c r="D255" s="4" t="s">
        <v>655</v>
      </c>
      <c r="E255">
        <v>-9748</v>
      </c>
      <c r="F255">
        <v>-18941</v>
      </c>
      <c r="G255">
        <v>10692</v>
      </c>
      <c r="H255">
        <v>25395</v>
      </c>
    </row>
    <row r="256" spans="1:8" x14ac:dyDescent="0.35">
      <c r="A256" s="51"/>
      <c r="B256">
        <v>-81150</v>
      </c>
      <c r="C256">
        <v>66808</v>
      </c>
      <c r="D256" s="4" t="s">
        <v>656</v>
      </c>
      <c r="E256">
        <v>32498</v>
      </c>
      <c r="F256">
        <v>-18155</v>
      </c>
      <c r="G256">
        <v>10618</v>
      </c>
      <c r="H256">
        <v>25011</v>
      </c>
    </row>
    <row r="257" spans="1:8" x14ac:dyDescent="0.35">
      <c r="A257" s="51">
        <v>43215</v>
      </c>
      <c r="B257">
        <v>-120594</v>
      </c>
      <c r="C257">
        <v>-1357</v>
      </c>
      <c r="D257" s="4" t="s">
        <v>657</v>
      </c>
      <c r="E257">
        <v>144166</v>
      </c>
      <c r="F257">
        <v>-22214</v>
      </c>
      <c r="G257">
        <v>10571</v>
      </c>
      <c r="H257">
        <v>24814</v>
      </c>
    </row>
    <row r="258" spans="1:8" x14ac:dyDescent="0.35">
      <c r="A258" s="51">
        <v>43214</v>
      </c>
      <c r="B258">
        <v>-95320</v>
      </c>
      <c r="C258">
        <v>56999</v>
      </c>
      <c r="D258" s="4" t="s">
        <v>658</v>
      </c>
      <c r="E258">
        <v>60536</v>
      </c>
      <c r="F258">
        <v>-22214</v>
      </c>
      <c r="G258">
        <v>10614</v>
      </c>
      <c r="H258">
        <v>25042</v>
      </c>
    </row>
    <row r="259" spans="1:8" x14ac:dyDescent="0.35">
      <c r="A259" s="51">
        <v>43213</v>
      </c>
      <c r="B259">
        <v>-77139</v>
      </c>
      <c r="C259">
        <v>45717</v>
      </c>
      <c r="D259" s="4" t="s">
        <v>659</v>
      </c>
      <c r="E259">
        <v>52504</v>
      </c>
      <c r="F259">
        <v>-21081</v>
      </c>
      <c r="G259">
        <v>10585</v>
      </c>
      <c r="H259">
        <v>24961</v>
      </c>
    </row>
    <row r="260" spans="1:8" x14ac:dyDescent="0.35">
      <c r="A260" s="51">
        <v>43210</v>
      </c>
      <c r="B260">
        <v>-53791</v>
      </c>
      <c r="C260">
        <v>38092</v>
      </c>
      <c r="D260" s="4" t="s">
        <v>660</v>
      </c>
      <c r="E260">
        <v>36781</v>
      </c>
      <c r="F260">
        <v>-21081</v>
      </c>
      <c r="G260">
        <v>10564</v>
      </c>
      <c r="H260">
        <v>24944</v>
      </c>
    </row>
    <row r="261" spans="1:8" x14ac:dyDescent="0.35">
      <c r="A261" s="51">
        <v>43209</v>
      </c>
      <c r="B261">
        <v>-61187</v>
      </c>
      <c r="C261">
        <v>78430</v>
      </c>
      <c r="D261" s="4" t="s">
        <v>661</v>
      </c>
      <c r="E261">
        <v>3839</v>
      </c>
      <c r="F261">
        <v>-21081</v>
      </c>
      <c r="G261">
        <v>10565</v>
      </c>
      <c r="H261">
        <v>25126</v>
      </c>
    </row>
    <row r="262" spans="1:8" x14ac:dyDescent="0.35">
      <c r="A262" s="51">
        <v>43208</v>
      </c>
      <c r="B262">
        <v>-67902</v>
      </c>
      <c r="C262">
        <v>33809</v>
      </c>
      <c r="D262" s="4" t="s">
        <v>662</v>
      </c>
      <c r="E262">
        <v>55171</v>
      </c>
      <c r="F262">
        <v>-21077</v>
      </c>
      <c r="G262">
        <v>10526</v>
      </c>
      <c r="H262">
        <v>25102</v>
      </c>
    </row>
    <row r="263" spans="1:8" x14ac:dyDescent="0.35">
      <c r="A263" s="51">
        <v>43207</v>
      </c>
      <c r="B263">
        <v>-64187</v>
      </c>
      <c r="C263">
        <v>59973</v>
      </c>
      <c r="D263" s="4" t="s">
        <v>663</v>
      </c>
      <c r="E263">
        <v>25092</v>
      </c>
      <c r="F263">
        <v>-20877</v>
      </c>
      <c r="G263">
        <v>10549</v>
      </c>
      <c r="H263">
        <v>25334</v>
      </c>
    </row>
    <row r="264" spans="1:8" x14ac:dyDescent="0.35">
      <c r="A264" s="51">
        <v>43206</v>
      </c>
      <c r="B264">
        <v>-64983</v>
      </c>
      <c r="C264">
        <v>73071</v>
      </c>
      <c r="D264" s="4" t="s">
        <v>664</v>
      </c>
      <c r="E264">
        <v>12790</v>
      </c>
      <c r="F264">
        <v>-20877</v>
      </c>
      <c r="G264">
        <v>10528</v>
      </c>
      <c r="H264">
        <v>25321</v>
      </c>
    </row>
    <row r="265" spans="1:8" x14ac:dyDescent="0.35">
      <c r="A265" s="51">
        <v>43203</v>
      </c>
      <c r="B265">
        <v>-59519</v>
      </c>
      <c r="C265">
        <v>53342</v>
      </c>
      <c r="D265" s="4" t="s">
        <v>665</v>
      </c>
      <c r="E265">
        <v>27423</v>
      </c>
      <c r="F265">
        <v>-21245</v>
      </c>
      <c r="G265">
        <v>10480</v>
      </c>
      <c r="H265">
        <v>25200</v>
      </c>
    </row>
    <row r="266" spans="1:8" x14ac:dyDescent="0.35">
      <c r="A266" s="51">
        <v>43202</v>
      </c>
      <c r="B266">
        <v>-75043</v>
      </c>
      <c r="C266">
        <v>86795</v>
      </c>
      <c r="D266" s="4" t="s">
        <v>666</v>
      </c>
      <c r="E266">
        <v>7854</v>
      </c>
      <c r="F266">
        <v>-19605</v>
      </c>
      <c r="G266">
        <v>10459</v>
      </c>
      <c r="H266">
        <v>25195</v>
      </c>
    </row>
    <row r="267" spans="1:8" x14ac:dyDescent="0.35">
      <c r="A267" s="51">
        <v>43201</v>
      </c>
      <c r="B267">
        <v>-103299</v>
      </c>
      <c r="C267">
        <v>38846</v>
      </c>
      <c r="D267" s="4" t="s">
        <v>667</v>
      </c>
      <c r="E267">
        <v>84059</v>
      </c>
      <c r="F267">
        <v>-19605</v>
      </c>
      <c r="G267">
        <v>10417</v>
      </c>
      <c r="H267">
        <v>25098</v>
      </c>
    </row>
    <row r="268" spans="1:8" x14ac:dyDescent="0.35">
      <c r="A268" s="51">
        <v>43200</v>
      </c>
      <c r="B268">
        <v>-91552</v>
      </c>
      <c r="C268">
        <v>37187</v>
      </c>
      <c r="D268" s="4" t="s">
        <v>668</v>
      </c>
      <c r="E268">
        <v>73971</v>
      </c>
      <c r="F268">
        <v>-19605</v>
      </c>
      <c r="G268">
        <v>10402</v>
      </c>
      <c r="H268">
        <v>25227</v>
      </c>
    </row>
    <row r="269" spans="1:8" x14ac:dyDescent="0.35">
      <c r="A269" s="51">
        <v>43199</v>
      </c>
      <c r="B269">
        <v>-104463</v>
      </c>
      <c r="C269">
        <v>26984</v>
      </c>
      <c r="D269" s="4" t="s">
        <v>669</v>
      </c>
      <c r="E269">
        <v>95765</v>
      </c>
      <c r="F269">
        <v>-18285</v>
      </c>
      <c r="G269">
        <v>10379</v>
      </c>
      <c r="H269">
        <v>25094</v>
      </c>
    </row>
    <row r="270" spans="1:8" x14ac:dyDescent="0.35">
      <c r="A270" s="51">
        <v>43196</v>
      </c>
      <c r="B270">
        <v>-120192</v>
      </c>
      <c r="C270">
        <v>30873</v>
      </c>
      <c r="D270" s="4" t="s">
        <v>670</v>
      </c>
      <c r="E270">
        <v>107605</v>
      </c>
      <c r="F270">
        <v>-18285</v>
      </c>
      <c r="G270">
        <v>10332</v>
      </c>
      <c r="H270">
        <v>24873</v>
      </c>
    </row>
    <row r="271" spans="1:8" x14ac:dyDescent="0.35">
      <c r="A271" s="51">
        <v>43195</v>
      </c>
      <c r="B271">
        <v>-119808</v>
      </c>
      <c r="C271">
        <v>17456</v>
      </c>
      <c r="D271" s="4" t="s">
        <v>671</v>
      </c>
      <c r="E271">
        <v>120638</v>
      </c>
      <c r="F271">
        <v>-18285</v>
      </c>
      <c r="G271">
        <v>10325</v>
      </c>
      <c r="H271">
        <v>24760</v>
      </c>
    </row>
    <row r="272" spans="1:8" x14ac:dyDescent="0.35">
      <c r="A272" s="51">
        <v>43194</v>
      </c>
      <c r="B272">
        <v>-128082</v>
      </c>
      <c r="C272">
        <v>-116432</v>
      </c>
      <c r="D272" s="4" t="s">
        <v>672</v>
      </c>
      <c r="E272">
        <v>262869</v>
      </c>
      <c r="F272">
        <v>-18354</v>
      </c>
      <c r="G272">
        <v>10128</v>
      </c>
      <c r="H272">
        <v>24130</v>
      </c>
    </row>
    <row r="273" spans="1:8" x14ac:dyDescent="0.35">
      <c r="A273" s="51">
        <v>43193</v>
      </c>
      <c r="B273">
        <v>-124637</v>
      </c>
      <c r="C273">
        <v>-24707</v>
      </c>
      <c r="D273" s="4" t="s">
        <v>673</v>
      </c>
      <c r="E273">
        <v>169365</v>
      </c>
      <c r="F273">
        <v>-20020</v>
      </c>
      <c r="G273">
        <v>10245</v>
      </c>
      <c r="H273">
        <v>24511</v>
      </c>
    </row>
    <row r="274" spans="1:8" x14ac:dyDescent="0.35">
      <c r="A274" s="51">
        <v>43192</v>
      </c>
      <c r="B274">
        <v>-126860</v>
      </c>
      <c r="C274">
        <v>-29558</v>
      </c>
      <c r="D274" s="4" t="s">
        <v>674</v>
      </c>
      <c r="E274">
        <v>176439</v>
      </c>
      <c r="F274">
        <v>-20020</v>
      </c>
      <c r="G274">
        <v>10212</v>
      </c>
      <c r="H274">
        <v>24329</v>
      </c>
    </row>
    <row r="275" spans="1:8" x14ac:dyDescent="0.35">
      <c r="A275" s="51"/>
      <c r="B275">
        <v>-135744</v>
      </c>
      <c r="C275">
        <v>-37736</v>
      </c>
      <c r="D275" s="4" t="s">
        <v>675</v>
      </c>
      <c r="E275">
        <v>193148</v>
      </c>
      <c r="F275">
        <v>-19667</v>
      </c>
      <c r="G275">
        <v>10114</v>
      </c>
      <c r="H275">
        <v>24263</v>
      </c>
    </row>
    <row r="276" spans="1:8" x14ac:dyDescent="0.35">
      <c r="A276" s="51">
        <v>43186</v>
      </c>
      <c r="B276">
        <v>-221100</v>
      </c>
      <c r="C276">
        <v>-76845</v>
      </c>
      <c r="D276" s="4" t="s">
        <v>676</v>
      </c>
      <c r="E276">
        <v>316876</v>
      </c>
      <c r="F276">
        <v>-18930</v>
      </c>
      <c r="G276">
        <v>10184</v>
      </c>
      <c r="H276">
        <v>24434</v>
      </c>
    </row>
    <row r="277" spans="1:8" x14ac:dyDescent="0.35">
      <c r="A277" s="51">
        <v>43185</v>
      </c>
      <c r="B277">
        <v>-197137</v>
      </c>
      <c r="C277">
        <v>-79877</v>
      </c>
      <c r="D277" s="4" t="s">
        <v>677</v>
      </c>
      <c r="E277">
        <v>294595</v>
      </c>
      <c r="F277">
        <v>-17580</v>
      </c>
      <c r="G277">
        <v>10131</v>
      </c>
      <c r="H277">
        <v>24244</v>
      </c>
    </row>
    <row r="278" spans="1:8" x14ac:dyDescent="0.35">
      <c r="A278" s="51">
        <v>43182</v>
      </c>
      <c r="B278">
        <v>-184709</v>
      </c>
      <c r="C278">
        <v>-180983</v>
      </c>
      <c r="D278" s="4" t="s">
        <v>678</v>
      </c>
      <c r="E278">
        <v>382668</v>
      </c>
      <c r="F278">
        <v>-16975</v>
      </c>
      <c r="G278">
        <v>9998</v>
      </c>
      <c r="H278">
        <v>23670</v>
      </c>
    </row>
    <row r="279" spans="1:8" x14ac:dyDescent="0.35">
      <c r="A279" s="51">
        <v>43181</v>
      </c>
      <c r="B279">
        <v>-183676</v>
      </c>
      <c r="C279">
        <v>-165365</v>
      </c>
      <c r="D279" s="4" t="s">
        <v>679</v>
      </c>
      <c r="E279">
        <v>365017</v>
      </c>
      <c r="F279">
        <v>-15975</v>
      </c>
      <c r="G279">
        <v>10115</v>
      </c>
      <c r="H279">
        <v>24141</v>
      </c>
    </row>
    <row r="280" spans="1:8" x14ac:dyDescent="0.35">
      <c r="A280" s="51">
        <v>43180</v>
      </c>
      <c r="B280">
        <v>-177224</v>
      </c>
      <c r="C280">
        <v>-163236</v>
      </c>
      <c r="D280" s="4" t="s">
        <v>680</v>
      </c>
      <c r="E280">
        <v>356435</v>
      </c>
      <c r="F280">
        <v>-15974</v>
      </c>
      <c r="G280">
        <v>10155</v>
      </c>
      <c r="H280">
        <v>24256</v>
      </c>
    </row>
    <row r="281" spans="1:8" x14ac:dyDescent="0.35">
      <c r="A281" s="51">
        <v>43179</v>
      </c>
      <c r="B281">
        <v>-189046</v>
      </c>
      <c r="C281">
        <v>-172767</v>
      </c>
      <c r="D281" s="4" t="s">
        <v>681</v>
      </c>
      <c r="E281">
        <v>383022</v>
      </c>
      <c r="F281">
        <v>-21208</v>
      </c>
      <c r="G281">
        <v>10124</v>
      </c>
      <c r="H281">
        <v>24168</v>
      </c>
    </row>
    <row r="282" spans="1:8" x14ac:dyDescent="0.35">
      <c r="A282" s="51">
        <v>43178</v>
      </c>
      <c r="B282">
        <v>-197152</v>
      </c>
      <c r="C282">
        <v>-182521</v>
      </c>
      <c r="D282" s="4" t="s">
        <v>682</v>
      </c>
      <c r="E282">
        <v>400340</v>
      </c>
      <c r="F282">
        <v>-20666</v>
      </c>
      <c r="G282">
        <v>10094</v>
      </c>
      <c r="H282">
        <v>24245</v>
      </c>
    </row>
    <row r="283" spans="1:8" x14ac:dyDescent="0.35">
      <c r="A283" s="51">
        <v>43175</v>
      </c>
      <c r="B283">
        <v>-124653</v>
      </c>
      <c r="C283">
        <v>-172027</v>
      </c>
      <c r="D283" s="4" t="s">
        <v>683</v>
      </c>
      <c r="E283">
        <v>324014</v>
      </c>
      <c r="F283">
        <v>-27333</v>
      </c>
      <c r="G283">
        <v>10195</v>
      </c>
      <c r="H283">
        <v>24490</v>
      </c>
    </row>
    <row r="284" spans="1:8" x14ac:dyDescent="0.35">
      <c r="A284" s="51">
        <v>43174</v>
      </c>
      <c r="B284">
        <v>-96129</v>
      </c>
      <c r="C284">
        <v>-102890</v>
      </c>
      <c r="D284" s="4" t="s">
        <v>684</v>
      </c>
      <c r="E284">
        <v>225228</v>
      </c>
      <c r="F284">
        <v>-26208</v>
      </c>
      <c r="G284">
        <v>10360</v>
      </c>
      <c r="H284">
        <v>24792</v>
      </c>
    </row>
    <row r="285" spans="1:8" x14ac:dyDescent="0.35">
      <c r="A285" s="51">
        <v>43173</v>
      </c>
      <c r="B285">
        <v>-85420</v>
      </c>
      <c r="C285">
        <v>-44948</v>
      </c>
      <c r="D285" s="4" t="s">
        <v>685</v>
      </c>
      <c r="E285">
        <v>156192</v>
      </c>
      <c r="F285">
        <v>-25823</v>
      </c>
      <c r="G285">
        <v>10411</v>
      </c>
      <c r="H285">
        <v>24852</v>
      </c>
    </row>
    <row r="286" spans="1:8" x14ac:dyDescent="0.35">
      <c r="A286" s="51">
        <v>43172</v>
      </c>
      <c r="B286">
        <v>-76784</v>
      </c>
      <c r="C286">
        <v>-55718</v>
      </c>
      <c r="D286" s="4" t="s">
        <v>686</v>
      </c>
      <c r="E286">
        <v>158325</v>
      </c>
      <c r="F286">
        <v>-25822</v>
      </c>
      <c r="G286">
        <v>10427</v>
      </c>
      <c r="H286">
        <v>24739</v>
      </c>
    </row>
    <row r="287" spans="1:8" x14ac:dyDescent="0.35">
      <c r="A287" s="51">
        <v>43171</v>
      </c>
      <c r="B287">
        <v>-91669</v>
      </c>
      <c r="C287">
        <v>-13131</v>
      </c>
      <c r="D287" s="4" t="s">
        <v>687</v>
      </c>
      <c r="E287">
        <v>131022</v>
      </c>
      <c r="F287">
        <v>-26221</v>
      </c>
      <c r="G287">
        <v>10421</v>
      </c>
      <c r="H287">
        <v>24664</v>
      </c>
    </row>
    <row r="288" spans="1:8" x14ac:dyDescent="0.35">
      <c r="A288" s="51">
        <v>43168</v>
      </c>
      <c r="B288">
        <v>-122081</v>
      </c>
      <c r="C288">
        <v>-113730</v>
      </c>
      <c r="D288" s="4" t="s">
        <v>688</v>
      </c>
      <c r="E288">
        <v>263986</v>
      </c>
      <c r="F288">
        <v>-28174</v>
      </c>
      <c r="G288">
        <v>10277</v>
      </c>
      <c r="H288">
        <v>24296</v>
      </c>
    </row>
    <row r="289" spans="1:8" x14ac:dyDescent="0.35">
      <c r="A289" s="51">
        <v>43167</v>
      </c>
      <c r="B289">
        <v>-112324</v>
      </c>
      <c r="C289">
        <v>-118379</v>
      </c>
      <c r="D289" s="4" t="s">
        <v>689</v>
      </c>
      <c r="E289">
        <v>258347</v>
      </c>
      <c r="F289">
        <v>-27643</v>
      </c>
      <c r="G289">
        <v>10243</v>
      </c>
      <c r="H289">
        <v>24478</v>
      </c>
    </row>
    <row r="290" spans="1:8" x14ac:dyDescent="0.35">
      <c r="A290" s="51">
        <v>43166</v>
      </c>
      <c r="B290">
        <v>-109498</v>
      </c>
      <c r="C290">
        <v>-196727</v>
      </c>
      <c r="D290" s="4" t="s">
        <v>690</v>
      </c>
      <c r="E290">
        <v>320000</v>
      </c>
      <c r="F290">
        <v>-13774</v>
      </c>
      <c r="G290">
        <v>10154</v>
      </c>
      <c r="H290">
        <v>24134</v>
      </c>
    </row>
    <row r="291" spans="1:8" x14ac:dyDescent="0.35">
      <c r="A291" s="51">
        <v>43165</v>
      </c>
      <c r="B291">
        <v>-88910</v>
      </c>
      <c r="C291">
        <v>-178253</v>
      </c>
      <c r="D291" s="4" t="s">
        <v>691</v>
      </c>
      <c r="E291">
        <v>279405</v>
      </c>
      <c r="F291">
        <v>-12241</v>
      </c>
      <c r="G291">
        <v>10249</v>
      </c>
      <c r="H291">
        <v>24448</v>
      </c>
    </row>
    <row r="292" spans="1:8" x14ac:dyDescent="0.35">
      <c r="A292" s="51">
        <v>43164</v>
      </c>
      <c r="B292">
        <v>-69100</v>
      </c>
      <c r="C292">
        <v>-140093</v>
      </c>
      <c r="D292" s="4" t="s">
        <v>692</v>
      </c>
      <c r="E292">
        <v>220735</v>
      </c>
      <c r="F292">
        <v>-11541</v>
      </c>
      <c r="G292">
        <v>10359</v>
      </c>
      <c r="H292">
        <v>24819</v>
      </c>
    </row>
    <row r="293" spans="1:8" x14ac:dyDescent="0.35">
      <c r="A293" s="51">
        <v>43160</v>
      </c>
      <c r="B293">
        <v>-58828</v>
      </c>
      <c r="C293">
        <v>-121865</v>
      </c>
      <c r="D293" s="4" t="s">
        <v>693</v>
      </c>
      <c r="E293">
        <v>191786</v>
      </c>
      <c r="F293">
        <v>-11091</v>
      </c>
      <c r="G293">
        <v>10458</v>
      </c>
      <c r="H293">
        <v>24903</v>
      </c>
    </row>
    <row r="294" spans="1:8" x14ac:dyDescent="0.35">
      <c r="A294" s="51">
        <v>43159</v>
      </c>
      <c r="B294">
        <v>-66207</v>
      </c>
      <c r="C294">
        <v>-93968</v>
      </c>
      <c r="D294" s="4" t="s">
        <v>694</v>
      </c>
      <c r="E294">
        <v>168666</v>
      </c>
      <c r="F294">
        <v>-8491</v>
      </c>
      <c r="G294">
        <v>10493</v>
      </c>
      <c r="H294">
        <v>25107</v>
      </c>
    </row>
    <row r="295" spans="1:8" x14ac:dyDescent="0.35">
      <c r="A295" s="51">
        <v>43158</v>
      </c>
      <c r="B295">
        <v>-68357</v>
      </c>
      <c r="C295">
        <v>-65588</v>
      </c>
      <c r="D295" s="4" t="s">
        <v>695</v>
      </c>
      <c r="E295">
        <v>141786</v>
      </c>
      <c r="F295">
        <v>-7841</v>
      </c>
      <c r="G295">
        <v>10554</v>
      </c>
      <c r="H295">
        <v>25384</v>
      </c>
    </row>
    <row r="296" spans="1:8" x14ac:dyDescent="0.35">
      <c r="A296" s="51">
        <v>43157</v>
      </c>
      <c r="B296">
        <v>-63781</v>
      </c>
      <c r="C296">
        <v>-16511</v>
      </c>
      <c r="D296" s="4" t="s">
        <v>696</v>
      </c>
      <c r="E296">
        <v>86034</v>
      </c>
      <c r="F296">
        <v>-5741</v>
      </c>
      <c r="G296">
        <v>10583</v>
      </c>
      <c r="H296">
        <v>25688</v>
      </c>
    </row>
    <row r="297" spans="1:8" x14ac:dyDescent="0.35">
      <c r="A297" s="51">
        <v>43154</v>
      </c>
      <c r="B297">
        <v>-56901</v>
      </c>
      <c r="C297">
        <v>-35228</v>
      </c>
      <c r="D297" s="4" t="s">
        <v>697</v>
      </c>
      <c r="E297">
        <v>96539</v>
      </c>
      <c r="F297">
        <v>-4409</v>
      </c>
      <c r="G297">
        <v>10491</v>
      </c>
      <c r="H297">
        <v>25303</v>
      </c>
    </row>
    <row r="298" spans="1:8" x14ac:dyDescent="0.35">
      <c r="A298" s="51"/>
      <c r="B298">
        <v>-69879</v>
      </c>
      <c r="C298">
        <v>-56693</v>
      </c>
      <c r="D298" s="4" t="s">
        <v>698</v>
      </c>
      <c r="E298">
        <v>131662</v>
      </c>
      <c r="F298">
        <v>-5089</v>
      </c>
      <c r="G298">
        <v>10383</v>
      </c>
      <c r="H298">
        <v>24955</v>
      </c>
    </row>
    <row r="299" spans="1:8" x14ac:dyDescent="0.35">
      <c r="A299" s="51">
        <v>43152</v>
      </c>
      <c r="B299">
        <v>-209986</v>
      </c>
      <c r="C299">
        <v>-150304</v>
      </c>
      <c r="D299" s="4" t="s">
        <v>699</v>
      </c>
      <c r="E299">
        <v>380944</v>
      </c>
      <c r="F299">
        <v>-20653</v>
      </c>
      <c r="G299">
        <v>10397</v>
      </c>
      <c r="H299">
        <v>24937</v>
      </c>
    </row>
    <row r="300" spans="1:8" x14ac:dyDescent="0.35">
      <c r="A300" s="51">
        <v>43151</v>
      </c>
      <c r="B300">
        <v>-223330</v>
      </c>
      <c r="C300">
        <v>-166425</v>
      </c>
      <c r="D300" s="4" t="s">
        <v>700</v>
      </c>
      <c r="E300">
        <v>414276</v>
      </c>
      <c r="F300">
        <v>-24520</v>
      </c>
      <c r="G300">
        <v>10360</v>
      </c>
      <c r="H300">
        <v>24874</v>
      </c>
    </row>
    <row r="301" spans="1:8" x14ac:dyDescent="0.35">
      <c r="A301" s="51">
        <v>43150</v>
      </c>
      <c r="B301">
        <v>-227993</v>
      </c>
      <c r="C301">
        <v>-188117</v>
      </c>
      <c r="D301" s="4" t="s">
        <v>701</v>
      </c>
      <c r="E301">
        <v>440547</v>
      </c>
      <c r="F301">
        <v>-24436</v>
      </c>
      <c r="G301">
        <v>10378</v>
      </c>
      <c r="H301">
        <v>25058</v>
      </c>
    </row>
    <row r="302" spans="1:8" x14ac:dyDescent="0.35">
      <c r="A302" s="51">
        <v>43147</v>
      </c>
      <c r="B302">
        <v>-193180</v>
      </c>
      <c r="C302">
        <v>-182169</v>
      </c>
      <c r="D302" s="4" t="s">
        <v>702</v>
      </c>
      <c r="E302">
        <v>399629</v>
      </c>
      <c r="F302">
        <v>-24279</v>
      </c>
      <c r="G302">
        <v>10452</v>
      </c>
      <c r="H302">
        <v>25164</v>
      </c>
    </row>
    <row r="303" spans="1:8" x14ac:dyDescent="0.35">
      <c r="A303" s="51">
        <v>43146</v>
      </c>
      <c r="B303">
        <v>-191851</v>
      </c>
      <c r="C303">
        <v>-114182</v>
      </c>
      <c r="D303" s="4" t="s">
        <v>703</v>
      </c>
      <c r="E303">
        <v>330303</v>
      </c>
      <c r="F303">
        <v>-24269</v>
      </c>
      <c r="G303">
        <v>10545</v>
      </c>
      <c r="H303">
        <v>25424</v>
      </c>
    </row>
    <row r="304" spans="1:8" x14ac:dyDescent="0.35">
      <c r="A304" s="51">
        <v>43145</v>
      </c>
      <c r="B304">
        <v>-226932</v>
      </c>
      <c r="C304">
        <v>-173647</v>
      </c>
      <c r="D304" s="4" t="s">
        <v>704</v>
      </c>
      <c r="E304">
        <v>424839</v>
      </c>
      <c r="F304">
        <v>-24259</v>
      </c>
      <c r="G304">
        <v>10501</v>
      </c>
      <c r="H304">
        <v>25341</v>
      </c>
    </row>
    <row r="305" spans="1:8" x14ac:dyDescent="0.35">
      <c r="A305" s="51">
        <v>43143</v>
      </c>
      <c r="B305">
        <v>-214659</v>
      </c>
      <c r="C305">
        <v>-157382</v>
      </c>
      <c r="D305" s="4" t="s">
        <v>705</v>
      </c>
      <c r="E305">
        <v>396301</v>
      </c>
      <c r="F305">
        <v>-24259</v>
      </c>
      <c r="G305">
        <v>10540</v>
      </c>
      <c r="H305">
        <v>25702</v>
      </c>
    </row>
    <row r="306" spans="1:8" x14ac:dyDescent="0.35">
      <c r="A306" s="51">
        <v>43140</v>
      </c>
      <c r="B306">
        <v>-234046</v>
      </c>
      <c r="C306">
        <v>-166821</v>
      </c>
      <c r="D306" s="4" t="s">
        <v>706</v>
      </c>
      <c r="E306">
        <v>425127</v>
      </c>
      <c r="F306">
        <v>-24259</v>
      </c>
      <c r="G306">
        <v>10455</v>
      </c>
      <c r="H306">
        <v>25464</v>
      </c>
    </row>
    <row r="307" spans="1:8" x14ac:dyDescent="0.35">
      <c r="A307" s="51">
        <v>43139</v>
      </c>
      <c r="B307">
        <v>-192458</v>
      </c>
      <c r="C307">
        <v>-150057</v>
      </c>
      <c r="D307" s="4" t="s">
        <v>707</v>
      </c>
      <c r="E307">
        <v>366775</v>
      </c>
      <c r="F307">
        <v>-24259</v>
      </c>
      <c r="G307">
        <v>10577</v>
      </c>
      <c r="H307">
        <v>25921</v>
      </c>
    </row>
    <row r="308" spans="1:8" x14ac:dyDescent="0.35">
      <c r="A308" s="51">
        <v>43138</v>
      </c>
      <c r="B308">
        <v>-201413</v>
      </c>
      <c r="C308">
        <v>-261366</v>
      </c>
      <c r="D308" s="4" t="s">
        <v>708</v>
      </c>
      <c r="E308">
        <v>487089</v>
      </c>
      <c r="F308">
        <v>-24309</v>
      </c>
      <c r="G308">
        <v>10477</v>
      </c>
      <c r="H308">
        <v>25670</v>
      </c>
    </row>
    <row r="309" spans="1:8" x14ac:dyDescent="0.35">
      <c r="A309" s="51">
        <v>43137</v>
      </c>
      <c r="B309">
        <v>-157820</v>
      </c>
      <c r="C309">
        <v>-176249</v>
      </c>
      <c r="D309" s="4" t="s">
        <v>709</v>
      </c>
      <c r="E309">
        <v>360679</v>
      </c>
      <c r="F309">
        <v>-26609</v>
      </c>
      <c r="G309">
        <v>10498</v>
      </c>
      <c r="H309">
        <v>25811</v>
      </c>
    </row>
    <row r="310" spans="1:8" x14ac:dyDescent="0.35">
      <c r="A310" s="51">
        <v>43136</v>
      </c>
      <c r="B310">
        <v>-110830</v>
      </c>
      <c r="C310">
        <v>-193543</v>
      </c>
      <c r="D310" s="4" t="s">
        <v>710</v>
      </c>
      <c r="E310">
        <v>332872</v>
      </c>
      <c r="F310">
        <v>-28498</v>
      </c>
      <c r="G310">
        <v>10666</v>
      </c>
      <c r="H310">
        <v>26099</v>
      </c>
    </row>
    <row r="311" spans="1:8" x14ac:dyDescent="0.35">
      <c r="A311" s="51">
        <v>43133</v>
      </c>
      <c r="B311">
        <v>-80007</v>
      </c>
      <c r="C311">
        <v>-173867</v>
      </c>
      <c r="D311" s="4" t="s">
        <v>711</v>
      </c>
      <c r="E311">
        <v>282373</v>
      </c>
      <c r="F311">
        <v>-28498</v>
      </c>
      <c r="G311">
        <v>10761</v>
      </c>
      <c r="H311">
        <v>26451</v>
      </c>
    </row>
    <row r="312" spans="1:8" x14ac:dyDescent="0.35">
      <c r="A312" s="51">
        <v>43132</v>
      </c>
      <c r="B312">
        <v>12599</v>
      </c>
      <c r="C312">
        <v>-108556</v>
      </c>
      <c r="D312" s="4" t="s">
        <v>712</v>
      </c>
      <c r="E312">
        <v>123790</v>
      </c>
      <c r="F312">
        <v>-27832</v>
      </c>
      <c r="G312">
        <v>11017</v>
      </c>
      <c r="H312">
        <v>27221</v>
      </c>
    </row>
    <row r="313" spans="1:8" x14ac:dyDescent="0.35">
      <c r="A313" s="51">
        <v>43131</v>
      </c>
      <c r="B313">
        <v>37250</v>
      </c>
      <c r="C313">
        <v>-76969</v>
      </c>
      <c r="D313" s="4" t="s">
        <v>713</v>
      </c>
      <c r="E313">
        <v>75935</v>
      </c>
      <c r="F313">
        <v>-36215</v>
      </c>
      <c r="G313">
        <v>11028</v>
      </c>
      <c r="H313">
        <v>27379</v>
      </c>
    </row>
    <row r="314" spans="1:8" x14ac:dyDescent="0.35">
      <c r="A314" s="51">
        <v>43130</v>
      </c>
      <c r="B314">
        <v>52556</v>
      </c>
      <c r="C314">
        <v>-47661</v>
      </c>
      <c r="D314" s="4" t="s">
        <v>714</v>
      </c>
      <c r="E314">
        <v>31251</v>
      </c>
      <c r="F314">
        <v>-36145</v>
      </c>
      <c r="G314">
        <v>11050</v>
      </c>
      <c r="H314">
        <v>27269</v>
      </c>
    </row>
    <row r="315" spans="1:8" x14ac:dyDescent="0.35">
      <c r="A315" s="51">
        <v>43129</v>
      </c>
      <c r="B315">
        <v>67966</v>
      </c>
      <c r="C315">
        <v>-10160</v>
      </c>
      <c r="D315" s="4" t="s">
        <v>715</v>
      </c>
      <c r="E315">
        <v>-22099</v>
      </c>
      <c r="F315">
        <v>-35706</v>
      </c>
      <c r="G315">
        <v>11130</v>
      </c>
      <c r="H315">
        <v>27498</v>
      </c>
    </row>
    <row r="316" spans="1:8" x14ac:dyDescent="0.35">
      <c r="A316" s="51"/>
      <c r="B316">
        <v>69641</v>
      </c>
      <c r="C316">
        <v>12628</v>
      </c>
      <c r="D316" s="4" t="s">
        <v>716</v>
      </c>
      <c r="E316">
        <v>-46567</v>
      </c>
      <c r="F316">
        <v>-35701</v>
      </c>
      <c r="G316">
        <v>11070</v>
      </c>
      <c r="H316">
        <v>27446</v>
      </c>
    </row>
    <row r="317" spans="1:8" x14ac:dyDescent="0.35">
      <c r="A317" s="51">
        <v>43124</v>
      </c>
      <c r="B317">
        <v>155939</v>
      </c>
      <c r="C317">
        <v>120961</v>
      </c>
      <c r="D317" s="4" t="s">
        <v>717</v>
      </c>
      <c r="E317">
        <v>-239654</v>
      </c>
      <c r="F317">
        <v>-37245</v>
      </c>
      <c r="G317">
        <v>11086</v>
      </c>
      <c r="H317">
        <v>27398</v>
      </c>
    </row>
    <row r="318" spans="1:8" x14ac:dyDescent="0.35">
      <c r="A318" s="51">
        <v>43123</v>
      </c>
      <c r="B318">
        <v>200394</v>
      </c>
      <c r="C318">
        <v>125423</v>
      </c>
      <c r="D318" s="4" t="s">
        <v>718</v>
      </c>
      <c r="E318">
        <v>-288544</v>
      </c>
      <c r="F318">
        <v>-37272</v>
      </c>
      <c r="G318">
        <v>11084</v>
      </c>
      <c r="H318">
        <v>27390</v>
      </c>
    </row>
    <row r="319" spans="1:8" x14ac:dyDescent="0.35">
      <c r="A319" s="51">
        <v>43122</v>
      </c>
      <c r="B319">
        <v>199856</v>
      </c>
      <c r="C319">
        <v>135767</v>
      </c>
      <c r="D319" s="4" t="s">
        <v>719</v>
      </c>
      <c r="E319">
        <v>-301451</v>
      </c>
      <c r="F319">
        <v>-34171</v>
      </c>
      <c r="G319">
        <v>10966</v>
      </c>
      <c r="H319">
        <v>27041</v>
      </c>
    </row>
    <row r="320" spans="1:8" x14ac:dyDescent="0.35">
      <c r="A320" s="51">
        <v>43119</v>
      </c>
      <c r="B320">
        <v>168948</v>
      </c>
      <c r="C320">
        <v>165660</v>
      </c>
      <c r="D320" s="4" t="s">
        <v>720</v>
      </c>
      <c r="E320">
        <v>-300436</v>
      </c>
      <c r="F320">
        <v>-34171</v>
      </c>
      <c r="G320">
        <v>10894</v>
      </c>
      <c r="H320">
        <v>26909</v>
      </c>
    </row>
    <row r="321" spans="1:8" x14ac:dyDescent="0.35">
      <c r="A321" s="51">
        <v>43118</v>
      </c>
      <c r="B321">
        <v>149989</v>
      </c>
      <c r="C321">
        <v>91329</v>
      </c>
      <c r="D321" s="4" t="s">
        <v>721</v>
      </c>
      <c r="E321">
        <v>-207147</v>
      </c>
      <c r="F321">
        <v>-34171</v>
      </c>
      <c r="G321">
        <v>10817</v>
      </c>
      <c r="H321">
        <v>26537</v>
      </c>
    </row>
    <row r="322" spans="1:8" x14ac:dyDescent="0.35">
      <c r="A322" s="51">
        <v>43117</v>
      </c>
      <c r="B322">
        <v>127065</v>
      </c>
      <c r="C322">
        <v>160489</v>
      </c>
      <c r="D322" s="4" t="s">
        <v>722</v>
      </c>
      <c r="E322">
        <v>-253388</v>
      </c>
      <c r="F322">
        <v>-34166</v>
      </c>
      <c r="G322">
        <v>10789</v>
      </c>
      <c r="H322">
        <v>26289</v>
      </c>
    </row>
    <row r="323" spans="1:8" x14ac:dyDescent="0.35">
      <c r="A323" s="51">
        <v>43116</v>
      </c>
      <c r="B323">
        <v>115950</v>
      </c>
      <c r="C323">
        <v>59174</v>
      </c>
      <c r="D323" s="4" t="s">
        <v>723</v>
      </c>
      <c r="E323">
        <v>-140957</v>
      </c>
      <c r="F323">
        <v>-34166</v>
      </c>
      <c r="G323">
        <v>10700</v>
      </c>
      <c r="H323">
        <v>25975</v>
      </c>
    </row>
    <row r="324" spans="1:8" x14ac:dyDescent="0.35">
      <c r="A324" s="51">
        <v>43115</v>
      </c>
      <c r="B324">
        <v>109600</v>
      </c>
      <c r="C324">
        <v>107477</v>
      </c>
      <c r="D324" s="4" t="s">
        <v>724</v>
      </c>
      <c r="E324">
        <v>-183240</v>
      </c>
      <c r="F324">
        <v>-33836</v>
      </c>
      <c r="G324">
        <v>10742</v>
      </c>
      <c r="H324">
        <v>26069</v>
      </c>
    </row>
    <row r="325" spans="1:8" x14ac:dyDescent="0.35">
      <c r="A325" s="51">
        <v>43112</v>
      </c>
      <c r="B325">
        <v>50957</v>
      </c>
      <c r="C325">
        <v>98897</v>
      </c>
      <c r="D325" s="4" t="s">
        <v>725</v>
      </c>
      <c r="E325">
        <v>-116018</v>
      </c>
      <c r="F325">
        <v>-33836</v>
      </c>
      <c r="G325">
        <v>10681</v>
      </c>
      <c r="H325">
        <v>25749</v>
      </c>
    </row>
    <row r="326" spans="1:8" x14ac:dyDescent="0.35">
      <c r="A326" s="51">
        <v>43111</v>
      </c>
      <c r="B326">
        <v>34785</v>
      </c>
      <c r="C326">
        <v>111755</v>
      </c>
      <c r="D326" s="4" t="s">
        <v>726</v>
      </c>
      <c r="E326">
        <v>-113198</v>
      </c>
      <c r="F326">
        <v>-33341</v>
      </c>
      <c r="G326">
        <v>10651</v>
      </c>
      <c r="H326">
        <v>25661</v>
      </c>
    </row>
    <row r="327" spans="1:8" x14ac:dyDescent="0.35">
      <c r="A327" s="51">
        <v>43110</v>
      </c>
      <c r="B327">
        <v>-2960</v>
      </c>
      <c r="C327">
        <v>82405</v>
      </c>
      <c r="D327" s="4" t="s">
        <v>727</v>
      </c>
      <c r="E327">
        <v>-46917</v>
      </c>
      <c r="F327">
        <v>-32527</v>
      </c>
      <c r="G327">
        <v>10632</v>
      </c>
      <c r="H327">
        <v>25617</v>
      </c>
    </row>
    <row r="328" spans="1:8" x14ac:dyDescent="0.35">
      <c r="A328" s="51">
        <v>43109</v>
      </c>
      <c r="B328">
        <v>-2746</v>
      </c>
      <c r="C328">
        <v>98762</v>
      </c>
      <c r="D328" s="4" t="s">
        <v>728</v>
      </c>
      <c r="E328">
        <v>-63488</v>
      </c>
      <c r="F328">
        <v>-32527</v>
      </c>
      <c r="G328">
        <v>10637</v>
      </c>
      <c r="H328">
        <v>25704</v>
      </c>
    </row>
    <row r="329" spans="1:8" x14ac:dyDescent="0.35">
      <c r="A329" s="51">
        <v>43108</v>
      </c>
      <c r="B329">
        <v>-25283</v>
      </c>
      <c r="C329">
        <v>89703</v>
      </c>
      <c r="D329" s="4" t="s">
        <v>729</v>
      </c>
      <c r="E329">
        <v>-32911</v>
      </c>
      <c r="F329">
        <v>-31508</v>
      </c>
      <c r="G329">
        <v>10624</v>
      </c>
      <c r="H329">
        <v>25676</v>
      </c>
    </row>
    <row r="330" spans="1:8" x14ac:dyDescent="0.35">
      <c r="A330" s="51">
        <v>43105</v>
      </c>
      <c r="B330">
        <v>-40644</v>
      </c>
      <c r="C330">
        <v>44768</v>
      </c>
      <c r="D330" s="4" t="s">
        <v>730</v>
      </c>
      <c r="E330">
        <v>25915</v>
      </c>
      <c r="F330">
        <v>-30038</v>
      </c>
      <c r="G330">
        <v>10559</v>
      </c>
      <c r="H330">
        <v>25602</v>
      </c>
    </row>
    <row r="331" spans="1:8" x14ac:dyDescent="0.35">
      <c r="A331" s="51">
        <v>43104</v>
      </c>
      <c r="B331">
        <v>-55755</v>
      </c>
      <c r="C331">
        <v>12318</v>
      </c>
      <c r="D331" s="4" t="s">
        <v>731</v>
      </c>
      <c r="E331">
        <v>73476</v>
      </c>
      <c r="F331">
        <v>-30038</v>
      </c>
      <c r="G331">
        <v>10505</v>
      </c>
      <c r="H331">
        <v>25462</v>
      </c>
    </row>
    <row r="332" spans="1:8" x14ac:dyDescent="0.35">
      <c r="A332" s="51">
        <v>43103</v>
      </c>
      <c r="B332">
        <v>-76363</v>
      </c>
      <c r="C332">
        <v>-63164</v>
      </c>
      <c r="D332" s="4" t="s">
        <v>732</v>
      </c>
      <c r="E332">
        <v>167797</v>
      </c>
      <c r="F332">
        <v>-28269</v>
      </c>
      <c r="G332">
        <v>10443</v>
      </c>
      <c r="H332">
        <v>25319</v>
      </c>
    </row>
    <row r="333" spans="1:8" x14ac:dyDescent="0.35">
      <c r="A333" s="51">
        <v>43102</v>
      </c>
      <c r="B333">
        <v>-72732</v>
      </c>
      <c r="C333">
        <v>-33693</v>
      </c>
      <c r="D333" s="4" t="s">
        <v>733</v>
      </c>
      <c r="E333">
        <v>131544</v>
      </c>
      <c r="F333">
        <v>-25118</v>
      </c>
      <c r="G333">
        <v>10442</v>
      </c>
      <c r="H333">
        <v>25338</v>
      </c>
    </row>
    <row r="334" spans="1:8" x14ac:dyDescent="0.35">
      <c r="A334" s="51">
        <v>43101</v>
      </c>
      <c r="B334">
        <v>-61756</v>
      </c>
      <c r="C334">
        <v>-3318</v>
      </c>
      <c r="D334" s="4" t="s">
        <v>734</v>
      </c>
      <c r="E334">
        <v>88852</v>
      </c>
      <c r="F334">
        <v>-23777</v>
      </c>
      <c r="G334">
        <v>10436</v>
      </c>
      <c r="H334">
        <v>25318</v>
      </c>
    </row>
    <row r="335" spans="1:8" x14ac:dyDescent="0.35">
      <c r="A335" s="51">
        <v>43098</v>
      </c>
      <c r="B335">
        <v>-64220</v>
      </c>
      <c r="C335">
        <v>48549</v>
      </c>
      <c r="D335" s="4" t="s">
        <v>735</v>
      </c>
      <c r="E335">
        <v>39305</v>
      </c>
      <c r="F335">
        <v>-23634</v>
      </c>
      <c r="G335">
        <v>10531</v>
      </c>
      <c r="H335">
        <v>25539</v>
      </c>
    </row>
    <row r="336" spans="1:8" x14ac:dyDescent="0.35">
      <c r="A336" s="51"/>
      <c r="B336">
        <v>-47156</v>
      </c>
      <c r="C336">
        <v>11192</v>
      </c>
      <c r="D336" s="4" t="s">
        <v>736</v>
      </c>
      <c r="E336">
        <v>53987</v>
      </c>
      <c r="F336">
        <v>-18021</v>
      </c>
      <c r="G336">
        <v>10478</v>
      </c>
      <c r="H336">
        <v>25490</v>
      </c>
    </row>
    <row r="337" spans="1:8" x14ac:dyDescent="0.35">
      <c r="A337" s="51">
        <v>43096</v>
      </c>
      <c r="B337">
        <v>-173780</v>
      </c>
      <c r="C337">
        <v>12698</v>
      </c>
      <c r="D337" s="4" t="s">
        <v>737</v>
      </c>
      <c r="E337">
        <v>137012</v>
      </c>
      <c r="F337">
        <v>24070</v>
      </c>
      <c r="G337">
        <v>10491</v>
      </c>
      <c r="H337">
        <v>25496</v>
      </c>
    </row>
    <row r="338" spans="1:8" x14ac:dyDescent="0.35">
      <c r="A338" s="51">
        <v>43095</v>
      </c>
      <c r="B338">
        <v>-164969</v>
      </c>
      <c r="C338">
        <v>66485</v>
      </c>
      <c r="D338" s="4" t="s">
        <v>738</v>
      </c>
      <c r="E338">
        <v>63688</v>
      </c>
      <c r="F338">
        <v>34797</v>
      </c>
      <c r="G338">
        <v>10531</v>
      </c>
      <c r="H338">
        <v>25675</v>
      </c>
    </row>
    <row r="339" spans="1:8" x14ac:dyDescent="0.35">
      <c r="A339" s="51">
        <v>43091</v>
      </c>
      <c r="B339">
        <v>-173740</v>
      </c>
      <c r="C339">
        <v>84423</v>
      </c>
      <c r="D339" s="4" t="s">
        <v>739</v>
      </c>
      <c r="E339">
        <v>54344</v>
      </c>
      <c r="F339">
        <v>34974</v>
      </c>
      <c r="G339">
        <v>10493</v>
      </c>
      <c r="H339">
        <v>25649</v>
      </c>
    </row>
    <row r="340" spans="1:8" x14ac:dyDescent="0.35">
      <c r="A340" s="51">
        <v>43090</v>
      </c>
      <c r="B340">
        <v>-205350</v>
      </c>
      <c r="C340">
        <v>35185</v>
      </c>
      <c r="D340" s="4" t="s">
        <v>740</v>
      </c>
      <c r="E340">
        <v>134449</v>
      </c>
      <c r="F340">
        <v>35717</v>
      </c>
      <c r="G340">
        <v>10440</v>
      </c>
      <c r="H340">
        <v>25554</v>
      </c>
    </row>
    <row r="341" spans="1:8" x14ac:dyDescent="0.35">
      <c r="A341" s="51">
        <v>43089</v>
      </c>
      <c r="B341">
        <v>-199452</v>
      </c>
      <c r="C341">
        <v>27934</v>
      </c>
      <c r="D341" s="4" t="s">
        <v>741</v>
      </c>
      <c r="E341">
        <v>135803</v>
      </c>
      <c r="F341">
        <v>35717</v>
      </c>
      <c r="G341">
        <v>10444</v>
      </c>
      <c r="H341">
        <v>25592</v>
      </c>
    </row>
    <row r="342" spans="1:8" x14ac:dyDescent="0.35">
      <c r="A342" s="51">
        <v>43088</v>
      </c>
      <c r="B342">
        <v>-205712</v>
      </c>
      <c r="C342">
        <v>31474</v>
      </c>
      <c r="D342" s="4" t="s">
        <v>742</v>
      </c>
      <c r="E342">
        <v>138522</v>
      </c>
      <c r="F342">
        <v>35717</v>
      </c>
      <c r="G342">
        <v>10463</v>
      </c>
      <c r="H342">
        <v>25716</v>
      </c>
    </row>
    <row r="343" spans="1:8" x14ac:dyDescent="0.35">
      <c r="A343" s="51">
        <v>43087</v>
      </c>
      <c r="B343">
        <v>-216758</v>
      </c>
      <c r="C343">
        <v>-57844</v>
      </c>
      <c r="D343" s="4" t="s">
        <v>743</v>
      </c>
      <c r="E343">
        <v>237629</v>
      </c>
      <c r="F343">
        <v>36974</v>
      </c>
      <c r="G343">
        <v>10389</v>
      </c>
      <c r="H343">
        <v>25595</v>
      </c>
    </row>
    <row r="344" spans="1:8" x14ac:dyDescent="0.35">
      <c r="A344" s="51">
        <v>43084</v>
      </c>
      <c r="B344">
        <v>-227127</v>
      </c>
      <c r="C344">
        <v>-74310</v>
      </c>
      <c r="D344" s="4" t="s">
        <v>744</v>
      </c>
      <c r="E344">
        <v>261826</v>
      </c>
      <c r="F344">
        <v>39613</v>
      </c>
      <c r="G344">
        <v>10333</v>
      </c>
      <c r="H344">
        <v>25440</v>
      </c>
    </row>
    <row r="345" spans="1:8" x14ac:dyDescent="0.35">
      <c r="A345" s="51">
        <v>43083</v>
      </c>
      <c r="B345">
        <v>-201524</v>
      </c>
      <c r="C345">
        <v>-93199</v>
      </c>
      <c r="D345" s="4" t="s">
        <v>745</v>
      </c>
      <c r="E345">
        <v>252594</v>
      </c>
      <c r="F345">
        <v>42130</v>
      </c>
      <c r="G345">
        <v>10252</v>
      </c>
      <c r="H345">
        <v>25168</v>
      </c>
    </row>
    <row r="346" spans="1:8" x14ac:dyDescent="0.35">
      <c r="A346" s="51">
        <v>43082</v>
      </c>
      <c r="B346">
        <v>-217676</v>
      </c>
      <c r="C346">
        <v>-139400</v>
      </c>
      <c r="D346" s="4" t="s">
        <v>746</v>
      </c>
      <c r="E346">
        <v>323270</v>
      </c>
      <c r="F346">
        <v>33808</v>
      </c>
      <c r="G346">
        <v>10193</v>
      </c>
      <c r="H346">
        <v>25000</v>
      </c>
    </row>
    <row r="347" spans="1:8" x14ac:dyDescent="0.35">
      <c r="A347" s="51">
        <v>43081</v>
      </c>
      <c r="B347">
        <v>-222363</v>
      </c>
      <c r="C347">
        <v>-92120</v>
      </c>
      <c r="D347" s="4" t="s">
        <v>747</v>
      </c>
      <c r="E347">
        <v>269095</v>
      </c>
      <c r="F347">
        <v>45390</v>
      </c>
      <c r="G347">
        <v>10240</v>
      </c>
      <c r="H347">
        <v>25125</v>
      </c>
    </row>
    <row r="348" spans="1:8" x14ac:dyDescent="0.35">
      <c r="A348" s="51">
        <v>43080</v>
      </c>
      <c r="B348">
        <v>-218547</v>
      </c>
      <c r="C348">
        <v>-47511</v>
      </c>
      <c r="D348" s="4" t="s">
        <v>748</v>
      </c>
      <c r="E348">
        <v>219467</v>
      </c>
      <c r="F348">
        <v>46592</v>
      </c>
      <c r="G348">
        <v>10322</v>
      </c>
      <c r="H348">
        <v>25405</v>
      </c>
    </row>
    <row r="349" spans="1:8" x14ac:dyDescent="0.35">
      <c r="A349" s="51">
        <v>43077</v>
      </c>
      <c r="B349">
        <v>-238524</v>
      </c>
      <c r="C349">
        <v>-47692</v>
      </c>
      <c r="D349" s="4" t="s">
        <v>749</v>
      </c>
      <c r="E349">
        <v>239625</v>
      </c>
      <c r="F349">
        <v>46592</v>
      </c>
      <c r="G349">
        <v>10266</v>
      </c>
      <c r="H349">
        <v>25321</v>
      </c>
    </row>
    <row r="350" spans="1:8" x14ac:dyDescent="0.35">
      <c r="A350" s="51">
        <v>43076</v>
      </c>
      <c r="B350">
        <v>-275333</v>
      </c>
      <c r="C350">
        <v>-100231</v>
      </c>
      <c r="D350" s="4" t="s">
        <v>750</v>
      </c>
      <c r="E350">
        <v>329486</v>
      </c>
      <c r="F350">
        <v>46079</v>
      </c>
      <c r="G350">
        <v>10167</v>
      </c>
      <c r="H350">
        <v>25057</v>
      </c>
    </row>
    <row r="351" spans="1:8" x14ac:dyDescent="0.35">
      <c r="A351" s="51">
        <v>43075</v>
      </c>
      <c r="B351">
        <v>-317510</v>
      </c>
      <c r="C351">
        <v>-197246</v>
      </c>
      <c r="D351" s="4" t="s">
        <v>751</v>
      </c>
      <c r="E351">
        <v>466085</v>
      </c>
      <c r="F351">
        <v>48673</v>
      </c>
      <c r="G351">
        <v>10044</v>
      </c>
      <c r="H351">
        <v>24852</v>
      </c>
    </row>
    <row r="352" spans="1:8" x14ac:dyDescent="0.35">
      <c r="A352" s="51">
        <v>43074</v>
      </c>
      <c r="B352">
        <v>-292900</v>
      </c>
      <c r="C352">
        <v>-107636</v>
      </c>
      <c r="D352" s="4" t="s">
        <v>752</v>
      </c>
      <c r="E352">
        <v>348692</v>
      </c>
      <c r="F352">
        <v>51845</v>
      </c>
      <c r="G352">
        <v>10118</v>
      </c>
      <c r="H352">
        <v>25125</v>
      </c>
    </row>
    <row r="353" spans="1:8" x14ac:dyDescent="0.35">
      <c r="A353" s="51">
        <v>43073</v>
      </c>
      <c r="B353">
        <v>-277948</v>
      </c>
      <c r="C353">
        <v>-110165</v>
      </c>
      <c r="D353" s="4" t="s">
        <v>753</v>
      </c>
      <c r="E353">
        <v>333291</v>
      </c>
      <c r="F353">
        <v>54823</v>
      </c>
      <c r="G353">
        <v>10128</v>
      </c>
      <c r="H353">
        <v>25075</v>
      </c>
    </row>
    <row r="354" spans="1:8" x14ac:dyDescent="0.35">
      <c r="A354" s="51">
        <v>43070</v>
      </c>
      <c r="B354">
        <v>-256180</v>
      </c>
      <c r="C354">
        <v>-106022</v>
      </c>
      <c r="D354" s="4" t="s">
        <v>754</v>
      </c>
      <c r="E354">
        <v>304961</v>
      </c>
      <c r="F354">
        <v>57242</v>
      </c>
      <c r="G354">
        <v>10122</v>
      </c>
      <c r="H354">
        <v>25192</v>
      </c>
    </row>
    <row r="355" spans="1:8" x14ac:dyDescent="0.35">
      <c r="A355" s="51"/>
      <c r="B355">
        <v>-163882</v>
      </c>
      <c r="C355">
        <v>-84787</v>
      </c>
      <c r="D355" s="4" t="s">
        <v>755</v>
      </c>
      <c r="E355">
        <v>190663</v>
      </c>
      <c r="F355">
        <v>58007</v>
      </c>
      <c r="G355">
        <v>10227</v>
      </c>
      <c r="H355">
        <v>25332</v>
      </c>
    </row>
    <row r="356" spans="1:8" x14ac:dyDescent="0.35">
      <c r="A356" s="51">
        <v>43068</v>
      </c>
      <c r="B356">
        <v>-175810</v>
      </c>
      <c r="C356">
        <v>-94893</v>
      </c>
      <c r="D356" s="4" t="s">
        <v>756</v>
      </c>
      <c r="E356">
        <v>220347</v>
      </c>
      <c r="F356">
        <v>50356</v>
      </c>
      <c r="G356">
        <v>10361</v>
      </c>
      <c r="H356">
        <v>25796</v>
      </c>
    </row>
    <row r="357" spans="1:8" x14ac:dyDescent="0.35">
      <c r="A357" s="51">
        <v>43067</v>
      </c>
      <c r="B357">
        <v>-175832</v>
      </c>
      <c r="C357">
        <v>-94793</v>
      </c>
      <c r="D357" s="4" t="s">
        <v>757</v>
      </c>
      <c r="E357">
        <v>220270</v>
      </c>
      <c r="F357">
        <v>50356</v>
      </c>
      <c r="G357">
        <v>10370</v>
      </c>
      <c r="H357">
        <v>25846</v>
      </c>
    </row>
    <row r="358" spans="1:8" x14ac:dyDescent="0.35">
      <c r="A358" s="51">
        <v>43066</v>
      </c>
      <c r="B358">
        <v>-153666</v>
      </c>
      <c r="C358">
        <v>-25614</v>
      </c>
      <c r="D358" s="4" t="s">
        <v>758</v>
      </c>
      <c r="E358">
        <v>128925</v>
      </c>
      <c r="F358">
        <v>50356</v>
      </c>
      <c r="G358">
        <v>10400</v>
      </c>
      <c r="H358">
        <v>25892</v>
      </c>
    </row>
    <row r="359" spans="1:8" x14ac:dyDescent="0.35">
      <c r="A359" s="51">
        <v>43063</v>
      </c>
      <c r="B359">
        <v>-118411</v>
      </c>
      <c r="C359">
        <v>-6414</v>
      </c>
      <c r="D359" s="4" t="s">
        <v>759</v>
      </c>
      <c r="E359">
        <v>74469</v>
      </c>
      <c r="F359">
        <v>50356</v>
      </c>
      <c r="G359">
        <v>10390</v>
      </c>
      <c r="H359">
        <v>25780</v>
      </c>
    </row>
    <row r="360" spans="1:8" x14ac:dyDescent="0.35">
      <c r="A360" s="51">
        <v>43062</v>
      </c>
      <c r="B360">
        <v>-126557</v>
      </c>
      <c r="C360">
        <v>-55440</v>
      </c>
      <c r="D360" s="4" t="s">
        <v>760</v>
      </c>
      <c r="E360">
        <v>131642</v>
      </c>
      <c r="F360">
        <v>50356</v>
      </c>
      <c r="G360">
        <v>10349</v>
      </c>
      <c r="H360">
        <v>25736</v>
      </c>
    </row>
    <row r="361" spans="1:8" x14ac:dyDescent="0.35">
      <c r="A361" s="51">
        <v>43061</v>
      </c>
      <c r="B361">
        <v>-138256</v>
      </c>
      <c r="C361">
        <v>-78435</v>
      </c>
      <c r="D361" s="4" t="s">
        <v>761</v>
      </c>
      <c r="E361">
        <v>166055</v>
      </c>
      <c r="F361">
        <v>50636</v>
      </c>
      <c r="G361">
        <v>10342</v>
      </c>
      <c r="H361">
        <v>25767</v>
      </c>
    </row>
    <row r="362" spans="1:8" x14ac:dyDescent="0.35">
      <c r="A362" s="51">
        <v>43060</v>
      </c>
      <c r="B362">
        <v>-146444</v>
      </c>
      <c r="C362">
        <v>-90367</v>
      </c>
      <c r="D362" s="4" t="s">
        <v>762</v>
      </c>
      <c r="E362">
        <v>186176</v>
      </c>
      <c r="F362">
        <v>50636</v>
      </c>
      <c r="G362">
        <v>10327</v>
      </c>
      <c r="H362">
        <v>25758</v>
      </c>
    </row>
    <row r="363" spans="1:8" x14ac:dyDescent="0.35">
      <c r="A363" s="51">
        <v>43059</v>
      </c>
      <c r="B363">
        <v>-141010</v>
      </c>
      <c r="C363">
        <v>-118752</v>
      </c>
      <c r="D363" s="4" t="s">
        <v>763</v>
      </c>
      <c r="E363">
        <v>209126</v>
      </c>
      <c r="F363">
        <v>50636</v>
      </c>
      <c r="G363">
        <v>10299</v>
      </c>
      <c r="H363">
        <v>25769</v>
      </c>
    </row>
    <row r="364" spans="1:8" x14ac:dyDescent="0.35">
      <c r="A364" s="51">
        <v>43056</v>
      </c>
      <c r="B364">
        <v>-136881</v>
      </c>
      <c r="C364">
        <v>-126406</v>
      </c>
      <c r="D364" s="4" t="s">
        <v>764</v>
      </c>
      <c r="E364">
        <v>212651</v>
      </c>
      <c r="F364">
        <v>50636</v>
      </c>
      <c r="G364">
        <v>10284</v>
      </c>
      <c r="H364">
        <v>25728</v>
      </c>
    </row>
    <row r="365" spans="1:8" x14ac:dyDescent="0.35">
      <c r="A365" s="51">
        <v>43055</v>
      </c>
      <c r="B365">
        <v>-135949</v>
      </c>
      <c r="C365">
        <v>-144041</v>
      </c>
      <c r="D365" s="4" t="s">
        <v>765</v>
      </c>
      <c r="E365">
        <v>229355</v>
      </c>
      <c r="F365">
        <v>50636</v>
      </c>
      <c r="G365">
        <v>10215</v>
      </c>
      <c r="H365">
        <v>25447</v>
      </c>
    </row>
    <row r="366" spans="1:8" x14ac:dyDescent="0.35">
      <c r="A366" s="51">
        <v>43054</v>
      </c>
      <c r="B366">
        <v>-131399</v>
      </c>
      <c r="C366">
        <v>-200545</v>
      </c>
      <c r="D366" s="4" t="s">
        <v>766</v>
      </c>
      <c r="E366">
        <v>281739</v>
      </c>
      <c r="F366">
        <v>50205</v>
      </c>
      <c r="G366">
        <v>10118</v>
      </c>
      <c r="H366">
        <v>25219</v>
      </c>
    </row>
    <row r="367" spans="1:8" x14ac:dyDescent="0.35">
      <c r="A367" s="51">
        <v>43053</v>
      </c>
      <c r="B367">
        <v>-97350</v>
      </c>
      <c r="C367">
        <v>-165087</v>
      </c>
      <c r="D367" s="4" t="s">
        <v>767</v>
      </c>
      <c r="E367">
        <v>212232</v>
      </c>
      <c r="F367">
        <v>50205</v>
      </c>
      <c r="G367">
        <v>10187</v>
      </c>
      <c r="H367">
        <v>25285</v>
      </c>
    </row>
    <row r="368" spans="1:8" x14ac:dyDescent="0.35">
      <c r="A368" s="51">
        <v>43052</v>
      </c>
      <c r="B368">
        <v>-67912</v>
      </c>
      <c r="C368">
        <v>-132116</v>
      </c>
      <c r="D368" s="4" t="s">
        <v>768</v>
      </c>
      <c r="E368">
        <v>149227</v>
      </c>
      <c r="F368">
        <v>50801</v>
      </c>
      <c r="G368">
        <v>10225</v>
      </c>
      <c r="H368">
        <v>25358</v>
      </c>
    </row>
    <row r="369" spans="1:8" x14ac:dyDescent="0.35">
      <c r="A369" s="51">
        <v>43049</v>
      </c>
      <c r="B369">
        <v>-49152</v>
      </c>
      <c r="C369">
        <v>-65986</v>
      </c>
      <c r="D369" s="4" t="s">
        <v>769</v>
      </c>
      <c r="E369">
        <v>62331</v>
      </c>
      <c r="F369">
        <v>52807</v>
      </c>
      <c r="G369">
        <v>10322</v>
      </c>
      <c r="H369">
        <v>25499</v>
      </c>
    </row>
    <row r="370" spans="1:8" x14ac:dyDescent="0.35">
      <c r="A370" s="51">
        <v>43048</v>
      </c>
      <c r="B370">
        <v>-26722</v>
      </c>
      <c r="C370">
        <v>-75955</v>
      </c>
      <c r="D370" s="4" t="s">
        <v>770</v>
      </c>
      <c r="E370">
        <v>52569</v>
      </c>
      <c r="F370">
        <v>50108</v>
      </c>
      <c r="G370">
        <v>10309</v>
      </c>
      <c r="H370">
        <v>25291</v>
      </c>
    </row>
    <row r="371" spans="1:8" x14ac:dyDescent="0.35">
      <c r="A371" s="51">
        <v>43047</v>
      </c>
      <c r="B371">
        <v>-22255</v>
      </c>
      <c r="C371">
        <v>-97597</v>
      </c>
      <c r="D371" s="4" t="s">
        <v>771</v>
      </c>
      <c r="E371">
        <v>68004</v>
      </c>
      <c r="F371">
        <v>51847</v>
      </c>
      <c r="G371">
        <v>10303</v>
      </c>
      <c r="H371">
        <v>25184</v>
      </c>
    </row>
    <row r="372" spans="1:8" x14ac:dyDescent="0.35">
      <c r="A372" s="51">
        <v>43046</v>
      </c>
      <c r="B372">
        <v>-15830</v>
      </c>
      <c r="C372">
        <v>-58044</v>
      </c>
      <c r="D372" s="4" t="s">
        <v>772</v>
      </c>
      <c r="E372">
        <v>21318</v>
      </c>
      <c r="F372">
        <v>52555</v>
      </c>
      <c r="G372">
        <v>10350</v>
      </c>
      <c r="H372">
        <v>25301</v>
      </c>
    </row>
    <row r="373" spans="1:8" x14ac:dyDescent="0.35">
      <c r="A373" s="51">
        <v>43045</v>
      </c>
      <c r="B373">
        <v>18821</v>
      </c>
      <c r="C373">
        <v>56747</v>
      </c>
      <c r="D373" s="4" t="s">
        <v>773</v>
      </c>
      <c r="E373">
        <v>-131403</v>
      </c>
      <c r="F373">
        <v>55834</v>
      </c>
      <c r="G373">
        <v>10452</v>
      </c>
      <c r="H373">
        <v>25571</v>
      </c>
    </row>
    <row r="374" spans="1:8" x14ac:dyDescent="0.35">
      <c r="A374" s="51">
        <v>43042</v>
      </c>
      <c r="B374">
        <v>10203</v>
      </c>
      <c r="C374">
        <v>80612</v>
      </c>
      <c r="D374" s="4" t="s">
        <v>774</v>
      </c>
      <c r="E374">
        <v>-147742</v>
      </c>
      <c r="F374">
        <v>56926</v>
      </c>
      <c r="G374">
        <v>10453</v>
      </c>
      <c r="H374">
        <v>25651</v>
      </c>
    </row>
    <row r="375" spans="1:8" x14ac:dyDescent="0.35">
      <c r="A375" s="51">
        <v>43041</v>
      </c>
      <c r="B375">
        <v>37481</v>
      </c>
      <c r="C375">
        <v>30460</v>
      </c>
      <c r="D375" s="4" t="s">
        <v>775</v>
      </c>
      <c r="E375">
        <v>-121959</v>
      </c>
      <c r="F375">
        <v>54017</v>
      </c>
      <c r="G375">
        <v>10424</v>
      </c>
      <c r="H375">
        <v>25427</v>
      </c>
    </row>
    <row r="376" spans="1:8" x14ac:dyDescent="0.35">
      <c r="A376" s="51">
        <v>43040</v>
      </c>
      <c r="B376">
        <v>50156</v>
      </c>
      <c r="C376">
        <v>47036</v>
      </c>
      <c r="D376" s="4" t="s">
        <v>776</v>
      </c>
      <c r="E376">
        <v>-151329</v>
      </c>
      <c r="F376">
        <v>54137</v>
      </c>
      <c r="G376">
        <v>10440</v>
      </c>
      <c r="H376">
        <v>25490</v>
      </c>
    </row>
    <row r="377" spans="1:8" x14ac:dyDescent="0.35">
      <c r="A377" s="51">
        <v>43039</v>
      </c>
      <c r="B377">
        <v>11880</v>
      </c>
      <c r="C377">
        <v>-1570</v>
      </c>
      <c r="D377" s="4" t="s">
        <v>777</v>
      </c>
      <c r="E377">
        <v>-64931</v>
      </c>
      <c r="F377">
        <v>54621</v>
      </c>
      <c r="G377">
        <v>10335</v>
      </c>
      <c r="H377">
        <v>25019</v>
      </c>
    </row>
    <row r="378" spans="1:8" x14ac:dyDescent="0.35">
      <c r="A378" s="51">
        <v>43038</v>
      </c>
      <c r="B378">
        <v>31957</v>
      </c>
      <c r="C378">
        <v>4096</v>
      </c>
      <c r="D378" s="4" t="s">
        <v>778</v>
      </c>
      <c r="E378">
        <v>-90793</v>
      </c>
      <c r="F378">
        <v>54741</v>
      </c>
      <c r="G378">
        <v>10364</v>
      </c>
      <c r="H378">
        <v>24989</v>
      </c>
    </row>
    <row r="379" spans="1:8" x14ac:dyDescent="0.35">
      <c r="A379" s="51">
        <v>43035</v>
      </c>
      <c r="B379">
        <v>27751</v>
      </c>
      <c r="C379">
        <v>1431</v>
      </c>
      <c r="D379" s="4" t="s">
        <v>779</v>
      </c>
      <c r="E379">
        <v>-83923</v>
      </c>
      <c r="F379">
        <v>54741</v>
      </c>
      <c r="G379">
        <v>10323</v>
      </c>
      <c r="H379">
        <v>24840</v>
      </c>
    </row>
    <row r="380" spans="1:8" x14ac:dyDescent="0.35">
      <c r="A380" s="51"/>
      <c r="B380">
        <v>11736</v>
      </c>
      <c r="C380">
        <v>25274</v>
      </c>
      <c r="D380" s="4" t="s">
        <v>780</v>
      </c>
      <c r="E380">
        <v>-96703</v>
      </c>
      <c r="F380">
        <v>59693</v>
      </c>
      <c r="G380">
        <v>10344</v>
      </c>
      <c r="H380">
        <v>25022</v>
      </c>
    </row>
    <row r="381" spans="1:8" x14ac:dyDescent="0.35">
      <c r="A381" s="51">
        <v>43033</v>
      </c>
      <c r="B381">
        <v>28726</v>
      </c>
      <c r="C381">
        <v>150632</v>
      </c>
      <c r="D381" s="4" t="s">
        <v>781</v>
      </c>
      <c r="E381">
        <v>-233558</v>
      </c>
      <c r="F381">
        <v>54200</v>
      </c>
      <c r="G381">
        <v>10295</v>
      </c>
      <c r="H381">
        <v>25036</v>
      </c>
    </row>
    <row r="382" spans="1:8" x14ac:dyDescent="0.35">
      <c r="A382" s="51">
        <v>43032</v>
      </c>
      <c r="B382">
        <v>-14084</v>
      </c>
      <c r="C382">
        <v>114299</v>
      </c>
      <c r="D382" s="4" t="s">
        <v>782</v>
      </c>
      <c r="E382">
        <v>-156217</v>
      </c>
      <c r="F382">
        <v>56002</v>
      </c>
      <c r="G382">
        <v>10208</v>
      </c>
      <c r="H382">
        <v>24222</v>
      </c>
    </row>
    <row r="383" spans="1:8" x14ac:dyDescent="0.35">
      <c r="A383" s="51">
        <v>43031</v>
      </c>
      <c r="B383">
        <v>-44418</v>
      </c>
      <c r="C383">
        <v>99157</v>
      </c>
      <c r="D383" s="4" t="s">
        <v>783</v>
      </c>
      <c r="E383">
        <v>-108947</v>
      </c>
      <c r="F383">
        <v>54208</v>
      </c>
      <c r="G383">
        <v>10185</v>
      </c>
      <c r="H383">
        <v>24089</v>
      </c>
    </row>
    <row r="384" spans="1:8" x14ac:dyDescent="0.35">
      <c r="A384" s="51">
        <v>43027</v>
      </c>
      <c r="B384">
        <v>-58388</v>
      </c>
      <c r="C384">
        <v>77039</v>
      </c>
      <c r="D384" s="4" t="s">
        <v>784</v>
      </c>
      <c r="E384">
        <v>-73038</v>
      </c>
      <c r="F384">
        <v>54387</v>
      </c>
      <c r="G384">
        <v>10147</v>
      </c>
      <c r="H384">
        <v>24010</v>
      </c>
    </row>
    <row r="385" spans="1:8" x14ac:dyDescent="0.35">
      <c r="A385" s="51">
        <v>43026</v>
      </c>
      <c r="B385">
        <v>-58388</v>
      </c>
      <c r="C385">
        <v>125582</v>
      </c>
      <c r="D385" s="4" t="s">
        <v>785</v>
      </c>
      <c r="E385">
        <v>-121581</v>
      </c>
      <c r="F385">
        <v>54387</v>
      </c>
      <c r="G385">
        <v>10211</v>
      </c>
      <c r="H385">
        <v>24314</v>
      </c>
    </row>
    <row r="386" spans="1:8" x14ac:dyDescent="0.35">
      <c r="A386" s="51">
        <v>43025</v>
      </c>
      <c r="B386">
        <v>-45407</v>
      </c>
      <c r="C386">
        <v>108632</v>
      </c>
      <c r="D386" s="4" t="s">
        <v>786</v>
      </c>
      <c r="E386">
        <v>-119413</v>
      </c>
      <c r="F386">
        <v>56188</v>
      </c>
      <c r="G386">
        <v>10234</v>
      </c>
      <c r="H386">
        <v>24646</v>
      </c>
    </row>
    <row r="387" spans="1:8" x14ac:dyDescent="0.35">
      <c r="A387" s="51">
        <v>43024</v>
      </c>
      <c r="B387">
        <v>-44303</v>
      </c>
      <c r="C387">
        <v>135682</v>
      </c>
      <c r="D387" s="4" t="s">
        <v>787</v>
      </c>
      <c r="E387">
        <v>-147567</v>
      </c>
      <c r="F387">
        <v>56188</v>
      </c>
      <c r="G387">
        <v>10231</v>
      </c>
      <c r="H387">
        <v>24703</v>
      </c>
    </row>
    <row r="388" spans="1:8" x14ac:dyDescent="0.35">
      <c r="A388" s="51">
        <v>43021</v>
      </c>
      <c r="B388">
        <v>-75138</v>
      </c>
      <c r="C388">
        <v>139728</v>
      </c>
      <c r="D388" s="4" t="s">
        <v>788</v>
      </c>
      <c r="E388">
        <v>-123876</v>
      </c>
      <c r="F388">
        <v>59286</v>
      </c>
      <c r="G388">
        <v>10167</v>
      </c>
      <c r="H388">
        <v>24689</v>
      </c>
    </row>
    <row r="389" spans="1:8" x14ac:dyDescent="0.35">
      <c r="A389" s="51">
        <v>43020</v>
      </c>
      <c r="B389">
        <v>-116520</v>
      </c>
      <c r="C389">
        <v>115644</v>
      </c>
      <c r="D389" s="4" t="s">
        <v>789</v>
      </c>
      <c r="E389">
        <v>-64235</v>
      </c>
      <c r="F389">
        <v>65111</v>
      </c>
      <c r="G389">
        <v>10096</v>
      </c>
      <c r="H389">
        <v>24361</v>
      </c>
    </row>
    <row r="390" spans="1:8" x14ac:dyDescent="0.35">
      <c r="A390" s="51">
        <v>43019</v>
      </c>
      <c r="B390">
        <v>-139370</v>
      </c>
      <c r="C390">
        <v>-17196</v>
      </c>
      <c r="D390" s="4" t="s">
        <v>790</v>
      </c>
      <c r="E390">
        <v>90322</v>
      </c>
      <c r="F390">
        <v>66244</v>
      </c>
      <c r="G390">
        <v>9985</v>
      </c>
      <c r="H390">
        <v>24107</v>
      </c>
    </row>
    <row r="391" spans="1:8" x14ac:dyDescent="0.35">
      <c r="A391" s="51">
        <v>43018</v>
      </c>
      <c r="B391">
        <v>-148825</v>
      </c>
      <c r="C391">
        <v>44531</v>
      </c>
      <c r="D391" s="4" t="s">
        <v>791</v>
      </c>
      <c r="E391">
        <v>36176</v>
      </c>
      <c r="F391">
        <v>68118</v>
      </c>
      <c r="G391">
        <v>10017</v>
      </c>
      <c r="H391">
        <v>24347</v>
      </c>
    </row>
    <row r="392" spans="1:8" x14ac:dyDescent="0.35">
      <c r="A392" s="51">
        <v>43017</v>
      </c>
      <c r="B392">
        <v>-150503</v>
      </c>
      <c r="C392">
        <v>20923</v>
      </c>
      <c r="D392" s="4" t="s">
        <v>792</v>
      </c>
      <c r="E392">
        <v>61462</v>
      </c>
      <c r="F392">
        <v>68118</v>
      </c>
      <c r="G392">
        <v>9989</v>
      </c>
      <c r="H392">
        <v>24252</v>
      </c>
    </row>
    <row r="393" spans="1:8" x14ac:dyDescent="0.35">
      <c r="A393" s="51">
        <v>43014</v>
      </c>
      <c r="B393">
        <v>-147714</v>
      </c>
      <c r="C393">
        <v>30281</v>
      </c>
      <c r="D393" s="4" t="s">
        <v>793</v>
      </c>
      <c r="E393">
        <v>47099</v>
      </c>
      <c r="F393">
        <v>70334</v>
      </c>
      <c r="G393">
        <v>9980</v>
      </c>
      <c r="H393">
        <v>24190</v>
      </c>
    </row>
    <row r="394" spans="1:8" x14ac:dyDescent="0.35">
      <c r="A394" s="51">
        <v>43013</v>
      </c>
      <c r="B394">
        <v>-152923</v>
      </c>
      <c r="C394">
        <v>-3756</v>
      </c>
      <c r="D394" s="4" t="s">
        <v>794</v>
      </c>
      <c r="E394">
        <v>86425</v>
      </c>
      <c r="F394">
        <v>70254</v>
      </c>
      <c r="G394">
        <v>9889</v>
      </c>
      <c r="H394">
        <v>24058</v>
      </c>
    </row>
    <row r="395" spans="1:8" x14ac:dyDescent="0.35">
      <c r="A395" s="51">
        <v>43012</v>
      </c>
      <c r="B395">
        <v>-170364</v>
      </c>
      <c r="C395">
        <v>-1244</v>
      </c>
      <c r="D395" s="4" t="s">
        <v>795</v>
      </c>
      <c r="E395">
        <v>99604</v>
      </c>
      <c r="F395">
        <v>72004</v>
      </c>
      <c r="G395">
        <v>9915</v>
      </c>
      <c r="H395">
        <v>24113</v>
      </c>
    </row>
    <row r="396" spans="1:8" x14ac:dyDescent="0.35">
      <c r="A396" s="51">
        <v>43011</v>
      </c>
      <c r="B396">
        <v>-179890</v>
      </c>
      <c r="C396">
        <v>-36194</v>
      </c>
      <c r="D396" s="4" t="s">
        <v>796</v>
      </c>
      <c r="E396">
        <v>143286</v>
      </c>
      <c r="F396">
        <v>72798</v>
      </c>
      <c r="G396">
        <v>9860</v>
      </c>
      <c r="H396">
        <v>24103</v>
      </c>
    </row>
    <row r="397" spans="1:8" x14ac:dyDescent="0.35">
      <c r="A397" s="51">
        <v>43007</v>
      </c>
      <c r="B397">
        <v>-182191</v>
      </c>
      <c r="C397">
        <v>-47853</v>
      </c>
      <c r="D397" s="4" t="s">
        <v>797</v>
      </c>
      <c r="E397">
        <v>157097</v>
      </c>
      <c r="F397">
        <v>72947</v>
      </c>
      <c r="G397">
        <v>9788</v>
      </c>
      <c r="H397">
        <v>24053</v>
      </c>
    </row>
    <row r="398" spans="1:8" x14ac:dyDescent="0.35">
      <c r="A398" s="51"/>
      <c r="B398">
        <v>-176086</v>
      </c>
      <c r="C398">
        <v>-52948</v>
      </c>
      <c r="D398" s="4" t="s">
        <v>798</v>
      </c>
      <c r="E398">
        <v>156567</v>
      </c>
      <c r="F398">
        <v>72467</v>
      </c>
      <c r="G398">
        <v>9769</v>
      </c>
      <c r="H398">
        <v>24008</v>
      </c>
    </row>
    <row r="399" spans="1:8" x14ac:dyDescent="0.35">
      <c r="A399" s="51">
        <v>43005</v>
      </c>
      <c r="B399">
        <v>-297983</v>
      </c>
      <c r="C399">
        <v>-209600</v>
      </c>
      <c r="D399" s="4" t="s">
        <v>799</v>
      </c>
      <c r="E399">
        <v>436043</v>
      </c>
      <c r="F399">
        <v>71540</v>
      </c>
      <c r="G399">
        <v>9736</v>
      </c>
      <c r="H399">
        <v>23813</v>
      </c>
    </row>
    <row r="400" spans="1:8" x14ac:dyDescent="0.35">
      <c r="A400" s="51">
        <v>43004</v>
      </c>
      <c r="B400">
        <v>-260996</v>
      </c>
      <c r="C400">
        <v>-134684</v>
      </c>
      <c r="D400" s="4" t="s">
        <v>800</v>
      </c>
      <c r="E400">
        <v>323356</v>
      </c>
      <c r="F400">
        <v>72324</v>
      </c>
      <c r="G400">
        <v>9872</v>
      </c>
      <c r="H400">
        <v>24199</v>
      </c>
    </row>
    <row r="401" spans="1:8" x14ac:dyDescent="0.35">
      <c r="A401" s="51">
        <v>43003</v>
      </c>
      <c r="B401">
        <v>-251925</v>
      </c>
      <c r="C401">
        <v>-131156</v>
      </c>
      <c r="D401" s="4" t="s">
        <v>801</v>
      </c>
      <c r="E401">
        <v>312267</v>
      </c>
      <c r="F401">
        <v>70814</v>
      </c>
      <c r="G401">
        <v>9873</v>
      </c>
      <c r="H401">
        <v>24165</v>
      </c>
    </row>
    <row r="402" spans="1:8" x14ac:dyDescent="0.35">
      <c r="A402" s="51">
        <v>43000</v>
      </c>
      <c r="B402">
        <v>-203957</v>
      </c>
      <c r="C402">
        <v>-64134</v>
      </c>
      <c r="D402" s="4" t="s">
        <v>802</v>
      </c>
      <c r="E402">
        <v>198242</v>
      </c>
      <c r="F402">
        <v>69848</v>
      </c>
      <c r="G402">
        <v>9964</v>
      </c>
      <c r="H402">
        <v>24369</v>
      </c>
    </row>
    <row r="403" spans="1:8" x14ac:dyDescent="0.35">
      <c r="A403" s="51">
        <v>42999</v>
      </c>
      <c r="B403">
        <v>-103476</v>
      </c>
      <c r="C403">
        <v>36560</v>
      </c>
      <c r="D403" s="4" t="s">
        <v>803</v>
      </c>
      <c r="E403">
        <v>-821</v>
      </c>
      <c r="F403">
        <v>67737</v>
      </c>
      <c r="G403">
        <v>10121</v>
      </c>
      <c r="H403">
        <v>24799</v>
      </c>
    </row>
    <row r="404" spans="1:8" x14ac:dyDescent="0.35">
      <c r="A404" s="51">
        <v>42998</v>
      </c>
      <c r="B404">
        <v>-122373</v>
      </c>
      <c r="C404">
        <v>68315</v>
      </c>
      <c r="D404" s="4" t="s">
        <v>804</v>
      </c>
      <c r="E404">
        <v>-13680</v>
      </c>
      <c r="F404">
        <v>67737</v>
      </c>
      <c r="G404">
        <v>10141</v>
      </c>
      <c r="H404">
        <v>24965</v>
      </c>
    </row>
    <row r="405" spans="1:8" x14ac:dyDescent="0.35">
      <c r="A405" s="51">
        <v>42997</v>
      </c>
      <c r="B405">
        <v>-112961</v>
      </c>
      <c r="C405">
        <v>82346</v>
      </c>
      <c r="D405" s="4" t="s">
        <v>805</v>
      </c>
      <c r="E405">
        <v>-38968</v>
      </c>
      <c r="F405">
        <v>69582</v>
      </c>
      <c r="G405">
        <v>10148</v>
      </c>
      <c r="H405">
        <v>25042</v>
      </c>
    </row>
    <row r="406" spans="1:8" x14ac:dyDescent="0.35">
      <c r="A406" s="51">
        <v>42996</v>
      </c>
      <c r="B406">
        <v>-104051</v>
      </c>
      <c r="C406">
        <v>86563</v>
      </c>
      <c r="D406" s="4" t="s">
        <v>806</v>
      </c>
      <c r="E406">
        <v>-52095</v>
      </c>
      <c r="F406">
        <v>69582</v>
      </c>
      <c r="G406">
        <v>10153</v>
      </c>
      <c r="H406">
        <v>25047</v>
      </c>
    </row>
    <row r="407" spans="1:8" x14ac:dyDescent="0.35">
      <c r="A407" s="51">
        <v>42993</v>
      </c>
      <c r="B407">
        <v>-109768</v>
      </c>
      <c r="C407">
        <v>71912</v>
      </c>
      <c r="D407" s="4" t="s">
        <v>807</v>
      </c>
      <c r="E407">
        <v>-31727</v>
      </c>
      <c r="F407">
        <v>69582</v>
      </c>
      <c r="G407">
        <v>10085</v>
      </c>
      <c r="H407">
        <v>24844</v>
      </c>
    </row>
    <row r="408" spans="1:8" x14ac:dyDescent="0.35">
      <c r="A408" s="51">
        <v>42992</v>
      </c>
      <c r="B408">
        <v>-124420</v>
      </c>
      <c r="C408">
        <v>108587</v>
      </c>
      <c r="D408" s="4" t="s">
        <v>808</v>
      </c>
      <c r="E408">
        <v>-53750</v>
      </c>
      <c r="F408">
        <v>69582</v>
      </c>
      <c r="G408">
        <v>10087</v>
      </c>
      <c r="H408">
        <v>24912</v>
      </c>
    </row>
    <row r="409" spans="1:8" x14ac:dyDescent="0.35">
      <c r="A409" s="51">
        <v>42991</v>
      </c>
      <c r="B409">
        <v>-125676</v>
      </c>
      <c r="C409">
        <v>90992</v>
      </c>
      <c r="D409" s="4" t="s">
        <v>809</v>
      </c>
      <c r="E409">
        <v>-35099</v>
      </c>
      <c r="F409">
        <v>69782</v>
      </c>
      <c r="G409">
        <v>10079</v>
      </c>
      <c r="H409">
        <v>24832</v>
      </c>
    </row>
    <row r="410" spans="1:8" x14ac:dyDescent="0.35">
      <c r="A410" s="51">
        <v>42990</v>
      </c>
      <c r="B410">
        <v>-114349</v>
      </c>
      <c r="C410">
        <v>112031</v>
      </c>
      <c r="D410" s="4" t="s">
        <v>810</v>
      </c>
      <c r="E410">
        <v>-69123</v>
      </c>
      <c r="F410">
        <v>71440</v>
      </c>
      <c r="G410">
        <v>10093</v>
      </c>
      <c r="H410">
        <v>24785</v>
      </c>
    </row>
    <row r="411" spans="1:8" x14ac:dyDescent="0.35">
      <c r="A411" s="51">
        <v>42989</v>
      </c>
      <c r="B411">
        <v>-125816</v>
      </c>
      <c r="C411">
        <v>67019</v>
      </c>
      <c r="D411" s="4" t="s">
        <v>811</v>
      </c>
      <c r="E411">
        <v>-10178</v>
      </c>
      <c r="F411">
        <v>68974</v>
      </c>
      <c r="G411">
        <v>10006</v>
      </c>
      <c r="H411">
        <v>24672</v>
      </c>
    </row>
    <row r="412" spans="1:8" x14ac:dyDescent="0.35">
      <c r="A412" s="51">
        <v>42986</v>
      </c>
      <c r="B412">
        <v>-159773</v>
      </c>
      <c r="C412">
        <v>41225</v>
      </c>
      <c r="D412" s="4" t="s">
        <v>812</v>
      </c>
      <c r="E412">
        <v>48034</v>
      </c>
      <c r="F412">
        <v>70513</v>
      </c>
      <c r="G412">
        <v>9935</v>
      </c>
      <c r="H412">
        <v>24371</v>
      </c>
    </row>
    <row r="413" spans="1:8" x14ac:dyDescent="0.35">
      <c r="A413" s="51">
        <v>42985</v>
      </c>
      <c r="B413">
        <v>-160883</v>
      </c>
      <c r="C413">
        <v>39560</v>
      </c>
      <c r="D413" s="4" t="s">
        <v>813</v>
      </c>
      <c r="E413">
        <v>51537</v>
      </c>
      <c r="F413">
        <v>69785</v>
      </c>
      <c r="G413">
        <v>9930</v>
      </c>
      <c r="H413">
        <v>24305</v>
      </c>
    </row>
    <row r="414" spans="1:8" x14ac:dyDescent="0.35">
      <c r="A414" s="51">
        <v>42984</v>
      </c>
      <c r="B414">
        <v>-157964</v>
      </c>
      <c r="C414">
        <v>16562</v>
      </c>
      <c r="D414" s="4" t="s">
        <v>814</v>
      </c>
      <c r="E414">
        <v>71746</v>
      </c>
      <c r="F414">
        <v>69655</v>
      </c>
      <c r="G414">
        <v>9916</v>
      </c>
      <c r="H414">
        <v>24279</v>
      </c>
    </row>
    <row r="415" spans="1:8" x14ac:dyDescent="0.35">
      <c r="A415" s="51">
        <v>42983</v>
      </c>
      <c r="B415">
        <v>-157177</v>
      </c>
      <c r="C415">
        <v>28181</v>
      </c>
      <c r="D415" s="4" t="s">
        <v>815</v>
      </c>
      <c r="E415">
        <v>59340</v>
      </c>
      <c r="F415">
        <v>69655</v>
      </c>
      <c r="G415">
        <v>9952</v>
      </c>
      <c r="H415">
        <v>24328</v>
      </c>
    </row>
    <row r="416" spans="1:8" x14ac:dyDescent="0.35">
      <c r="A416" s="51">
        <v>42982</v>
      </c>
      <c r="B416">
        <v>-152462</v>
      </c>
      <c r="C416">
        <v>13723</v>
      </c>
      <c r="D416" s="4" t="s">
        <v>816</v>
      </c>
      <c r="E416">
        <v>68683</v>
      </c>
      <c r="F416">
        <v>70055</v>
      </c>
      <c r="G416">
        <v>9913</v>
      </c>
      <c r="H416">
        <v>24237</v>
      </c>
    </row>
    <row r="417" spans="1:8" x14ac:dyDescent="0.35">
      <c r="A417" s="51">
        <v>42979</v>
      </c>
      <c r="B417">
        <v>-134608</v>
      </c>
      <c r="C417">
        <v>44677</v>
      </c>
      <c r="D417" s="4" t="s">
        <v>817</v>
      </c>
      <c r="E417">
        <v>19835</v>
      </c>
      <c r="F417">
        <v>70095</v>
      </c>
      <c r="G417">
        <v>9974</v>
      </c>
      <c r="H417">
        <v>24434</v>
      </c>
    </row>
    <row r="418" spans="1:8" x14ac:dyDescent="0.35">
      <c r="A418" s="51"/>
      <c r="B418">
        <v>-121155</v>
      </c>
      <c r="C418">
        <v>20305</v>
      </c>
      <c r="D418" s="4" t="s">
        <v>818</v>
      </c>
      <c r="E418">
        <v>29180</v>
      </c>
      <c r="F418">
        <v>71669</v>
      </c>
      <c r="G418">
        <v>9918</v>
      </c>
      <c r="H418">
        <v>24318</v>
      </c>
    </row>
    <row r="419" spans="1:8" x14ac:dyDescent="0.35">
      <c r="A419" s="51">
        <v>42977</v>
      </c>
      <c r="B419">
        <v>-229166</v>
      </c>
      <c r="C419">
        <v>-50142</v>
      </c>
      <c r="D419" s="4" t="s">
        <v>819</v>
      </c>
      <c r="E419">
        <v>217374</v>
      </c>
      <c r="F419">
        <v>61933</v>
      </c>
      <c r="G419">
        <v>9884</v>
      </c>
      <c r="H419">
        <v>24309</v>
      </c>
    </row>
    <row r="420" spans="1:8" x14ac:dyDescent="0.35">
      <c r="A420" s="51">
        <v>42976</v>
      </c>
      <c r="B420">
        <v>-225177</v>
      </c>
      <c r="C420">
        <v>-98264</v>
      </c>
      <c r="D420" s="4" t="s">
        <v>820</v>
      </c>
      <c r="E420">
        <v>261624</v>
      </c>
      <c r="F420">
        <v>61816</v>
      </c>
      <c r="G420">
        <v>9796</v>
      </c>
      <c r="H420">
        <v>24129</v>
      </c>
    </row>
    <row r="421" spans="1:8" x14ac:dyDescent="0.35">
      <c r="A421" s="51">
        <v>42975</v>
      </c>
      <c r="B421">
        <v>-215765</v>
      </c>
      <c r="C421">
        <v>-349</v>
      </c>
      <c r="D421" s="4" t="s">
        <v>821</v>
      </c>
      <c r="E421">
        <v>153682</v>
      </c>
      <c r="F421">
        <v>62431</v>
      </c>
      <c r="G421">
        <v>9913</v>
      </c>
      <c r="H421">
        <v>24377</v>
      </c>
    </row>
    <row r="422" spans="1:8" x14ac:dyDescent="0.35">
      <c r="A422" s="51">
        <v>42971</v>
      </c>
      <c r="B422">
        <v>-238925</v>
      </c>
      <c r="C422">
        <v>-24610</v>
      </c>
      <c r="D422" s="4" t="s">
        <v>822</v>
      </c>
      <c r="E422">
        <v>201333</v>
      </c>
      <c r="F422">
        <v>62201</v>
      </c>
      <c r="G422">
        <v>9857</v>
      </c>
      <c r="H422">
        <v>24274</v>
      </c>
    </row>
    <row r="423" spans="1:8" x14ac:dyDescent="0.35">
      <c r="A423" s="51">
        <v>42970</v>
      </c>
      <c r="B423">
        <v>-247787</v>
      </c>
      <c r="C423">
        <v>-52383</v>
      </c>
      <c r="D423" s="4" t="s">
        <v>823</v>
      </c>
      <c r="E423">
        <v>238300</v>
      </c>
      <c r="F423">
        <v>61869</v>
      </c>
      <c r="G423">
        <v>9853</v>
      </c>
      <c r="H423">
        <v>24317</v>
      </c>
    </row>
    <row r="424" spans="1:8" x14ac:dyDescent="0.35">
      <c r="A424" s="51">
        <v>42969</v>
      </c>
      <c r="B424">
        <v>-261343</v>
      </c>
      <c r="C424">
        <v>-123758</v>
      </c>
      <c r="D424" s="4" t="s">
        <v>824</v>
      </c>
      <c r="E424">
        <v>322737</v>
      </c>
      <c r="F424">
        <v>62363</v>
      </c>
      <c r="G424">
        <v>9766</v>
      </c>
      <c r="H424">
        <v>23974</v>
      </c>
    </row>
    <row r="425" spans="1:8" x14ac:dyDescent="0.35">
      <c r="A425" s="51">
        <v>42968</v>
      </c>
      <c r="B425">
        <v>-259306</v>
      </c>
      <c r="C425">
        <v>-113812</v>
      </c>
      <c r="D425" s="4" t="s">
        <v>825</v>
      </c>
      <c r="E425">
        <v>311364</v>
      </c>
      <c r="F425">
        <v>61753</v>
      </c>
      <c r="G425">
        <v>9754</v>
      </c>
      <c r="H425">
        <v>23937</v>
      </c>
    </row>
    <row r="426" spans="1:8" x14ac:dyDescent="0.35">
      <c r="A426" s="51">
        <v>42965</v>
      </c>
      <c r="B426">
        <v>-259816</v>
      </c>
      <c r="C426">
        <v>-38712</v>
      </c>
      <c r="D426" s="4" t="s">
        <v>826</v>
      </c>
      <c r="E426">
        <v>237831</v>
      </c>
      <c r="F426">
        <v>60696</v>
      </c>
      <c r="G426">
        <v>9837</v>
      </c>
      <c r="H426">
        <v>24074</v>
      </c>
    </row>
    <row r="427" spans="1:8" x14ac:dyDescent="0.35">
      <c r="A427" s="51">
        <v>42964</v>
      </c>
      <c r="B427">
        <v>-267824</v>
      </c>
      <c r="C427">
        <v>5404</v>
      </c>
      <c r="D427" s="4" t="s">
        <v>827</v>
      </c>
      <c r="E427">
        <v>201723</v>
      </c>
      <c r="F427">
        <v>60696</v>
      </c>
      <c r="G427">
        <v>9904</v>
      </c>
      <c r="H427">
        <v>24237</v>
      </c>
    </row>
    <row r="428" spans="1:8" x14ac:dyDescent="0.35">
      <c r="A428" s="51">
        <v>42963</v>
      </c>
      <c r="B428">
        <v>-256662</v>
      </c>
      <c r="C428">
        <v>-22696</v>
      </c>
      <c r="D428" s="4" t="s">
        <v>828</v>
      </c>
      <c r="E428">
        <v>218661</v>
      </c>
      <c r="F428">
        <v>60696</v>
      </c>
      <c r="G428">
        <v>9897</v>
      </c>
      <c r="H428">
        <v>24438</v>
      </c>
    </row>
    <row r="429" spans="1:8" x14ac:dyDescent="0.35">
      <c r="A429" s="51">
        <v>42961</v>
      </c>
      <c r="B429">
        <v>-256623</v>
      </c>
      <c r="C429">
        <v>-85875</v>
      </c>
      <c r="D429" s="4" t="s">
        <v>829</v>
      </c>
      <c r="E429">
        <v>281375</v>
      </c>
      <c r="F429">
        <v>61122</v>
      </c>
      <c r="G429">
        <v>9794</v>
      </c>
      <c r="H429">
        <v>24116</v>
      </c>
    </row>
    <row r="430" spans="1:8" x14ac:dyDescent="0.35">
      <c r="A430" s="51">
        <v>42958</v>
      </c>
      <c r="B430">
        <v>-250226</v>
      </c>
      <c r="C430">
        <v>-110375</v>
      </c>
      <c r="D430" s="4" t="s">
        <v>830</v>
      </c>
      <c r="E430">
        <v>298854</v>
      </c>
      <c r="F430">
        <v>61747</v>
      </c>
      <c r="G430">
        <v>9711</v>
      </c>
      <c r="H430">
        <v>23986</v>
      </c>
    </row>
    <row r="431" spans="1:8" x14ac:dyDescent="0.35">
      <c r="A431" s="51">
        <v>42957</v>
      </c>
      <c r="B431">
        <v>-213312</v>
      </c>
      <c r="C431">
        <v>-81655</v>
      </c>
      <c r="D431" s="4" t="s">
        <v>831</v>
      </c>
      <c r="E431">
        <v>232685</v>
      </c>
      <c r="F431">
        <v>62281</v>
      </c>
      <c r="G431">
        <v>9820</v>
      </c>
      <c r="H431">
        <v>24217</v>
      </c>
    </row>
    <row r="432" spans="1:8" x14ac:dyDescent="0.35">
      <c r="A432" s="51">
        <v>42956</v>
      </c>
      <c r="B432">
        <v>-188064</v>
      </c>
      <c r="C432">
        <v>-124566</v>
      </c>
      <c r="D432" s="4" t="s">
        <v>832</v>
      </c>
      <c r="E432">
        <v>251137</v>
      </c>
      <c r="F432">
        <v>61492</v>
      </c>
      <c r="G432">
        <v>9908</v>
      </c>
      <c r="H432">
        <v>24375</v>
      </c>
    </row>
    <row r="433" spans="1:8" x14ac:dyDescent="0.35">
      <c r="A433" s="51">
        <v>42955</v>
      </c>
      <c r="B433">
        <v>-133234</v>
      </c>
      <c r="C433">
        <v>-94062</v>
      </c>
      <c r="D433" s="4" t="s">
        <v>833</v>
      </c>
      <c r="E433">
        <v>165286</v>
      </c>
      <c r="F433">
        <v>62009</v>
      </c>
      <c r="G433">
        <v>9979</v>
      </c>
      <c r="H433">
        <v>24600</v>
      </c>
    </row>
    <row r="434" spans="1:8" x14ac:dyDescent="0.35">
      <c r="A434" s="51">
        <v>42954</v>
      </c>
      <c r="B434">
        <v>-110174</v>
      </c>
      <c r="C434">
        <v>-12175</v>
      </c>
      <c r="D434" s="4" t="s">
        <v>834</v>
      </c>
      <c r="E434">
        <v>61275</v>
      </c>
      <c r="F434">
        <v>61073</v>
      </c>
      <c r="G434">
        <v>10057</v>
      </c>
      <c r="H434">
        <v>24906</v>
      </c>
    </row>
    <row r="435" spans="1:8" x14ac:dyDescent="0.35">
      <c r="A435" s="51">
        <v>42951</v>
      </c>
      <c r="B435">
        <v>-111584</v>
      </c>
      <c r="C435">
        <v>2856</v>
      </c>
      <c r="D435" s="4" t="s">
        <v>835</v>
      </c>
      <c r="E435">
        <v>46108</v>
      </c>
      <c r="F435">
        <v>62620</v>
      </c>
      <c r="G435">
        <v>10066</v>
      </c>
      <c r="H435">
        <v>24827</v>
      </c>
    </row>
    <row r="436" spans="1:8" x14ac:dyDescent="0.35">
      <c r="A436" s="51">
        <v>42950</v>
      </c>
      <c r="B436">
        <v>-104757</v>
      </c>
      <c r="C436">
        <v>-23550</v>
      </c>
      <c r="D436" s="4" t="s">
        <v>836</v>
      </c>
      <c r="E436">
        <v>67053</v>
      </c>
      <c r="F436">
        <v>61254</v>
      </c>
      <c r="G436">
        <v>10014</v>
      </c>
      <c r="H436">
        <v>24675</v>
      </c>
    </row>
    <row r="437" spans="1:8" x14ac:dyDescent="0.35">
      <c r="A437" s="51">
        <v>42949</v>
      </c>
      <c r="B437">
        <v>-92764</v>
      </c>
      <c r="C437">
        <v>-13321</v>
      </c>
      <c r="D437" s="4" t="s">
        <v>837</v>
      </c>
      <c r="E437">
        <v>45031</v>
      </c>
      <c r="F437">
        <v>61054</v>
      </c>
      <c r="G437">
        <v>10082</v>
      </c>
      <c r="H437">
        <v>25055</v>
      </c>
    </row>
    <row r="438" spans="1:8" x14ac:dyDescent="0.35">
      <c r="A438" s="51">
        <v>42948</v>
      </c>
      <c r="B438">
        <v>-85982</v>
      </c>
      <c r="C438">
        <v>39845</v>
      </c>
      <c r="D438" s="4" t="s">
        <v>838</v>
      </c>
      <c r="E438">
        <v>-13620</v>
      </c>
      <c r="F438">
        <v>59756</v>
      </c>
      <c r="G438">
        <v>10115</v>
      </c>
      <c r="H438">
        <v>25123</v>
      </c>
    </row>
    <row r="439" spans="1:8" x14ac:dyDescent="0.35">
      <c r="A439" s="51">
        <v>42947</v>
      </c>
      <c r="B439">
        <v>-85164</v>
      </c>
      <c r="C439">
        <v>48658</v>
      </c>
      <c r="D439" s="4" t="s">
        <v>839</v>
      </c>
      <c r="E439">
        <v>-24916</v>
      </c>
      <c r="F439">
        <v>61421</v>
      </c>
      <c r="G439">
        <v>10077</v>
      </c>
      <c r="H439">
        <v>25104</v>
      </c>
    </row>
    <row r="440" spans="1:8" x14ac:dyDescent="0.35">
      <c r="A440" s="51">
        <v>42944</v>
      </c>
      <c r="B440">
        <v>-73505</v>
      </c>
      <c r="C440">
        <v>18412</v>
      </c>
      <c r="D440" s="4" t="s">
        <v>840</v>
      </c>
      <c r="E440">
        <v>-7660</v>
      </c>
      <c r="F440">
        <v>62753</v>
      </c>
      <c r="G440">
        <v>10015</v>
      </c>
      <c r="H440">
        <v>24811</v>
      </c>
    </row>
    <row r="441" spans="1:8" x14ac:dyDescent="0.35">
      <c r="A441" s="51"/>
      <c r="B441">
        <v>-21732</v>
      </c>
      <c r="C441">
        <v>41387</v>
      </c>
      <c r="D441" s="4" t="s">
        <v>841</v>
      </c>
      <c r="E441">
        <v>-82996</v>
      </c>
      <c r="F441">
        <v>63340</v>
      </c>
      <c r="G441">
        <v>10021</v>
      </c>
      <c r="H441">
        <v>24922</v>
      </c>
    </row>
    <row r="442" spans="1:8" x14ac:dyDescent="0.35">
      <c r="A442" s="51">
        <v>42942</v>
      </c>
      <c r="B442">
        <v>-64558</v>
      </c>
      <c r="C442">
        <v>233372</v>
      </c>
      <c r="D442" s="4" t="s">
        <v>842</v>
      </c>
      <c r="E442">
        <v>-234331</v>
      </c>
      <c r="F442">
        <v>65516</v>
      </c>
      <c r="G442">
        <v>10021</v>
      </c>
      <c r="H442">
        <v>24671</v>
      </c>
    </row>
    <row r="443" spans="1:8" x14ac:dyDescent="0.35">
      <c r="A443" s="51">
        <v>42941</v>
      </c>
      <c r="B443">
        <v>-65539</v>
      </c>
      <c r="C443">
        <v>212291</v>
      </c>
      <c r="D443" s="4" t="s">
        <v>843</v>
      </c>
      <c r="E443">
        <v>-221228</v>
      </c>
      <c r="F443">
        <v>74476</v>
      </c>
      <c r="G443">
        <v>9965</v>
      </c>
      <c r="H443">
        <v>24521</v>
      </c>
    </row>
    <row r="444" spans="1:8" x14ac:dyDescent="0.35">
      <c r="A444" s="51">
        <v>42940</v>
      </c>
      <c r="B444">
        <v>-64936</v>
      </c>
      <c r="C444">
        <v>197116</v>
      </c>
      <c r="D444" s="4" t="s">
        <v>844</v>
      </c>
      <c r="E444">
        <v>-210548</v>
      </c>
      <c r="F444">
        <v>78368</v>
      </c>
      <c r="G444">
        <v>9966</v>
      </c>
      <c r="H444">
        <v>24421</v>
      </c>
    </row>
    <row r="445" spans="1:8" x14ac:dyDescent="0.35">
      <c r="A445" s="51">
        <v>42937</v>
      </c>
      <c r="B445">
        <v>-55956</v>
      </c>
      <c r="C445">
        <v>132367</v>
      </c>
      <c r="D445" s="4" t="s">
        <v>845</v>
      </c>
      <c r="E445">
        <v>-155486</v>
      </c>
      <c r="F445">
        <v>79075</v>
      </c>
      <c r="G445">
        <v>9915</v>
      </c>
      <c r="H445">
        <v>24257</v>
      </c>
    </row>
    <row r="446" spans="1:8" x14ac:dyDescent="0.35">
      <c r="A446" s="51">
        <v>42936</v>
      </c>
      <c r="B446">
        <v>-81464</v>
      </c>
      <c r="C446">
        <v>119919</v>
      </c>
      <c r="D446" s="4" t="s">
        <v>846</v>
      </c>
      <c r="E446">
        <v>-119196</v>
      </c>
      <c r="F446">
        <v>80741</v>
      </c>
      <c r="G446">
        <v>9873</v>
      </c>
      <c r="H446">
        <v>24213</v>
      </c>
    </row>
    <row r="447" spans="1:8" x14ac:dyDescent="0.35">
      <c r="A447" s="51">
        <v>42935</v>
      </c>
      <c r="B447">
        <v>-80332</v>
      </c>
      <c r="C447">
        <v>172206</v>
      </c>
      <c r="D447" s="4" t="s">
        <v>847</v>
      </c>
      <c r="E447">
        <v>-172615</v>
      </c>
      <c r="F447">
        <v>80741</v>
      </c>
      <c r="G447">
        <v>9827</v>
      </c>
      <c r="H447">
        <v>24022</v>
      </c>
    </row>
    <row r="448" spans="1:8" x14ac:dyDescent="0.35">
      <c r="A448" s="51">
        <v>42934</v>
      </c>
      <c r="B448">
        <v>-60004</v>
      </c>
      <c r="C448">
        <v>119863</v>
      </c>
      <c r="D448" s="4" t="s">
        <v>848</v>
      </c>
      <c r="E448">
        <v>-138614</v>
      </c>
      <c r="F448">
        <v>78755</v>
      </c>
      <c r="G448">
        <v>9827</v>
      </c>
      <c r="H448">
        <v>24022</v>
      </c>
    </row>
    <row r="449" spans="1:8" x14ac:dyDescent="0.35">
      <c r="A449" s="51">
        <v>42933</v>
      </c>
      <c r="B449">
        <v>-52432</v>
      </c>
      <c r="C449">
        <v>210598</v>
      </c>
      <c r="D449" s="4" t="s">
        <v>849</v>
      </c>
      <c r="E449">
        <v>-239073</v>
      </c>
      <c r="F449">
        <v>80907</v>
      </c>
      <c r="G449">
        <v>9916</v>
      </c>
      <c r="H449">
        <v>24015</v>
      </c>
    </row>
    <row r="450" spans="1:8" x14ac:dyDescent="0.35">
      <c r="A450" s="51">
        <v>42930</v>
      </c>
      <c r="B450">
        <v>-71935</v>
      </c>
      <c r="C450">
        <v>229264</v>
      </c>
      <c r="D450" s="4" t="s">
        <v>850</v>
      </c>
      <c r="E450">
        <v>-240902</v>
      </c>
      <c r="F450">
        <v>83573</v>
      </c>
      <c r="G450">
        <v>9886</v>
      </c>
      <c r="H450">
        <v>23938</v>
      </c>
    </row>
    <row r="451" spans="1:8" x14ac:dyDescent="0.35">
      <c r="A451" s="51">
        <v>42929</v>
      </c>
      <c r="B451">
        <v>-84924</v>
      </c>
      <c r="C451">
        <v>229351</v>
      </c>
      <c r="D451" s="4" t="s">
        <v>851</v>
      </c>
      <c r="E451">
        <v>-228646</v>
      </c>
      <c r="F451">
        <v>84219</v>
      </c>
      <c r="G451">
        <v>9892</v>
      </c>
      <c r="H451">
        <v>23889</v>
      </c>
    </row>
    <row r="452" spans="1:8" x14ac:dyDescent="0.35">
      <c r="A452" s="51">
        <v>42928</v>
      </c>
      <c r="B452">
        <v>-100009</v>
      </c>
      <c r="C452">
        <v>184374</v>
      </c>
      <c r="D452" s="4" t="s">
        <v>852</v>
      </c>
      <c r="E452">
        <v>-167934</v>
      </c>
      <c r="F452">
        <v>83569</v>
      </c>
      <c r="G452">
        <v>9816</v>
      </c>
      <c r="H452">
        <v>23695</v>
      </c>
    </row>
    <row r="453" spans="1:8" x14ac:dyDescent="0.35">
      <c r="A453" s="51">
        <v>42927</v>
      </c>
      <c r="B453">
        <v>-135984</v>
      </c>
      <c r="C453">
        <v>159278</v>
      </c>
      <c r="D453" s="4" t="s">
        <v>853</v>
      </c>
      <c r="E453">
        <v>-107502</v>
      </c>
      <c r="F453">
        <v>84208</v>
      </c>
      <c r="G453">
        <v>9786</v>
      </c>
      <c r="H453">
        <v>23585</v>
      </c>
    </row>
    <row r="454" spans="1:8" x14ac:dyDescent="0.35">
      <c r="A454" s="51">
        <v>42926</v>
      </c>
      <c r="B454">
        <v>-174219</v>
      </c>
      <c r="C454">
        <v>164936</v>
      </c>
      <c r="D454" s="4" t="s">
        <v>854</v>
      </c>
      <c r="E454">
        <v>-74925</v>
      </c>
      <c r="F454">
        <v>84208</v>
      </c>
      <c r="G454">
        <v>9771</v>
      </c>
      <c r="H454">
        <v>23675</v>
      </c>
    </row>
    <row r="455" spans="1:8" x14ac:dyDescent="0.35">
      <c r="A455" s="51">
        <v>42923</v>
      </c>
      <c r="B455">
        <v>-195826</v>
      </c>
      <c r="C455">
        <v>144960</v>
      </c>
      <c r="D455" s="4" t="s">
        <v>855</v>
      </c>
      <c r="E455">
        <v>-33113</v>
      </c>
      <c r="F455">
        <v>83979</v>
      </c>
      <c r="G455">
        <v>9666</v>
      </c>
      <c r="H455">
        <v>23449</v>
      </c>
    </row>
    <row r="456" spans="1:8" x14ac:dyDescent="0.35">
      <c r="A456" s="51">
        <v>42922</v>
      </c>
      <c r="B456">
        <v>-185640</v>
      </c>
      <c r="C456">
        <v>157225</v>
      </c>
      <c r="D456" s="4" t="s">
        <v>856</v>
      </c>
      <c r="E456">
        <v>-57064</v>
      </c>
      <c r="F456">
        <v>85479</v>
      </c>
      <c r="G456">
        <v>9675</v>
      </c>
      <c r="H456">
        <v>23467</v>
      </c>
    </row>
    <row r="457" spans="1:8" x14ac:dyDescent="0.35">
      <c r="A457" s="51">
        <v>42921</v>
      </c>
      <c r="B457">
        <v>-208230</v>
      </c>
      <c r="C457">
        <v>117491</v>
      </c>
      <c r="D457" s="4" t="s">
        <v>857</v>
      </c>
      <c r="E457">
        <v>5505</v>
      </c>
      <c r="F457">
        <v>85234</v>
      </c>
      <c r="G457">
        <v>9638</v>
      </c>
      <c r="H457">
        <v>23353</v>
      </c>
    </row>
    <row r="458" spans="1:8" x14ac:dyDescent="0.35">
      <c r="A458" s="51">
        <v>42920</v>
      </c>
      <c r="B458">
        <v>-209716</v>
      </c>
      <c r="C458">
        <v>77136</v>
      </c>
      <c r="D458" s="4" t="s">
        <v>858</v>
      </c>
      <c r="E458">
        <v>46534</v>
      </c>
      <c r="F458">
        <v>86046</v>
      </c>
      <c r="G458">
        <v>9613</v>
      </c>
      <c r="H458">
        <v>23214</v>
      </c>
    </row>
    <row r="459" spans="1:8" x14ac:dyDescent="0.35">
      <c r="A459" s="51">
        <v>42919</v>
      </c>
      <c r="B459">
        <v>-207491</v>
      </c>
      <c r="C459">
        <v>75578</v>
      </c>
      <c r="D459" s="4" t="s">
        <v>859</v>
      </c>
      <c r="E459">
        <v>45867</v>
      </c>
      <c r="F459">
        <v>86046</v>
      </c>
      <c r="G459">
        <v>9615</v>
      </c>
      <c r="H459">
        <v>23273</v>
      </c>
    </row>
    <row r="460" spans="1:8" x14ac:dyDescent="0.35">
      <c r="A460" s="51">
        <v>42916</v>
      </c>
      <c r="B460">
        <v>-216164</v>
      </c>
      <c r="C460">
        <v>35828</v>
      </c>
      <c r="D460" s="4" t="s">
        <v>860</v>
      </c>
      <c r="E460">
        <v>94402</v>
      </c>
      <c r="F460">
        <v>85934</v>
      </c>
      <c r="G460">
        <v>9521</v>
      </c>
      <c r="H460">
        <v>23211</v>
      </c>
    </row>
    <row r="461" spans="1:8" x14ac:dyDescent="0.35">
      <c r="A461" s="51"/>
      <c r="B461">
        <v>-193530</v>
      </c>
      <c r="C461">
        <v>20897</v>
      </c>
      <c r="D461" s="4" t="s">
        <v>861</v>
      </c>
      <c r="E461">
        <v>86920</v>
      </c>
      <c r="F461">
        <v>85713</v>
      </c>
      <c r="G461">
        <v>9504</v>
      </c>
      <c r="H461">
        <v>23227</v>
      </c>
    </row>
    <row r="462" spans="1:8" x14ac:dyDescent="0.35">
      <c r="A462" s="51">
        <v>42914</v>
      </c>
      <c r="B462">
        <v>-385222</v>
      </c>
      <c r="C462">
        <v>-34183</v>
      </c>
      <c r="D462" s="4" t="s">
        <v>862</v>
      </c>
      <c r="E462">
        <v>321483</v>
      </c>
      <c r="F462">
        <v>97923</v>
      </c>
      <c r="G462">
        <v>9491</v>
      </c>
      <c r="H462">
        <v>23236</v>
      </c>
    </row>
    <row r="463" spans="1:8" x14ac:dyDescent="0.35">
      <c r="A463" s="51">
        <v>42913</v>
      </c>
      <c r="B463">
        <v>-347190</v>
      </c>
      <c r="C463">
        <v>-66859</v>
      </c>
      <c r="D463" s="4" t="s">
        <v>863</v>
      </c>
      <c r="E463">
        <v>313063</v>
      </c>
      <c r="F463">
        <v>100987</v>
      </c>
      <c r="G463">
        <v>9511</v>
      </c>
      <c r="H463">
        <v>23216</v>
      </c>
    </row>
    <row r="464" spans="1:8" x14ac:dyDescent="0.35">
      <c r="A464" s="51">
        <v>42909</v>
      </c>
      <c r="B464">
        <v>-297007</v>
      </c>
      <c r="C464">
        <v>-1328</v>
      </c>
      <c r="D464" s="4" t="s">
        <v>864</v>
      </c>
      <c r="E464">
        <v>198771</v>
      </c>
      <c r="F464">
        <v>99565</v>
      </c>
      <c r="G464">
        <v>9575</v>
      </c>
      <c r="H464">
        <v>23543</v>
      </c>
    </row>
    <row r="465" spans="1:8" x14ac:dyDescent="0.35">
      <c r="A465" s="51">
        <v>42908</v>
      </c>
      <c r="B465">
        <v>-255804</v>
      </c>
      <c r="C465">
        <v>81422</v>
      </c>
      <c r="D465" s="4" t="s">
        <v>865</v>
      </c>
      <c r="E465">
        <v>72885</v>
      </c>
      <c r="F465">
        <v>101498</v>
      </c>
      <c r="G465">
        <v>9630</v>
      </c>
      <c r="H465">
        <v>23736</v>
      </c>
    </row>
    <row r="466" spans="1:8" x14ac:dyDescent="0.35">
      <c r="A466" s="51">
        <v>42907</v>
      </c>
      <c r="B466">
        <v>-265363</v>
      </c>
      <c r="C466">
        <v>82681</v>
      </c>
      <c r="D466" s="4" t="s">
        <v>866</v>
      </c>
      <c r="E466">
        <v>79185</v>
      </c>
      <c r="F466">
        <v>103498</v>
      </c>
      <c r="G466">
        <v>9634</v>
      </c>
      <c r="H466">
        <v>23709</v>
      </c>
    </row>
    <row r="467" spans="1:8" x14ac:dyDescent="0.35">
      <c r="A467" s="51">
        <v>42906</v>
      </c>
      <c r="B467">
        <v>-240803</v>
      </c>
      <c r="C467">
        <v>82172</v>
      </c>
      <c r="D467" s="4" t="s">
        <v>867</v>
      </c>
      <c r="E467">
        <v>54934</v>
      </c>
      <c r="F467">
        <v>103698</v>
      </c>
      <c r="G467">
        <v>9654</v>
      </c>
      <c r="H467">
        <v>23698</v>
      </c>
    </row>
    <row r="468" spans="1:8" x14ac:dyDescent="0.35">
      <c r="A468" s="51">
        <v>42905</v>
      </c>
      <c r="B468">
        <v>-234773</v>
      </c>
      <c r="C468">
        <v>81997</v>
      </c>
      <c r="D468" s="4" t="s">
        <v>868</v>
      </c>
      <c r="E468">
        <v>50411</v>
      </c>
      <c r="F468">
        <v>102366</v>
      </c>
      <c r="G468">
        <v>9658</v>
      </c>
      <c r="H468">
        <v>23742</v>
      </c>
    </row>
    <row r="469" spans="1:8" x14ac:dyDescent="0.35">
      <c r="A469" s="51">
        <v>42902</v>
      </c>
      <c r="B469">
        <v>-264764</v>
      </c>
      <c r="C469">
        <v>57007</v>
      </c>
      <c r="D469" s="4" t="s">
        <v>869</v>
      </c>
      <c r="E469">
        <v>105144</v>
      </c>
      <c r="F469">
        <v>102614</v>
      </c>
      <c r="G469">
        <v>9588</v>
      </c>
      <c r="H469">
        <v>23503</v>
      </c>
    </row>
    <row r="470" spans="1:8" x14ac:dyDescent="0.35">
      <c r="A470" s="51">
        <v>42901</v>
      </c>
      <c r="B470">
        <v>-237334</v>
      </c>
      <c r="C470">
        <v>58008</v>
      </c>
      <c r="D470" s="4" t="s">
        <v>870</v>
      </c>
      <c r="E470">
        <v>76663</v>
      </c>
      <c r="F470">
        <v>102664</v>
      </c>
      <c r="G470">
        <v>9578</v>
      </c>
      <c r="H470">
        <v>23392</v>
      </c>
    </row>
    <row r="471" spans="1:8" x14ac:dyDescent="0.35">
      <c r="A471" s="51">
        <v>42900</v>
      </c>
      <c r="B471">
        <v>-214248</v>
      </c>
      <c r="C471">
        <v>87826</v>
      </c>
      <c r="D471" s="4" t="s">
        <v>871</v>
      </c>
      <c r="E471">
        <v>22577</v>
      </c>
      <c r="F471">
        <v>103846</v>
      </c>
      <c r="G471">
        <v>9618</v>
      </c>
      <c r="H471">
        <v>23499</v>
      </c>
    </row>
    <row r="472" spans="1:8" x14ac:dyDescent="0.35">
      <c r="A472" s="51">
        <v>42899</v>
      </c>
      <c r="B472">
        <v>-208114</v>
      </c>
      <c r="C472">
        <v>72823</v>
      </c>
      <c r="D472" s="4" t="s">
        <v>872</v>
      </c>
      <c r="E472">
        <v>24177</v>
      </c>
      <c r="F472">
        <v>111115</v>
      </c>
      <c r="G472">
        <v>9607</v>
      </c>
      <c r="H472">
        <v>23478</v>
      </c>
    </row>
    <row r="473" spans="1:8" x14ac:dyDescent="0.35">
      <c r="A473" s="51">
        <v>42898</v>
      </c>
      <c r="B473">
        <v>-207065</v>
      </c>
      <c r="C473">
        <v>90016</v>
      </c>
      <c r="D473" s="4" t="s">
        <v>873</v>
      </c>
      <c r="E473">
        <v>-593</v>
      </c>
      <c r="F473">
        <v>117643</v>
      </c>
      <c r="G473">
        <v>9616</v>
      </c>
      <c r="H473">
        <v>23470</v>
      </c>
    </row>
    <row r="474" spans="1:8" x14ac:dyDescent="0.35">
      <c r="A474" s="51">
        <v>42895</v>
      </c>
      <c r="B474">
        <v>-173680</v>
      </c>
      <c r="C474">
        <v>137253</v>
      </c>
      <c r="D474" s="4" t="s">
        <v>874</v>
      </c>
      <c r="E474">
        <v>-83805</v>
      </c>
      <c r="F474">
        <v>120233</v>
      </c>
      <c r="G474">
        <v>9668</v>
      </c>
      <c r="H474">
        <v>23691</v>
      </c>
    </row>
    <row r="475" spans="1:8" x14ac:dyDescent="0.35">
      <c r="A475" s="51">
        <v>42894</v>
      </c>
      <c r="B475">
        <v>-167761</v>
      </c>
      <c r="C475">
        <v>134113</v>
      </c>
      <c r="D475" s="4" t="s">
        <v>875</v>
      </c>
      <c r="E475">
        <v>-89638</v>
      </c>
      <c r="F475">
        <v>123287</v>
      </c>
      <c r="G475">
        <v>9647</v>
      </c>
      <c r="H475">
        <v>23536</v>
      </c>
    </row>
    <row r="476" spans="1:8" x14ac:dyDescent="0.35">
      <c r="A476" s="51">
        <v>42893</v>
      </c>
      <c r="B476">
        <v>-154964</v>
      </c>
      <c r="C476">
        <v>142684</v>
      </c>
      <c r="D476" s="4" t="s">
        <v>876</v>
      </c>
      <c r="E476">
        <v>-110656</v>
      </c>
      <c r="F476">
        <v>122937</v>
      </c>
      <c r="G476">
        <v>9664</v>
      </c>
      <c r="H476">
        <v>23568</v>
      </c>
    </row>
    <row r="477" spans="1:8" x14ac:dyDescent="0.35">
      <c r="A477" s="51">
        <v>42892</v>
      </c>
      <c r="B477">
        <v>-155818</v>
      </c>
      <c r="C477">
        <v>136433</v>
      </c>
      <c r="D477" s="4" t="s">
        <v>877</v>
      </c>
      <c r="E477">
        <v>-104078</v>
      </c>
      <c r="F477">
        <v>123464</v>
      </c>
      <c r="G477">
        <v>9637</v>
      </c>
      <c r="H477">
        <v>23416</v>
      </c>
    </row>
    <row r="478" spans="1:8" x14ac:dyDescent="0.35">
      <c r="A478" s="51">
        <v>42891</v>
      </c>
      <c r="B478">
        <v>-145385</v>
      </c>
      <c r="C478">
        <v>169058</v>
      </c>
      <c r="D478" s="4" t="s">
        <v>878</v>
      </c>
      <c r="E478">
        <v>-147382</v>
      </c>
      <c r="F478">
        <v>123709</v>
      </c>
      <c r="G478">
        <v>9675</v>
      </c>
      <c r="H478">
        <v>23460</v>
      </c>
    </row>
    <row r="479" spans="1:8" x14ac:dyDescent="0.35">
      <c r="A479" s="51">
        <v>42888</v>
      </c>
      <c r="B479">
        <v>-163821</v>
      </c>
      <c r="C479">
        <v>144904</v>
      </c>
      <c r="D479" s="4" t="s">
        <v>879</v>
      </c>
      <c r="E479">
        <v>-104790</v>
      </c>
      <c r="F479">
        <v>123709</v>
      </c>
      <c r="G479">
        <v>9654</v>
      </c>
      <c r="H479">
        <v>23376</v>
      </c>
    </row>
    <row r="480" spans="1:8" x14ac:dyDescent="0.35">
      <c r="A480" s="51">
        <v>42887</v>
      </c>
      <c r="B480">
        <v>-170513</v>
      </c>
      <c r="C480">
        <v>135694</v>
      </c>
      <c r="D480" s="4" t="s">
        <v>880</v>
      </c>
      <c r="E480">
        <v>-88888</v>
      </c>
      <c r="F480">
        <v>123709</v>
      </c>
      <c r="G480">
        <v>9616</v>
      </c>
      <c r="H480">
        <v>23310</v>
      </c>
    </row>
    <row r="481" spans="1:8" x14ac:dyDescent="0.35">
      <c r="A481" s="51">
        <v>42886</v>
      </c>
      <c r="B481">
        <v>-168953</v>
      </c>
      <c r="C481">
        <v>149727</v>
      </c>
      <c r="D481" s="4" t="s">
        <v>881</v>
      </c>
      <c r="E481">
        <v>-104482</v>
      </c>
      <c r="F481">
        <v>123709</v>
      </c>
      <c r="G481">
        <v>9621</v>
      </c>
      <c r="H481">
        <v>23425</v>
      </c>
    </row>
    <row r="482" spans="1:8" x14ac:dyDescent="0.35">
      <c r="A482" s="51">
        <v>42885</v>
      </c>
      <c r="B482">
        <v>-144248</v>
      </c>
      <c r="C482">
        <v>118896</v>
      </c>
      <c r="D482" s="4" t="s">
        <v>882</v>
      </c>
      <c r="E482">
        <v>-98362</v>
      </c>
      <c r="F482">
        <v>123715</v>
      </c>
      <c r="G482">
        <v>9625</v>
      </c>
      <c r="H482">
        <v>23307</v>
      </c>
    </row>
    <row r="483" spans="1:8" x14ac:dyDescent="0.35">
      <c r="A483" s="51">
        <v>42884</v>
      </c>
      <c r="B483">
        <v>-142079</v>
      </c>
      <c r="C483">
        <v>107741</v>
      </c>
      <c r="D483" s="4" t="s">
        <v>883</v>
      </c>
      <c r="E483">
        <v>-94042</v>
      </c>
      <c r="F483">
        <v>128381</v>
      </c>
      <c r="G483">
        <v>9605</v>
      </c>
      <c r="H483">
        <v>23183</v>
      </c>
    </row>
    <row r="484" spans="1:8" x14ac:dyDescent="0.35">
      <c r="A484" s="51">
        <v>42881</v>
      </c>
      <c r="B484">
        <v>-149858</v>
      </c>
      <c r="C484">
        <v>132299</v>
      </c>
      <c r="D484" s="4" t="s">
        <v>884</v>
      </c>
      <c r="E484">
        <v>-111771</v>
      </c>
      <c r="F484">
        <v>129331</v>
      </c>
      <c r="G484">
        <v>9595</v>
      </c>
      <c r="H484">
        <v>23362</v>
      </c>
    </row>
    <row r="485" spans="1:8" x14ac:dyDescent="0.35">
      <c r="A485" s="51"/>
      <c r="B485">
        <v>-186324</v>
      </c>
      <c r="C485">
        <v>104794</v>
      </c>
      <c r="D485" s="4" t="s">
        <v>885</v>
      </c>
      <c r="E485">
        <v>-47800</v>
      </c>
      <c r="F485">
        <v>129331</v>
      </c>
      <c r="G485">
        <v>9510</v>
      </c>
      <c r="H485">
        <v>23191</v>
      </c>
    </row>
    <row r="486" spans="1:8" x14ac:dyDescent="0.35">
      <c r="A486" s="51">
        <v>42879</v>
      </c>
      <c r="B486">
        <v>-225274</v>
      </c>
      <c r="C486">
        <v>24768</v>
      </c>
      <c r="D486" s="4" t="s">
        <v>886</v>
      </c>
      <c r="E486">
        <v>71453</v>
      </c>
      <c r="F486">
        <v>129054</v>
      </c>
      <c r="G486">
        <v>9361</v>
      </c>
      <c r="H486">
        <v>22536</v>
      </c>
    </row>
    <row r="487" spans="1:8" x14ac:dyDescent="0.35">
      <c r="A487" s="51">
        <v>42878</v>
      </c>
      <c r="B487">
        <v>-222174</v>
      </c>
      <c r="C487">
        <v>89903</v>
      </c>
      <c r="D487" s="4" t="s">
        <v>887</v>
      </c>
      <c r="E487">
        <v>-5114</v>
      </c>
      <c r="F487">
        <v>137386</v>
      </c>
      <c r="G487">
        <v>9386</v>
      </c>
      <c r="H487">
        <v>22583</v>
      </c>
    </row>
    <row r="488" spans="1:8" x14ac:dyDescent="0.35">
      <c r="A488" s="51">
        <v>42877</v>
      </c>
      <c r="B488">
        <v>-160178</v>
      </c>
      <c r="C488">
        <v>111982</v>
      </c>
      <c r="D488" s="4" t="s">
        <v>888</v>
      </c>
      <c r="E488">
        <v>-87922</v>
      </c>
      <c r="F488">
        <v>136119</v>
      </c>
      <c r="G488">
        <v>9438</v>
      </c>
      <c r="H488">
        <v>22653</v>
      </c>
    </row>
    <row r="489" spans="1:8" x14ac:dyDescent="0.35">
      <c r="A489" s="51">
        <v>42874</v>
      </c>
      <c r="B489">
        <v>-157169</v>
      </c>
      <c r="C489">
        <v>154221</v>
      </c>
      <c r="D489" s="4" t="s">
        <v>889</v>
      </c>
      <c r="E489">
        <v>-133170</v>
      </c>
      <c r="F489">
        <v>136119</v>
      </c>
      <c r="G489">
        <v>9428</v>
      </c>
      <c r="H489">
        <v>22770</v>
      </c>
    </row>
    <row r="490" spans="1:8" x14ac:dyDescent="0.35">
      <c r="A490" s="51">
        <v>42873</v>
      </c>
      <c r="B490">
        <v>-108361</v>
      </c>
      <c r="C490">
        <v>171472</v>
      </c>
      <c r="D490" s="4" t="s">
        <v>890</v>
      </c>
      <c r="E490">
        <v>-198989</v>
      </c>
      <c r="F490">
        <v>135879</v>
      </c>
      <c r="G490">
        <v>9429</v>
      </c>
      <c r="H490">
        <v>22699</v>
      </c>
    </row>
    <row r="491" spans="1:8" x14ac:dyDescent="0.35">
      <c r="A491" s="51">
        <v>42872</v>
      </c>
      <c r="B491">
        <v>-48552</v>
      </c>
      <c r="C491">
        <v>257522</v>
      </c>
      <c r="D491" s="4" t="s">
        <v>891</v>
      </c>
      <c r="E491">
        <v>-343990</v>
      </c>
      <c r="F491">
        <v>135021</v>
      </c>
      <c r="G491">
        <v>9526</v>
      </c>
      <c r="H491">
        <v>22936</v>
      </c>
    </row>
    <row r="492" spans="1:8" x14ac:dyDescent="0.35">
      <c r="A492" s="51">
        <v>42871</v>
      </c>
      <c r="B492">
        <v>-66082</v>
      </c>
      <c r="C492">
        <v>247352</v>
      </c>
      <c r="D492" s="4" t="s">
        <v>892</v>
      </c>
      <c r="E492">
        <v>-316943</v>
      </c>
      <c r="F492">
        <v>135674</v>
      </c>
      <c r="G492">
        <v>9512</v>
      </c>
      <c r="H492">
        <v>22929</v>
      </c>
    </row>
    <row r="493" spans="1:8" x14ac:dyDescent="0.35">
      <c r="A493" s="51">
        <v>42870</v>
      </c>
      <c r="B493">
        <v>-98718</v>
      </c>
      <c r="C493">
        <v>199353</v>
      </c>
      <c r="D493" s="4" t="s">
        <v>893</v>
      </c>
      <c r="E493">
        <v>-236441</v>
      </c>
      <c r="F493">
        <v>135807</v>
      </c>
      <c r="G493">
        <v>9445</v>
      </c>
      <c r="H493">
        <v>22822</v>
      </c>
    </row>
    <row r="494" spans="1:8" x14ac:dyDescent="0.35">
      <c r="A494" s="51">
        <v>42867</v>
      </c>
      <c r="B494">
        <v>-108094</v>
      </c>
      <c r="C494">
        <v>146407</v>
      </c>
      <c r="D494" s="4" t="s">
        <v>894</v>
      </c>
      <c r="E494">
        <v>-169622</v>
      </c>
      <c r="F494">
        <v>131310</v>
      </c>
      <c r="G494">
        <v>9401</v>
      </c>
      <c r="H494">
        <v>22672</v>
      </c>
    </row>
    <row r="495" spans="1:8" x14ac:dyDescent="0.35">
      <c r="A495" s="51">
        <v>42866</v>
      </c>
      <c r="B495">
        <v>-101922</v>
      </c>
      <c r="C495">
        <v>202451</v>
      </c>
      <c r="D495" s="4" t="s">
        <v>895</v>
      </c>
      <c r="E495">
        <v>-233655</v>
      </c>
      <c r="F495">
        <v>133127</v>
      </c>
      <c r="G495">
        <v>9422</v>
      </c>
      <c r="H495">
        <v>22818</v>
      </c>
    </row>
    <row r="496" spans="1:8" x14ac:dyDescent="0.35">
      <c r="A496" s="51">
        <v>42865</v>
      </c>
      <c r="B496">
        <v>-129513</v>
      </c>
      <c r="C496">
        <v>186101</v>
      </c>
      <c r="D496" s="4" t="s">
        <v>896</v>
      </c>
      <c r="E496">
        <v>-188901</v>
      </c>
      <c r="F496">
        <v>132314</v>
      </c>
      <c r="G496">
        <v>9407</v>
      </c>
      <c r="H496">
        <v>22830</v>
      </c>
    </row>
    <row r="497" spans="1:8" x14ac:dyDescent="0.35">
      <c r="A497" s="51">
        <v>42864</v>
      </c>
      <c r="B497">
        <v>-165046</v>
      </c>
      <c r="C497">
        <v>131583</v>
      </c>
      <c r="D497" s="4" t="s">
        <v>897</v>
      </c>
      <c r="E497">
        <v>-99162</v>
      </c>
      <c r="F497">
        <v>132626</v>
      </c>
      <c r="G497">
        <v>9317</v>
      </c>
      <c r="H497">
        <v>22707</v>
      </c>
    </row>
    <row r="498" spans="1:8" x14ac:dyDescent="0.35">
      <c r="A498" s="51">
        <v>42863</v>
      </c>
      <c r="B498">
        <v>-173348</v>
      </c>
      <c r="C498">
        <v>149763</v>
      </c>
      <c r="D498" s="4" t="s">
        <v>898</v>
      </c>
      <c r="E498">
        <v>-109040</v>
      </c>
      <c r="F498">
        <v>132626</v>
      </c>
      <c r="G498">
        <v>9314</v>
      </c>
      <c r="H498">
        <v>22767</v>
      </c>
    </row>
    <row r="499" spans="1:8" x14ac:dyDescent="0.35">
      <c r="A499" s="51">
        <v>42860</v>
      </c>
      <c r="B499">
        <v>-180661</v>
      </c>
      <c r="C499">
        <v>118709</v>
      </c>
      <c r="D499" s="4" t="s">
        <v>899</v>
      </c>
      <c r="E499">
        <v>-70673</v>
      </c>
      <c r="F499">
        <v>132626</v>
      </c>
      <c r="G499">
        <v>9285</v>
      </c>
      <c r="H499">
        <v>22605</v>
      </c>
    </row>
    <row r="500" spans="1:8" x14ac:dyDescent="0.35">
      <c r="A500" s="51">
        <v>42859</v>
      </c>
      <c r="B500">
        <v>-162105</v>
      </c>
      <c r="C500">
        <v>181113</v>
      </c>
      <c r="D500" s="4" t="s">
        <v>900</v>
      </c>
      <c r="E500">
        <v>-151833</v>
      </c>
      <c r="F500">
        <v>132826</v>
      </c>
      <c r="G500">
        <v>9360</v>
      </c>
      <c r="H500">
        <v>22720</v>
      </c>
    </row>
    <row r="501" spans="1:8" x14ac:dyDescent="0.35">
      <c r="A501" s="51">
        <v>42858</v>
      </c>
      <c r="B501">
        <v>-178631</v>
      </c>
      <c r="C501">
        <v>141325</v>
      </c>
      <c r="D501" s="4" t="s">
        <v>901</v>
      </c>
      <c r="E501">
        <v>-95520</v>
      </c>
      <c r="F501">
        <v>132826</v>
      </c>
      <c r="G501">
        <v>9312</v>
      </c>
      <c r="H501">
        <v>22307</v>
      </c>
    </row>
    <row r="502" spans="1:8" x14ac:dyDescent="0.35">
      <c r="A502" s="51">
        <v>42857</v>
      </c>
      <c r="B502">
        <v>-175074</v>
      </c>
      <c r="C502">
        <v>142406</v>
      </c>
      <c r="D502" s="4" t="s">
        <v>902</v>
      </c>
      <c r="E502">
        <v>-100156</v>
      </c>
      <c r="F502">
        <v>132826</v>
      </c>
      <c r="G502">
        <v>9314</v>
      </c>
      <c r="H502">
        <v>22341</v>
      </c>
    </row>
    <row r="503" spans="1:8" x14ac:dyDescent="0.35">
      <c r="A503" s="51">
        <v>42853</v>
      </c>
      <c r="B503">
        <v>-172803</v>
      </c>
      <c r="C503">
        <v>127324</v>
      </c>
      <c r="D503" s="4" t="s">
        <v>903</v>
      </c>
      <c r="E503">
        <v>-87546</v>
      </c>
      <c r="F503">
        <v>133026</v>
      </c>
      <c r="G503">
        <v>9304</v>
      </c>
      <c r="H503">
        <v>22358</v>
      </c>
    </row>
    <row r="504" spans="1:8" x14ac:dyDescent="0.35">
      <c r="A504" s="51"/>
      <c r="B504">
        <v>-128865</v>
      </c>
      <c r="C504">
        <v>110955</v>
      </c>
      <c r="D504" s="4" t="s">
        <v>904</v>
      </c>
      <c r="E504">
        <v>-115621</v>
      </c>
      <c r="F504">
        <v>133532</v>
      </c>
      <c r="G504">
        <v>9342</v>
      </c>
      <c r="H504">
        <v>22326</v>
      </c>
    </row>
    <row r="505" spans="1:8" x14ac:dyDescent="0.35">
      <c r="A505" s="51">
        <v>42851</v>
      </c>
      <c r="B505">
        <v>-287003</v>
      </c>
      <c r="C505">
        <v>263394</v>
      </c>
      <c r="D505" s="4" t="s">
        <v>905</v>
      </c>
      <c r="E505">
        <v>-109819</v>
      </c>
      <c r="F505">
        <v>133429</v>
      </c>
      <c r="G505">
        <v>9352</v>
      </c>
      <c r="H505">
        <v>22243</v>
      </c>
    </row>
    <row r="506" spans="1:8" x14ac:dyDescent="0.35">
      <c r="A506" s="51">
        <v>42850</v>
      </c>
      <c r="B506">
        <v>-309934</v>
      </c>
      <c r="C506">
        <v>234229</v>
      </c>
      <c r="D506" s="4" t="s">
        <v>906</v>
      </c>
      <c r="E506">
        <v>-57315</v>
      </c>
      <c r="F506">
        <v>133021</v>
      </c>
      <c r="G506">
        <v>9307</v>
      </c>
      <c r="H506">
        <v>22055</v>
      </c>
    </row>
    <row r="507" spans="1:8" x14ac:dyDescent="0.35">
      <c r="A507" s="51">
        <v>42849</v>
      </c>
      <c r="B507">
        <v>-336960</v>
      </c>
      <c r="C507">
        <v>219528</v>
      </c>
      <c r="D507" s="4" t="s">
        <v>907</v>
      </c>
      <c r="E507">
        <v>-15452</v>
      </c>
      <c r="F507">
        <v>132885</v>
      </c>
      <c r="G507">
        <v>9218</v>
      </c>
      <c r="H507">
        <v>21857</v>
      </c>
    </row>
    <row r="508" spans="1:8" x14ac:dyDescent="0.35">
      <c r="A508" s="51">
        <v>42846</v>
      </c>
      <c r="B508">
        <v>-363372</v>
      </c>
      <c r="C508">
        <v>104658</v>
      </c>
      <c r="D508" s="4" t="s">
        <v>908</v>
      </c>
      <c r="E508">
        <v>121761</v>
      </c>
      <c r="F508">
        <v>136954</v>
      </c>
      <c r="G508">
        <v>9119</v>
      </c>
      <c r="H508">
        <v>21551</v>
      </c>
    </row>
    <row r="509" spans="1:8" x14ac:dyDescent="0.35">
      <c r="A509" s="51">
        <v>42845</v>
      </c>
      <c r="B509">
        <v>-346280</v>
      </c>
      <c r="C509">
        <v>144524</v>
      </c>
      <c r="D509" s="4" t="s">
        <v>909</v>
      </c>
      <c r="E509">
        <v>64803</v>
      </c>
      <c r="F509">
        <v>136954</v>
      </c>
      <c r="G509">
        <v>9136</v>
      </c>
      <c r="H509">
        <v>21491</v>
      </c>
    </row>
    <row r="510" spans="1:8" x14ac:dyDescent="0.35">
      <c r="A510" s="51">
        <v>42844</v>
      </c>
      <c r="B510">
        <v>-337660</v>
      </c>
      <c r="C510">
        <v>90544</v>
      </c>
      <c r="D510" s="4" t="s">
        <v>910</v>
      </c>
      <c r="E510">
        <v>110362</v>
      </c>
      <c r="F510">
        <v>136754</v>
      </c>
      <c r="G510">
        <v>9104</v>
      </c>
      <c r="H510">
        <v>21556</v>
      </c>
    </row>
    <row r="511" spans="1:8" x14ac:dyDescent="0.35">
      <c r="A511" s="51">
        <v>42843</v>
      </c>
      <c r="B511">
        <v>-295964</v>
      </c>
      <c r="C511">
        <v>104242</v>
      </c>
      <c r="D511" s="4" t="s">
        <v>911</v>
      </c>
      <c r="E511">
        <v>55169</v>
      </c>
      <c r="F511">
        <v>136554</v>
      </c>
      <c r="G511">
        <v>9105</v>
      </c>
      <c r="H511">
        <v>21672</v>
      </c>
    </row>
    <row r="512" spans="1:8" x14ac:dyDescent="0.35">
      <c r="A512" s="51">
        <v>42842</v>
      </c>
      <c r="B512">
        <v>-281660</v>
      </c>
      <c r="C512">
        <v>139259</v>
      </c>
      <c r="D512" s="4" t="s">
        <v>912</v>
      </c>
      <c r="E512">
        <v>5848</v>
      </c>
      <c r="F512">
        <v>136554</v>
      </c>
      <c r="G512">
        <v>9139</v>
      </c>
      <c r="H512">
        <v>21648</v>
      </c>
    </row>
    <row r="513" spans="1:8" x14ac:dyDescent="0.35">
      <c r="A513" s="51">
        <v>42838</v>
      </c>
      <c r="B513">
        <v>-278546</v>
      </c>
      <c r="C513">
        <v>128938</v>
      </c>
      <c r="D513" s="4" t="s">
        <v>913</v>
      </c>
      <c r="E513">
        <v>12389</v>
      </c>
      <c r="F513">
        <v>137220</v>
      </c>
      <c r="G513">
        <v>9151</v>
      </c>
      <c r="H513">
        <v>21687</v>
      </c>
    </row>
    <row r="514" spans="1:8" x14ac:dyDescent="0.35">
      <c r="A514" s="51">
        <v>42837</v>
      </c>
      <c r="B514">
        <v>-248528</v>
      </c>
      <c r="C514">
        <v>130417</v>
      </c>
      <c r="D514" s="4" t="s">
        <v>914</v>
      </c>
      <c r="E514">
        <v>-19526</v>
      </c>
      <c r="F514">
        <v>137638</v>
      </c>
      <c r="G514">
        <v>9203</v>
      </c>
      <c r="H514">
        <v>21667</v>
      </c>
    </row>
    <row r="515" spans="1:8" x14ac:dyDescent="0.35">
      <c r="A515" s="51">
        <v>42836</v>
      </c>
      <c r="B515">
        <v>-227997</v>
      </c>
      <c r="C515">
        <v>145907</v>
      </c>
      <c r="D515" s="4" t="s">
        <v>915</v>
      </c>
      <c r="E515">
        <v>-55748</v>
      </c>
      <c r="F515">
        <v>137839</v>
      </c>
      <c r="G515">
        <v>9237</v>
      </c>
      <c r="H515">
        <v>21736</v>
      </c>
    </row>
    <row r="516" spans="1:8" x14ac:dyDescent="0.35">
      <c r="A516" s="51">
        <v>42835</v>
      </c>
      <c r="B516">
        <v>-217210</v>
      </c>
      <c r="C516">
        <v>107673</v>
      </c>
      <c r="D516" s="4" t="s">
        <v>916</v>
      </c>
      <c r="E516">
        <v>-29048</v>
      </c>
      <c r="F516">
        <v>138586</v>
      </c>
      <c r="G516">
        <v>9181</v>
      </c>
      <c r="H516">
        <v>21520</v>
      </c>
    </row>
    <row r="517" spans="1:8" x14ac:dyDescent="0.35">
      <c r="A517" s="51">
        <v>42832</v>
      </c>
      <c r="B517">
        <v>-214069</v>
      </c>
      <c r="C517">
        <v>100663</v>
      </c>
      <c r="D517" s="4" t="s">
        <v>917</v>
      </c>
      <c r="E517">
        <v>-25179</v>
      </c>
      <c r="F517">
        <v>138586</v>
      </c>
      <c r="G517">
        <v>9198</v>
      </c>
      <c r="H517">
        <v>21431</v>
      </c>
    </row>
    <row r="518" spans="1:8" x14ac:dyDescent="0.35">
      <c r="A518" s="51">
        <v>42831</v>
      </c>
      <c r="B518">
        <v>-187408</v>
      </c>
      <c r="C518">
        <v>142120</v>
      </c>
      <c r="D518" s="4" t="s">
        <v>918</v>
      </c>
      <c r="E518">
        <v>-93748</v>
      </c>
      <c r="F518">
        <v>139036</v>
      </c>
      <c r="G518">
        <v>9262</v>
      </c>
      <c r="H518">
        <v>21623</v>
      </c>
    </row>
    <row r="519" spans="1:8" x14ac:dyDescent="0.35">
      <c r="A519" s="51">
        <v>42830</v>
      </c>
      <c r="B519">
        <v>-201710</v>
      </c>
      <c r="C519">
        <v>157376</v>
      </c>
      <c r="D519" s="4" t="s">
        <v>919</v>
      </c>
      <c r="E519">
        <v>-95102</v>
      </c>
      <c r="F519">
        <v>139436</v>
      </c>
      <c r="G519">
        <v>9265</v>
      </c>
      <c r="H519">
        <v>21653</v>
      </c>
    </row>
    <row r="520" spans="1:8" x14ac:dyDescent="0.35">
      <c r="A520" s="51">
        <v>42828</v>
      </c>
      <c r="B520">
        <v>-181295</v>
      </c>
      <c r="C520">
        <v>123736</v>
      </c>
      <c r="D520" s="4" t="s">
        <v>920</v>
      </c>
      <c r="E520">
        <v>-81877</v>
      </c>
      <c r="F520">
        <v>139436</v>
      </c>
      <c r="G520">
        <v>9238</v>
      </c>
      <c r="H520">
        <v>21548</v>
      </c>
    </row>
    <row r="521" spans="1:8" x14ac:dyDescent="0.35">
      <c r="A521" s="51">
        <v>42825</v>
      </c>
      <c r="B521">
        <v>-199910</v>
      </c>
      <c r="C521">
        <v>82370</v>
      </c>
      <c r="D521" s="4" t="s">
        <v>921</v>
      </c>
      <c r="E521">
        <v>-21896</v>
      </c>
      <c r="F521">
        <v>139436</v>
      </c>
      <c r="G521">
        <v>9174</v>
      </c>
      <c r="H521">
        <v>21444</v>
      </c>
    </row>
    <row r="522" spans="1:8" x14ac:dyDescent="0.35">
      <c r="A522" s="51"/>
      <c r="B522">
        <v>-201140</v>
      </c>
      <c r="C522">
        <v>80417</v>
      </c>
      <c r="D522" s="4" t="s">
        <v>922</v>
      </c>
      <c r="E522">
        <v>-18713</v>
      </c>
      <c r="F522">
        <v>139436</v>
      </c>
      <c r="G522">
        <v>9174</v>
      </c>
      <c r="H522">
        <v>21621</v>
      </c>
    </row>
    <row r="523" spans="1:8" x14ac:dyDescent="0.35">
      <c r="A523" s="51">
        <v>42823</v>
      </c>
      <c r="B523">
        <v>-222026</v>
      </c>
      <c r="C523">
        <v>133663</v>
      </c>
      <c r="D523" s="4" t="s">
        <v>923</v>
      </c>
      <c r="E523">
        <v>-46393</v>
      </c>
      <c r="F523">
        <v>134756</v>
      </c>
      <c r="G523">
        <v>9144</v>
      </c>
      <c r="H523">
        <v>21391</v>
      </c>
    </row>
    <row r="524" spans="1:8" x14ac:dyDescent="0.35">
      <c r="A524" s="51">
        <v>42822</v>
      </c>
      <c r="B524">
        <v>-211066</v>
      </c>
      <c r="C524">
        <v>101983</v>
      </c>
      <c r="D524" s="4" t="s">
        <v>924</v>
      </c>
      <c r="E524">
        <v>-25673</v>
      </c>
      <c r="F524">
        <v>134756</v>
      </c>
      <c r="G524">
        <v>9101</v>
      </c>
      <c r="H524">
        <v>21225</v>
      </c>
    </row>
    <row r="525" spans="1:8" x14ac:dyDescent="0.35">
      <c r="A525" s="51">
        <v>42821</v>
      </c>
      <c r="B525">
        <v>-202354</v>
      </c>
      <c r="C525">
        <v>37521</v>
      </c>
      <c r="D525" s="4" t="s">
        <v>925</v>
      </c>
      <c r="E525">
        <v>30077</v>
      </c>
      <c r="F525">
        <v>134756</v>
      </c>
      <c r="G525">
        <v>9045</v>
      </c>
      <c r="H525">
        <v>21057</v>
      </c>
    </row>
    <row r="526" spans="1:8" x14ac:dyDescent="0.35">
      <c r="A526" s="51">
        <v>42818</v>
      </c>
      <c r="B526">
        <v>-198718</v>
      </c>
      <c r="C526">
        <v>54042</v>
      </c>
      <c r="D526" s="4" t="s">
        <v>926</v>
      </c>
      <c r="E526">
        <v>9920</v>
      </c>
      <c r="F526">
        <v>134756</v>
      </c>
      <c r="G526">
        <v>9108</v>
      </c>
      <c r="H526">
        <v>21123</v>
      </c>
    </row>
    <row r="527" spans="1:8" x14ac:dyDescent="0.35">
      <c r="A527" s="51">
        <v>42817</v>
      </c>
      <c r="B527">
        <v>-176007</v>
      </c>
      <c r="C527">
        <v>42267</v>
      </c>
      <c r="D527" s="4" t="s">
        <v>927</v>
      </c>
      <c r="E527">
        <v>-1076</v>
      </c>
      <c r="F527">
        <v>134816</v>
      </c>
      <c r="G527">
        <v>9086</v>
      </c>
      <c r="H527">
        <v>20896</v>
      </c>
    </row>
    <row r="528" spans="1:8" x14ac:dyDescent="0.35">
      <c r="A528" s="51">
        <v>42816</v>
      </c>
      <c r="B528">
        <v>-183107</v>
      </c>
      <c r="C528">
        <v>-24542</v>
      </c>
      <c r="D528" s="4" t="s">
        <v>928</v>
      </c>
      <c r="E528">
        <v>72841</v>
      </c>
      <c r="F528">
        <v>134808</v>
      </c>
      <c r="G528">
        <v>9030</v>
      </c>
      <c r="H528">
        <v>20781</v>
      </c>
    </row>
    <row r="529" spans="1:8" x14ac:dyDescent="0.35">
      <c r="A529" s="51">
        <v>42815</v>
      </c>
      <c r="B529">
        <v>-141190</v>
      </c>
      <c r="C529">
        <v>50048</v>
      </c>
      <c r="D529" s="4" t="s">
        <v>929</v>
      </c>
      <c r="E529">
        <v>-44066</v>
      </c>
      <c r="F529">
        <v>135208</v>
      </c>
      <c r="G529">
        <v>9121</v>
      </c>
      <c r="H529">
        <v>21019</v>
      </c>
    </row>
    <row r="530" spans="1:8" x14ac:dyDescent="0.35">
      <c r="A530" s="51">
        <v>42814</v>
      </c>
      <c r="B530">
        <v>-144585</v>
      </c>
      <c r="C530">
        <v>110590</v>
      </c>
      <c r="D530" s="4" t="s">
        <v>930</v>
      </c>
      <c r="E530">
        <v>-101213</v>
      </c>
      <c r="F530">
        <v>135208</v>
      </c>
      <c r="G530">
        <v>9127</v>
      </c>
      <c r="H530">
        <v>21110</v>
      </c>
    </row>
    <row r="531" spans="1:8" x14ac:dyDescent="0.35">
      <c r="A531" s="51">
        <v>42811</v>
      </c>
      <c r="B531">
        <v>-143085</v>
      </c>
      <c r="C531">
        <v>139521</v>
      </c>
      <c r="D531" s="4" t="s">
        <v>931</v>
      </c>
      <c r="E531">
        <v>-131644</v>
      </c>
      <c r="F531">
        <v>135208</v>
      </c>
      <c r="G531">
        <v>9160</v>
      </c>
      <c r="H531">
        <v>21175</v>
      </c>
    </row>
    <row r="532" spans="1:8" x14ac:dyDescent="0.35">
      <c r="A532" s="51">
        <v>42810</v>
      </c>
      <c r="B532">
        <v>-152296</v>
      </c>
      <c r="C532">
        <v>123868</v>
      </c>
      <c r="D532" s="4" t="s">
        <v>932</v>
      </c>
      <c r="E532">
        <v>-109180</v>
      </c>
      <c r="F532">
        <v>137608</v>
      </c>
      <c r="G532">
        <v>9154</v>
      </c>
      <c r="H532">
        <v>21250</v>
      </c>
    </row>
    <row r="533" spans="1:8" x14ac:dyDescent="0.35">
      <c r="A533" s="51">
        <v>42809</v>
      </c>
      <c r="B533">
        <v>-186853</v>
      </c>
      <c r="C533">
        <v>61060</v>
      </c>
      <c r="D533" s="4" t="s">
        <v>933</v>
      </c>
      <c r="E533">
        <v>-11905</v>
      </c>
      <c r="F533">
        <v>137698</v>
      </c>
      <c r="G533">
        <v>9085</v>
      </c>
      <c r="H533">
        <v>21158</v>
      </c>
    </row>
    <row r="534" spans="1:8" x14ac:dyDescent="0.35">
      <c r="A534" s="51">
        <v>42808</v>
      </c>
      <c r="B534">
        <v>-188777</v>
      </c>
      <c r="C534">
        <v>44531</v>
      </c>
      <c r="D534" s="4" t="s">
        <v>934</v>
      </c>
      <c r="E534">
        <v>5438</v>
      </c>
      <c r="F534">
        <v>138808</v>
      </c>
      <c r="G534">
        <v>9087</v>
      </c>
      <c r="H534">
        <v>21103</v>
      </c>
    </row>
    <row r="535" spans="1:8" x14ac:dyDescent="0.35">
      <c r="A535" s="51">
        <v>42804</v>
      </c>
      <c r="B535">
        <v>-230088</v>
      </c>
      <c r="C535">
        <v>-19564</v>
      </c>
      <c r="D535" s="4" t="s">
        <v>935</v>
      </c>
      <c r="E535">
        <v>104869</v>
      </c>
      <c r="F535">
        <v>144783</v>
      </c>
      <c r="G535">
        <v>8935</v>
      </c>
      <c r="H535">
        <v>20728</v>
      </c>
    </row>
    <row r="536" spans="1:8" x14ac:dyDescent="0.35">
      <c r="A536" s="51">
        <v>42803</v>
      </c>
      <c r="B536">
        <v>-186577</v>
      </c>
      <c r="C536">
        <v>-8889</v>
      </c>
      <c r="D536" s="4" t="s">
        <v>936</v>
      </c>
      <c r="E536">
        <v>49177</v>
      </c>
      <c r="F536">
        <v>146289</v>
      </c>
      <c r="G536">
        <v>8927</v>
      </c>
      <c r="H536">
        <v>20721</v>
      </c>
    </row>
    <row r="537" spans="1:8" x14ac:dyDescent="0.35">
      <c r="A537" s="51">
        <v>42802</v>
      </c>
      <c r="B537">
        <v>-173539</v>
      </c>
      <c r="C537">
        <v>-20962</v>
      </c>
      <c r="D537" s="4" t="s">
        <v>937</v>
      </c>
      <c r="E537">
        <v>58621</v>
      </c>
      <c r="F537">
        <v>135880</v>
      </c>
      <c r="G537">
        <v>8924</v>
      </c>
      <c r="H537">
        <v>20677</v>
      </c>
    </row>
    <row r="538" spans="1:8" x14ac:dyDescent="0.35">
      <c r="A538" s="51">
        <v>42801</v>
      </c>
      <c r="B538">
        <v>-147986</v>
      </c>
      <c r="C538">
        <v>-8999</v>
      </c>
      <c r="D538" s="4" t="s">
        <v>938</v>
      </c>
      <c r="E538">
        <v>20905</v>
      </c>
      <c r="F538">
        <v>136080</v>
      </c>
      <c r="G538">
        <v>8947</v>
      </c>
      <c r="H538">
        <v>20628</v>
      </c>
    </row>
    <row r="539" spans="1:8" x14ac:dyDescent="0.35">
      <c r="A539" s="51">
        <v>42800</v>
      </c>
      <c r="B539">
        <v>-150953</v>
      </c>
      <c r="C539">
        <v>17414</v>
      </c>
      <c r="D539" s="4" t="s">
        <v>939</v>
      </c>
      <c r="E539">
        <v>-4207</v>
      </c>
      <c r="F539">
        <v>137746</v>
      </c>
      <c r="G539">
        <v>8963</v>
      </c>
      <c r="H539">
        <v>20664</v>
      </c>
    </row>
    <row r="540" spans="1:8" x14ac:dyDescent="0.35">
      <c r="A540" s="51">
        <v>42797</v>
      </c>
      <c r="B540">
        <v>-148262</v>
      </c>
      <c r="C540">
        <v>-4432</v>
      </c>
      <c r="D540" s="4" t="s">
        <v>940</v>
      </c>
      <c r="E540">
        <v>15148</v>
      </c>
      <c r="F540">
        <v>137546</v>
      </c>
      <c r="G540">
        <v>8898</v>
      </c>
      <c r="H540">
        <v>20496</v>
      </c>
    </row>
    <row r="541" spans="1:8" x14ac:dyDescent="0.35">
      <c r="A541" s="51">
        <v>42796</v>
      </c>
      <c r="B541">
        <v>-137746</v>
      </c>
      <c r="C541">
        <v>14278</v>
      </c>
      <c r="D541" s="4" t="s">
        <v>941</v>
      </c>
      <c r="E541">
        <v>-14208</v>
      </c>
      <c r="F541">
        <v>137676</v>
      </c>
      <c r="G541">
        <v>8900</v>
      </c>
      <c r="H541">
        <v>20560</v>
      </c>
    </row>
    <row r="542" spans="1:8" x14ac:dyDescent="0.35">
      <c r="A542" s="51">
        <v>42795</v>
      </c>
      <c r="B542">
        <v>-146875</v>
      </c>
      <c r="C542">
        <v>48860</v>
      </c>
      <c r="D542" s="4" t="s">
        <v>942</v>
      </c>
      <c r="E542">
        <v>-39861</v>
      </c>
      <c r="F542">
        <v>137876</v>
      </c>
      <c r="G542">
        <v>8946</v>
      </c>
      <c r="H542">
        <v>20784</v>
      </c>
    </row>
    <row r="543" spans="1:8" x14ac:dyDescent="0.35">
      <c r="A543" s="51">
        <v>42794</v>
      </c>
      <c r="B543">
        <v>-138392</v>
      </c>
      <c r="C543">
        <v>24885</v>
      </c>
      <c r="D543" s="4" t="s">
        <v>943</v>
      </c>
      <c r="E543">
        <v>-24369</v>
      </c>
      <c r="F543">
        <v>137876</v>
      </c>
      <c r="G543">
        <v>8880</v>
      </c>
      <c r="H543">
        <v>20607</v>
      </c>
    </row>
    <row r="544" spans="1:8" x14ac:dyDescent="0.35">
      <c r="A544" s="51">
        <v>42793</v>
      </c>
      <c r="B544">
        <v>-124167</v>
      </c>
      <c r="C544">
        <v>28374</v>
      </c>
      <c r="D544" s="4" t="s">
        <v>944</v>
      </c>
      <c r="E544">
        <v>-41816</v>
      </c>
      <c r="F544">
        <v>137609</v>
      </c>
      <c r="G544">
        <v>8896</v>
      </c>
      <c r="H544">
        <v>20613</v>
      </c>
    </row>
    <row r="545" spans="1:8" x14ac:dyDescent="0.35">
      <c r="A545" s="51"/>
      <c r="B545">
        <v>-115699</v>
      </c>
      <c r="C545">
        <v>52676</v>
      </c>
      <c r="D545" s="4" t="s">
        <v>945</v>
      </c>
      <c r="E545">
        <v>-74586</v>
      </c>
      <c r="F545">
        <v>137609</v>
      </c>
      <c r="G545">
        <v>8940</v>
      </c>
      <c r="H545">
        <v>20876</v>
      </c>
    </row>
    <row r="546" spans="1:8" x14ac:dyDescent="0.35">
      <c r="A546" s="51">
        <v>42788</v>
      </c>
      <c r="B546">
        <v>-146516</v>
      </c>
      <c r="C546">
        <v>105824</v>
      </c>
      <c r="D546" s="4" t="s">
        <v>946</v>
      </c>
      <c r="E546">
        <v>-94357</v>
      </c>
      <c r="F546">
        <v>135049</v>
      </c>
      <c r="G546">
        <v>8927</v>
      </c>
      <c r="H546">
        <v>20868</v>
      </c>
    </row>
    <row r="547" spans="1:8" x14ac:dyDescent="0.35">
      <c r="A547" s="51">
        <v>42787</v>
      </c>
      <c r="B547">
        <v>-167900</v>
      </c>
      <c r="C547">
        <v>120342</v>
      </c>
      <c r="D547" s="4" t="s">
        <v>947</v>
      </c>
      <c r="E547">
        <v>-88891</v>
      </c>
      <c r="F547">
        <v>136449</v>
      </c>
      <c r="G547">
        <v>8908</v>
      </c>
      <c r="H547">
        <v>20861</v>
      </c>
    </row>
    <row r="548" spans="1:8" x14ac:dyDescent="0.35">
      <c r="A548" s="51">
        <v>42786</v>
      </c>
      <c r="B548">
        <v>-207458</v>
      </c>
      <c r="C548">
        <v>102068</v>
      </c>
      <c r="D548" s="4" t="s">
        <v>948</v>
      </c>
      <c r="E548">
        <v>-31059</v>
      </c>
      <c r="F548">
        <v>136449</v>
      </c>
      <c r="G548">
        <v>8879</v>
      </c>
      <c r="H548">
        <v>20677</v>
      </c>
    </row>
    <row r="549" spans="1:8" x14ac:dyDescent="0.35">
      <c r="A549" s="51">
        <v>42783</v>
      </c>
      <c r="B549">
        <v>-212330</v>
      </c>
      <c r="C549">
        <v>83840</v>
      </c>
      <c r="D549" s="4" t="s">
        <v>949</v>
      </c>
      <c r="E549">
        <v>-5116</v>
      </c>
      <c r="F549">
        <v>133606</v>
      </c>
      <c r="G549">
        <v>8822</v>
      </c>
      <c r="H549">
        <v>20551</v>
      </c>
    </row>
    <row r="550" spans="1:8" x14ac:dyDescent="0.35">
      <c r="A550" s="51">
        <v>42782</v>
      </c>
      <c r="B550">
        <v>-225616</v>
      </c>
      <c r="C550">
        <v>77170</v>
      </c>
      <c r="D550" s="4" t="s">
        <v>950</v>
      </c>
      <c r="E550">
        <v>14520</v>
      </c>
      <c r="F550">
        <v>133926</v>
      </c>
      <c r="G550">
        <v>8778</v>
      </c>
      <c r="H550">
        <v>20244</v>
      </c>
    </row>
    <row r="551" spans="1:8" x14ac:dyDescent="0.35">
      <c r="A551" s="51">
        <v>42781</v>
      </c>
      <c r="B551">
        <v>-229289</v>
      </c>
      <c r="C551">
        <v>26468</v>
      </c>
      <c r="D551" s="4" t="s">
        <v>951</v>
      </c>
      <c r="E551">
        <v>68895</v>
      </c>
      <c r="F551">
        <v>133926</v>
      </c>
      <c r="G551">
        <v>8725</v>
      </c>
      <c r="H551">
        <v>20164</v>
      </c>
    </row>
    <row r="552" spans="1:8" x14ac:dyDescent="0.35">
      <c r="A552" s="51">
        <v>42780</v>
      </c>
      <c r="B552">
        <v>-233512</v>
      </c>
      <c r="C552">
        <v>119207</v>
      </c>
      <c r="D552" s="4" t="s">
        <v>952</v>
      </c>
      <c r="E552">
        <v>-20021</v>
      </c>
      <c r="F552">
        <v>134326</v>
      </c>
      <c r="G552">
        <v>8792</v>
      </c>
      <c r="H552">
        <v>20258</v>
      </c>
    </row>
    <row r="553" spans="1:8" x14ac:dyDescent="0.35">
      <c r="A553" s="51">
        <v>42779</v>
      </c>
      <c r="B553">
        <v>-237419</v>
      </c>
      <c r="C553">
        <v>114942</v>
      </c>
      <c r="D553" s="4" t="s">
        <v>953</v>
      </c>
      <c r="E553">
        <v>-11848</v>
      </c>
      <c r="F553">
        <v>134326</v>
      </c>
      <c r="G553">
        <v>8805</v>
      </c>
      <c r="H553">
        <v>20252</v>
      </c>
    </row>
    <row r="554" spans="1:8" x14ac:dyDescent="0.35">
      <c r="A554" s="51">
        <v>42776</v>
      </c>
      <c r="B554">
        <v>-245490</v>
      </c>
      <c r="C554">
        <v>110295</v>
      </c>
      <c r="D554" s="4" t="s">
        <v>954</v>
      </c>
      <c r="E554">
        <v>-463</v>
      </c>
      <c r="F554">
        <v>135659</v>
      </c>
      <c r="G554">
        <v>8794</v>
      </c>
      <c r="H554">
        <v>20214</v>
      </c>
    </row>
    <row r="555" spans="1:8" x14ac:dyDescent="0.35">
      <c r="A555" s="51">
        <v>42775</v>
      </c>
      <c r="B555">
        <v>-241702</v>
      </c>
      <c r="C555">
        <v>105902</v>
      </c>
      <c r="D555" s="4" t="s">
        <v>955</v>
      </c>
      <c r="E555">
        <v>142</v>
      </c>
      <c r="F555">
        <v>135659</v>
      </c>
      <c r="G555">
        <v>8778</v>
      </c>
      <c r="H555">
        <v>20151</v>
      </c>
    </row>
    <row r="556" spans="1:8" x14ac:dyDescent="0.35">
      <c r="A556" s="51">
        <v>42774</v>
      </c>
      <c r="B556">
        <v>-214035</v>
      </c>
      <c r="C556">
        <v>76513</v>
      </c>
      <c r="D556" s="4" t="s">
        <v>956</v>
      </c>
      <c r="E556">
        <v>1414</v>
      </c>
      <c r="F556">
        <v>136109</v>
      </c>
      <c r="G556">
        <v>8769</v>
      </c>
      <c r="H556">
        <v>20245</v>
      </c>
    </row>
    <row r="557" spans="1:8" x14ac:dyDescent="0.35">
      <c r="A557" s="51">
        <v>42773</v>
      </c>
      <c r="B557">
        <v>-196435</v>
      </c>
      <c r="C557">
        <v>76450</v>
      </c>
      <c r="D557" s="4" t="s">
        <v>957</v>
      </c>
      <c r="E557">
        <v>-16603</v>
      </c>
      <c r="F557">
        <v>136589</v>
      </c>
      <c r="G557">
        <v>8768</v>
      </c>
      <c r="H557">
        <v>20327</v>
      </c>
    </row>
    <row r="558" spans="1:8" x14ac:dyDescent="0.35">
      <c r="A558" s="51">
        <v>42772</v>
      </c>
      <c r="B558">
        <v>-195691</v>
      </c>
      <c r="C558">
        <v>100995</v>
      </c>
      <c r="D558" s="4" t="s">
        <v>958</v>
      </c>
      <c r="E558">
        <v>-41842</v>
      </c>
      <c r="F558">
        <v>136539</v>
      </c>
      <c r="G558">
        <v>8801</v>
      </c>
      <c r="H558">
        <v>20372</v>
      </c>
    </row>
    <row r="559" spans="1:8" x14ac:dyDescent="0.35">
      <c r="A559" s="51">
        <v>42769</v>
      </c>
      <c r="B559">
        <v>-204886</v>
      </c>
      <c r="C559">
        <v>79100</v>
      </c>
      <c r="D559" s="4" t="s">
        <v>959</v>
      </c>
      <c r="E559">
        <v>-10752</v>
      </c>
      <c r="F559">
        <v>136539</v>
      </c>
      <c r="G559">
        <v>8741</v>
      </c>
      <c r="H559">
        <v>20197</v>
      </c>
    </row>
    <row r="560" spans="1:8" x14ac:dyDescent="0.35">
      <c r="A560" s="51">
        <v>42768</v>
      </c>
      <c r="B560">
        <v>-232408</v>
      </c>
      <c r="C560">
        <v>76810</v>
      </c>
      <c r="D560" s="4" t="s">
        <v>960</v>
      </c>
      <c r="E560">
        <v>19060</v>
      </c>
      <c r="F560">
        <v>136539</v>
      </c>
      <c r="G560">
        <v>8734</v>
      </c>
      <c r="H560">
        <v>20070</v>
      </c>
    </row>
    <row r="561" spans="1:8" x14ac:dyDescent="0.35">
      <c r="A561" s="51">
        <v>42767</v>
      </c>
      <c r="B561">
        <v>-253183</v>
      </c>
      <c r="C561">
        <v>58409</v>
      </c>
      <c r="D561" s="4" t="s">
        <v>961</v>
      </c>
      <c r="E561">
        <v>58261</v>
      </c>
      <c r="F561">
        <v>136514</v>
      </c>
      <c r="G561">
        <v>8716</v>
      </c>
      <c r="H561">
        <v>20021</v>
      </c>
    </row>
    <row r="562" spans="1:8" x14ac:dyDescent="0.35">
      <c r="A562" s="51">
        <v>42766</v>
      </c>
      <c r="B562">
        <v>-256166</v>
      </c>
      <c r="C562">
        <v>22983</v>
      </c>
      <c r="D562" s="4" t="s">
        <v>962</v>
      </c>
      <c r="E562">
        <v>94300</v>
      </c>
      <c r="F562">
        <v>138884</v>
      </c>
      <c r="G562">
        <v>8561</v>
      </c>
      <c r="H562">
        <v>19515</v>
      </c>
    </row>
    <row r="563" spans="1:8" x14ac:dyDescent="0.35">
      <c r="A563" s="51">
        <v>42765</v>
      </c>
      <c r="B563">
        <v>-181652</v>
      </c>
      <c r="C563">
        <v>40683</v>
      </c>
      <c r="D563" s="4" t="s">
        <v>963</v>
      </c>
      <c r="E563">
        <v>1582</v>
      </c>
      <c r="F563">
        <v>139388</v>
      </c>
      <c r="G563">
        <v>8633</v>
      </c>
      <c r="H563">
        <v>19585</v>
      </c>
    </row>
    <row r="564" spans="1:8" x14ac:dyDescent="0.35">
      <c r="A564" s="51">
        <v>42762</v>
      </c>
      <c r="B564">
        <v>-146487</v>
      </c>
      <c r="C564">
        <v>34898</v>
      </c>
      <c r="D564" s="4" t="s">
        <v>964</v>
      </c>
      <c r="E564">
        <v>-27998</v>
      </c>
      <c r="F564">
        <v>139588</v>
      </c>
      <c r="G564">
        <v>8641</v>
      </c>
      <c r="H564">
        <v>19708</v>
      </c>
    </row>
    <row r="565" spans="1:8" x14ac:dyDescent="0.35">
      <c r="A565" s="51"/>
      <c r="B565">
        <v>-174520</v>
      </c>
      <c r="C565">
        <v>39464</v>
      </c>
      <c r="D565" s="4" t="s">
        <v>965</v>
      </c>
      <c r="E565">
        <v>-4587</v>
      </c>
      <c r="F565">
        <v>139644</v>
      </c>
      <c r="G565">
        <v>8603</v>
      </c>
      <c r="H565">
        <v>19473</v>
      </c>
    </row>
    <row r="566" spans="1:8" x14ac:dyDescent="0.35">
      <c r="A566" s="51">
        <v>42759</v>
      </c>
      <c r="B566">
        <v>-201543</v>
      </c>
      <c r="C566">
        <v>140662</v>
      </c>
      <c r="D566" s="4" t="s">
        <v>966</v>
      </c>
      <c r="E566">
        <v>-71696</v>
      </c>
      <c r="F566">
        <v>132578</v>
      </c>
      <c r="G566">
        <v>8476</v>
      </c>
      <c r="H566">
        <v>19024</v>
      </c>
    </row>
    <row r="567" spans="1:8" x14ac:dyDescent="0.35">
      <c r="A567" s="51">
        <v>42758</v>
      </c>
      <c r="B567">
        <v>-180208</v>
      </c>
      <c r="C567">
        <v>68600</v>
      </c>
      <c r="D567" s="4" t="s">
        <v>967</v>
      </c>
      <c r="E567">
        <v>-20970</v>
      </c>
      <c r="F567">
        <v>132578</v>
      </c>
      <c r="G567">
        <v>8392</v>
      </c>
      <c r="H567">
        <v>18843</v>
      </c>
    </row>
    <row r="568" spans="1:8" x14ac:dyDescent="0.35">
      <c r="A568" s="51">
        <v>42755</v>
      </c>
      <c r="B568">
        <v>-159197</v>
      </c>
      <c r="C568">
        <v>53682</v>
      </c>
      <c r="D568" s="4" t="s">
        <v>968</v>
      </c>
      <c r="E568">
        <v>-27063</v>
      </c>
      <c r="F568">
        <v>132578</v>
      </c>
      <c r="G568">
        <v>8435</v>
      </c>
      <c r="H568">
        <v>18820</v>
      </c>
    </row>
    <row r="569" spans="1:8" x14ac:dyDescent="0.35">
      <c r="A569" s="51">
        <v>42754</v>
      </c>
      <c r="B569">
        <v>-119033</v>
      </c>
      <c r="C569">
        <v>131353</v>
      </c>
      <c r="D569" s="4" t="s">
        <v>969</v>
      </c>
      <c r="E569">
        <v>-147151</v>
      </c>
      <c r="F569">
        <v>134831</v>
      </c>
      <c r="G569">
        <v>8417</v>
      </c>
      <c r="H569">
        <v>19165</v>
      </c>
    </row>
    <row r="570" spans="1:8" x14ac:dyDescent="0.35">
      <c r="A570" s="51">
        <v>42753</v>
      </c>
      <c r="B570">
        <v>-111062</v>
      </c>
      <c r="C570">
        <v>124853</v>
      </c>
      <c r="D570" s="4" t="s">
        <v>970</v>
      </c>
      <c r="E570">
        <v>-148622</v>
      </c>
      <c r="F570">
        <v>134831</v>
      </c>
      <c r="G570">
        <v>8417</v>
      </c>
      <c r="H570">
        <v>19165</v>
      </c>
    </row>
    <row r="571" spans="1:8" x14ac:dyDescent="0.35">
      <c r="A571" s="51">
        <v>42752</v>
      </c>
      <c r="B571">
        <v>-113140</v>
      </c>
      <c r="C571">
        <v>134212</v>
      </c>
      <c r="D571" s="4" t="s">
        <v>971</v>
      </c>
      <c r="E571">
        <v>-155903</v>
      </c>
      <c r="F571">
        <v>134831</v>
      </c>
      <c r="G571">
        <v>8398</v>
      </c>
      <c r="H571">
        <v>19067.05</v>
      </c>
    </row>
    <row r="572" spans="1:8" x14ac:dyDescent="0.35">
      <c r="A572" s="51">
        <v>42751</v>
      </c>
      <c r="B572">
        <v>-115858</v>
      </c>
      <c r="C572">
        <v>157517</v>
      </c>
      <c r="D572" s="4" t="s">
        <v>972</v>
      </c>
      <c r="E572">
        <v>-178220</v>
      </c>
      <c r="F572">
        <v>136561</v>
      </c>
      <c r="G572">
        <v>8412.7999999999993</v>
      </c>
      <c r="H572">
        <v>19096.45</v>
      </c>
    </row>
    <row r="573" spans="1:8" x14ac:dyDescent="0.35">
      <c r="A573" s="51">
        <v>42748</v>
      </c>
      <c r="B573">
        <v>-136662</v>
      </c>
      <c r="C573">
        <v>141628</v>
      </c>
      <c r="D573" s="4" t="s">
        <v>973</v>
      </c>
      <c r="E573">
        <v>-148194</v>
      </c>
      <c r="F573">
        <v>143227</v>
      </c>
      <c r="G573">
        <v>8400.35</v>
      </c>
      <c r="H573">
        <v>18912.099999999999</v>
      </c>
    </row>
    <row r="574" spans="1:8" x14ac:dyDescent="0.35">
      <c r="A574" s="51">
        <v>42747</v>
      </c>
      <c r="B574">
        <v>-141148</v>
      </c>
      <c r="C574">
        <v>151557</v>
      </c>
      <c r="D574" s="4" t="s">
        <v>974</v>
      </c>
      <c r="E574">
        <v>-153637</v>
      </c>
      <c r="F574">
        <v>143227</v>
      </c>
      <c r="G574">
        <v>8407.2000000000007</v>
      </c>
      <c r="H574">
        <v>18873.95</v>
      </c>
    </row>
    <row r="575" spans="1:8" x14ac:dyDescent="0.35">
      <c r="A575" s="51">
        <v>42746</v>
      </c>
      <c r="B575">
        <v>-153898</v>
      </c>
      <c r="C575">
        <v>126574</v>
      </c>
      <c r="D575" s="4" t="s">
        <v>975</v>
      </c>
      <c r="E575">
        <v>-115904</v>
      </c>
      <c r="F575">
        <v>143227</v>
      </c>
      <c r="G575">
        <v>8380.65</v>
      </c>
      <c r="H575">
        <v>18830</v>
      </c>
    </row>
    <row r="576" spans="1:8" x14ac:dyDescent="0.35">
      <c r="A576" s="51">
        <v>42745</v>
      </c>
      <c r="B576">
        <v>-178076</v>
      </c>
      <c r="C576">
        <v>67674</v>
      </c>
      <c r="D576" s="4" t="s">
        <v>976</v>
      </c>
      <c r="E576">
        <v>-32826</v>
      </c>
      <c r="F576">
        <v>143227</v>
      </c>
      <c r="G576">
        <v>8288.6</v>
      </c>
      <c r="H576">
        <v>18409.599999999999</v>
      </c>
    </row>
    <row r="577" spans="1:8" x14ac:dyDescent="0.35">
      <c r="A577" s="51">
        <v>42744</v>
      </c>
      <c r="B577">
        <v>-186849</v>
      </c>
      <c r="C577">
        <v>38040</v>
      </c>
      <c r="D577" s="4" t="s">
        <v>977</v>
      </c>
      <c r="E577">
        <v>5581</v>
      </c>
      <c r="F577">
        <v>143227</v>
      </c>
      <c r="G577">
        <v>8236.0499999999993</v>
      </c>
      <c r="H577">
        <v>18286.650000000001</v>
      </c>
    </row>
    <row r="578" spans="1:8" x14ac:dyDescent="0.35">
      <c r="A578" s="51">
        <v>42741</v>
      </c>
      <c r="B578">
        <v>-181047</v>
      </c>
      <c r="C578">
        <v>45850</v>
      </c>
      <c r="D578" s="4" t="s">
        <v>978</v>
      </c>
      <c r="E578">
        <v>-7557</v>
      </c>
      <c r="F578">
        <v>142753</v>
      </c>
      <c r="G578">
        <v>8243.7999999999993</v>
      </c>
      <c r="H578">
        <v>18264</v>
      </c>
    </row>
    <row r="579" spans="1:8" x14ac:dyDescent="0.35">
      <c r="A579" s="51">
        <v>42740</v>
      </c>
      <c r="B579">
        <v>-185079</v>
      </c>
      <c r="C579">
        <v>62484</v>
      </c>
      <c r="D579" s="4" t="s">
        <v>979</v>
      </c>
      <c r="E579">
        <v>-20159</v>
      </c>
      <c r="F579">
        <v>142753</v>
      </c>
      <c r="G579">
        <v>8273.7999999999993</v>
      </c>
      <c r="H579">
        <v>18115.95</v>
      </c>
    </row>
    <row r="580" spans="1:8" x14ac:dyDescent="0.35">
      <c r="A580" s="51">
        <v>42739</v>
      </c>
      <c r="B580">
        <v>-259634</v>
      </c>
      <c r="C580">
        <v>-3716</v>
      </c>
      <c r="D580" s="4" t="s">
        <v>980</v>
      </c>
      <c r="E580">
        <v>121208</v>
      </c>
      <c r="F580">
        <v>142141</v>
      </c>
      <c r="G580">
        <v>8190.5</v>
      </c>
      <c r="H580">
        <v>17891</v>
      </c>
    </row>
    <row r="581" spans="1:8" x14ac:dyDescent="0.35">
      <c r="A581" s="51">
        <v>42738</v>
      </c>
      <c r="B581">
        <v>-264949</v>
      </c>
      <c r="C581">
        <v>16449</v>
      </c>
      <c r="D581" s="4" t="s">
        <v>981</v>
      </c>
      <c r="E581">
        <v>106358</v>
      </c>
      <c r="F581">
        <v>142141</v>
      </c>
      <c r="G581">
        <v>8192.25</v>
      </c>
      <c r="H581">
        <v>18035.599999999999</v>
      </c>
    </row>
    <row r="582" spans="1:8" x14ac:dyDescent="0.35">
      <c r="A582" s="51">
        <v>42737</v>
      </c>
      <c r="B582">
        <v>-258629</v>
      </c>
      <c r="C582">
        <v>78</v>
      </c>
      <c r="D582" s="4" t="s">
        <v>982</v>
      </c>
      <c r="E582">
        <v>116409</v>
      </c>
      <c r="F582">
        <v>142141</v>
      </c>
      <c r="G582">
        <v>8179.5</v>
      </c>
      <c r="H582">
        <v>17969.599999999999</v>
      </c>
    </row>
    <row r="583" spans="1:8" x14ac:dyDescent="0.35">
      <c r="A583" s="51">
        <v>42734</v>
      </c>
      <c r="B583">
        <v>-237642</v>
      </c>
      <c r="C583">
        <v>20597</v>
      </c>
      <c r="D583" s="4" t="s">
        <v>983</v>
      </c>
      <c r="E583">
        <v>75009</v>
      </c>
      <c r="F583">
        <v>142035</v>
      </c>
      <c r="G583">
        <v>8185.8</v>
      </c>
      <c r="H583">
        <v>18177.2</v>
      </c>
    </row>
    <row r="584" spans="1:8" x14ac:dyDescent="0.35">
      <c r="A584" s="51"/>
      <c r="B584">
        <v>-240777</v>
      </c>
      <c r="C584">
        <v>8415</v>
      </c>
      <c r="D584" s="4" t="s">
        <v>984</v>
      </c>
      <c r="E584">
        <v>94712</v>
      </c>
      <c r="F584">
        <v>137649</v>
      </c>
      <c r="G584">
        <v>8103.6</v>
      </c>
      <c r="H584">
        <v>18033.150000000001</v>
      </c>
    </row>
    <row r="585" spans="1:8" x14ac:dyDescent="0.35">
      <c r="A585" s="51">
        <v>42732</v>
      </c>
      <c r="B585">
        <v>-425286</v>
      </c>
      <c r="C585">
        <v>-14149</v>
      </c>
      <c r="D585" s="4" t="s">
        <v>985</v>
      </c>
      <c r="E585">
        <v>286425</v>
      </c>
      <c r="F585">
        <v>153010</v>
      </c>
      <c r="G585">
        <v>8034.85</v>
      </c>
      <c r="H585">
        <v>17876.7</v>
      </c>
    </row>
    <row r="586" spans="1:8" x14ac:dyDescent="0.35">
      <c r="A586" s="51">
        <v>42731</v>
      </c>
      <c r="B586">
        <v>-406453</v>
      </c>
      <c r="C586">
        <v>-42160</v>
      </c>
      <c r="D586" s="4" t="s">
        <v>986</v>
      </c>
      <c r="E586">
        <v>295881</v>
      </c>
      <c r="F586">
        <v>152734</v>
      </c>
      <c r="G586">
        <v>8032.85</v>
      </c>
      <c r="H586">
        <v>17879.55</v>
      </c>
    </row>
    <row r="587" spans="1:8" x14ac:dyDescent="0.35">
      <c r="A587" s="51">
        <v>42730</v>
      </c>
      <c r="B587">
        <v>-404818</v>
      </c>
      <c r="C587">
        <v>-148247</v>
      </c>
      <c r="D587" s="4" t="s">
        <v>987</v>
      </c>
      <c r="E587">
        <v>400588</v>
      </c>
      <c r="F587">
        <v>152479</v>
      </c>
      <c r="G587">
        <v>7908.25</v>
      </c>
      <c r="H587">
        <v>17655.55</v>
      </c>
    </row>
    <row r="588" spans="1:8" x14ac:dyDescent="0.35">
      <c r="A588" s="51">
        <v>42727</v>
      </c>
      <c r="B588">
        <v>-387423</v>
      </c>
      <c r="C588">
        <v>-128302</v>
      </c>
      <c r="D588" s="4" t="s">
        <v>988</v>
      </c>
      <c r="E588">
        <v>366046</v>
      </c>
      <c r="F588">
        <v>149679</v>
      </c>
      <c r="G588">
        <v>7985.75</v>
      </c>
      <c r="H588">
        <v>17884</v>
      </c>
    </row>
    <row r="589" spans="1:8" x14ac:dyDescent="0.35">
      <c r="A589" s="51">
        <v>42726</v>
      </c>
      <c r="B589">
        <v>-396009</v>
      </c>
      <c r="C589">
        <v>-95561</v>
      </c>
      <c r="D589" s="4" t="s">
        <v>989</v>
      </c>
      <c r="E589">
        <v>342511</v>
      </c>
      <c r="F589">
        <v>149059</v>
      </c>
      <c r="G589">
        <v>7979.1</v>
      </c>
      <c r="H589">
        <v>17891.45</v>
      </c>
    </row>
    <row r="590" spans="1:8" x14ac:dyDescent="0.35">
      <c r="A590" s="51">
        <v>42725</v>
      </c>
      <c r="B590">
        <v>-388825</v>
      </c>
      <c r="C590">
        <v>-55093</v>
      </c>
      <c r="D590" s="4" t="s">
        <v>990</v>
      </c>
      <c r="E590">
        <v>290475</v>
      </c>
      <c r="F590">
        <v>153443</v>
      </c>
      <c r="G590">
        <v>8061.3</v>
      </c>
      <c r="H590">
        <v>18084.5</v>
      </c>
    </row>
    <row r="591" spans="1:8" x14ac:dyDescent="0.35">
      <c r="A591" s="51">
        <v>42724</v>
      </c>
      <c r="B591">
        <v>-362797</v>
      </c>
      <c r="C591">
        <v>-55225</v>
      </c>
      <c r="D591" s="4" t="s">
        <v>991</v>
      </c>
      <c r="E591">
        <v>264578</v>
      </c>
      <c r="F591">
        <v>153443</v>
      </c>
      <c r="G591">
        <v>8082.4</v>
      </c>
      <c r="H591">
        <v>18069.400000000001</v>
      </c>
    </row>
    <row r="592" spans="1:8" x14ac:dyDescent="0.35">
      <c r="A592" s="51">
        <v>42723</v>
      </c>
      <c r="B592">
        <v>-361346</v>
      </c>
      <c r="C592">
        <v>-19921</v>
      </c>
      <c r="D592" s="4" t="s">
        <v>992</v>
      </c>
      <c r="E592">
        <v>227866</v>
      </c>
      <c r="F592">
        <v>153403</v>
      </c>
      <c r="G592">
        <v>8104.35</v>
      </c>
      <c r="H592">
        <v>18257.05</v>
      </c>
    </row>
    <row r="593" spans="1:8" x14ac:dyDescent="0.35">
      <c r="A593" s="51">
        <v>42720</v>
      </c>
      <c r="B593">
        <v>-347806</v>
      </c>
      <c r="C593">
        <v>-9604</v>
      </c>
      <c r="D593" s="4" t="s">
        <v>993</v>
      </c>
      <c r="E593">
        <v>203909</v>
      </c>
      <c r="F593">
        <v>153503</v>
      </c>
      <c r="G593">
        <v>8139.45</v>
      </c>
      <c r="H593">
        <v>18312.8</v>
      </c>
    </row>
    <row r="594" spans="1:8" x14ac:dyDescent="0.35">
      <c r="A594" s="51">
        <v>42719</v>
      </c>
      <c r="B594">
        <v>-334808</v>
      </c>
      <c r="C594">
        <v>18342</v>
      </c>
      <c r="D594" s="4" t="s">
        <v>994</v>
      </c>
      <c r="E594">
        <v>162965</v>
      </c>
      <c r="F594">
        <v>153503</v>
      </c>
      <c r="G594">
        <v>8153.6</v>
      </c>
      <c r="H594">
        <v>18401.150000000001</v>
      </c>
    </row>
    <row r="595" spans="1:8" x14ac:dyDescent="0.35">
      <c r="A595" s="51">
        <v>42718</v>
      </c>
      <c r="B595">
        <v>-324607</v>
      </c>
      <c r="C595">
        <v>30374</v>
      </c>
      <c r="D595" s="4" t="s">
        <v>995</v>
      </c>
      <c r="E595">
        <v>140531</v>
      </c>
      <c r="F595">
        <v>153703</v>
      </c>
      <c r="G595">
        <v>8182.45</v>
      </c>
      <c r="H595">
        <v>18341.5</v>
      </c>
    </row>
    <row r="596" spans="1:8" x14ac:dyDescent="0.35">
      <c r="A596" s="51">
        <v>42717</v>
      </c>
      <c r="B596">
        <v>-307223</v>
      </c>
      <c r="C596">
        <v>41297</v>
      </c>
      <c r="D596" s="4" t="s">
        <v>996</v>
      </c>
      <c r="E596">
        <v>112025</v>
      </c>
      <c r="F596">
        <v>153903</v>
      </c>
      <c r="G596">
        <v>8221.7999999999993</v>
      </c>
      <c r="H596">
        <v>18466.05</v>
      </c>
    </row>
    <row r="597" spans="1:8" x14ac:dyDescent="0.35">
      <c r="A597" s="51">
        <v>42716</v>
      </c>
      <c r="B597">
        <v>-303348</v>
      </c>
      <c r="C597">
        <v>23764</v>
      </c>
      <c r="D597" s="4" t="s">
        <v>997</v>
      </c>
      <c r="E597">
        <v>125582</v>
      </c>
      <c r="F597">
        <v>154003</v>
      </c>
      <c r="G597">
        <v>8170.8</v>
      </c>
      <c r="H597">
        <v>18392.95</v>
      </c>
    </row>
    <row r="598" spans="1:8" x14ac:dyDescent="0.35">
      <c r="A598" s="51">
        <v>42713</v>
      </c>
      <c r="B598">
        <v>-287681</v>
      </c>
      <c r="C598">
        <v>74233</v>
      </c>
      <c r="D598" s="4" t="s">
        <v>998</v>
      </c>
      <c r="E598">
        <v>59445</v>
      </c>
      <c r="F598">
        <v>154003</v>
      </c>
      <c r="G598">
        <v>8261.75</v>
      </c>
      <c r="H598">
        <v>18695.8</v>
      </c>
    </row>
    <row r="599" spans="1:8" x14ac:dyDescent="0.35">
      <c r="A599" s="51">
        <v>42712</v>
      </c>
      <c r="B599">
        <v>-308486</v>
      </c>
      <c r="C599">
        <v>63837</v>
      </c>
      <c r="D599" s="4" t="s">
        <v>999</v>
      </c>
      <c r="E599">
        <v>90872</v>
      </c>
      <c r="F599">
        <v>153777</v>
      </c>
      <c r="G599">
        <v>8246.85</v>
      </c>
      <c r="H599">
        <v>18515.45</v>
      </c>
    </row>
    <row r="600" spans="1:8" x14ac:dyDescent="0.35">
      <c r="A600" s="51">
        <v>42711</v>
      </c>
      <c r="B600">
        <v>-320955</v>
      </c>
      <c r="C600">
        <v>-31713</v>
      </c>
      <c r="D600" s="4" t="s">
        <v>1000</v>
      </c>
      <c r="E600">
        <v>199671</v>
      </c>
      <c r="F600">
        <v>152997</v>
      </c>
      <c r="G600">
        <v>8102.05</v>
      </c>
      <c r="H600">
        <v>18234.150000000001</v>
      </c>
    </row>
    <row r="601" spans="1:8" x14ac:dyDescent="0.35">
      <c r="A601" s="51">
        <v>42710</v>
      </c>
      <c r="B601">
        <v>-314034</v>
      </c>
      <c r="C601">
        <v>-13874</v>
      </c>
      <c r="D601" s="4" t="s">
        <v>1001</v>
      </c>
      <c r="E601">
        <v>174231</v>
      </c>
      <c r="F601">
        <v>153677</v>
      </c>
      <c r="G601">
        <v>8143.15</v>
      </c>
      <c r="H601">
        <v>18420.900000000001</v>
      </c>
    </row>
    <row r="602" spans="1:8" x14ac:dyDescent="0.35">
      <c r="A602" s="51">
        <v>42709</v>
      </c>
      <c r="B602">
        <v>-312982</v>
      </c>
      <c r="C602">
        <v>-7762</v>
      </c>
      <c r="D602" s="4" t="s">
        <v>1002</v>
      </c>
      <c r="E602">
        <v>167800</v>
      </c>
      <c r="F602">
        <v>152944</v>
      </c>
      <c r="G602">
        <v>8128.75</v>
      </c>
      <c r="H602">
        <v>18408.900000000001</v>
      </c>
    </row>
    <row r="603" spans="1:8" x14ac:dyDescent="0.35">
      <c r="A603" s="51">
        <v>42706</v>
      </c>
      <c r="B603">
        <v>-307759</v>
      </c>
      <c r="C603">
        <v>-13933</v>
      </c>
      <c r="D603" s="4" t="s">
        <v>1003</v>
      </c>
      <c r="E603">
        <v>168696</v>
      </c>
      <c r="F603">
        <v>152996</v>
      </c>
      <c r="G603">
        <v>8086.8</v>
      </c>
      <c r="H603">
        <v>18247.650000000001</v>
      </c>
    </row>
    <row r="604" spans="1:8" x14ac:dyDescent="0.35">
      <c r="A604" s="51">
        <v>42705</v>
      </c>
      <c r="B604">
        <v>-301284</v>
      </c>
      <c r="C604">
        <v>16480</v>
      </c>
      <c r="D604" s="4" t="s">
        <v>1004</v>
      </c>
      <c r="E604">
        <v>131614</v>
      </c>
      <c r="F604">
        <v>153191</v>
      </c>
      <c r="G604">
        <v>8192.9</v>
      </c>
      <c r="H604">
        <v>18428.45</v>
      </c>
    </row>
  </sheetData>
  <sortState ref="A1:A8">
    <sortCondition ref="A1"/>
  </sortState>
  <conditionalFormatting sqref="A1:A8">
    <cfRule type="cellIs" dxfId="60" priority="1" operator="equal">
      <formula>"N"</formula>
    </cfRule>
    <cfRule type="cellIs" dxfId="59" priority="2" operator="equal">
      <formula>"Y"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200"/>
  <sheetViews>
    <sheetView workbookViewId="0">
      <pane ySplit="4" topLeftCell="A5" activePane="bottomLeft" state="frozen"/>
      <selection activeCell="G1" sqref="G1"/>
      <selection pane="bottomLeft" activeCell="E15" sqref="E15"/>
    </sheetView>
  </sheetViews>
  <sheetFormatPr defaultRowHeight="14.5" x14ac:dyDescent="0.35"/>
  <cols>
    <col min="1" max="1" width="13.6328125" bestFit="1" customWidth="1"/>
    <col min="2" max="2" width="8.81640625" bestFit="1" customWidth="1"/>
    <col min="3" max="3" width="6.81640625" bestFit="1" customWidth="1"/>
    <col min="4" max="4" width="14.7265625" bestFit="1" customWidth="1"/>
    <col min="5" max="5" width="9.6328125" bestFit="1" customWidth="1"/>
    <col min="6" max="6" width="8.81640625" bestFit="1" customWidth="1"/>
    <col min="7" max="7" width="6.26953125" bestFit="1" customWidth="1"/>
    <col min="8" max="8" width="14.7265625" bestFit="1" customWidth="1"/>
    <col min="9" max="9" width="9.6328125" bestFit="1" customWidth="1"/>
    <col min="10" max="10" width="8.81640625" bestFit="1" customWidth="1"/>
    <col min="11" max="11" width="6.81640625" bestFit="1" customWidth="1"/>
    <col min="12" max="12" width="14.7265625" bestFit="1" customWidth="1"/>
    <col min="13" max="13" width="9.6328125" bestFit="1" customWidth="1"/>
    <col min="14" max="14" width="8.81640625" bestFit="1" customWidth="1"/>
    <col min="15" max="15" width="6.81640625" bestFit="1" customWidth="1"/>
    <col min="16" max="16" width="14.7265625" bestFit="1" customWidth="1"/>
    <col min="17" max="17" width="9.6328125" bestFit="1" customWidth="1"/>
    <col min="18" max="18" width="8.81640625" bestFit="1" customWidth="1"/>
    <col min="19" max="19" width="6.26953125" bestFit="1" customWidth="1"/>
    <col min="20" max="20" width="14.7265625" bestFit="1" customWidth="1"/>
    <col min="21" max="21" width="9.6328125" bestFit="1" customWidth="1"/>
    <col min="22" max="22" width="8" bestFit="1" customWidth="1"/>
    <col min="23" max="23" width="7" bestFit="1" customWidth="1"/>
    <col min="24" max="26" width="9" bestFit="1" customWidth="1"/>
    <col min="27" max="27" width="7" bestFit="1" customWidth="1"/>
    <col min="28" max="30" width="9" bestFit="1" customWidth="1"/>
    <col min="31" max="31" width="7" bestFit="1" customWidth="1"/>
    <col min="32" max="32" width="9" customWidth="1"/>
    <col min="33" max="33" width="9" bestFit="1" customWidth="1"/>
    <col min="34" max="34" width="8" bestFit="1" customWidth="1"/>
    <col min="35" max="35" width="7" bestFit="1" customWidth="1"/>
    <col min="36" max="36" width="9" customWidth="1"/>
    <col min="39" max="41" width="8.1796875" bestFit="1" customWidth="1"/>
  </cols>
  <sheetData>
    <row r="1" spans="1:21" x14ac:dyDescent="0.35">
      <c r="I1" t="s">
        <v>316</v>
      </c>
      <c r="J1" s="54" t="s">
        <v>1027</v>
      </c>
    </row>
    <row r="2" spans="1:21" x14ac:dyDescent="0.35">
      <c r="I2" t="s">
        <v>317</v>
      </c>
      <c r="J2" s="54" t="s">
        <v>1026</v>
      </c>
    </row>
    <row r="4" spans="1:21" x14ac:dyDescent="0.35">
      <c r="A4" t="s">
        <v>203</v>
      </c>
      <c r="B4" t="s">
        <v>240</v>
      </c>
      <c r="C4" t="s">
        <v>204</v>
      </c>
      <c r="D4" t="s">
        <v>287</v>
      </c>
      <c r="E4" t="s">
        <v>241</v>
      </c>
      <c r="F4" t="s">
        <v>242</v>
      </c>
      <c r="G4" t="s">
        <v>205</v>
      </c>
      <c r="H4" t="s">
        <v>288</v>
      </c>
      <c r="I4" t="s">
        <v>243</v>
      </c>
      <c r="J4" t="s">
        <v>244</v>
      </c>
      <c r="K4" t="s">
        <v>201</v>
      </c>
      <c r="L4" t="s">
        <v>289</v>
      </c>
      <c r="M4" t="s">
        <v>245</v>
      </c>
      <c r="N4" t="s">
        <v>246</v>
      </c>
      <c r="O4" t="s">
        <v>208</v>
      </c>
      <c r="P4" t="s">
        <v>290</v>
      </c>
      <c r="Q4" t="s">
        <v>247</v>
      </c>
      <c r="R4" t="s">
        <v>248</v>
      </c>
      <c r="S4" t="s">
        <v>210</v>
      </c>
      <c r="T4" t="s">
        <v>291</v>
      </c>
      <c r="U4" t="s">
        <v>249</v>
      </c>
    </row>
    <row r="5" spans="1:21" x14ac:dyDescent="0.35">
      <c r="A5" s="4" t="s">
        <v>24</v>
      </c>
      <c r="B5">
        <v>407.7</v>
      </c>
      <c r="C5">
        <v>33.35</v>
      </c>
      <c r="D5">
        <v>13646.08</v>
      </c>
      <c r="E5">
        <v>53.55</v>
      </c>
      <c r="F5">
        <v>400.15</v>
      </c>
      <c r="G5">
        <v>18.29</v>
      </c>
      <c r="H5">
        <v>7390.65</v>
      </c>
      <c r="I5">
        <v>45.31</v>
      </c>
      <c r="J5">
        <v>405.35</v>
      </c>
      <c r="K5">
        <v>15.37</v>
      </c>
      <c r="L5">
        <v>6240.85</v>
      </c>
      <c r="M5">
        <v>37.07</v>
      </c>
      <c r="N5">
        <v>410.85</v>
      </c>
      <c r="O5">
        <v>43.28</v>
      </c>
      <c r="P5">
        <v>18064.47</v>
      </c>
      <c r="Q5">
        <v>43.47</v>
      </c>
      <c r="R5">
        <v>431.75</v>
      </c>
      <c r="S5">
        <v>37.71</v>
      </c>
      <c r="T5">
        <v>16003.75</v>
      </c>
      <c r="U5">
        <v>59.88</v>
      </c>
    </row>
    <row r="6" spans="1:21" x14ac:dyDescent="0.35">
      <c r="A6" s="4" t="s">
        <v>38</v>
      </c>
      <c r="B6">
        <v>1325.9</v>
      </c>
      <c r="C6">
        <v>12.33</v>
      </c>
      <c r="D6">
        <v>16271.3</v>
      </c>
      <c r="E6">
        <v>49.27</v>
      </c>
      <c r="F6">
        <v>1339.8</v>
      </c>
      <c r="G6">
        <v>13.87</v>
      </c>
      <c r="H6">
        <v>18699.52</v>
      </c>
      <c r="I6">
        <v>41.18</v>
      </c>
      <c r="J6">
        <v>1340.4</v>
      </c>
      <c r="K6">
        <v>11.29</v>
      </c>
      <c r="L6">
        <v>15183.6</v>
      </c>
      <c r="M6">
        <v>40.69</v>
      </c>
      <c r="N6">
        <v>1333.9</v>
      </c>
      <c r="O6">
        <v>17.72</v>
      </c>
      <c r="P6">
        <v>24181.41</v>
      </c>
      <c r="Q6">
        <v>30.22</v>
      </c>
      <c r="R6">
        <v>1336.85</v>
      </c>
      <c r="S6">
        <v>10.18</v>
      </c>
      <c r="T6">
        <v>13588.55</v>
      </c>
      <c r="U6">
        <v>26.92</v>
      </c>
    </row>
    <row r="7" spans="1:21" x14ac:dyDescent="0.35">
      <c r="A7" s="4" t="s">
        <v>39</v>
      </c>
      <c r="B7">
        <v>344.7</v>
      </c>
      <c r="C7">
        <v>53.21</v>
      </c>
      <c r="D7">
        <v>18122.78</v>
      </c>
      <c r="E7">
        <v>42.39</v>
      </c>
      <c r="F7">
        <v>337.55</v>
      </c>
      <c r="G7">
        <v>33.46</v>
      </c>
      <c r="H7">
        <v>11390.49</v>
      </c>
      <c r="I7">
        <v>32.86</v>
      </c>
      <c r="J7">
        <v>341.1</v>
      </c>
      <c r="K7">
        <v>32</v>
      </c>
      <c r="L7">
        <v>10796.3</v>
      </c>
      <c r="M7">
        <v>37.520000000000003</v>
      </c>
      <c r="N7">
        <v>342.2</v>
      </c>
      <c r="O7">
        <v>74.41</v>
      </c>
      <c r="P7">
        <v>26324.69</v>
      </c>
      <c r="Q7">
        <v>27.9</v>
      </c>
      <c r="R7">
        <v>355.35</v>
      </c>
      <c r="S7">
        <v>35.700000000000003</v>
      </c>
      <c r="T7">
        <v>12511.42</v>
      </c>
      <c r="U7">
        <v>23.87</v>
      </c>
    </row>
    <row r="8" spans="1:21" x14ac:dyDescent="0.35">
      <c r="A8" s="4" t="s">
        <v>25</v>
      </c>
      <c r="B8">
        <v>1494.65</v>
      </c>
      <c r="C8">
        <v>4.55</v>
      </c>
      <c r="D8">
        <v>6633.88</v>
      </c>
      <c r="E8">
        <v>52.56</v>
      </c>
      <c r="F8">
        <v>1447.75</v>
      </c>
      <c r="G8">
        <v>3.33</v>
      </c>
      <c r="H8">
        <v>4888.01</v>
      </c>
      <c r="I8">
        <v>32.950000000000003</v>
      </c>
      <c r="J8">
        <v>1518.9</v>
      </c>
      <c r="K8">
        <v>18.579999999999998</v>
      </c>
      <c r="L8">
        <v>27392.2</v>
      </c>
      <c r="M8">
        <v>27.4</v>
      </c>
      <c r="N8">
        <v>1598.75</v>
      </c>
      <c r="O8">
        <v>12.38</v>
      </c>
      <c r="P8">
        <v>19857.38</v>
      </c>
      <c r="Q8">
        <v>35.86</v>
      </c>
      <c r="R8">
        <v>1648.9</v>
      </c>
      <c r="S8">
        <v>6.07</v>
      </c>
      <c r="T8">
        <v>9871.2199999999993</v>
      </c>
      <c r="U8">
        <v>35.43</v>
      </c>
    </row>
    <row r="9" spans="1:21" x14ac:dyDescent="0.35">
      <c r="A9" s="4" t="s">
        <v>31</v>
      </c>
      <c r="B9">
        <v>1451.45</v>
      </c>
      <c r="C9">
        <v>6.21</v>
      </c>
      <c r="D9">
        <v>8915.81</v>
      </c>
      <c r="E9">
        <v>67.459999999999994</v>
      </c>
      <c r="F9">
        <v>1449.1</v>
      </c>
      <c r="G9">
        <v>2.96</v>
      </c>
      <c r="H9">
        <v>4290.2</v>
      </c>
      <c r="I9">
        <v>58.96</v>
      </c>
      <c r="J9">
        <v>1461.1</v>
      </c>
      <c r="K9">
        <v>3.3</v>
      </c>
      <c r="L9">
        <v>4823.37</v>
      </c>
      <c r="M9">
        <v>56.54</v>
      </c>
      <c r="N9">
        <v>1476.1</v>
      </c>
      <c r="O9">
        <v>10.49</v>
      </c>
      <c r="P9">
        <v>15869.55</v>
      </c>
      <c r="Q9">
        <v>50.99</v>
      </c>
      <c r="R9">
        <v>1544.15</v>
      </c>
      <c r="S9">
        <v>5.63</v>
      </c>
      <c r="T9">
        <v>8583.5400000000009</v>
      </c>
      <c r="U9">
        <v>49.5</v>
      </c>
    </row>
    <row r="10" spans="1:21" x14ac:dyDescent="0.35">
      <c r="A10" s="4" t="s">
        <v>19</v>
      </c>
      <c r="B10">
        <v>2432.35</v>
      </c>
      <c r="C10">
        <v>4.42</v>
      </c>
      <c r="D10">
        <v>10643.18</v>
      </c>
      <c r="E10">
        <v>56.96</v>
      </c>
      <c r="F10">
        <v>2403.6999999999998</v>
      </c>
      <c r="G10">
        <v>2.58</v>
      </c>
      <c r="H10">
        <v>6264.8</v>
      </c>
      <c r="I10">
        <v>54.48</v>
      </c>
      <c r="J10">
        <v>2405.75</v>
      </c>
      <c r="K10">
        <v>2.85</v>
      </c>
      <c r="L10">
        <v>6868.8</v>
      </c>
      <c r="M10">
        <v>61.32</v>
      </c>
      <c r="N10">
        <v>2332.1</v>
      </c>
      <c r="O10">
        <v>8.27</v>
      </c>
      <c r="P10">
        <v>19734.05</v>
      </c>
      <c r="Q10">
        <v>60.44</v>
      </c>
      <c r="R10">
        <v>2373.35</v>
      </c>
      <c r="S10">
        <v>3.42</v>
      </c>
      <c r="T10">
        <v>8080.85</v>
      </c>
      <c r="U10">
        <v>57.81</v>
      </c>
    </row>
    <row r="11" spans="1:21" x14ac:dyDescent="0.35">
      <c r="A11" s="4" t="s">
        <v>8</v>
      </c>
      <c r="B11">
        <v>122.9</v>
      </c>
      <c r="C11">
        <v>28.83</v>
      </c>
      <c r="D11">
        <v>3481.22</v>
      </c>
      <c r="E11">
        <v>20.41</v>
      </c>
      <c r="F11">
        <v>125.8</v>
      </c>
      <c r="G11">
        <v>36.96</v>
      </c>
      <c r="H11">
        <v>4625.71</v>
      </c>
      <c r="I11">
        <v>27.14</v>
      </c>
      <c r="J11">
        <v>126.15</v>
      </c>
      <c r="K11">
        <v>24.19</v>
      </c>
      <c r="L11">
        <v>3052.79</v>
      </c>
      <c r="M11">
        <v>23.37</v>
      </c>
      <c r="N11">
        <v>127.55</v>
      </c>
      <c r="O11">
        <v>107.99</v>
      </c>
      <c r="P11">
        <v>14551.46</v>
      </c>
      <c r="Q11">
        <v>22.89</v>
      </c>
      <c r="R11">
        <v>137.35</v>
      </c>
      <c r="S11">
        <v>55.81</v>
      </c>
      <c r="T11">
        <v>7482.8</v>
      </c>
      <c r="U11">
        <v>17.010000000000002</v>
      </c>
    </row>
    <row r="12" spans="1:21" x14ac:dyDescent="0.35">
      <c r="A12" s="4" t="s">
        <v>6</v>
      </c>
      <c r="B12">
        <v>782.4</v>
      </c>
      <c r="C12">
        <v>15.87</v>
      </c>
      <c r="D12">
        <v>12343.21</v>
      </c>
      <c r="E12">
        <v>57.4</v>
      </c>
      <c r="F12">
        <v>772.95</v>
      </c>
      <c r="G12">
        <v>9.25</v>
      </c>
      <c r="H12">
        <v>7229.9</v>
      </c>
      <c r="I12">
        <v>53.58</v>
      </c>
      <c r="J12">
        <v>779.15</v>
      </c>
      <c r="K12">
        <v>5.93</v>
      </c>
      <c r="L12">
        <v>4621.24</v>
      </c>
      <c r="M12">
        <v>46.42</v>
      </c>
      <c r="N12">
        <v>776.4</v>
      </c>
      <c r="O12">
        <v>14.78</v>
      </c>
      <c r="P12">
        <v>11679.88</v>
      </c>
      <c r="Q12">
        <v>45.18</v>
      </c>
      <c r="R12">
        <v>793.2</v>
      </c>
      <c r="S12">
        <v>9.32</v>
      </c>
      <c r="T12">
        <v>7348.88</v>
      </c>
      <c r="U12">
        <v>49.72</v>
      </c>
    </row>
    <row r="13" spans="1:21" x14ac:dyDescent="0.35">
      <c r="A13" s="4" t="s">
        <v>51</v>
      </c>
      <c r="B13">
        <v>362.5</v>
      </c>
      <c r="C13">
        <v>18.3</v>
      </c>
      <c r="D13">
        <v>6667.08</v>
      </c>
      <c r="E13">
        <v>20.97</v>
      </c>
      <c r="F13">
        <v>347.7</v>
      </c>
      <c r="G13">
        <v>13.36</v>
      </c>
      <c r="H13">
        <v>4722.18</v>
      </c>
      <c r="I13">
        <v>22.61</v>
      </c>
      <c r="J13">
        <v>342.2</v>
      </c>
      <c r="K13">
        <v>10.8</v>
      </c>
      <c r="L13">
        <v>3709.28</v>
      </c>
      <c r="M13">
        <v>29.97</v>
      </c>
      <c r="N13">
        <v>360.45</v>
      </c>
      <c r="O13">
        <v>15.92</v>
      </c>
      <c r="P13">
        <v>5710.17</v>
      </c>
      <c r="Q13">
        <v>36.35</v>
      </c>
      <c r="R13">
        <v>376.85</v>
      </c>
      <c r="S13">
        <v>19.47</v>
      </c>
      <c r="T13">
        <v>7238.41</v>
      </c>
      <c r="U13">
        <v>18.86</v>
      </c>
    </row>
    <row r="14" spans="1:21" x14ac:dyDescent="0.35">
      <c r="A14" s="4" t="s">
        <v>34</v>
      </c>
      <c r="B14">
        <v>7084.6</v>
      </c>
      <c r="C14">
        <v>1.29</v>
      </c>
      <c r="D14">
        <v>9045.1</v>
      </c>
      <c r="E14">
        <v>47.63</v>
      </c>
      <c r="F14">
        <v>6875.35</v>
      </c>
      <c r="G14">
        <v>0.97</v>
      </c>
      <c r="H14">
        <v>6805.48</v>
      </c>
      <c r="I14">
        <v>36.49</v>
      </c>
      <c r="J14">
        <v>6899.8</v>
      </c>
      <c r="K14">
        <v>0.65</v>
      </c>
      <c r="L14">
        <v>4449.88</v>
      </c>
      <c r="M14">
        <v>48.87</v>
      </c>
      <c r="N14">
        <v>6929.25</v>
      </c>
      <c r="O14">
        <v>1.36</v>
      </c>
      <c r="P14">
        <v>9511.44</v>
      </c>
      <c r="Q14">
        <v>42.99</v>
      </c>
      <c r="R14">
        <v>7093.15</v>
      </c>
      <c r="S14">
        <v>1</v>
      </c>
      <c r="T14">
        <v>7046.74</v>
      </c>
      <c r="U14">
        <v>44.43</v>
      </c>
    </row>
    <row r="15" spans="1:21" x14ac:dyDescent="0.35">
      <c r="A15" s="4" t="s">
        <v>18</v>
      </c>
      <c r="B15">
        <v>2122.5</v>
      </c>
      <c r="C15">
        <v>6.21</v>
      </c>
      <c r="D15">
        <v>13008.73</v>
      </c>
      <c r="E15">
        <v>64.95</v>
      </c>
      <c r="F15">
        <v>2114.5</v>
      </c>
      <c r="G15">
        <v>5.58</v>
      </c>
      <c r="H15">
        <v>11959.9</v>
      </c>
      <c r="I15">
        <v>63.95</v>
      </c>
      <c r="J15">
        <v>2138.8000000000002</v>
      </c>
      <c r="K15">
        <v>3.08</v>
      </c>
      <c r="L15">
        <v>6579.04</v>
      </c>
      <c r="M15">
        <v>59.93</v>
      </c>
      <c r="N15">
        <v>2114.4</v>
      </c>
      <c r="O15">
        <v>7.62</v>
      </c>
      <c r="P15">
        <v>16525.099999999999</v>
      </c>
      <c r="Q15">
        <v>62.26</v>
      </c>
      <c r="R15">
        <v>2123.4</v>
      </c>
      <c r="S15">
        <v>3.31</v>
      </c>
      <c r="T15">
        <v>7013.7</v>
      </c>
      <c r="U15">
        <v>53.51</v>
      </c>
    </row>
    <row r="16" spans="1:21" x14ac:dyDescent="0.35">
      <c r="A16" s="4" t="s">
        <v>50</v>
      </c>
      <c r="B16">
        <v>143.55000000000001</v>
      </c>
      <c r="C16">
        <v>82.21</v>
      </c>
      <c r="D16">
        <v>11626.79</v>
      </c>
      <c r="E16">
        <v>25.29</v>
      </c>
      <c r="F16">
        <v>141</v>
      </c>
      <c r="G16">
        <v>59.5</v>
      </c>
      <c r="H16">
        <v>8378.4699999999993</v>
      </c>
      <c r="I16">
        <v>21.49</v>
      </c>
      <c r="J16">
        <v>137.55000000000001</v>
      </c>
      <c r="K16">
        <v>58.67</v>
      </c>
      <c r="L16">
        <v>8084.16</v>
      </c>
      <c r="M16">
        <v>22.1</v>
      </c>
      <c r="N16">
        <v>139.75</v>
      </c>
      <c r="O16">
        <v>111.72</v>
      </c>
      <c r="P16">
        <v>16140.42</v>
      </c>
      <c r="Q16">
        <v>20.51</v>
      </c>
      <c r="R16">
        <v>141.19999999999999</v>
      </c>
      <c r="S16">
        <v>45.27</v>
      </c>
      <c r="T16">
        <v>6386.36</v>
      </c>
      <c r="U16">
        <v>20.49</v>
      </c>
    </row>
    <row r="17" spans="1:21" x14ac:dyDescent="0.35">
      <c r="A17" s="4" t="s">
        <v>180</v>
      </c>
      <c r="B17">
        <v>563.35</v>
      </c>
      <c r="C17">
        <v>1.61</v>
      </c>
      <c r="D17">
        <v>896.25</v>
      </c>
      <c r="E17">
        <v>10.220000000000001</v>
      </c>
      <c r="F17">
        <v>544.65</v>
      </c>
      <c r="G17">
        <v>1.25</v>
      </c>
      <c r="H17">
        <v>695.58</v>
      </c>
      <c r="I17">
        <v>11.06</v>
      </c>
      <c r="J17">
        <v>554.29999999999995</v>
      </c>
      <c r="K17">
        <v>1.8</v>
      </c>
      <c r="L17">
        <v>979.34</v>
      </c>
      <c r="M17">
        <v>12.66</v>
      </c>
      <c r="N17">
        <v>547.85</v>
      </c>
      <c r="O17">
        <v>3.92</v>
      </c>
      <c r="P17">
        <v>2239.5700000000002</v>
      </c>
      <c r="Q17">
        <v>17.86</v>
      </c>
      <c r="R17">
        <v>530.54999999999995</v>
      </c>
      <c r="S17">
        <v>11.99</v>
      </c>
      <c r="T17">
        <v>6369.08</v>
      </c>
      <c r="U17">
        <v>10.53</v>
      </c>
    </row>
    <row r="18" spans="1:21" x14ac:dyDescent="0.35">
      <c r="A18" s="4" t="s">
        <v>129</v>
      </c>
      <c r="B18">
        <v>668.6</v>
      </c>
      <c r="C18">
        <v>3.78</v>
      </c>
      <c r="D18">
        <v>2474.77</v>
      </c>
      <c r="E18">
        <v>11.83</v>
      </c>
      <c r="F18">
        <v>714.75</v>
      </c>
      <c r="G18">
        <v>12.98</v>
      </c>
      <c r="H18">
        <v>9200.75</v>
      </c>
      <c r="I18">
        <v>6.8</v>
      </c>
      <c r="J18">
        <v>742.75</v>
      </c>
      <c r="K18">
        <v>10.72</v>
      </c>
      <c r="L18">
        <v>7935.09</v>
      </c>
      <c r="M18">
        <v>5.33</v>
      </c>
      <c r="N18">
        <v>746.95</v>
      </c>
      <c r="O18">
        <v>4.5599999999999996</v>
      </c>
      <c r="P18">
        <v>3406.51</v>
      </c>
      <c r="Q18">
        <v>19.940000000000001</v>
      </c>
      <c r="R18">
        <v>679.55</v>
      </c>
      <c r="S18">
        <v>8.01</v>
      </c>
      <c r="T18">
        <v>5555.93</v>
      </c>
      <c r="U18">
        <v>9.65</v>
      </c>
    </row>
    <row r="19" spans="1:21" x14ac:dyDescent="0.35">
      <c r="A19" s="4" t="s">
        <v>23</v>
      </c>
      <c r="B19">
        <v>814.55</v>
      </c>
      <c r="C19">
        <v>19.77</v>
      </c>
      <c r="D19">
        <v>15830.25</v>
      </c>
      <c r="E19">
        <v>17.29</v>
      </c>
      <c r="F19">
        <v>807.75</v>
      </c>
      <c r="G19">
        <v>15.06</v>
      </c>
      <c r="H19">
        <v>12326.55</v>
      </c>
      <c r="I19">
        <v>17.78</v>
      </c>
      <c r="J19">
        <v>784.55</v>
      </c>
      <c r="K19">
        <v>12.79</v>
      </c>
      <c r="L19">
        <v>10088.65</v>
      </c>
      <c r="M19">
        <v>26.76</v>
      </c>
      <c r="N19">
        <v>783.55</v>
      </c>
      <c r="O19">
        <v>10.44</v>
      </c>
      <c r="P19">
        <v>8456.5400000000009</v>
      </c>
      <c r="Q19">
        <v>14.76</v>
      </c>
      <c r="R19">
        <v>794.1</v>
      </c>
      <c r="S19">
        <v>7.02</v>
      </c>
      <c r="T19">
        <v>5536.63</v>
      </c>
      <c r="U19">
        <v>10.66</v>
      </c>
    </row>
    <row r="20" spans="1:21" x14ac:dyDescent="0.35">
      <c r="A20" s="4" t="s">
        <v>53</v>
      </c>
      <c r="B20">
        <v>3407.55</v>
      </c>
      <c r="C20">
        <v>2.72</v>
      </c>
      <c r="D20">
        <v>9251.81</v>
      </c>
      <c r="E20">
        <v>31.55</v>
      </c>
      <c r="F20">
        <v>3433.3</v>
      </c>
      <c r="G20">
        <v>2.88</v>
      </c>
      <c r="H20">
        <v>9911.7000000000007</v>
      </c>
      <c r="I20">
        <v>30.71</v>
      </c>
      <c r="J20">
        <v>3448.9</v>
      </c>
      <c r="K20">
        <v>1.57</v>
      </c>
      <c r="L20">
        <v>5381.11</v>
      </c>
      <c r="M20">
        <v>27.84</v>
      </c>
      <c r="N20">
        <v>3377.75</v>
      </c>
      <c r="O20">
        <v>2.41</v>
      </c>
      <c r="P20">
        <v>8278.18</v>
      </c>
      <c r="Q20">
        <v>35.07</v>
      </c>
      <c r="R20">
        <v>3467.9</v>
      </c>
      <c r="S20">
        <v>1.57</v>
      </c>
      <c r="T20">
        <v>5387.1</v>
      </c>
      <c r="U20">
        <v>22.38</v>
      </c>
    </row>
    <row r="21" spans="1:21" x14ac:dyDescent="0.35">
      <c r="A21" s="4" t="s">
        <v>43</v>
      </c>
      <c r="B21">
        <v>483.8</v>
      </c>
      <c r="C21">
        <v>8.4600000000000009</v>
      </c>
      <c r="D21">
        <v>4114.95</v>
      </c>
      <c r="E21">
        <v>26.14</v>
      </c>
      <c r="F21">
        <v>472.55</v>
      </c>
      <c r="G21">
        <v>6.34</v>
      </c>
      <c r="H21">
        <v>3002.16</v>
      </c>
      <c r="I21">
        <v>25.95</v>
      </c>
      <c r="J21">
        <v>473</v>
      </c>
      <c r="K21">
        <v>8.36</v>
      </c>
      <c r="L21">
        <v>3960.86</v>
      </c>
      <c r="M21">
        <v>22.49</v>
      </c>
      <c r="N21">
        <v>464.7</v>
      </c>
      <c r="O21">
        <v>9.34</v>
      </c>
      <c r="P21">
        <v>4446.3900000000003</v>
      </c>
      <c r="Q21">
        <v>23.79</v>
      </c>
      <c r="R21">
        <v>484.15</v>
      </c>
      <c r="S21">
        <v>10.88</v>
      </c>
      <c r="T21">
        <v>5163.92</v>
      </c>
      <c r="U21">
        <v>25.8</v>
      </c>
    </row>
    <row r="22" spans="1:21" x14ac:dyDescent="0.35">
      <c r="A22" s="4" t="s">
        <v>120</v>
      </c>
      <c r="B22">
        <v>1454.95</v>
      </c>
      <c r="C22">
        <v>2.64</v>
      </c>
      <c r="D22">
        <v>3875.14</v>
      </c>
      <c r="E22">
        <v>15.25</v>
      </c>
      <c r="F22">
        <v>1477.05</v>
      </c>
      <c r="G22">
        <v>2.62</v>
      </c>
      <c r="H22">
        <v>3898.78</v>
      </c>
      <c r="I22">
        <v>18.899999999999999</v>
      </c>
      <c r="J22">
        <v>1509.1</v>
      </c>
      <c r="K22">
        <v>2.2400000000000002</v>
      </c>
      <c r="L22">
        <v>3359.44</v>
      </c>
      <c r="M22">
        <v>21.64</v>
      </c>
      <c r="N22">
        <v>1543.9</v>
      </c>
      <c r="O22">
        <v>1.39</v>
      </c>
      <c r="P22">
        <v>2130.3200000000002</v>
      </c>
      <c r="Q22">
        <v>29.84</v>
      </c>
      <c r="R22">
        <v>1621.75</v>
      </c>
      <c r="S22">
        <v>3.19</v>
      </c>
      <c r="T22">
        <v>5105.5</v>
      </c>
      <c r="U22">
        <v>13.5</v>
      </c>
    </row>
    <row r="23" spans="1:21" x14ac:dyDescent="0.35">
      <c r="A23" s="4" t="s">
        <v>64</v>
      </c>
      <c r="B23">
        <v>87.55</v>
      </c>
      <c r="C23">
        <v>34.9</v>
      </c>
      <c r="D23">
        <v>3049.84</v>
      </c>
      <c r="E23">
        <v>49.35</v>
      </c>
      <c r="F23">
        <v>88.25</v>
      </c>
      <c r="G23">
        <v>27.44</v>
      </c>
      <c r="H23">
        <v>2427.6</v>
      </c>
      <c r="I23">
        <v>26.56</v>
      </c>
      <c r="J23">
        <v>87.85</v>
      </c>
      <c r="K23">
        <v>18.239999999999998</v>
      </c>
      <c r="L23">
        <v>1591.39</v>
      </c>
      <c r="M23">
        <v>15.8</v>
      </c>
      <c r="N23">
        <v>88.85</v>
      </c>
      <c r="O23">
        <v>31.46</v>
      </c>
      <c r="P23">
        <v>2827.49</v>
      </c>
      <c r="Q23">
        <v>19.309999999999999</v>
      </c>
      <c r="R23">
        <v>93.8</v>
      </c>
      <c r="S23">
        <v>53.73</v>
      </c>
      <c r="T23">
        <v>4967.99</v>
      </c>
      <c r="U23">
        <v>20.04</v>
      </c>
    </row>
    <row r="24" spans="1:21" x14ac:dyDescent="0.35">
      <c r="A24" s="4" t="s">
        <v>27</v>
      </c>
      <c r="B24">
        <v>722.4</v>
      </c>
      <c r="C24">
        <v>11.21</v>
      </c>
      <c r="D24">
        <v>8066.1</v>
      </c>
      <c r="E24">
        <v>57.37</v>
      </c>
      <c r="F24">
        <v>709.3</v>
      </c>
      <c r="G24">
        <v>8.65</v>
      </c>
      <c r="H24">
        <v>6156.38</v>
      </c>
      <c r="I24">
        <v>65.34</v>
      </c>
      <c r="J24">
        <v>709.75</v>
      </c>
      <c r="K24">
        <v>5.8</v>
      </c>
      <c r="L24">
        <v>4130.76</v>
      </c>
      <c r="M24">
        <v>53.42</v>
      </c>
      <c r="N24">
        <v>701.05</v>
      </c>
      <c r="O24">
        <v>7.23</v>
      </c>
      <c r="P24">
        <v>5126.3</v>
      </c>
      <c r="Q24">
        <v>53.76</v>
      </c>
      <c r="R24">
        <v>709.2</v>
      </c>
      <c r="S24">
        <v>7.02</v>
      </c>
      <c r="T24">
        <v>4957.67</v>
      </c>
      <c r="U24">
        <v>64.569999999999993</v>
      </c>
    </row>
    <row r="25" spans="1:21" x14ac:dyDescent="0.35">
      <c r="A25" s="4" t="s">
        <v>44</v>
      </c>
      <c r="B25">
        <v>2143.9499999999998</v>
      </c>
      <c r="C25">
        <v>2.63</v>
      </c>
      <c r="D25">
        <v>5563.94</v>
      </c>
      <c r="E25">
        <v>43.98</v>
      </c>
      <c r="F25">
        <v>2109.75</v>
      </c>
      <c r="G25">
        <v>1.86</v>
      </c>
      <c r="H25">
        <v>3954.32</v>
      </c>
      <c r="I25">
        <v>55.94</v>
      </c>
      <c r="J25">
        <v>2081.75</v>
      </c>
      <c r="K25">
        <v>2.6</v>
      </c>
      <c r="L25">
        <v>5428.61</v>
      </c>
      <c r="M25">
        <v>54.32</v>
      </c>
      <c r="N25">
        <v>2054.0500000000002</v>
      </c>
      <c r="O25">
        <v>2.54</v>
      </c>
      <c r="P25">
        <v>5264.9</v>
      </c>
      <c r="Q25">
        <v>46.01</v>
      </c>
      <c r="R25">
        <v>2048</v>
      </c>
      <c r="S25">
        <v>2.27</v>
      </c>
      <c r="T25">
        <v>4664.7299999999996</v>
      </c>
      <c r="U25">
        <v>55.23</v>
      </c>
    </row>
    <row r="26" spans="1:21" x14ac:dyDescent="0.35">
      <c r="A26" s="4" t="s">
        <v>54</v>
      </c>
      <c r="B26">
        <v>293.5</v>
      </c>
      <c r="C26">
        <v>11.17</v>
      </c>
      <c r="D26">
        <v>3297.62</v>
      </c>
      <c r="E26">
        <v>42.53</v>
      </c>
      <c r="F26">
        <v>284.55</v>
      </c>
      <c r="G26">
        <v>10.58</v>
      </c>
      <c r="H26">
        <v>3030.37</v>
      </c>
      <c r="I26">
        <v>25.2</v>
      </c>
      <c r="J26">
        <v>288.75</v>
      </c>
      <c r="K26">
        <v>6.07</v>
      </c>
      <c r="L26">
        <v>1764.64</v>
      </c>
      <c r="M26">
        <v>31.27</v>
      </c>
      <c r="N26">
        <v>289.64999999999998</v>
      </c>
      <c r="O26">
        <v>12.18</v>
      </c>
      <c r="P26">
        <v>3632.81</v>
      </c>
      <c r="Q26">
        <v>41.96</v>
      </c>
      <c r="R26">
        <v>302.25</v>
      </c>
      <c r="S26">
        <v>14.42</v>
      </c>
      <c r="T26">
        <v>4378.1000000000004</v>
      </c>
      <c r="U26">
        <v>36.64</v>
      </c>
    </row>
    <row r="27" spans="1:21" x14ac:dyDescent="0.35">
      <c r="A27" s="4" t="s">
        <v>30</v>
      </c>
      <c r="B27">
        <v>1502.55</v>
      </c>
      <c r="C27">
        <v>4.67</v>
      </c>
      <c r="D27">
        <v>6937.18</v>
      </c>
      <c r="E27">
        <v>62.14</v>
      </c>
      <c r="F27">
        <v>1487.9</v>
      </c>
      <c r="G27">
        <v>3.22</v>
      </c>
      <c r="H27">
        <v>4826.87</v>
      </c>
      <c r="I27">
        <v>57.39</v>
      </c>
      <c r="J27">
        <v>1495.25</v>
      </c>
      <c r="K27">
        <v>2.5</v>
      </c>
      <c r="L27">
        <v>3752.72</v>
      </c>
      <c r="M27">
        <v>52.37</v>
      </c>
      <c r="N27">
        <v>1499.75</v>
      </c>
      <c r="O27">
        <v>5.8</v>
      </c>
      <c r="P27">
        <v>8822.48</v>
      </c>
      <c r="Q27">
        <v>59.25</v>
      </c>
      <c r="R27">
        <v>1511.7</v>
      </c>
      <c r="S27">
        <v>2.87</v>
      </c>
      <c r="T27">
        <v>4329.1899999999996</v>
      </c>
      <c r="U27">
        <v>47.12</v>
      </c>
    </row>
    <row r="28" spans="1:21" x14ac:dyDescent="0.35">
      <c r="A28" s="4" t="s">
        <v>96</v>
      </c>
      <c r="B28">
        <v>173.75</v>
      </c>
      <c r="C28">
        <v>7.51</v>
      </c>
      <c r="D28">
        <v>1292.25</v>
      </c>
      <c r="E28">
        <v>23.48</v>
      </c>
      <c r="F28">
        <v>171.5</v>
      </c>
      <c r="G28">
        <v>12.08</v>
      </c>
      <c r="H28">
        <v>2082.38</v>
      </c>
      <c r="I28">
        <v>32.369999999999997</v>
      </c>
      <c r="J28">
        <v>173.9</v>
      </c>
      <c r="K28">
        <v>24.31</v>
      </c>
      <c r="L28">
        <v>4278.21</v>
      </c>
      <c r="M28">
        <v>16.75</v>
      </c>
      <c r="N28">
        <v>180.7</v>
      </c>
      <c r="O28">
        <v>26.29</v>
      </c>
      <c r="P28">
        <v>4714.74</v>
      </c>
      <c r="Q28">
        <v>35.14</v>
      </c>
      <c r="R28">
        <v>191.65</v>
      </c>
      <c r="S28">
        <v>22.41</v>
      </c>
      <c r="T28">
        <v>4226.9799999999996</v>
      </c>
      <c r="U28">
        <v>27.72</v>
      </c>
    </row>
    <row r="29" spans="1:21" x14ac:dyDescent="0.35">
      <c r="A29" s="4" t="s">
        <v>41</v>
      </c>
      <c r="B29">
        <v>190.15</v>
      </c>
      <c r="C29">
        <v>29.87</v>
      </c>
      <c r="D29">
        <v>5556.95</v>
      </c>
      <c r="E29">
        <v>11.88</v>
      </c>
      <c r="F29">
        <v>176.8</v>
      </c>
      <c r="G29">
        <v>57.82</v>
      </c>
      <c r="H29">
        <v>10372.11</v>
      </c>
      <c r="I29">
        <v>15.53</v>
      </c>
      <c r="J29">
        <v>179.1</v>
      </c>
      <c r="K29">
        <v>25.85</v>
      </c>
      <c r="L29">
        <v>4594.45</v>
      </c>
      <c r="M29">
        <v>15.41</v>
      </c>
      <c r="N29">
        <v>175.15</v>
      </c>
      <c r="O29">
        <v>22.91</v>
      </c>
      <c r="P29">
        <v>4094.96</v>
      </c>
      <c r="Q29">
        <v>14.87</v>
      </c>
      <c r="R29">
        <v>182.3</v>
      </c>
      <c r="S29">
        <v>22.49</v>
      </c>
      <c r="T29">
        <v>4047.42</v>
      </c>
      <c r="U29">
        <v>14.84</v>
      </c>
    </row>
    <row r="30" spans="1:21" x14ac:dyDescent="0.35">
      <c r="A30" s="4" t="s">
        <v>69</v>
      </c>
      <c r="B30">
        <v>99.3</v>
      </c>
      <c r="C30">
        <v>17.28</v>
      </c>
      <c r="D30">
        <v>1698.74</v>
      </c>
      <c r="E30">
        <v>35.78</v>
      </c>
      <c r="F30">
        <v>96.95</v>
      </c>
      <c r="G30">
        <v>8.3699999999999992</v>
      </c>
      <c r="H30">
        <v>813.84</v>
      </c>
      <c r="I30">
        <v>33.74</v>
      </c>
      <c r="J30">
        <v>101.1</v>
      </c>
      <c r="K30">
        <v>15.23</v>
      </c>
      <c r="L30">
        <v>1525.88</v>
      </c>
      <c r="M30">
        <v>32.39</v>
      </c>
      <c r="N30">
        <v>102.65</v>
      </c>
      <c r="O30">
        <v>25.99</v>
      </c>
      <c r="P30">
        <v>2701.44</v>
      </c>
      <c r="Q30">
        <v>35.57</v>
      </c>
      <c r="R30">
        <v>111.8</v>
      </c>
      <c r="S30">
        <v>36.200000000000003</v>
      </c>
      <c r="T30">
        <v>3965.44</v>
      </c>
      <c r="U30">
        <v>33.61</v>
      </c>
    </row>
    <row r="31" spans="1:21" x14ac:dyDescent="0.35">
      <c r="A31" s="4" t="s">
        <v>11</v>
      </c>
      <c r="B31">
        <v>391.8</v>
      </c>
      <c r="C31">
        <v>5.2</v>
      </c>
      <c r="D31">
        <v>2031.23</v>
      </c>
      <c r="E31">
        <v>25.67</v>
      </c>
      <c r="F31">
        <v>374.45</v>
      </c>
      <c r="G31">
        <v>8.3800000000000008</v>
      </c>
      <c r="H31">
        <v>3142.57</v>
      </c>
      <c r="I31">
        <v>23.51</v>
      </c>
      <c r="J31">
        <v>384.25</v>
      </c>
      <c r="K31">
        <v>7.76</v>
      </c>
      <c r="L31">
        <v>2980.04</v>
      </c>
      <c r="M31">
        <v>22.62</v>
      </c>
      <c r="N31">
        <v>384.35</v>
      </c>
      <c r="O31">
        <v>12.96</v>
      </c>
      <c r="P31">
        <v>5156.45</v>
      </c>
      <c r="Q31">
        <v>46.05</v>
      </c>
      <c r="R31">
        <v>395.45</v>
      </c>
      <c r="S31">
        <v>9.9</v>
      </c>
      <c r="T31">
        <v>3888.66</v>
      </c>
      <c r="U31">
        <v>33</v>
      </c>
    </row>
    <row r="32" spans="1:21" x14ac:dyDescent="0.35">
      <c r="A32" s="4" t="s">
        <v>2</v>
      </c>
      <c r="B32">
        <v>400.1</v>
      </c>
      <c r="C32">
        <v>10.97</v>
      </c>
      <c r="D32">
        <v>4308.45</v>
      </c>
      <c r="E32">
        <v>39.96</v>
      </c>
      <c r="F32">
        <v>387.6</v>
      </c>
      <c r="G32">
        <v>9.1199999999999992</v>
      </c>
      <c r="H32">
        <v>3594.85</v>
      </c>
      <c r="I32">
        <v>26.91</v>
      </c>
      <c r="J32">
        <v>385.95</v>
      </c>
      <c r="K32">
        <v>4.54</v>
      </c>
      <c r="L32">
        <v>1752.35</v>
      </c>
      <c r="M32">
        <v>28.22</v>
      </c>
      <c r="N32">
        <v>407.55</v>
      </c>
      <c r="O32">
        <v>23.02</v>
      </c>
      <c r="P32">
        <v>9479.86</v>
      </c>
      <c r="Q32">
        <v>32.01</v>
      </c>
      <c r="R32">
        <v>410.25</v>
      </c>
      <c r="S32">
        <v>9.27</v>
      </c>
      <c r="T32">
        <v>3762.39</v>
      </c>
      <c r="U32">
        <v>35.89</v>
      </c>
    </row>
    <row r="33" spans="1:21" x14ac:dyDescent="0.35">
      <c r="A33" s="4" t="s">
        <v>46</v>
      </c>
      <c r="B33">
        <v>4774.2</v>
      </c>
      <c r="C33">
        <v>0.97</v>
      </c>
      <c r="D33">
        <v>4609.12</v>
      </c>
      <c r="E33">
        <v>39.86</v>
      </c>
      <c r="F33">
        <v>4639.75</v>
      </c>
      <c r="G33">
        <v>0.67</v>
      </c>
      <c r="H33">
        <v>3165.55</v>
      </c>
      <c r="I33">
        <v>59.91</v>
      </c>
      <c r="J33">
        <v>4647.3500000000004</v>
      </c>
      <c r="K33">
        <v>0.61</v>
      </c>
      <c r="L33">
        <v>2818.77</v>
      </c>
      <c r="M33">
        <v>56.29</v>
      </c>
      <c r="N33">
        <v>4683.95</v>
      </c>
      <c r="O33">
        <v>0.97</v>
      </c>
      <c r="P33">
        <v>4638.51</v>
      </c>
      <c r="Q33">
        <v>48.87</v>
      </c>
      <c r="R33">
        <v>4800.1000000000004</v>
      </c>
      <c r="S33">
        <v>0.78</v>
      </c>
      <c r="T33">
        <v>3711.69</v>
      </c>
      <c r="U33">
        <v>54.02</v>
      </c>
    </row>
    <row r="34" spans="1:21" x14ac:dyDescent="0.35">
      <c r="A34" s="4" t="s">
        <v>9</v>
      </c>
      <c r="B34">
        <v>340.1</v>
      </c>
      <c r="C34">
        <v>7.71</v>
      </c>
      <c r="D34">
        <v>2590.48</v>
      </c>
      <c r="E34">
        <v>38.07</v>
      </c>
      <c r="F34">
        <v>330.65</v>
      </c>
      <c r="G34">
        <v>4.24</v>
      </c>
      <c r="H34">
        <v>1415.81</v>
      </c>
      <c r="I34">
        <v>36.32</v>
      </c>
      <c r="J34">
        <v>335.15</v>
      </c>
      <c r="K34">
        <v>6.67</v>
      </c>
      <c r="L34">
        <v>2226.91</v>
      </c>
      <c r="M34">
        <v>40.200000000000003</v>
      </c>
      <c r="N34">
        <v>338.8</v>
      </c>
      <c r="O34">
        <v>5.35</v>
      </c>
      <c r="P34">
        <v>1826.97</v>
      </c>
      <c r="Q34">
        <v>35.28</v>
      </c>
      <c r="R34">
        <v>353.2</v>
      </c>
      <c r="S34">
        <v>9.58</v>
      </c>
      <c r="T34">
        <v>3343.23</v>
      </c>
      <c r="U34">
        <v>41.74</v>
      </c>
    </row>
    <row r="35" spans="1:21" x14ac:dyDescent="0.35">
      <c r="A35" s="4" t="s">
        <v>29</v>
      </c>
      <c r="B35">
        <v>307</v>
      </c>
      <c r="C35">
        <v>11.01</v>
      </c>
      <c r="D35">
        <v>3360.22</v>
      </c>
      <c r="E35">
        <v>62.98</v>
      </c>
      <c r="F35">
        <v>305.89999999999998</v>
      </c>
      <c r="G35">
        <v>10.52</v>
      </c>
      <c r="H35">
        <v>3237.79</v>
      </c>
      <c r="I35">
        <v>48.64</v>
      </c>
      <c r="J35">
        <v>299.75</v>
      </c>
      <c r="K35">
        <v>13.74</v>
      </c>
      <c r="L35">
        <v>4114.1499999999996</v>
      </c>
      <c r="M35">
        <v>58.91</v>
      </c>
      <c r="N35">
        <v>288.2</v>
      </c>
      <c r="O35">
        <v>31.38</v>
      </c>
      <c r="P35">
        <v>9249.56</v>
      </c>
      <c r="Q35">
        <v>64.59</v>
      </c>
      <c r="R35">
        <v>290.45</v>
      </c>
      <c r="S35">
        <v>10.88</v>
      </c>
      <c r="T35">
        <v>3153.25</v>
      </c>
      <c r="U35">
        <v>57.13</v>
      </c>
    </row>
    <row r="36" spans="1:21" x14ac:dyDescent="0.35">
      <c r="A36" s="4" t="s">
        <v>56</v>
      </c>
      <c r="B36">
        <v>151.94999999999999</v>
      </c>
      <c r="C36">
        <v>37.67</v>
      </c>
      <c r="D36">
        <v>5366.62</v>
      </c>
      <c r="E36">
        <v>12.41</v>
      </c>
      <c r="F36">
        <v>154.65</v>
      </c>
      <c r="G36">
        <v>39.729999999999997</v>
      </c>
      <c r="H36">
        <v>6108.95</v>
      </c>
      <c r="I36">
        <v>4.74</v>
      </c>
      <c r="J36">
        <v>157.94999999999999</v>
      </c>
      <c r="K36">
        <v>13.57</v>
      </c>
      <c r="L36">
        <v>2120.7399999999998</v>
      </c>
      <c r="M36">
        <v>11.46</v>
      </c>
      <c r="N36">
        <v>161.05000000000001</v>
      </c>
      <c r="O36">
        <v>61.33</v>
      </c>
      <c r="P36">
        <v>10410.64</v>
      </c>
      <c r="Q36">
        <v>7.54</v>
      </c>
      <c r="R36">
        <v>156.4</v>
      </c>
      <c r="S36">
        <v>19.440000000000001</v>
      </c>
      <c r="T36">
        <v>3028.28</v>
      </c>
      <c r="U36">
        <v>6.86</v>
      </c>
    </row>
    <row r="37" spans="1:21" x14ac:dyDescent="0.35">
      <c r="A37" s="4" t="s">
        <v>188</v>
      </c>
      <c r="B37">
        <v>1231.6500000000001</v>
      </c>
      <c r="C37">
        <v>2.88</v>
      </c>
      <c r="D37">
        <v>3529.28</v>
      </c>
      <c r="E37">
        <v>42.16</v>
      </c>
      <c r="F37">
        <v>1244.4000000000001</v>
      </c>
      <c r="G37">
        <v>3.22</v>
      </c>
      <c r="H37">
        <v>4001.25</v>
      </c>
      <c r="I37">
        <v>52.53</v>
      </c>
      <c r="J37">
        <v>1241.0999999999999</v>
      </c>
      <c r="K37">
        <v>1.97</v>
      </c>
      <c r="L37">
        <v>2440.0500000000002</v>
      </c>
      <c r="M37">
        <v>42.93</v>
      </c>
      <c r="N37">
        <v>1220.25</v>
      </c>
      <c r="O37">
        <v>2.4900000000000002</v>
      </c>
      <c r="P37">
        <v>3082.45</v>
      </c>
      <c r="Q37">
        <v>57.27</v>
      </c>
      <c r="R37">
        <v>1219.9000000000001</v>
      </c>
      <c r="S37">
        <v>2.42</v>
      </c>
      <c r="T37">
        <v>2941.21</v>
      </c>
      <c r="U37">
        <v>48.52</v>
      </c>
    </row>
    <row r="38" spans="1:21" x14ac:dyDescent="0.35">
      <c r="A38" s="4" t="s">
        <v>22</v>
      </c>
      <c r="B38">
        <v>1772.5</v>
      </c>
      <c r="C38">
        <v>1.28</v>
      </c>
      <c r="D38">
        <v>2253.09</v>
      </c>
      <c r="E38">
        <v>53.43</v>
      </c>
      <c r="F38">
        <v>1785.25</v>
      </c>
      <c r="G38">
        <v>1.34</v>
      </c>
      <c r="H38">
        <v>2388.92</v>
      </c>
      <c r="I38">
        <v>63.5</v>
      </c>
      <c r="J38">
        <v>1768.3</v>
      </c>
      <c r="K38">
        <v>1.1599999999999999</v>
      </c>
      <c r="L38">
        <v>2047.92</v>
      </c>
      <c r="M38">
        <v>63.34</v>
      </c>
      <c r="N38">
        <v>1753.85</v>
      </c>
      <c r="O38">
        <v>1.55</v>
      </c>
      <c r="P38">
        <v>2753.33</v>
      </c>
      <c r="Q38">
        <v>58.36</v>
      </c>
      <c r="R38">
        <v>1749.6</v>
      </c>
      <c r="S38">
        <v>1.6</v>
      </c>
      <c r="T38">
        <v>2796.17</v>
      </c>
      <c r="U38">
        <v>64.209999999999994</v>
      </c>
    </row>
    <row r="39" spans="1:21" x14ac:dyDescent="0.35">
      <c r="A39" s="4" t="s">
        <v>163</v>
      </c>
      <c r="B39">
        <v>88.35</v>
      </c>
      <c r="C39">
        <v>34.76</v>
      </c>
      <c r="D39">
        <v>3045.76</v>
      </c>
      <c r="E39">
        <v>11.55</v>
      </c>
      <c r="F39">
        <v>86.1</v>
      </c>
      <c r="G39">
        <v>23.87</v>
      </c>
      <c r="H39">
        <v>2082.71</v>
      </c>
      <c r="I39">
        <v>10.37</v>
      </c>
      <c r="J39">
        <v>84.6</v>
      </c>
      <c r="K39">
        <v>31.63</v>
      </c>
      <c r="L39">
        <v>2663.05</v>
      </c>
      <c r="M39">
        <v>11.14</v>
      </c>
      <c r="N39">
        <v>83.7</v>
      </c>
      <c r="O39">
        <v>47.59</v>
      </c>
      <c r="P39">
        <v>4130.4799999999996</v>
      </c>
      <c r="Q39">
        <v>11.79</v>
      </c>
      <c r="R39">
        <v>88.2</v>
      </c>
      <c r="S39">
        <v>32.159999999999997</v>
      </c>
      <c r="T39">
        <v>2782.09</v>
      </c>
      <c r="U39">
        <v>14.59</v>
      </c>
    </row>
    <row r="40" spans="1:21" x14ac:dyDescent="0.35">
      <c r="A40" s="4" t="s">
        <v>127</v>
      </c>
      <c r="B40">
        <v>285.5</v>
      </c>
      <c r="C40">
        <v>5.01</v>
      </c>
      <c r="D40">
        <v>1435.07</v>
      </c>
      <c r="E40">
        <v>17.37</v>
      </c>
      <c r="F40">
        <v>279.39999999999998</v>
      </c>
      <c r="G40">
        <v>4.2</v>
      </c>
      <c r="H40">
        <v>1178.29</v>
      </c>
      <c r="I40">
        <v>26.34</v>
      </c>
      <c r="J40">
        <v>276.95</v>
      </c>
      <c r="K40">
        <v>5.05</v>
      </c>
      <c r="L40">
        <v>1397.77</v>
      </c>
      <c r="M40">
        <v>21.5</v>
      </c>
      <c r="N40">
        <v>275.95</v>
      </c>
      <c r="O40">
        <v>5.36</v>
      </c>
      <c r="P40">
        <v>1510.91</v>
      </c>
      <c r="Q40">
        <v>20.5</v>
      </c>
      <c r="R40">
        <v>288</v>
      </c>
      <c r="S40">
        <v>9.8000000000000007</v>
      </c>
      <c r="T40">
        <v>2764.17</v>
      </c>
      <c r="U40">
        <v>19.97</v>
      </c>
    </row>
    <row r="41" spans="1:21" x14ac:dyDescent="0.35">
      <c r="A41" s="4" t="s">
        <v>28</v>
      </c>
      <c r="B41">
        <v>157.65</v>
      </c>
      <c r="C41">
        <v>12.54</v>
      </c>
      <c r="D41">
        <v>1959.55</v>
      </c>
      <c r="E41">
        <v>34.6</v>
      </c>
      <c r="F41">
        <v>153.5</v>
      </c>
      <c r="G41">
        <v>8.65</v>
      </c>
      <c r="H41">
        <v>1335.08</v>
      </c>
      <c r="I41">
        <v>39.6</v>
      </c>
      <c r="J41">
        <v>155.44999999999999</v>
      </c>
      <c r="K41">
        <v>8.6999999999999993</v>
      </c>
      <c r="L41">
        <v>1348.08</v>
      </c>
      <c r="M41">
        <v>31.04</v>
      </c>
      <c r="N41">
        <v>154.19999999999999</v>
      </c>
      <c r="O41">
        <v>14.44</v>
      </c>
      <c r="P41">
        <v>2268.39</v>
      </c>
      <c r="Q41">
        <v>33.31</v>
      </c>
      <c r="R41">
        <v>156.80000000000001</v>
      </c>
      <c r="S41">
        <v>16.98</v>
      </c>
      <c r="T41">
        <v>2661.78</v>
      </c>
      <c r="U41">
        <v>34.869999999999997</v>
      </c>
    </row>
    <row r="42" spans="1:21" x14ac:dyDescent="0.35">
      <c r="A42" s="4" t="s">
        <v>45</v>
      </c>
      <c r="B42">
        <v>779.35</v>
      </c>
      <c r="C42">
        <v>3.75</v>
      </c>
      <c r="D42">
        <v>2897.3</v>
      </c>
      <c r="E42">
        <v>48.02</v>
      </c>
      <c r="F42">
        <v>773.05</v>
      </c>
      <c r="G42">
        <v>1.67</v>
      </c>
      <c r="H42">
        <v>1293.8599999999999</v>
      </c>
      <c r="I42">
        <v>35.79</v>
      </c>
      <c r="J42">
        <v>749.95</v>
      </c>
      <c r="K42">
        <v>5.89</v>
      </c>
      <c r="L42">
        <v>4429.74</v>
      </c>
      <c r="M42">
        <v>28.18</v>
      </c>
      <c r="N42">
        <v>743.3</v>
      </c>
      <c r="O42">
        <v>3.76</v>
      </c>
      <c r="P42">
        <v>2819.14</v>
      </c>
      <c r="Q42">
        <v>51.25</v>
      </c>
      <c r="R42">
        <v>735.85</v>
      </c>
      <c r="S42">
        <v>3.59</v>
      </c>
      <c r="T42">
        <v>2645.89</v>
      </c>
      <c r="U42">
        <v>61.29</v>
      </c>
    </row>
    <row r="43" spans="1:21" x14ac:dyDescent="0.35">
      <c r="A43" s="4" t="s">
        <v>142</v>
      </c>
      <c r="B43">
        <v>980.05</v>
      </c>
      <c r="C43">
        <v>0.3</v>
      </c>
      <c r="D43">
        <v>290.68</v>
      </c>
      <c r="E43">
        <v>43.74</v>
      </c>
      <c r="F43">
        <v>980.1</v>
      </c>
      <c r="G43">
        <v>0.23</v>
      </c>
      <c r="H43">
        <v>224.69</v>
      </c>
      <c r="I43">
        <v>50.83</v>
      </c>
      <c r="J43">
        <v>981.9</v>
      </c>
      <c r="K43">
        <v>0.38</v>
      </c>
      <c r="L43">
        <v>375.53</v>
      </c>
      <c r="M43">
        <v>36.29</v>
      </c>
      <c r="N43">
        <v>979.85</v>
      </c>
      <c r="O43">
        <v>0.59</v>
      </c>
      <c r="P43">
        <v>580.4</v>
      </c>
      <c r="Q43">
        <v>74.87</v>
      </c>
      <c r="R43">
        <v>980.05</v>
      </c>
      <c r="S43">
        <v>2.7</v>
      </c>
      <c r="T43">
        <v>2641.81</v>
      </c>
      <c r="U43">
        <v>94.12</v>
      </c>
    </row>
    <row r="44" spans="1:21" x14ac:dyDescent="0.35">
      <c r="A44" s="4" t="s">
        <v>128</v>
      </c>
      <c r="B44">
        <v>1309.1500000000001</v>
      </c>
      <c r="C44">
        <v>1.56</v>
      </c>
      <c r="D44">
        <v>2020.8</v>
      </c>
      <c r="E44">
        <v>33.28</v>
      </c>
      <c r="F44">
        <v>1301.2</v>
      </c>
      <c r="G44">
        <v>1.49</v>
      </c>
      <c r="H44">
        <v>1969.39</v>
      </c>
      <c r="I44">
        <v>19.559999999999999</v>
      </c>
      <c r="J44">
        <v>1284.4000000000001</v>
      </c>
      <c r="K44">
        <v>1.18</v>
      </c>
      <c r="L44">
        <v>1521.14</v>
      </c>
      <c r="M44">
        <v>34.130000000000003</v>
      </c>
      <c r="N44">
        <v>1294.25</v>
      </c>
      <c r="O44">
        <v>1.07</v>
      </c>
      <c r="P44">
        <v>1386.11</v>
      </c>
      <c r="Q44">
        <v>27.22</v>
      </c>
      <c r="R44">
        <v>1316.95</v>
      </c>
      <c r="S44">
        <v>1.95</v>
      </c>
      <c r="T44">
        <v>2511.5</v>
      </c>
      <c r="U44">
        <v>24.9</v>
      </c>
    </row>
    <row r="45" spans="1:21" x14ac:dyDescent="0.35">
      <c r="A45" s="4" t="s">
        <v>169</v>
      </c>
      <c r="B45">
        <v>124.15</v>
      </c>
      <c r="C45">
        <v>20.190000000000001</v>
      </c>
      <c r="D45">
        <v>2458.91</v>
      </c>
      <c r="E45">
        <v>16.010000000000002</v>
      </c>
      <c r="F45">
        <v>121.55</v>
      </c>
      <c r="G45">
        <v>13.06</v>
      </c>
      <c r="H45">
        <v>1606.9</v>
      </c>
      <c r="I45">
        <v>14.08</v>
      </c>
      <c r="J45">
        <v>128.30000000000001</v>
      </c>
      <c r="K45">
        <v>16.23</v>
      </c>
      <c r="L45">
        <v>2027.2</v>
      </c>
      <c r="M45">
        <v>12.02</v>
      </c>
      <c r="N45">
        <v>131.94999999999999</v>
      </c>
      <c r="O45">
        <v>20.37</v>
      </c>
      <c r="P45">
        <v>2738.21</v>
      </c>
      <c r="Q45">
        <v>17.559999999999999</v>
      </c>
      <c r="R45">
        <v>136.55000000000001</v>
      </c>
      <c r="S45">
        <v>17.739999999999998</v>
      </c>
      <c r="T45">
        <v>2409.9</v>
      </c>
      <c r="U45">
        <v>10.48</v>
      </c>
    </row>
    <row r="46" spans="1:21" x14ac:dyDescent="0.35">
      <c r="A46" s="4" t="s">
        <v>70</v>
      </c>
      <c r="B46">
        <v>915.9</v>
      </c>
      <c r="C46">
        <v>2.33</v>
      </c>
      <c r="D46">
        <v>2105.42</v>
      </c>
      <c r="E46">
        <v>11.35</v>
      </c>
      <c r="F46">
        <v>897.4</v>
      </c>
      <c r="G46">
        <v>1.34</v>
      </c>
      <c r="H46">
        <v>1220.8599999999999</v>
      </c>
      <c r="I46">
        <v>6.13</v>
      </c>
      <c r="J46">
        <v>922.35</v>
      </c>
      <c r="K46">
        <v>1.84</v>
      </c>
      <c r="L46">
        <v>1685.5</v>
      </c>
      <c r="M46">
        <v>5.8</v>
      </c>
      <c r="N46">
        <v>936.95</v>
      </c>
      <c r="O46">
        <v>2.58</v>
      </c>
      <c r="P46">
        <v>2471.71</v>
      </c>
      <c r="Q46">
        <v>6.64</v>
      </c>
      <c r="R46">
        <v>975.65</v>
      </c>
      <c r="S46">
        <v>2.41</v>
      </c>
      <c r="T46">
        <v>2331.3000000000002</v>
      </c>
      <c r="U46">
        <v>7.85</v>
      </c>
    </row>
    <row r="47" spans="1:21" x14ac:dyDescent="0.35">
      <c r="A47" s="4" t="s">
        <v>101</v>
      </c>
      <c r="B47">
        <v>103.6</v>
      </c>
      <c r="C47">
        <v>27.74</v>
      </c>
      <c r="D47">
        <v>2881.4</v>
      </c>
      <c r="E47">
        <v>36.97</v>
      </c>
      <c r="F47">
        <v>101.3</v>
      </c>
      <c r="G47">
        <v>10.27</v>
      </c>
      <c r="H47">
        <v>1050.27</v>
      </c>
      <c r="I47">
        <v>25.46</v>
      </c>
      <c r="J47">
        <v>101.4</v>
      </c>
      <c r="K47">
        <v>14.23</v>
      </c>
      <c r="L47">
        <v>1446.27</v>
      </c>
      <c r="M47">
        <v>46.68</v>
      </c>
      <c r="N47">
        <v>102.35</v>
      </c>
      <c r="O47">
        <v>30.33</v>
      </c>
      <c r="P47">
        <v>3167.35</v>
      </c>
      <c r="Q47">
        <v>32.21</v>
      </c>
      <c r="R47">
        <v>105.7</v>
      </c>
      <c r="S47">
        <v>22.33</v>
      </c>
      <c r="T47">
        <v>2330.9499999999998</v>
      </c>
      <c r="U47">
        <v>41.61</v>
      </c>
    </row>
    <row r="48" spans="1:21" x14ac:dyDescent="0.35">
      <c r="A48" s="4" t="s">
        <v>91</v>
      </c>
      <c r="B48">
        <v>382.4</v>
      </c>
      <c r="C48">
        <v>4.1399999999999997</v>
      </c>
      <c r="D48">
        <v>1573.08</v>
      </c>
      <c r="E48">
        <v>60.26</v>
      </c>
      <c r="F48">
        <v>382.95</v>
      </c>
      <c r="G48">
        <v>2.95</v>
      </c>
      <c r="H48">
        <v>1134.8599999999999</v>
      </c>
      <c r="I48">
        <v>35.74</v>
      </c>
      <c r="J48">
        <v>385.65</v>
      </c>
      <c r="K48">
        <v>1.81</v>
      </c>
      <c r="L48">
        <v>696.41</v>
      </c>
      <c r="M48">
        <v>58.39</v>
      </c>
      <c r="N48">
        <v>385.45</v>
      </c>
      <c r="O48">
        <v>2.48</v>
      </c>
      <c r="P48">
        <v>963.31</v>
      </c>
      <c r="Q48">
        <v>48.04</v>
      </c>
      <c r="R48">
        <v>399.05</v>
      </c>
      <c r="S48">
        <v>5.82</v>
      </c>
      <c r="T48">
        <v>2317.38</v>
      </c>
      <c r="U48">
        <v>58.55</v>
      </c>
    </row>
    <row r="49" spans="1:21" x14ac:dyDescent="0.35">
      <c r="A49" s="4" t="s">
        <v>78</v>
      </c>
      <c r="B49">
        <v>265.75</v>
      </c>
      <c r="C49">
        <v>7.2</v>
      </c>
      <c r="D49">
        <v>1895.05</v>
      </c>
      <c r="E49">
        <v>15.67</v>
      </c>
      <c r="F49">
        <v>260</v>
      </c>
      <c r="G49">
        <v>5.88</v>
      </c>
      <c r="H49">
        <v>1547.13</v>
      </c>
      <c r="I49">
        <v>9.34</v>
      </c>
      <c r="J49">
        <v>257.35000000000002</v>
      </c>
      <c r="K49">
        <v>5.95</v>
      </c>
      <c r="L49">
        <v>1543.46</v>
      </c>
      <c r="M49">
        <v>19.03</v>
      </c>
      <c r="N49">
        <v>259.10000000000002</v>
      </c>
      <c r="O49">
        <v>10.4</v>
      </c>
      <c r="P49">
        <v>2796.11</v>
      </c>
      <c r="Q49">
        <v>11.37</v>
      </c>
      <c r="R49">
        <v>276.05</v>
      </c>
      <c r="S49">
        <v>8.56</v>
      </c>
      <c r="T49">
        <v>2313.6999999999998</v>
      </c>
      <c r="U49">
        <v>10.35</v>
      </c>
    </row>
    <row r="50" spans="1:21" x14ac:dyDescent="0.35">
      <c r="A50" s="4" t="s">
        <v>17</v>
      </c>
      <c r="B50">
        <v>1073.55</v>
      </c>
      <c r="C50">
        <v>1.19</v>
      </c>
      <c r="D50">
        <v>1270.8599999999999</v>
      </c>
      <c r="E50">
        <v>44.43</v>
      </c>
      <c r="F50">
        <v>1056.0999999999999</v>
      </c>
      <c r="G50">
        <v>0.81</v>
      </c>
      <c r="H50">
        <v>857.16</v>
      </c>
      <c r="I50">
        <v>60.84</v>
      </c>
      <c r="J50">
        <v>1061</v>
      </c>
      <c r="K50">
        <v>1.71</v>
      </c>
      <c r="L50">
        <v>1818.44</v>
      </c>
      <c r="M50">
        <v>60.48</v>
      </c>
      <c r="N50">
        <v>1066.4000000000001</v>
      </c>
      <c r="O50">
        <v>1.94</v>
      </c>
      <c r="P50">
        <v>2065.88</v>
      </c>
      <c r="Q50">
        <v>63.54</v>
      </c>
      <c r="R50">
        <v>1065.95</v>
      </c>
      <c r="S50">
        <v>2.17</v>
      </c>
      <c r="T50">
        <v>2301.4899999999998</v>
      </c>
      <c r="U50">
        <v>72.42</v>
      </c>
    </row>
    <row r="51" spans="1:21" x14ac:dyDescent="0.35">
      <c r="A51" s="4" t="s">
        <v>15</v>
      </c>
      <c r="B51">
        <v>21297.200000000001</v>
      </c>
      <c r="C51">
        <v>0.11</v>
      </c>
      <c r="D51">
        <v>2382.86</v>
      </c>
      <c r="E51">
        <v>21.77</v>
      </c>
      <c r="F51">
        <v>20901.75</v>
      </c>
      <c r="G51">
        <v>0.06</v>
      </c>
      <c r="H51">
        <v>1264.28</v>
      </c>
      <c r="I51">
        <v>15.12</v>
      </c>
      <c r="J51">
        <v>21224.65</v>
      </c>
      <c r="K51">
        <v>7.0000000000000007E-2</v>
      </c>
      <c r="L51">
        <v>1569.55</v>
      </c>
      <c r="M51">
        <v>19.04</v>
      </c>
      <c r="N51">
        <v>20321.150000000001</v>
      </c>
      <c r="O51">
        <v>0.15</v>
      </c>
      <c r="P51">
        <v>3073.08</v>
      </c>
      <c r="Q51">
        <v>33.78</v>
      </c>
      <c r="R51">
        <v>20850.650000000001</v>
      </c>
      <c r="S51">
        <v>0.11</v>
      </c>
      <c r="T51">
        <v>2276.9899999999998</v>
      </c>
      <c r="U51">
        <v>21.99</v>
      </c>
    </row>
    <row r="52" spans="1:21" x14ac:dyDescent="0.35">
      <c r="A52" s="4" t="s">
        <v>178</v>
      </c>
      <c r="B52">
        <v>1097.45</v>
      </c>
      <c r="C52">
        <v>1.07</v>
      </c>
      <c r="D52">
        <v>1181.57</v>
      </c>
      <c r="E52">
        <v>31</v>
      </c>
      <c r="F52">
        <v>1086.05</v>
      </c>
      <c r="G52">
        <v>1.22</v>
      </c>
      <c r="H52">
        <v>1360.2</v>
      </c>
      <c r="I52">
        <v>24.04</v>
      </c>
      <c r="J52">
        <v>1064.8</v>
      </c>
      <c r="K52">
        <v>1.25</v>
      </c>
      <c r="L52">
        <v>1318.35</v>
      </c>
      <c r="M52">
        <v>32.89</v>
      </c>
      <c r="N52">
        <v>1063.9000000000001</v>
      </c>
      <c r="O52">
        <v>1.91</v>
      </c>
      <c r="P52">
        <v>2071.81</v>
      </c>
      <c r="Q52">
        <v>38.369999999999997</v>
      </c>
      <c r="R52">
        <v>1107.5999999999999</v>
      </c>
      <c r="S52">
        <v>2.02</v>
      </c>
      <c r="T52">
        <v>2165.56</v>
      </c>
      <c r="U52">
        <v>36.020000000000003</v>
      </c>
    </row>
    <row r="53" spans="1:21" x14ac:dyDescent="0.35">
      <c r="A53" s="4" t="s">
        <v>99</v>
      </c>
      <c r="B53">
        <v>588.65</v>
      </c>
      <c r="C53">
        <v>2.19</v>
      </c>
      <c r="D53">
        <v>1281.49</v>
      </c>
      <c r="E53">
        <v>17.61</v>
      </c>
      <c r="F53">
        <v>595.75</v>
      </c>
      <c r="G53">
        <v>3.11</v>
      </c>
      <c r="H53">
        <v>1863.88</v>
      </c>
      <c r="I53">
        <v>17.72</v>
      </c>
      <c r="J53">
        <v>594.35</v>
      </c>
      <c r="K53">
        <v>1.36</v>
      </c>
      <c r="L53">
        <v>810.33</v>
      </c>
      <c r="M53">
        <v>16.399999999999999</v>
      </c>
      <c r="N53">
        <v>602.95000000000005</v>
      </c>
      <c r="O53">
        <v>3.02</v>
      </c>
      <c r="P53">
        <v>1841.81</v>
      </c>
      <c r="Q53">
        <v>17.72</v>
      </c>
      <c r="R53">
        <v>634.9</v>
      </c>
      <c r="S53">
        <v>3.42</v>
      </c>
      <c r="T53">
        <v>2144.08</v>
      </c>
      <c r="U53">
        <v>24.57</v>
      </c>
    </row>
    <row r="54" spans="1:21" x14ac:dyDescent="0.35">
      <c r="A54" s="4" t="s">
        <v>93</v>
      </c>
      <c r="B54">
        <v>124.85</v>
      </c>
      <c r="C54">
        <v>27.6</v>
      </c>
      <c r="D54">
        <v>3404.12</v>
      </c>
      <c r="E54">
        <v>17.54</v>
      </c>
      <c r="F54">
        <v>130</v>
      </c>
      <c r="G54">
        <v>24.78</v>
      </c>
      <c r="H54">
        <v>3164.4</v>
      </c>
      <c r="I54">
        <v>9.89</v>
      </c>
      <c r="J54">
        <v>117.55</v>
      </c>
      <c r="K54">
        <v>59.92</v>
      </c>
      <c r="L54">
        <v>6889.96</v>
      </c>
      <c r="M54">
        <v>7.48</v>
      </c>
      <c r="N54">
        <v>115.75</v>
      </c>
      <c r="O54">
        <v>19.62</v>
      </c>
      <c r="P54">
        <v>2356.9299999999998</v>
      </c>
      <c r="Q54">
        <v>16.29</v>
      </c>
      <c r="R54">
        <v>120.6</v>
      </c>
      <c r="S54">
        <v>17.8</v>
      </c>
      <c r="T54">
        <v>2121.86</v>
      </c>
      <c r="U54">
        <v>15.82</v>
      </c>
    </row>
    <row r="55" spans="1:21" x14ac:dyDescent="0.35">
      <c r="A55" s="4" t="s">
        <v>20</v>
      </c>
      <c r="B55">
        <v>2713.45</v>
      </c>
      <c r="C55">
        <v>0.72</v>
      </c>
      <c r="D55">
        <v>1948.76</v>
      </c>
      <c r="E55">
        <v>34.9</v>
      </c>
      <c r="F55">
        <v>2657.2</v>
      </c>
      <c r="G55">
        <v>0.45</v>
      </c>
      <c r="H55">
        <v>1195.76</v>
      </c>
      <c r="I55">
        <v>45.25</v>
      </c>
      <c r="J55">
        <v>2699.65</v>
      </c>
      <c r="K55">
        <v>0.46</v>
      </c>
      <c r="L55">
        <v>1246.19</v>
      </c>
      <c r="M55">
        <v>31.39</v>
      </c>
      <c r="N55">
        <v>2743.5</v>
      </c>
      <c r="O55">
        <v>1.18</v>
      </c>
      <c r="P55">
        <v>3248.39</v>
      </c>
      <c r="Q55">
        <v>42.34</v>
      </c>
      <c r="R55">
        <v>2828.45</v>
      </c>
      <c r="S55">
        <v>0.76</v>
      </c>
      <c r="T55">
        <v>2119.7800000000002</v>
      </c>
      <c r="U55">
        <v>38.78</v>
      </c>
    </row>
    <row r="56" spans="1:21" x14ac:dyDescent="0.35">
      <c r="A56" s="4" t="s">
        <v>118</v>
      </c>
      <c r="B56">
        <v>102.7</v>
      </c>
      <c r="C56">
        <v>8.19</v>
      </c>
      <c r="D56">
        <v>833.82</v>
      </c>
      <c r="E56">
        <v>22.79</v>
      </c>
      <c r="F56">
        <v>99.8</v>
      </c>
      <c r="G56">
        <v>4.6500000000000004</v>
      </c>
      <c r="H56">
        <v>469.44</v>
      </c>
      <c r="I56">
        <v>14.41</v>
      </c>
      <c r="J56">
        <v>100.75</v>
      </c>
      <c r="K56">
        <v>4.3</v>
      </c>
      <c r="L56">
        <v>430.54</v>
      </c>
      <c r="M56">
        <v>14.3</v>
      </c>
      <c r="N56">
        <v>102.1</v>
      </c>
      <c r="O56">
        <v>11.57</v>
      </c>
      <c r="P56">
        <v>1221.53</v>
      </c>
      <c r="Q56">
        <v>11.88</v>
      </c>
      <c r="R56">
        <v>114.4</v>
      </c>
      <c r="S56">
        <v>19.02</v>
      </c>
      <c r="T56">
        <v>2101.7399999999998</v>
      </c>
      <c r="U56">
        <v>15.42</v>
      </c>
    </row>
    <row r="57" spans="1:21" x14ac:dyDescent="0.35">
      <c r="A57" s="4" t="s">
        <v>33</v>
      </c>
      <c r="B57">
        <v>653.25</v>
      </c>
      <c r="C57">
        <v>4.9400000000000004</v>
      </c>
      <c r="D57">
        <v>3214.89</v>
      </c>
      <c r="E57">
        <v>61.88</v>
      </c>
      <c r="F57">
        <v>639.15</v>
      </c>
      <c r="G57">
        <v>2.15</v>
      </c>
      <c r="H57">
        <v>1390.13</v>
      </c>
      <c r="I57">
        <v>45.63</v>
      </c>
      <c r="J57">
        <v>640.54999999999995</v>
      </c>
      <c r="K57">
        <v>1.46</v>
      </c>
      <c r="L57">
        <v>930.2</v>
      </c>
      <c r="M57">
        <v>36.43</v>
      </c>
      <c r="N57">
        <v>639.5</v>
      </c>
      <c r="O57">
        <v>3.16</v>
      </c>
      <c r="P57">
        <v>2039.16</v>
      </c>
      <c r="Q57">
        <v>51.25</v>
      </c>
      <c r="R57">
        <v>665.45</v>
      </c>
      <c r="S57">
        <v>3.17</v>
      </c>
      <c r="T57">
        <v>2082.81</v>
      </c>
      <c r="U57">
        <v>42.95</v>
      </c>
    </row>
    <row r="58" spans="1:21" x14ac:dyDescent="0.35">
      <c r="A58" s="4" t="s">
        <v>107</v>
      </c>
      <c r="B58">
        <v>890.3</v>
      </c>
      <c r="C58">
        <v>1.95</v>
      </c>
      <c r="D58">
        <v>1710.63</v>
      </c>
      <c r="E58">
        <v>49.39</v>
      </c>
      <c r="F58">
        <v>865.6</v>
      </c>
      <c r="G58">
        <v>1.27</v>
      </c>
      <c r="H58">
        <v>1105.71</v>
      </c>
      <c r="I58">
        <v>47.52</v>
      </c>
      <c r="J58">
        <v>857.35</v>
      </c>
      <c r="K58">
        <v>1.36</v>
      </c>
      <c r="L58">
        <v>1170.01</v>
      </c>
      <c r="M58">
        <v>49.8</v>
      </c>
      <c r="N58">
        <v>886.55</v>
      </c>
      <c r="O58">
        <v>3.42</v>
      </c>
      <c r="P58">
        <v>3029.69</v>
      </c>
      <c r="Q58">
        <v>45.66</v>
      </c>
      <c r="R58">
        <v>910.05</v>
      </c>
      <c r="S58">
        <v>2.19</v>
      </c>
      <c r="T58">
        <v>1969.99</v>
      </c>
      <c r="U58">
        <v>37.299999999999997</v>
      </c>
    </row>
    <row r="59" spans="1:21" x14ac:dyDescent="0.35">
      <c r="A59" s="4" t="s">
        <v>112</v>
      </c>
      <c r="B59">
        <v>357.3</v>
      </c>
      <c r="C59">
        <v>1.39</v>
      </c>
      <c r="D59">
        <v>490.54</v>
      </c>
      <c r="E59">
        <v>38.64</v>
      </c>
      <c r="F59">
        <v>346.8</v>
      </c>
      <c r="G59">
        <v>1.32</v>
      </c>
      <c r="H59">
        <v>466.55</v>
      </c>
      <c r="I59">
        <v>67.87</v>
      </c>
      <c r="J59">
        <v>347</v>
      </c>
      <c r="K59">
        <v>1.98</v>
      </c>
      <c r="L59">
        <v>689.34</v>
      </c>
      <c r="M59">
        <v>71.069999999999993</v>
      </c>
      <c r="N59">
        <v>356.4</v>
      </c>
      <c r="O59">
        <v>3.28</v>
      </c>
      <c r="P59">
        <v>1176.3900000000001</v>
      </c>
      <c r="Q59">
        <v>74.58</v>
      </c>
      <c r="R59">
        <v>369.8</v>
      </c>
      <c r="S59">
        <v>5.31</v>
      </c>
      <c r="T59">
        <v>1937.07</v>
      </c>
      <c r="U59">
        <v>74.59</v>
      </c>
    </row>
    <row r="60" spans="1:21" x14ac:dyDescent="0.35">
      <c r="A60" s="4" t="s">
        <v>124</v>
      </c>
      <c r="B60">
        <v>165.15</v>
      </c>
      <c r="C60">
        <v>7.22</v>
      </c>
      <c r="D60">
        <v>1190.8699999999999</v>
      </c>
      <c r="E60">
        <v>10.86</v>
      </c>
      <c r="F60">
        <v>163.35</v>
      </c>
      <c r="G60">
        <v>8.08</v>
      </c>
      <c r="H60">
        <v>1330.5</v>
      </c>
      <c r="I60">
        <v>26.56</v>
      </c>
      <c r="J60">
        <v>152.4</v>
      </c>
      <c r="K60">
        <v>33.590000000000003</v>
      </c>
      <c r="L60">
        <v>5014.0200000000004</v>
      </c>
      <c r="M60">
        <v>14.44</v>
      </c>
      <c r="N60">
        <v>152.05000000000001</v>
      </c>
      <c r="O60">
        <v>10.06</v>
      </c>
      <c r="P60">
        <v>1548.76</v>
      </c>
      <c r="Q60">
        <v>17.170000000000002</v>
      </c>
      <c r="R60">
        <v>160.94999999999999</v>
      </c>
      <c r="S60">
        <v>12.23</v>
      </c>
      <c r="T60">
        <v>1922.07</v>
      </c>
      <c r="U60">
        <v>12.33</v>
      </c>
    </row>
    <row r="61" spans="1:21" x14ac:dyDescent="0.35">
      <c r="A61" s="4" t="s">
        <v>123</v>
      </c>
      <c r="B61">
        <v>131.4</v>
      </c>
      <c r="C61">
        <v>11.63</v>
      </c>
      <c r="D61">
        <v>1534.66</v>
      </c>
      <c r="E61">
        <v>7.9</v>
      </c>
      <c r="F61">
        <v>150.85</v>
      </c>
      <c r="G61">
        <v>24.96</v>
      </c>
      <c r="H61">
        <v>3586.44</v>
      </c>
      <c r="I61">
        <v>6.86</v>
      </c>
      <c r="J61">
        <v>157.5</v>
      </c>
      <c r="K61">
        <v>36.86</v>
      </c>
      <c r="L61">
        <v>5845.38</v>
      </c>
      <c r="M61">
        <v>4.75</v>
      </c>
      <c r="N61">
        <v>155.44999999999999</v>
      </c>
      <c r="O61">
        <v>10.65</v>
      </c>
      <c r="P61">
        <v>1689.4</v>
      </c>
      <c r="Q61">
        <v>9.34</v>
      </c>
      <c r="R61">
        <v>148.15</v>
      </c>
      <c r="S61">
        <v>12.96</v>
      </c>
      <c r="T61">
        <v>1918.84</v>
      </c>
      <c r="U61">
        <v>5.16</v>
      </c>
    </row>
    <row r="62" spans="1:21" x14ac:dyDescent="0.35">
      <c r="A62" s="4" t="s">
        <v>65</v>
      </c>
      <c r="B62">
        <v>8235</v>
      </c>
      <c r="C62">
        <v>0.34</v>
      </c>
      <c r="D62">
        <v>2816.1</v>
      </c>
      <c r="E62">
        <v>16.47</v>
      </c>
      <c r="F62">
        <v>8185.4</v>
      </c>
      <c r="G62">
        <v>0.38</v>
      </c>
      <c r="H62">
        <v>3112.29</v>
      </c>
      <c r="I62">
        <v>19.760000000000002</v>
      </c>
      <c r="J62">
        <v>8221.5499999999993</v>
      </c>
      <c r="K62">
        <v>0.22</v>
      </c>
      <c r="L62">
        <v>1763.38</v>
      </c>
      <c r="M62">
        <v>27.25</v>
      </c>
      <c r="N62">
        <v>8013.3</v>
      </c>
      <c r="O62">
        <v>0.31</v>
      </c>
      <c r="P62">
        <v>2541.38</v>
      </c>
      <c r="Q62">
        <v>33.700000000000003</v>
      </c>
      <c r="R62">
        <v>8151.7</v>
      </c>
      <c r="S62">
        <v>0.22</v>
      </c>
      <c r="T62">
        <v>1818.91</v>
      </c>
      <c r="U62">
        <v>27.34</v>
      </c>
    </row>
    <row r="63" spans="1:21" x14ac:dyDescent="0.35">
      <c r="A63" s="4" t="s">
        <v>133</v>
      </c>
      <c r="B63">
        <v>126.05</v>
      </c>
      <c r="C63">
        <v>12.43</v>
      </c>
      <c r="D63">
        <v>1550.67</v>
      </c>
      <c r="E63">
        <v>35.880000000000003</v>
      </c>
      <c r="F63">
        <v>124.85</v>
      </c>
      <c r="G63">
        <v>7.69</v>
      </c>
      <c r="H63">
        <v>974.35</v>
      </c>
      <c r="I63">
        <v>19.2</v>
      </c>
      <c r="J63">
        <v>123.05</v>
      </c>
      <c r="K63">
        <v>6.38</v>
      </c>
      <c r="L63">
        <v>782.06</v>
      </c>
      <c r="M63">
        <v>19</v>
      </c>
      <c r="N63">
        <v>123.5</v>
      </c>
      <c r="O63">
        <v>9.24</v>
      </c>
      <c r="P63">
        <v>1163.58</v>
      </c>
      <c r="Q63">
        <v>21.35</v>
      </c>
      <c r="R63">
        <v>128.1</v>
      </c>
      <c r="S63">
        <v>14.27</v>
      </c>
      <c r="T63">
        <v>1818.07</v>
      </c>
      <c r="U63">
        <v>44.51</v>
      </c>
    </row>
    <row r="64" spans="1:21" x14ac:dyDescent="0.35">
      <c r="A64" s="4" t="s">
        <v>135</v>
      </c>
      <c r="B64">
        <v>408.85</v>
      </c>
      <c r="C64">
        <v>2.73</v>
      </c>
      <c r="D64">
        <v>1110.05</v>
      </c>
      <c r="E64">
        <v>51.55</v>
      </c>
      <c r="F64">
        <v>402.95</v>
      </c>
      <c r="G64">
        <v>1.57</v>
      </c>
      <c r="H64">
        <v>638.26</v>
      </c>
      <c r="I64">
        <v>46.23</v>
      </c>
      <c r="J64">
        <v>400.95</v>
      </c>
      <c r="K64">
        <v>2.7</v>
      </c>
      <c r="L64">
        <v>1067.78</v>
      </c>
      <c r="M64">
        <v>50.07</v>
      </c>
      <c r="N64">
        <v>401.45</v>
      </c>
      <c r="O64">
        <v>4.01</v>
      </c>
      <c r="P64">
        <v>1639.2</v>
      </c>
      <c r="Q64">
        <v>50.55</v>
      </c>
      <c r="R64">
        <v>408</v>
      </c>
      <c r="S64">
        <v>4.24</v>
      </c>
      <c r="T64">
        <v>1735.55</v>
      </c>
      <c r="U64">
        <v>66.94</v>
      </c>
    </row>
    <row r="65" spans="1:21" x14ac:dyDescent="0.35">
      <c r="A65" s="4" t="s">
        <v>48</v>
      </c>
      <c r="B65">
        <v>167.1</v>
      </c>
      <c r="C65">
        <v>7.54</v>
      </c>
      <c r="D65">
        <v>1255.68</v>
      </c>
      <c r="E65">
        <v>46.11</v>
      </c>
      <c r="F65">
        <v>165.45</v>
      </c>
      <c r="G65">
        <v>7.39</v>
      </c>
      <c r="H65">
        <v>1224.43</v>
      </c>
      <c r="I65">
        <v>49.53</v>
      </c>
      <c r="J65">
        <v>166.3</v>
      </c>
      <c r="K65">
        <v>6.6</v>
      </c>
      <c r="L65">
        <v>1098.01</v>
      </c>
      <c r="M65">
        <v>48.29</v>
      </c>
      <c r="N65">
        <v>157.35</v>
      </c>
      <c r="O65">
        <v>14.25</v>
      </c>
      <c r="P65">
        <v>2314.31</v>
      </c>
      <c r="Q65">
        <v>40.369999999999997</v>
      </c>
      <c r="R65">
        <v>163.9</v>
      </c>
      <c r="S65">
        <v>10.46</v>
      </c>
      <c r="T65">
        <v>1671.2</v>
      </c>
      <c r="U65">
        <v>21.97</v>
      </c>
    </row>
    <row r="66" spans="1:21" x14ac:dyDescent="0.35">
      <c r="A66" s="4" t="s">
        <v>75</v>
      </c>
      <c r="B66">
        <v>523.04999999999995</v>
      </c>
      <c r="C66">
        <v>2.82</v>
      </c>
      <c r="D66">
        <v>1468.2</v>
      </c>
      <c r="E66">
        <v>49.31</v>
      </c>
      <c r="F66">
        <v>518.85</v>
      </c>
      <c r="G66">
        <v>1.54</v>
      </c>
      <c r="H66">
        <v>806.17</v>
      </c>
      <c r="I66">
        <v>30.47</v>
      </c>
      <c r="J66">
        <v>518.35</v>
      </c>
      <c r="K66">
        <v>1.1000000000000001</v>
      </c>
      <c r="L66">
        <v>569.79</v>
      </c>
      <c r="M66">
        <v>37.6</v>
      </c>
      <c r="N66">
        <v>510.6</v>
      </c>
      <c r="O66">
        <v>1.84</v>
      </c>
      <c r="P66">
        <v>952.94</v>
      </c>
      <c r="Q66">
        <v>40.33</v>
      </c>
      <c r="R66">
        <v>534.6</v>
      </c>
      <c r="S66">
        <v>3.11</v>
      </c>
      <c r="T66">
        <v>1643.87</v>
      </c>
      <c r="U66">
        <v>20.61</v>
      </c>
    </row>
    <row r="67" spans="1:21" x14ac:dyDescent="0.35">
      <c r="A67" s="4" t="s">
        <v>7</v>
      </c>
      <c r="B67">
        <v>3006.3</v>
      </c>
      <c r="C67">
        <v>1.02</v>
      </c>
      <c r="D67">
        <v>3070.98</v>
      </c>
      <c r="E67">
        <v>41.52</v>
      </c>
      <c r="F67">
        <v>2979.3</v>
      </c>
      <c r="G67">
        <v>0.45</v>
      </c>
      <c r="H67">
        <v>1339.2</v>
      </c>
      <c r="I67">
        <v>35.81</v>
      </c>
      <c r="J67">
        <v>3047.2</v>
      </c>
      <c r="K67">
        <v>0.49</v>
      </c>
      <c r="L67">
        <v>1492.85</v>
      </c>
      <c r="M67">
        <v>40.74</v>
      </c>
      <c r="N67">
        <v>3065</v>
      </c>
      <c r="O67">
        <v>0.57999999999999996</v>
      </c>
      <c r="P67">
        <v>1764.91</v>
      </c>
      <c r="Q67">
        <v>36.6</v>
      </c>
      <c r="R67">
        <v>3077.9</v>
      </c>
      <c r="S67">
        <v>0.53</v>
      </c>
      <c r="T67">
        <v>1623.62</v>
      </c>
      <c r="U67">
        <v>31.38</v>
      </c>
    </row>
    <row r="68" spans="1:21" x14ac:dyDescent="0.35">
      <c r="A68" s="4" t="s">
        <v>67</v>
      </c>
      <c r="B68">
        <v>89.9</v>
      </c>
      <c r="C68">
        <v>15.42</v>
      </c>
      <c r="D68">
        <v>1356.43</v>
      </c>
      <c r="E68">
        <v>15.64</v>
      </c>
      <c r="F68">
        <v>88.1</v>
      </c>
      <c r="G68">
        <v>10.26</v>
      </c>
      <c r="H68">
        <v>913.24</v>
      </c>
      <c r="I68">
        <v>10.75</v>
      </c>
      <c r="J68">
        <v>89.65</v>
      </c>
      <c r="K68">
        <v>9.19</v>
      </c>
      <c r="L68">
        <v>816.76</v>
      </c>
      <c r="M68">
        <v>10.36</v>
      </c>
      <c r="N68">
        <v>89.2</v>
      </c>
      <c r="O68">
        <v>17.43</v>
      </c>
      <c r="P68">
        <v>1615.73</v>
      </c>
      <c r="Q68">
        <v>11.71</v>
      </c>
      <c r="R68">
        <v>96.7</v>
      </c>
      <c r="S68">
        <v>17.14</v>
      </c>
      <c r="T68">
        <v>1614.95</v>
      </c>
      <c r="U68">
        <v>15.65</v>
      </c>
    </row>
    <row r="69" spans="1:21" x14ac:dyDescent="0.35">
      <c r="A69" s="4" t="s">
        <v>36</v>
      </c>
      <c r="B69">
        <v>176</v>
      </c>
      <c r="C69">
        <v>7.1</v>
      </c>
      <c r="D69">
        <v>1238.49</v>
      </c>
      <c r="E69">
        <v>50.11</v>
      </c>
      <c r="F69">
        <v>174.75</v>
      </c>
      <c r="G69">
        <v>7.14</v>
      </c>
      <c r="H69">
        <v>1246.83</v>
      </c>
      <c r="I69">
        <v>58.88</v>
      </c>
      <c r="J69">
        <v>177</v>
      </c>
      <c r="K69">
        <v>10.35</v>
      </c>
      <c r="L69">
        <v>1830.2</v>
      </c>
      <c r="M69">
        <v>59.41</v>
      </c>
      <c r="N69">
        <v>174.15</v>
      </c>
      <c r="O69">
        <v>9.25</v>
      </c>
      <c r="P69">
        <v>1629.83</v>
      </c>
      <c r="Q69">
        <v>53.61</v>
      </c>
      <c r="R69">
        <v>174.4</v>
      </c>
      <c r="S69">
        <v>9.26</v>
      </c>
      <c r="T69">
        <v>1592.71</v>
      </c>
      <c r="U69">
        <v>46.11</v>
      </c>
    </row>
    <row r="70" spans="1:21" x14ac:dyDescent="0.35">
      <c r="A70" s="4" t="s">
        <v>143</v>
      </c>
      <c r="B70">
        <v>127.05</v>
      </c>
      <c r="C70">
        <v>10.31</v>
      </c>
      <c r="D70">
        <v>1273.5899999999999</v>
      </c>
      <c r="E70">
        <v>42.64</v>
      </c>
      <c r="F70">
        <v>120.5</v>
      </c>
      <c r="G70">
        <v>10.56</v>
      </c>
      <c r="H70">
        <v>1290.5999999999999</v>
      </c>
      <c r="I70">
        <v>42.08</v>
      </c>
      <c r="J70">
        <v>118.75</v>
      </c>
      <c r="K70">
        <v>7.19</v>
      </c>
      <c r="L70">
        <v>855.74</v>
      </c>
      <c r="M70">
        <v>40.65</v>
      </c>
      <c r="N70">
        <v>114.35</v>
      </c>
      <c r="O70">
        <v>15.1</v>
      </c>
      <c r="P70">
        <v>1768.28</v>
      </c>
      <c r="Q70">
        <v>43.32</v>
      </c>
      <c r="R70">
        <v>118.25</v>
      </c>
      <c r="S70">
        <v>13.24</v>
      </c>
      <c r="T70">
        <v>1565.4</v>
      </c>
      <c r="U70">
        <v>48.29</v>
      </c>
    </row>
    <row r="71" spans="1:21" x14ac:dyDescent="0.35">
      <c r="A71" s="4" t="s">
        <v>149</v>
      </c>
      <c r="B71">
        <v>105.75</v>
      </c>
      <c r="C71">
        <v>19.16</v>
      </c>
      <c r="D71">
        <v>1970.29</v>
      </c>
      <c r="E71">
        <v>22.14</v>
      </c>
      <c r="F71">
        <v>107.1</v>
      </c>
      <c r="G71">
        <v>12.61</v>
      </c>
      <c r="H71">
        <v>1331.3</v>
      </c>
      <c r="I71">
        <v>21.47</v>
      </c>
      <c r="J71">
        <v>109.65</v>
      </c>
      <c r="K71">
        <v>11.78</v>
      </c>
      <c r="L71">
        <v>1281.19</v>
      </c>
      <c r="M71">
        <v>14.97</v>
      </c>
      <c r="N71">
        <v>108.85</v>
      </c>
      <c r="O71">
        <v>23.7</v>
      </c>
      <c r="P71">
        <v>2636.63</v>
      </c>
      <c r="Q71">
        <v>30.21</v>
      </c>
      <c r="R71">
        <v>114.1</v>
      </c>
      <c r="S71">
        <v>13.43</v>
      </c>
      <c r="T71">
        <v>1514.21</v>
      </c>
      <c r="U71">
        <v>18.989999999999998</v>
      </c>
    </row>
    <row r="72" spans="1:21" x14ac:dyDescent="0.35">
      <c r="A72" s="4" t="s">
        <v>1</v>
      </c>
      <c r="B72">
        <v>1662.95</v>
      </c>
      <c r="C72">
        <v>0.59</v>
      </c>
      <c r="D72">
        <v>978.17</v>
      </c>
      <c r="E72">
        <v>36.31</v>
      </c>
      <c r="F72">
        <v>1609.85</v>
      </c>
      <c r="G72">
        <v>1</v>
      </c>
      <c r="H72">
        <v>1625.04</v>
      </c>
      <c r="I72">
        <v>42.25</v>
      </c>
      <c r="J72">
        <v>1615</v>
      </c>
      <c r="K72">
        <v>0.57999999999999996</v>
      </c>
      <c r="L72">
        <v>939.72</v>
      </c>
      <c r="M72">
        <v>34.6</v>
      </c>
      <c r="N72">
        <v>1639.8</v>
      </c>
      <c r="O72">
        <v>0.96</v>
      </c>
      <c r="P72">
        <v>1583.65</v>
      </c>
      <c r="Q72">
        <v>42.1</v>
      </c>
      <c r="R72">
        <v>1704.9</v>
      </c>
      <c r="S72">
        <v>0.89</v>
      </c>
      <c r="T72">
        <v>1503.79</v>
      </c>
      <c r="U72">
        <v>24.85</v>
      </c>
    </row>
    <row r="73" spans="1:21" x14ac:dyDescent="0.35">
      <c r="A73" s="4" t="s">
        <v>157</v>
      </c>
      <c r="B73">
        <v>22464.799999999999</v>
      </c>
      <c r="C73">
        <v>0.04</v>
      </c>
      <c r="D73">
        <v>864.43</v>
      </c>
      <c r="E73">
        <v>35.909999999999997</v>
      </c>
      <c r="F73">
        <v>22190.9</v>
      </c>
      <c r="G73">
        <v>0.03</v>
      </c>
      <c r="H73">
        <v>589.25</v>
      </c>
      <c r="I73">
        <v>25.75</v>
      </c>
      <c r="J73">
        <v>22504.5</v>
      </c>
      <c r="K73">
        <v>0.03</v>
      </c>
      <c r="L73">
        <v>567.89</v>
      </c>
      <c r="M73">
        <v>44.56</v>
      </c>
      <c r="N73">
        <v>21787.75</v>
      </c>
      <c r="O73">
        <v>0.04</v>
      </c>
      <c r="P73">
        <v>955.45</v>
      </c>
      <c r="Q73">
        <v>37.590000000000003</v>
      </c>
      <c r="R73">
        <v>21944.05</v>
      </c>
      <c r="S73">
        <v>0.06</v>
      </c>
      <c r="T73">
        <v>1404.11</v>
      </c>
      <c r="U73">
        <v>41.58</v>
      </c>
    </row>
    <row r="74" spans="1:21" x14ac:dyDescent="0.35">
      <c r="A74" s="4" t="s">
        <v>49</v>
      </c>
      <c r="B74">
        <v>290.25</v>
      </c>
      <c r="C74">
        <v>4.18</v>
      </c>
      <c r="D74">
        <v>1210.58</v>
      </c>
      <c r="E74">
        <v>53.69</v>
      </c>
      <c r="F74">
        <v>286.89999999999998</v>
      </c>
      <c r="G74">
        <v>2.5099999999999998</v>
      </c>
      <c r="H74">
        <v>723.88</v>
      </c>
      <c r="I74">
        <v>54.35</v>
      </c>
      <c r="J74">
        <v>283.10000000000002</v>
      </c>
      <c r="K74">
        <v>7.65</v>
      </c>
      <c r="L74">
        <v>2162.23</v>
      </c>
      <c r="M74">
        <v>63.13</v>
      </c>
      <c r="N74">
        <v>282.2</v>
      </c>
      <c r="O74">
        <v>4.8600000000000003</v>
      </c>
      <c r="P74">
        <v>1372.92</v>
      </c>
      <c r="Q74">
        <v>55.98</v>
      </c>
      <c r="R74">
        <v>282.89999999999998</v>
      </c>
      <c r="S74">
        <v>4.93</v>
      </c>
      <c r="T74">
        <v>1386.77</v>
      </c>
      <c r="U74">
        <v>50.82</v>
      </c>
    </row>
    <row r="75" spans="1:21" x14ac:dyDescent="0.35">
      <c r="A75" s="4" t="s">
        <v>4</v>
      </c>
      <c r="B75">
        <v>1373.95</v>
      </c>
      <c r="C75">
        <v>0.98</v>
      </c>
      <c r="D75">
        <v>1329.51</v>
      </c>
      <c r="E75">
        <v>49.83</v>
      </c>
      <c r="F75">
        <v>1357.75</v>
      </c>
      <c r="G75">
        <v>1.17</v>
      </c>
      <c r="H75">
        <v>1595.47</v>
      </c>
      <c r="I75">
        <v>54.94</v>
      </c>
      <c r="J75">
        <v>1368.45</v>
      </c>
      <c r="K75">
        <v>0.84</v>
      </c>
      <c r="L75">
        <v>1147.1300000000001</v>
      </c>
      <c r="M75">
        <v>55.35</v>
      </c>
      <c r="N75">
        <v>1367.75</v>
      </c>
      <c r="O75">
        <v>1.53</v>
      </c>
      <c r="P75">
        <v>2097.15</v>
      </c>
      <c r="Q75">
        <v>65.17</v>
      </c>
      <c r="R75">
        <v>1384.5</v>
      </c>
      <c r="S75">
        <v>0.98</v>
      </c>
      <c r="T75">
        <v>1361.63</v>
      </c>
      <c r="U75">
        <v>40.159999999999997</v>
      </c>
    </row>
    <row r="76" spans="1:21" x14ac:dyDescent="0.35">
      <c r="A76" s="4" t="s">
        <v>318</v>
      </c>
      <c r="B76">
        <v>43.05</v>
      </c>
      <c r="C76">
        <v>29.23</v>
      </c>
      <c r="D76">
        <v>1256.52</v>
      </c>
      <c r="E76">
        <v>55.72</v>
      </c>
      <c r="F76">
        <v>43.4</v>
      </c>
      <c r="G76">
        <v>14.3</v>
      </c>
      <c r="H76">
        <v>618.65</v>
      </c>
      <c r="I76">
        <v>44.95</v>
      </c>
      <c r="J76">
        <v>42.65</v>
      </c>
      <c r="K76">
        <v>17.96</v>
      </c>
      <c r="L76">
        <v>758.65</v>
      </c>
      <c r="M76">
        <v>34.049999999999997</v>
      </c>
      <c r="N76">
        <v>42.05</v>
      </c>
      <c r="O76">
        <v>35.340000000000003</v>
      </c>
      <c r="P76">
        <v>1517.2</v>
      </c>
      <c r="Q76">
        <v>41.72</v>
      </c>
      <c r="R76">
        <v>45.05</v>
      </c>
      <c r="S76">
        <v>30.63</v>
      </c>
      <c r="T76">
        <v>1353.96</v>
      </c>
      <c r="U76">
        <v>51.33</v>
      </c>
    </row>
    <row r="77" spans="1:21" x14ac:dyDescent="0.35">
      <c r="A77" s="4" t="s">
        <v>68</v>
      </c>
      <c r="B77">
        <v>1357.8</v>
      </c>
      <c r="C77">
        <v>0.56999999999999995</v>
      </c>
      <c r="D77">
        <v>781.54</v>
      </c>
      <c r="E77">
        <v>21.27</v>
      </c>
      <c r="F77">
        <v>1378.6</v>
      </c>
      <c r="G77">
        <v>0.61</v>
      </c>
      <c r="H77">
        <v>842.49</v>
      </c>
      <c r="I77">
        <v>18.97</v>
      </c>
      <c r="J77">
        <v>1384.85</v>
      </c>
      <c r="K77">
        <v>0.56000000000000005</v>
      </c>
      <c r="L77">
        <v>773.72</v>
      </c>
      <c r="M77">
        <v>36.299999999999997</v>
      </c>
      <c r="N77">
        <v>1365.5</v>
      </c>
      <c r="O77">
        <v>0.57999999999999996</v>
      </c>
      <c r="P77">
        <v>794.95</v>
      </c>
      <c r="Q77">
        <v>43.5</v>
      </c>
      <c r="R77">
        <v>1339.75</v>
      </c>
      <c r="S77">
        <v>0.99</v>
      </c>
      <c r="T77">
        <v>1326.51</v>
      </c>
      <c r="U77">
        <v>18.16</v>
      </c>
    </row>
    <row r="78" spans="1:21" x14ac:dyDescent="0.35">
      <c r="A78" s="4" t="s">
        <v>136</v>
      </c>
      <c r="B78">
        <v>125.45</v>
      </c>
      <c r="C78">
        <v>3.38</v>
      </c>
      <c r="D78">
        <v>423.75</v>
      </c>
      <c r="E78">
        <v>38.4</v>
      </c>
      <c r="F78">
        <v>126</v>
      </c>
      <c r="G78">
        <v>4.66</v>
      </c>
      <c r="H78">
        <v>588.26</v>
      </c>
      <c r="I78">
        <v>33.479999999999997</v>
      </c>
      <c r="J78">
        <v>127.5</v>
      </c>
      <c r="K78">
        <v>3.65</v>
      </c>
      <c r="L78">
        <v>464.18</v>
      </c>
      <c r="M78">
        <v>29.1</v>
      </c>
      <c r="N78">
        <v>127.9</v>
      </c>
      <c r="O78">
        <v>3.94</v>
      </c>
      <c r="P78">
        <v>512.08000000000004</v>
      </c>
      <c r="Q78">
        <v>31.83</v>
      </c>
      <c r="R78">
        <v>138.19999999999999</v>
      </c>
      <c r="S78">
        <v>9.42</v>
      </c>
      <c r="T78">
        <v>1270.22</v>
      </c>
      <c r="U78">
        <v>31.67</v>
      </c>
    </row>
    <row r="79" spans="1:21" x14ac:dyDescent="0.35">
      <c r="A79" s="4" t="s">
        <v>158</v>
      </c>
      <c r="B79">
        <v>107.45</v>
      </c>
      <c r="C79">
        <v>26.02</v>
      </c>
      <c r="D79">
        <v>2754.72</v>
      </c>
      <c r="E79">
        <v>8.86</v>
      </c>
      <c r="F79">
        <v>103.75</v>
      </c>
      <c r="G79">
        <v>14.18</v>
      </c>
      <c r="H79">
        <v>1477.98</v>
      </c>
      <c r="I79">
        <v>10.23</v>
      </c>
      <c r="J79">
        <v>106.1</v>
      </c>
      <c r="K79">
        <v>17.420000000000002</v>
      </c>
      <c r="L79">
        <v>1833.75</v>
      </c>
      <c r="M79">
        <v>7.09</v>
      </c>
      <c r="N79">
        <v>103.75</v>
      </c>
      <c r="O79">
        <v>14.35</v>
      </c>
      <c r="P79">
        <v>1534.47</v>
      </c>
      <c r="Q79">
        <v>13.65</v>
      </c>
      <c r="R79">
        <v>104.4</v>
      </c>
      <c r="S79">
        <v>12.12</v>
      </c>
      <c r="T79">
        <v>1262.1500000000001</v>
      </c>
      <c r="U79">
        <v>11.06</v>
      </c>
    </row>
    <row r="80" spans="1:21" x14ac:dyDescent="0.35">
      <c r="A80" s="4" t="s">
        <v>14</v>
      </c>
      <c r="B80">
        <v>2589.4</v>
      </c>
      <c r="C80">
        <v>2.66</v>
      </c>
      <c r="D80">
        <v>6902.19</v>
      </c>
      <c r="E80">
        <v>33.229999999999997</v>
      </c>
      <c r="F80">
        <v>2667</v>
      </c>
      <c r="G80">
        <v>2.0099999999999998</v>
      </c>
      <c r="H80">
        <v>5368.66</v>
      </c>
      <c r="I80">
        <v>40.68</v>
      </c>
      <c r="J80">
        <v>2657.75</v>
      </c>
      <c r="K80">
        <v>0.77</v>
      </c>
      <c r="L80">
        <v>2032.14</v>
      </c>
      <c r="M80">
        <v>22.65</v>
      </c>
      <c r="N80">
        <v>2637.3</v>
      </c>
      <c r="O80">
        <v>0.55000000000000004</v>
      </c>
      <c r="P80">
        <v>1453.08</v>
      </c>
      <c r="Q80">
        <v>28.96</v>
      </c>
      <c r="R80">
        <v>2663.9</v>
      </c>
      <c r="S80">
        <v>0.47</v>
      </c>
      <c r="T80">
        <v>1250.69</v>
      </c>
      <c r="U80">
        <v>26.59</v>
      </c>
    </row>
    <row r="81" spans="1:21" x14ac:dyDescent="0.35">
      <c r="A81" s="4" t="s">
        <v>40</v>
      </c>
      <c r="B81">
        <v>413.5</v>
      </c>
      <c r="C81">
        <v>3.81</v>
      </c>
      <c r="D81">
        <v>1580.79</v>
      </c>
      <c r="E81">
        <v>16.34</v>
      </c>
      <c r="F81">
        <v>408.85</v>
      </c>
      <c r="G81">
        <v>6.23</v>
      </c>
      <c r="H81">
        <v>2584.15</v>
      </c>
      <c r="I81">
        <v>25.68</v>
      </c>
      <c r="J81">
        <v>421.2</v>
      </c>
      <c r="K81">
        <v>7.28</v>
      </c>
      <c r="L81">
        <v>3049.54</v>
      </c>
      <c r="M81">
        <v>22.68</v>
      </c>
      <c r="N81">
        <v>412.95</v>
      </c>
      <c r="O81">
        <v>5.91</v>
      </c>
      <c r="P81">
        <v>2474.66</v>
      </c>
      <c r="Q81">
        <v>32.03</v>
      </c>
      <c r="R81">
        <v>415.75</v>
      </c>
      <c r="S81">
        <v>3.01</v>
      </c>
      <c r="T81">
        <v>1249.3800000000001</v>
      </c>
      <c r="U81">
        <v>27.18</v>
      </c>
    </row>
    <row r="82" spans="1:21" x14ac:dyDescent="0.35">
      <c r="A82" s="4" t="s">
        <v>21</v>
      </c>
      <c r="B82">
        <v>198.75</v>
      </c>
      <c r="C82">
        <v>5.41</v>
      </c>
      <c r="D82">
        <v>1070.18</v>
      </c>
      <c r="E82">
        <v>27.53</v>
      </c>
      <c r="F82">
        <v>196</v>
      </c>
      <c r="G82">
        <v>5.19</v>
      </c>
      <c r="H82">
        <v>1014.98</v>
      </c>
      <c r="I82">
        <v>29.87</v>
      </c>
      <c r="J82">
        <v>198</v>
      </c>
      <c r="K82">
        <v>5.59</v>
      </c>
      <c r="L82">
        <v>1103.5899999999999</v>
      </c>
      <c r="M82">
        <v>37.729999999999997</v>
      </c>
      <c r="N82">
        <v>191.75</v>
      </c>
      <c r="O82">
        <v>7.48</v>
      </c>
      <c r="P82">
        <v>1462.66</v>
      </c>
      <c r="Q82">
        <v>37.99</v>
      </c>
      <c r="R82">
        <v>195.8</v>
      </c>
      <c r="S82">
        <v>6.33</v>
      </c>
      <c r="T82">
        <v>1223.21</v>
      </c>
      <c r="U82">
        <v>25.77</v>
      </c>
    </row>
    <row r="83" spans="1:21" x14ac:dyDescent="0.35">
      <c r="A83" s="4" t="s">
        <v>3</v>
      </c>
      <c r="B83">
        <v>224.2</v>
      </c>
      <c r="C83">
        <v>6.03</v>
      </c>
      <c r="D83">
        <v>1361.77</v>
      </c>
      <c r="E83">
        <v>69.47</v>
      </c>
      <c r="F83">
        <v>220.45</v>
      </c>
      <c r="G83">
        <v>3.87</v>
      </c>
      <c r="H83">
        <v>861.98</v>
      </c>
      <c r="I83">
        <v>62.08</v>
      </c>
      <c r="J83">
        <v>220.55</v>
      </c>
      <c r="K83">
        <v>1.89</v>
      </c>
      <c r="L83">
        <v>416.89</v>
      </c>
      <c r="M83">
        <v>51.66</v>
      </c>
      <c r="N83">
        <v>222.55</v>
      </c>
      <c r="O83">
        <v>5.03</v>
      </c>
      <c r="P83">
        <v>1135.46</v>
      </c>
      <c r="Q83">
        <v>62.53</v>
      </c>
      <c r="R83">
        <v>231.65</v>
      </c>
      <c r="S83">
        <v>5.35</v>
      </c>
      <c r="T83">
        <v>1218.26</v>
      </c>
      <c r="U83">
        <v>58.74</v>
      </c>
    </row>
    <row r="84" spans="1:21" x14ac:dyDescent="0.35">
      <c r="A84" s="4" t="s">
        <v>162</v>
      </c>
      <c r="B84">
        <v>1217</v>
      </c>
      <c r="C84">
        <v>0.76</v>
      </c>
      <c r="D84">
        <v>911.7</v>
      </c>
      <c r="E84">
        <v>33.18</v>
      </c>
      <c r="F84">
        <v>1199.8499999999999</v>
      </c>
      <c r="G84">
        <v>0.53</v>
      </c>
      <c r="H84">
        <v>632.37</v>
      </c>
      <c r="I84">
        <v>37.57</v>
      </c>
      <c r="J84">
        <v>1211.5999999999999</v>
      </c>
      <c r="K84">
        <v>0.4</v>
      </c>
      <c r="L84">
        <v>481.81</v>
      </c>
      <c r="M84">
        <v>38.200000000000003</v>
      </c>
      <c r="N84">
        <v>1199.5999999999999</v>
      </c>
      <c r="O84">
        <v>0.51</v>
      </c>
      <c r="P84">
        <v>618.13</v>
      </c>
      <c r="Q84">
        <v>46.21</v>
      </c>
      <c r="R84">
        <v>1237.5999999999999</v>
      </c>
      <c r="S84">
        <v>0.99</v>
      </c>
      <c r="T84">
        <v>1214.54</v>
      </c>
      <c r="U84">
        <v>51.95</v>
      </c>
    </row>
    <row r="85" spans="1:21" x14ac:dyDescent="0.35">
      <c r="A85" s="4" t="s">
        <v>35</v>
      </c>
      <c r="B85">
        <v>129.25</v>
      </c>
      <c r="C85">
        <v>12.33</v>
      </c>
      <c r="D85">
        <v>1577.48</v>
      </c>
      <c r="E85">
        <v>70.260000000000005</v>
      </c>
      <c r="F85">
        <v>128.6</v>
      </c>
      <c r="G85">
        <v>8.1</v>
      </c>
      <c r="H85">
        <v>1037.8900000000001</v>
      </c>
      <c r="I85">
        <v>70.400000000000006</v>
      </c>
      <c r="J85">
        <v>129.6</v>
      </c>
      <c r="K85">
        <v>9.5399999999999991</v>
      </c>
      <c r="L85">
        <v>1232.94</v>
      </c>
      <c r="M85">
        <v>71.7</v>
      </c>
      <c r="N85">
        <v>129.85</v>
      </c>
      <c r="O85">
        <v>11.02</v>
      </c>
      <c r="P85">
        <v>1443.24</v>
      </c>
      <c r="Q85">
        <v>62.23</v>
      </c>
      <c r="R85">
        <v>129.15</v>
      </c>
      <c r="S85">
        <v>9.3699999999999992</v>
      </c>
      <c r="T85">
        <v>1210.43</v>
      </c>
      <c r="U85">
        <v>68.33</v>
      </c>
    </row>
    <row r="86" spans="1:21" x14ac:dyDescent="0.35">
      <c r="A86" s="4" t="s">
        <v>114</v>
      </c>
      <c r="B86">
        <v>12.55</v>
      </c>
      <c r="C86">
        <v>137.71</v>
      </c>
      <c r="D86">
        <v>1720.43</v>
      </c>
      <c r="E86">
        <v>12.96</v>
      </c>
      <c r="F86">
        <v>11.8</v>
      </c>
      <c r="G86">
        <v>94.31</v>
      </c>
      <c r="H86">
        <v>1137.22</v>
      </c>
      <c r="I86">
        <v>21.4</v>
      </c>
      <c r="J86">
        <v>12.15</v>
      </c>
      <c r="K86">
        <v>133.5</v>
      </c>
      <c r="L86">
        <v>1603.14</v>
      </c>
      <c r="M86">
        <v>26.77</v>
      </c>
      <c r="N86">
        <v>12.75</v>
      </c>
      <c r="O86">
        <v>132.69</v>
      </c>
      <c r="P86">
        <v>1677.01</v>
      </c>
      <c r="Q86">
        <v>34.68</v>
      </c>
      <c r="R86">
        <v>12.85</v>
      </c>
      <c r="S86">
        <v>91.58</v>
      </c>
      <c r="T86">
        <v>1178.6099999999999</v>
      </c>
      <c r="U86">
        <v>26.36</v>
      </c>
    </row>
    <row r="87" spans="1:21" x14ac:dyDescent="0.35">
      <c r="A87" s="4" t="s">
        <v>159</v>
      </c>
      <c r="B87">
        <v>2287.85</v>
      </c>
      <c r="C87">
        <v>1.28</v>
      </c>
      <c r="D87">
        <v>2910.53</v>
      </c>
      <c r="E87">
        <v>56.19</v>
      </c>
      <c r="F87">
        <v>2228.4</v>
      </c>
      <c r="G87">
        <v>1.31</v>
      </c>
      <c r="H87">
        <v>2989.91</v>
      </c>
      <c r="I87">
        <v>37.56</v>
      </c>
      <c r="J87">
        <v>2184.6999999999998</v>
      </c>
      <c r="K87">
        <v>0.94</v>
      </c>
      <c r="L87">
        <v>2047.22</v>
      </c>
      <c r="M87">
        <v>46.1</v>
      </c>
      <c r="N87">
        <v>2166.4</v>
      </c>
      <c r="O87">
        <v>1.5</v>
      </c>
      <c r="P87">
        <v>3326.3</v>
      </c>
      <c r="Q87">
        <v>54.91</v>
      </c>
      <c r="R87">
        <v>2199.25</v>
      </c>
      <c r="S87">
        <v>0.54</v>
      </c>
      <c r="T87">
        <v>1177.5899999999999</v>
      </c>
      <c r="U87">
        <v>41.92</v>
      </c>
    </row>
    <row r="88" spans="1:21" x14ac:dyDescent="0.35">
      <c r="A88" s="4" t="s">
        <v>47</v>
      </c>
      <c r="B88">
        <v>1018.85</v>
      </c>
      <c r="C88">
        <v>2.76</v>
      </c>
      <c r="D88">
        <v>2744.79</v>
      </c>
      <c r="E88">
        <v>32.090000000000003</v>
      </c>
      <c r="F88">
        <v>999.85</v>
      </c>
      <c r="G88">
        <v>2.64</v>
      </c>
      <c r="H88">
        <v>2688.86</v>
      </c>
      <c r="I88">
        <v>47.59</v>
      </c>
      <c r="J88">
        <v>1014.65</v>
      </c>
      <c r="K88">
        <v>1.61</v>
      </c>
      <c r="L88">
        <v>1624.38</v>
      </c>
      <c r="M88">
        <v>46.5</v>
      </c>
      <c r="N88">
        <v>1012.2</v>
      </c>
      <c r="O88">
        <v>1.18</v>
      </c>
      <c r="P88">
        <v>1197</v>
      </c>
      <c r="Q88">
        <v>47.2</v>
      </c>
      <c r="R88">
        <v>1020.85</v>
      </c>
      <c r="S88">
        <v>1.1399999999999999</v>
      </c>
      <c r="T88">
        <v>1162.73</v>
      </c>
      <c r="U88">
        <v>61.64</v>
      </c>
    </row>
    <row r="89" spans="1:21" x14ac:dyDescent="0.35">
      <c r="A89" s="4" t="s">
        <v>170</v>
      </c>
      <c r="B89">
        <v>121.4</v>
      </c>
      <c r="C89">
        <v>10.58</v>
      </c>
      <c r="D89">
        <v>1240.8800000000001</v>
      </c>
      <c r="E89">
        <v>15.45</v>
      </c>
      <c r="F89">
        <v>118.25</v>
      </c>
      <c r="G89">
        <v>8.75</v>
      </c>
      <c r="H89">
        <v>1045.3599999999999</v>
      </c>
      <c r="I89">
        <v>13.92</v>
      </c>
      <c r="J89">
        <v>121.35</v>
      </c>
      <c r="K89">
        <v>7.46</v>
      </c>
      <c r="L89">
        <v>890.01</v>
      </c>
      <c r="M89">
        <v>15.42</v>
      </c>
      <c r="N89">
        <v>114.45</v>
      </c>
      <c r="O89">
        <v>14.64</v>
      </c>
      <c r="P89">
        <v>1767.15</v>
      </c>
      <c r="Q89">
        <v>22.98</v>
      </c>
      <c r="R89">
        <v>111.9</v>
      </c>
      <c r="S89">
        <v>10.16</v>
      </c>
      <c r="T89">
        <v>1153.4100000000001</v>
      </c>
      <c r="U89">
        <v>27.39</v>
      </c>
    </row>
    <row r="90" spans="1:21" x14ac:dyDescent="0.35">
      <c r="A90" s="4" t="s">
        <v>105</v>
      </c>
      <c r="B90">
        <v>677.95</v>
      </c>
      <c r="C90">
        <v>0.66</v>
      </c>
      <c r="D90">
        <v>449.27</v>
      </c>
      <c r="E90">
        <v>40.46</v>
      </c>
      <c r="F90">
        <v>657.95</v>
      </c>
      <c r="G90">
        <v>0.62</v>
      </c>
      <c r="H90">
        <v>411.96</v>
      </c>
      <c r="I90">
        <v>54.23</v>
      </c>
      <c r="J90">
        <v>658.7</v>
      </c>
      <c r="K90">
        <v>0.48</v>
      </c>
      <c r="L90">
        <v>318.51</v>
      </c>
      <c r="M90">
        <v>52.63</v>
      </c>
      <c r="N90">
        <v>656.75</v>
      </c>
      <c r="O90">
        <v>0.93</v>
      </c>
      <c r="P90">
        <v>617.92999999999995</v>
      </c>
      <c r="Q90">
        <v>48.78</v>
      </c>
      <c r="R90">
        <v>659.7</v>
      </c>
      <c r="S90">
        <v>1.75</v>
      </c>
      <c r="T90">
        <v>1147.0999999999999</v>
      </c>
      <c r="U90">
        <v>84.04</v>
      </c>
    </row>
    <row r="91" spans="1:21" x14ac:dyDescent="0.35">
      <c r="A91" s="4" t="s">
        <v>173</v>
      </c>
      <c r="B91">
        <v>51.45</v>
      </c>
      <c r="C91">
        <v>22.69</v>
      </c>
      <c r="D91">
        <v>1151.5899999999999</v>
      </c>
      <c r="E91">
        <v>15.92</v>
      </c>
      <c r="F91">
        <v>50.4</v>
      </c>
      <c r="G91">
        <v>11.36</v>
      </c>
      <c r="H91">
        <v>576.83000000000004</v>
      </c>
      <c r="I91">
        <v>14.01</v>
      </c>
      <c r="J91">
        <v>50.85</v>
      </c>
      <c r="K91">
        <v>15.94</v>
      </c>
      <c r="L91">
        <v>799.3</v>
      </c>
      <c r="M91">
        <v>15.28</v>
      </c>
      <c r="N91">
        <v>49.05</v>
      </c>
      <c r="O91">
        <v>25.56</v>
      </c>
      <c r="P91">
        <v>1301.0999999999999</v>
      </c>
      <c r="Q91">
        <v>18.55</v>
      </c>
      <c r="R91">
        <v>51.65</v>
      </c>
      <c r="S91">
        <v>22.74</v>
      </c>
      <c r="T91">
        <v>1146.3499999999999</v>
      </c>
      <c r="U91">
        <v>13.46</v>
      </c>
    </row>
    <row r="92" spans="1:21" x14ac:dyDescent="0.35">
      <c r="A92" s="4" t="s">
        <v>166</v>
      </c>
      <c r="B92">
        <v>819.35</v>
      </c>
      <c r="C92">
        <v>1.1200000000000001</v>
      </c>
      <c r="D92">
        <v>925.48</v>
      </c>
      <c r="E92">
        <v>20.45</v>
      </c>
      <c r="F92">
        <v>808.05</v>
      </c>
      <c r="G92">
        <v>0.65</v>
      </c>
      <c r="H92">
        <v>528.79</v>
      </c>
      <c r="I92">
        <v>13.94</v>
      </c>
      <c r="J92">
        <v>802.95</v>
      </c>
      <c r="K92">
        <v>0.31</v>
      </c>
      <c r="L92">
        <v>250.98</v>
      </c>
      <c r="M92">
        <v>14.48</v>
      </c>
      <c r="N92">
        <v>801.1</v>
      </c>
      <c r="O92">
        <v>0.7</v>
      </c>
      <c r="P92">
        <v>571.61</v>
      </c>
      <c r="Q92">
        <v>34.840000000000003</v>
      </c>
      <c r="R92">
        <v>852.2</v>
      </c>
      <c r="S92">
        <v>1.31</v>
      </c>
      <c r="T92">
        <v>1102.02</v>
      </c>
      <c r="U92">
        <v>19.12</v>
      </c>
    </row>
    <row r="93" spans="1:21" x14ac:dyDescent="0.35">
      <c r="A93" s="4" t="s">
        <v>12</v>
      </c>
      <c r="B93">
        <v>565.45000000000005</v>
      </c>
      <c r="C93">
        <v>1.59</v>
      </c>
      <c r="D93">
        <v>888.87</v>
      </c>
      <c r="E93">
        <v>25.07</v>
      </c>
      <c r="F93">
        <v>559.35</v>
      </c>
      <c r="G93">
        <v>4.29</v>
      </c>
      <c r="H93">
        <v>2430.19</v>
      </c>
      <c r="I93">
        <v>29.21</v>
      </c>
      <c r="J93">
        <v>553</v>
      </c>
      <c r="K93">
        <v>7.76</v>
      </c>
      <c r="L93">
        <v>4369.87</v>
      </c>
      <c r="M93">
        <v>23.08</v>
      </c>
      <c r="N93">
        <v>564.75</v>
      </c>
      <c r="O93">
        <v>5.64</v>
      </c>
      <c r="P93">
        <v>3160.63</v>
      </c>
      <c r="Q93">
        <v>48.21</v>
      </c>
      <c r="R93">
        <v>570.6</v>
      </c>
      <c r="S93">
        <v>1.8</v>
      </c>
      <c r="T93">
        <v>1019.9</v>
      </c>
      <c r="U93">
        <v>24.38</v>
      </c>
    </row>
    <row r="94" spans="1:21" x14ac:dyDescent="0.35">
      <c r="A94" s="4" t="s">
        <v>95</v>
      </c>
      <c r="B94">
        <v>1659.7</v>
      </c>
      <c r="C94">
        <v>0.48</v>
      </c>
      <c r="D94">
        <v>799.85</v>
      </c>
      <c r="E94">
        <v>49.76</v>
      </c>
      <c r="F94">
        <v>1696.5</v>
      </c>
      <c r="G94">
        <v>0.49</v>
      </c>
      <c r="H94">
        <v>838.82</v>
      </c>
      <c r="I94">
        <v>29.63</v>
      </c>
      <c r="J94">
        <v>1680.2</v>
      </c>
      <c r="K94">
        <v>0.34</v>
      </c>
      <c r="L94">
        <v>575.70000000000005</v>
      </c>
      <c r="M94">
        <v>34.26</v>
      </c>
      <c r="N94">
        <v>1732.45</v>
      </c>
      <c r="O94">
        <v>0.54</v>
      </c>
      <c r="P94">
        <v>934.62</v>
      </c>
      <c r="Q94">
        <v>37.46</v>
      </c>
      <c r="R94">
        <v>1765.65</v>
      </c>
      <c r="S94">
        <v>0.56999999999999995</v>
      </c>
      <c r="T94">
        <v>1004.88</v>
      </c>
      <c r="U94">
        <v>25.23</v>
      </c>
    </row>
    <row r="95" spans="1:21" x14ac:dyDescent="0.35">
      <c r="A95" s="4" t="s">
        <v>72</v>
      </c>
      <c r="B95">
        <v>922</v>
      </c>
      <c r="C95">
        <v>0.68</v>
      </c>
      <c r="D95">
        <v>611.62</v>
      </c>
      <c r="E95">
        <v>41.28</v>
      </c>
      <c r="F95">
        <v>894.4</v>
      </c>
      <c r="G95">
        <v>0.74</v>
      </c>
      <c r="H95">
        <v>667.79</v>
      </c>
      <c r="I95">
        <v>34.43</v>
      </c>
      <c r="J95">
        <v>950.25</v>
      </c>
      <c r="K95">
        <v>2.46</v>
      </c>
      <c r="L95">
        <v>2265.62</v>
      </c>
      <c r="M95">
        <v>25.22</v>
      </c>
      <c r="N95">
        <v>1002.45</v>
      </c>
      <c r="O95">
        <v>2.41</v>
      </c>
      <c r="P95">
        <v>2430.61</v>
      </c>
      <c r="Q95">
        <v>43.28</v>
      </c>
      <c r="R95">
        <v>1033.25</v>
      </c>
      <c r="S95">
        <v>0.98</v>
      </c>
      <c r="T95">
        <v>1000.14</v>
      </c>
      <c r="U95">
        <v>37.200000000000003</v>
      </c>
    </row>
    <row r="96" spans="1:21" x14ac:dyDescent="0.35">
      <c r="A96" s="4" t="s">
        <v>195</v>
      </c>
      <c r="B96">
        <v>74</v>
      </c>
      <c r="C96">
        <v>12.81</v>
      </c>
      <c r="D96">
        <v>948.45</v>
      </c>
      <c r="E96">
        <v>26.28</v>
      </c>
      <c r="F96">
        <v>71.55</v>
      </c>
      <c r="G96">
        <v>9.07</v>
      </c>
      <c r="H96">
        <v>656.1</v>
      </c>
      <c r="I96">
        <v>17.78</v>
      </c>
      <c r="J96">
        <v>71.2</v>
      </c>
      <c r="K96">
        <v>7.99</v>
      </c>
      <c r="L96">
        <v>567.35</v>
      </c>
      <c r="M96">
        <v>30.26</v>
      </c>
      <c r="N96">
        <v>69.75</v>
      </c>
      <c r="O96">
        <v>20.94</v>
      </c>
      <c r="P96">
        <v>1516.43</v>
      </c>
      <c r="Q96">
        <v>24.45</v>
      </c>
      <c r="R96">
        <v>75</v>
      </c>
      <c r="S96">
        <v>13.54</v>
      </c>
      <c r="T96">
        <v>991.18</v>
      </c>
      <c r="U96">
        <v>20.48</v>
      </c>
    </row>
    <row r="97" spans="1:21" x14ac:dyDescent="0.35">
      <c r="A97" s="4" t="s">
        <v>192</v>
      </c>
      <c r="B97">
        <v>493.4</v>
      </c>
      <c r="C97">
        <v>1.04</v>
      </c>
      <c r="D97">
        <v>507.03</v>
      </c>
      <c r="E97">
        <v>17.7</v>
      </c>
      <c r="F97">
        <v>488.9</v>
      </c>
      <c r="G97">
        <v>1.65</v>
      </c>
      <c r="H97">
        <v>819.1</v>
      </c>
      <c r="I97">
        <v>20.58</v>
      </c>
      <c r="J97">
        <v>480.6</v>
      </c>
      <c r="K97">
        <v>1.61</v>
      </c>
      <c r="L97">
        <v>776.13</v>
      </c>
      <c r="M97">
        <v>40.04</v>
      </c>
      <c r="N97">
        <v>479</v>
      </c>
      <c r="O97">
        <v>1.27</v>
      </c>
      <c r="P97">
        <v>616</v>
      </c>
      <c r="Q97">
        <v>42.15</v>
      </c>
      <c r="R97">
        <v>491.05</v>
      </c>
      <c r="S97">
        <v>2.0299999999999998</v>
      </c>
      <c r="T97">
        <v>983.94</v>
      </c>
      <c r="U97">
        <v>60.88</v>
      </c>
    </row>
    <row r="98" spans="1:21" x14ac:dyDescent="0.35">
      <c r="A98" s="4" t="s">
        <v>167</v>
      </c>
      <c r="B98">
        <v>680.25</v>
      </c>
      <c r="C98">
        <v>2.2799999999999998</v>
      </c>
      <c r="D98">
        <v>1554.24</v>
      </c>
      <c r="E98">
        <v>59.94</v>
      </c>
      <c r="F98">
        <v>669.9</v>
      </c>
      <c r="G98">
        <v>1.4</v>
      </c>
      <c r="H98">
        <v>937.56</v>
      </c>
      <c r="I98">
        <v>50.52</v>
      </c>
      <c r="J98">
        <v>666.85</v>
      </c>
      <c r="K98">
        <v>0.52</v>
      </c>
      <c r="L98">
        <v>347.95</v>
      </c>
      <c r="M98">
        <v>26.75</v>
      </c>
      <c r="N98">
        <v>674.05</v>
      </c>
      <c r="O98">
        <v>2.19</v>
      </c>
      <c r="P98">
        <v>1487.06</v>
      </c>
      <c r="Q98">
        <v>51.39</v>
      </c>
      <c r="R98">
        <v>667.5</v>
      </c>
      <c r="S98">
        <v>1.47</v>
      </c>
      <c r="T98">
        <v>978.97</v>
      </c>
      <c r="U98">
        <v>35.369999999999997</v>
      </c>
    </row>
    <row r="99" spans="1:21" x14ac:dyDescent="0.35">
      <c r="A99" s="4" t="s">
        <v>109</v>
      </c>
      <c r="B99">
        <v>755.55</v>
      </c>
      <c r="C99">
        <v>1.91</v>
      </c>
      <c r="D99">
        <v>1434.67</v>
      </c>
      <c r="E99">
        <v>72.61</v>
      </c>
      <c r="F99">
        <v>757.9</v>
      </c>
      <c r="G99">
        <v>1.33</v>
      </c>
      <c r="H99">
        <v>1007.74</v>
      </c>
      <c r="I99">
        <v>55.23</v>
      </c>
      <c r="J99">
        <v>755.55</v>
      </c>
      <c r="K99">
        <v>1.31</v>
      </c>
      <c r="L99">
        <v>996.39</v>
      </c>
      <c r="M99">
        <v>51.34</v>
      </c>
      <c r="N99">
        <v>751.5</v>
      </c>
      <c r="O99">
        <v>2.41</v>
      </c>
      <c r="P99">
        <v>1816.79</v>
      </c>
      <c r="Q99">
        <v>54.73</v>
      </c>
      <c r="R99">
        <v>743.55</v>
      </c>
      <c r="S99">
        <v>1.29</v>
      </c>
      <c r="T99">
        <v>961.6</v>
      </c>
      <c r="U99">
        <v>50.39</v>
      </c>
    </row>
    <row r="100" spans="1:21" x14ac:dyDescent="0.35">
      <c r="A100" s="4" t="s">
        <v>5</v>
      </c>
      <c r="B100">
        <v>664.25</v>
      </c>
      <c r="C100">
        <v>5.16</v>
      </c>
      <c r="D100">
        <v>3444.98</v>
      </c>
      <c r="E100">
        <v>34.51</v>
      </c>
      <c r="F100">
        <v>666.45</v>
      </c>
      <c r="G100">
        <v>4.28</v>
      </c>
      <c r="H100">
        <v>2864.15</v>
      </c>
      <c r="I100">
        <v>36.67</v>
      </c>
      <c r="J100">
        <v>664.55</v>
      </c>
      <c r="K100">
        <v>1.52</v>
      </c>
      <c r="L100">
        <v>1015.38</v>
      </c>
      <c r="M100">
        <v>23.25</v>
      </c>
      <c r="N100">
        <v>672.15</v>
      </c>
      <c r="O100">
        <v>3.33</v>
      </c>
      <c r="P100">
        <v>2242.0700000000002</v>
      </c>
      <c r="Q100">
        <v>23.91</v>
      </c>
      <c r="R100">
        <v>680.65</v>
      </c>
      <c r="S100">
        <v>1.39</v>
      </c>
      <c r="T100">
        <v>940.35</v>
      </c>
      <c r="U100">
        <v>27.97</v>
      </c>
    </row>
    <row r="101" spans="1:21" x14ac:dyDescent="0.35">
      <c r="A101" s="4" t="s">
        <v>146</v>
      </c>
      <c r="B101">
        <v>618.04999999999995</v>
      </c>
      <c r="C101">
        <v>1.71</v>
      </c>
      <c r="D101">
        <v>1053.78</v>
      </c>
      <c r="E101">
        <v>37.479999999999997</v>
      </c>
      <c r="F101">
        <v>619.54999999999995</v>
      </c>
      <c r="G101">
        <v>2.5099999999999998</v>
      </c>
      <c r="H101">
        <v>1560.32</v>
      </c>
      <c r="I101">
        <v>47.23</v>
      </c>
      <c r="J101">
        <v>618.70000000000005</v>
      </c>
      <c r="K101">
        <v>0.72</v>
      </c>
      <c r="L101">
        <v>445.85</v>
      </c>
      <c r="M101">
        <v>33.25</v>
      </c>
      <c r="N101">
        <v>620.29999999999995</v>
      </c>
      <c r="O101">
        <v>1.28</v>
      </c>
      <c r="P101">
        <v>810.07</v>
      </c>
      <c r="Q101">
        <v>33.520000000000003</v>
      </c>
      <c r="R101">
        <v>641.75</v>
      </c>
      <c r="S101">
        <v>1.45</v>
      </c>
      <c r="T101">
        <v>915.38</v>
      </c>
      <c r="U101">
        <v>34.42</v>
      </c>
    </row>
    <row r="102" spans="1:21" x14ac:dyDescent="0.35">
      <c r="A102" s="4" t="s">
        <v>137</v>
      </c>
      <c r="B102">
        <v>363.45</v>
      </c>
      <c r="C102">
        <v>2.0699999999999998</v>
      </c>
      <c r="D102">
        <v>755.72</v>
      </c>
      <c r="E102">
        <v>63.27</v>
      </c>
      <c r="F102">
        <v>361.35</v>
      </c>
      <c r="G102">
        <v>4.04</v>
      </c>
      <c r="H102">
        <v>1460.4</v>
      </c>
      <c r="I102">
        <v>86.89</v>
      </c>
      <c r="J102">
        <v>363.85</v>
      </c>
      <c r="K102">
        <v>2.2400000000000002</v>
      </c>
      <c r="L102">
        <v>814.18</v>
      </c>
      <c r="M102">
        <v>55.12</v>
      </c>
      <c r="N102">
        <v>360.75</v>
      </c>
      <c r="O102">
        <v>1.94</v>
      </c>
      <c r="P102">
        <v>702.96</v>
      </c>
      <c r="Q102">
        <v>53.2</v>
      </c>
      <c r="R102">
        <v>363.15</v>
      </c>
      <c r="S102">
        <v>2.5099999999999998</v>
      </c>
      <c r="T102">
        <v>907.58</v>
      </c>
      <c r="U102">
        <v>61.49</v>
      </c>
    </row>
    <row r="103" spans="1:21" x14ac:dyDescent="0.35">
      <c r="A103" s="4" t="s">
        <v>57</v>
      </c>
      <c r="B103">
        <v>46.75</v>
      </c>
      <c r="C103">
        <v>40.54</v>
      </c>
      <c r="D103">
        <v>1847.85</v>
      </c>
      <c r="E103">
        <v>13.93</v>
      </c>
      <c r="F103">
        <v>46</v>
      </c>
      <c r="G103">
        <v>25.61</v>
      </c>
      <c r="H103">
        <v>1182.3</v>
      </c>
      <c r="I103">
        <v>17.41</v>
      </c>
      <c r="J103">
        <v>46.7</v>
      </c>
      <c r="K103">
        <v>19.260000000000002</v>
      </c>
      <c r="L103">
        <v>888.81</v>
      </c>
      <c r="M103">
        <v>12.82</v>
      </c>
      <c r="N103">
        <v>46.65</v>
      </c>
      <c r="O103">
        <v>50.23</v>
      </c>
      <c r="P103">
        <v>2461.88</v>
      </c>
      <c r="Q103">
        <v>17.100000000000001</v>
      </c>
      <c r="R103">
        <v>46.8</v>
      </c>
      <c r="S103">
        <v>19.37</v>
      </c>
      <c r="T103">
        <v>895.63</v>
      </c>
      <c r="U103">
        <v>10.6</v>
      </c>
    </row>
    <row r="104" spans="1:21" x14ac:dyDescent="0.35">
      <c r="A104" s="4" t="s">
        <v>82</v>
      </c>
      <c r="B104">
        <v>1008.25</v>
      </c>
      <c r="C104">
        <v>0.59</v>
      </c>
      <c r="D104">
        <v>582.25</v>
      </c>
      <c r="E104">
        <v>14.74</v>
      </c>
      <c r="F104">
        <v>983.3</v>
      </c>
      <c r="G104">
        <v>0.44</v>
      </c>
      <c r="H104">
        <v>438.12</v>
      </c>
      <c r="I104">
        <v>13.1</v>
      </c>
      <c r="J104">
        <v>993.55</v>
      </c>
      <c r="K104">
        <v>0.43</v>
      </c>
      <c r="L104">
        <v>425.62</v>
      </c>
      <c r="M104">
        <v>21.39</v>
      </c>
      <c r="N104">
        <v>982.75</v>
      </c>
      <c r="O104">
        <v>0.61</v>
      </c>
      <c r="P104">
        <v>606.70000000000005</v>
      </c>
      <c r="Q104">
        <v>25.88</v>
      </c>
      <c r="R104">
        <v>1040.0999999999999</v>
      </c>
      <c r="S104">
        <v>0.86</v>
      </c>
      <c r="T104">
        <v>872.48</v>
      </c>
      <c r="U104">
        <v>20.67</v>
      </c>
    </row>
    <row r="105" spans="1:21" x14ac:dyDescent="0.35">
      <c r="A105" s="4" t="s">
        <v>160</v>
      </c>
      <c r="B105">
        <v>236</v>
      </c>
      <c r="C105">
        <v>4.78</v>
      </c>
      <c r="D105">
        <v>1140.42</v>
      </c>
      <c r="E105">
        <v>67.33</v>
      </c>
      <c r="F105">
        <v>240.3</v>
      </c>
      <c r="G105">
        <v>2.0099999999999998</v>
      </c>
      <c r="H105">
        <v>481.2</v>
      </c>
      <c r="I105">
        <v>43.53</v>
      </c>
      <c r="J105">
        <v>237</v>
      </c>
      <c r="K105">
        <v>2.4500000000000002</v>
      </c>
      <c r="L105">
        <v>579.57000000000005</v>
      </c>
      <c r="M105">
        <v>61.53</v>
      </c>
      <c r="N105">
        <v>238.3</v>
      </c>
      <c r="O105">
        <v>2.2599999999999998</v>
      </c>
      <c r="P105">
        <v>543.71</v>
      </c>
      <c r="Q105">
        <v>50.7</v>
      </c>
      <c r="R105">
        <v>242.1</v>
      </c>
      <c r="S105">
        <v>3.57</v>
      </c>
      <c r="T105">
        <v>869.16</v>
      </c>
      <c r="U105">
        <v>55.1</v>
      </c>
    </row>
    <row r="106" spans="1:21" x14ac:dyDescent="0.35">
      <c r="A106" s="4" t="s">
        <v>164</v>
      </c>
      <c r="B106">
        <v>1806</v>
      </c>
      <c r="C106">
        <v>0.3</v>
      </c>
      <c r="D106">
        <v>536.86</v>
      </c>
      <c r="E106">
        <v>25.18</v>
      </c>
      <c r="F106">
        <v>1812.05</v>
      </c>
      <c r="G106">
        <v>0.23</v>
      </c>
      <c r="H106">
        <v>407.14</v>
      </c>
      <c r="I106">
        <v>18.13</v>
      </c>
      <c r="J106">
        <v>1756.15</v>
      </c>
      <c r="K106">
        <v>0.3</v>
      </c>
      <c r="L106">
        <v>538.74</v>
      </c>
      <c r="M106">
        <v>23.92</v>
      </c>
      <c r="N106">
        <v>1766.85</v>
      </c>
      <c r="O106">
        <v>0.21</v>
      </c>
      <c r="P106">
        <v>372.74</v>
      </c>
      <c r="Q106">
        <v>26.31</v>
      </c>
      <c r="R106">
        <v>1708.4</v>
      </c>
      <c r="S106">
        <v>0.5</v>
      </c>
      <c r="T106">
        <v>861.58</v>
      </c>
      <c r="U106">
        <v>30.75</v>
      </c>
    </row>
    <row r="107" spans="1:21" x14ac:dyDescent="0.35">
      <c r="A107" s="4" t="s">
        <v>16</v>
      </c>
      <c r="B107">
        <v>345.6</v>
      </c>
      <c r="C107">
        <v>2.68</v>
      </c>
      <c r="D107">
        <v>919.64</v>
      </c>
      <c r="E107">
        <v>48.1</v>
      </c>
      <c r="F107">
        <v>338.7</v>
      </c>
      <c r="G107">
        <v>2.5</v>
      </c>
      <c r="H107">
        <v>854.37</v>
      </c>
      <c r="I107">
        <v>29.43</v>
      </c>
      <c r="J107">
        <v>336.9</v>
      </c>
      <c r="K107">
        <v>2.58</v>
      </c>
      <c r="L107">
        <v>870.97</v>
      </c>
      <c r="M107">
        <v>55.37</v>
      </c>
      <c r="N107">
        <v>337.95</v>
      </c>
      <c r="O107">
        <v>2.04</v>
      </c>
      <c r="P107">
        <v>692.99</v>
      </c>
      <c r="Q107">
        <v>46.58</v>
      </c>
      <c r="R107">
        <v>341.65</v>
      </c>
      <c r="S107">
        <v>2.54</v>
      </c>
      <c r="T107">
        <v>861.46</v>
      </c>
      <c r="U107">
        <v>51.64</v>
      </c>
    </row>
    <row r="108" spans="1:21" x14ac:dyDescent="0.35">
      <c r="A108" s="4" t="s">
        <v>177</v>
      </c>
      <c r="B108">
        <v>2918.3</v>
      </c>
      <c r="C108">
        <v>0.36</v>
      </c>
      <c r="D108">
        <v>1023.04</v>
      </c>
      <c r="E108">
        <v>12.93</v>
      </c>
      <c r="F108">
        <v>2960.15</v>
      </c>
      <c r="G108">
        <v>0.5</v>
      </c>
      <c r="H108">
        <v>1470.64</v>
      </c>
      <c r="I108">
        <v>15.07</v>
      </c>
      <c r="J108">
        <v>2931.95</v>
      </c>
      <c r="K108">
        <v>0.2</v>
      </c>
      <c r="L108">
        <v>596.99</v>
      </c>
      <c r="M108">
        <v>14.83</v>
      </c>
      <c r="N108">
        <v>2892.65</v>
      </c>
      <c r="O108">
        <v>0.35</v>
      </c>
      <c r="P108">
        <v>1015.09</v>
      </c>
      <c r="Q108">
        <v>25.9</v>
      </c>
      <c r="R108">
        <v>2867</v>
      </c>
      <c r="S108">
        <v>0.28999999999999998</v>
      </c>
      <c r="T108">
        <v>844.1</v>
      </c>
      <c r="U108">
        <v>24.89</v>
      </c>
    </row>
    <row r="109" spans="1:21" x14ac:dyDescent="0.35">
      <c r="A109" s="4" t="s">
        <v>73</v>
      </c>
      <c r="B109">
        <v>486.1</v>
      </c>
      <c r="C109">
        <v>5.61</v>
      </c>
      <c r="D109">
        <v>2698.82</v>
      </c>
      <c r="E109">
        <v>26.6</v>
      </c>
      <c r="F109">
        <v>469.3</v>
      </c>
      <c r="G109">
        <v>2.42</v>
      </c>
      <c r="H109">
        <v>1135.69</v>
      </c>
      <c r="I109">
        <v>26.22</v>
      </c>
      <c r="J109">
        <v>465.4</v>
      </c>
      <c r="K109">
        <v>0.94</v>
      </c>
      <c r="L109">
        <v>435.18</v>
      </c>
      <c r="M109">
        <v>34.909999999999997</v>
      </c>
      <c r="N109">
        <v>460.3</v>
      </c>
      <c r="O109">
        <v>1.24</v>
      </c>
      <c r="P109">
        <v>580.42999999999995</v>
      </c>
      <c r="Q109">
        <v>32.270000000000003</v>
      </c>
      <c r="R109">
        <v>478.2</v>
      </c>
      <c r="S109">
        <v>1.76</v>
      </c>
      <c r="T109">
        <v>828.48</v>
      </c>
      <c r="U109">
        <v>43.31</v>
      </c>
    </row>
    <row r="110" spans="1:21" x14ac:dyDescent="0.35">
      <c r="A110" s="4" t="s">
        <v>66</v>
      </c>
      <c r="B110">
        <v>778.9</v>
      </c>
      <c r="C110">
        <v>0.92</v>
      </c>
      <c r="D110">
        <v>733.35</v>
      </c>
      <c r="E110">
        <v>21.42</v>
      </c>
      <c r="F110">
        <v>767.2</v>
      </c>
      <c r="G110">
        <v>1.5</v>
      </c>
      <c r="H110">
        <v>1150.8599999999999</v>
      </c>
      <c r="I110">
        <v>57.11</v>
      </c>
      <c r="J110">
        <v>776.15</v>
      </c>
      <c r="K110">
        <v>1.59</v>
      </c>
      <c r="L110">
        <v>1238.6199999999999</v>
      </c>
      <c r="M110">
        <v>39.159999999999997</v>
      </c>
      <c r="N110">
        <v>776.5</v>
      </c>
      <c r="O110">
        <v>0.36</v>
      </c>
      <c r="P110">
        <v>282.83999999999997</v>
      </c>
      <c r="Q110">
        <v>28.45</v>
      </c>
      <c r="R110">
        <v>798.2</v>
      </c>
      <c r="S110">
        <v>1.03</v>
      </c>
      <c r="T110">
        <v>810.86</v>
      </c>
      <c r="U110">
        <v>40.61</v>
      </c>
    </row>
    <row r="111" spans="1:21" x14ac:dyDescent="0.35">
      <c r="A111" s="4" t="s">
        <v>77</v>
      </c>
      <c r="B111">
        <v>250.55</v>
      </c>
      <c r="C111">
        <v>3.87</v>
      </c>
      <c r="D111">
        <v>972.38</v>
      </c>
      <c r="E111">
        <v>56.25</v>
      </c>
      <c r="F111">
        <v>244.75</v>
      </c>
      <c r="G111">
        <v>3.94</v>
      </c>
      <c r="H111">
        <v>973.24</v>
      </c>
      <c r="I111">
        <v>40.83</v>
      </c>
      <c r="J111">
        <v>250.35</v>
      </c>
      <c r="K111">
        <v>3.19</v>
      </c>
      <c r="L111">
        <v>788.8</v>
      </c>
      <c r="M111">
        <v>44.11</v>
      </c>
      <c r="N111">
        <v>250.3</v>
      </c>
      <c r="O111">
        <v>4.43</v>
      </c>
      <c r="P111">
        <v>1116.71</v>
      </c>
      <c r="Q111">
        <v>69.56</v>
      </c>
      <c r="R111">
        <v>252.8</v>
      </c>
      <c r="S111">
        <v>3.13</v>
      </c>
      <c r="T111">
        <v>790.39</v>
      </c>
      <c r="U111">
        <v>54.67</v>
      </c>
    </row>
    <row r="112" spans="1:21" x14ac:dyDescent="0.35">
      <c r="A112" s="4" t="s">
        <v>174</v>
      </c>
      <c r="B112">
        <v>20346.25</v>
      </c>
      <c r="C112">
        <v>0.06</v>
      </c>
      <c r="D112">
        <v>1122.1300000000001</v>
      </c>
      <c r="E112">
        <v>51.82</v>
      </c>
      <c r="F112">
        <v>20480.650000000001</v>
      </c>
      <c r="G112">
        <v>0.04</v>
      </c>
      <c r="H112">
        <v>838.26</v>
      </c>
      <c r="I112">
        <v>56.58</v>
      </c>
      <c r="J112">
        <v>20207.5</v>
      </c>
      <c r="K112">
        <v>0.03</v>
      </c>
      <c r="L112">
        <v>576.29</v>
      </c>
      <c r="M112">
        <v>59.04</v>
      </c>
      <c r="N112">
        <v>20817.8</v>
      </c>
      <c r="O112">
        <v>0.08</v>
      </c>
      <c r="P112">
        <v>1614.26</v>
      </c>
      <c r="Q112">
        <v>58.25</v>
      </c>
      <c r="R112">
        <v>20927.2</v>
      </c>
      <c r="S112">
        <v>0.04</v>
      </c>
      <c r="T112">
        <v>779.93</v>
      </c>
      <c r="U112">
        <v>67.459999999999994</v>
      </c>
    </row>
    <row r="113" spans="1:21" x14ac:dyDescent="0.35">
      <c r="A113" s="4" t="s">
        <v>100</v>
      </c>
      <c r="B113">
        <v>214.9</v>
      </c>
      <c r="C113">
        <v>4.34</v>
      </c>
      <c r="D113">
        <v>932.89</v>
      </c>
      <c r="E113">
        <v>35.22</v>
      </c>
      <c r="F113">
        <v>209.1</v>
      </c>
      <c r="G113">
        <v>1.05</v>
      </c>
      <c r="H113">
        <v>221.84</v>
      </c>
      <c r="I113">
        <v>35.94</v>
      </c>
      <c r="J113">
        <v>208.95</v>
      </c>
      <c r="K113">
        <v>0.73</v>
      </c>
      <c r="L113">
        <v>153.12</v>
      </c>
      <c r="M113">
        <v>42.24</v>
      </c>
      <c r="N113">
        <v>210.1</v>
      </c>
      <c r="O113">
        <v>2.37</v>
      </c>
      <c r="P113">
        <v>499.85</v>
      </c>
      <c r="Q113">
        <v>59.41</v>
      </c>
      <c r="R113">
        <v>220.15</v>
      </c>
      <c r="S113">
        <v>3.57</v>
      </c>
      <c r="T113">
        <v>771.78</v>
      </c>
      <c r="U113">
        <v>59.38</v>
      </c>
    </row>
    <row r="114" spans="1:21" x14ac:dyDescent="0.35">
      <c r="A114" s="4" t="s">
        <v>90</v>
      </c>
      <c r="B114">
        <v>766.05</v>
      </c>
      <c r="C114">
        <v>0.96</v>
      </c>
      <c r="D114">
        <v>726.8</v>
      </c>
      <c r="E114">
        <v>56.59</v>
      </c>
      <c r="F114">
        <v>745.4</v>
      </c>
      <c r="G114">
        <v>0.26</v>
      </c>
      <c r="H114">
        <v>194.52</v>
      </c>
      <c r="I114">
        <v>50.48</v>
      </c>
      <c r="J114">
        <v>729.15</v>
      </c>
      <c r="K114">
        <v>0.28999999999999998</v>
      </c>
      <c r="L114">
        <v>211.58</v>
      </c>
      <c r="M114">
        <v>45.33</v>
      </c>
      <c r="N114">
        <v>720.95</v>
      </c>
      <c r="O114">
        <v>0.82</v>
      </c>
      <c r="P114">
        <v>589.95000000000005</v>
      </c>
      <c r="Q114">
        <v>55.41</v>
      </c>
      <c r="R114">
        <v>757.85</v>
      </c>
      <c r="S114">
        <v>1.02</v>
      </c>
      <c r="T114">
        <v>761.97</v>
      </c>
      <c r="U114">
        <v>50.01</v>
      </c>
    </row>
    <row r="115" spans="1:21" x14ac:dyDescent="0.35">
      <c r="A115" s="4" t="s">
        <v>37</v>
      </c>
      <c r="B115">
        <v>188.05</v>
      </c>
      <c r="C115">
        <v>3.54</v>
      </c>
      <c r="D115">
        <v>661.44</v>
      </c>
      <c r="E115">
        <v>66.2</v>
      </c>
      <c r="F115">
        <v>183.95</v>
      </c>
      <c r="G115">
        <v>4.3600000000000003</v>
      </c>
      <c r="H115">
        <v>809.62</v>
      </c>
      <c r="I115">
        <v>71.58</v>
      </c>
      <c r="J115">
        <v>182.1</v>
      </c>
      <c r="K115">
        <v>3.92</v>
      </c>
      <c r="L115">
        <v>717.57</v>
      </c>
      <c r="M115">
        <v>74.72</v>
      </c>
      <c r="N115">
        <v>184.65</v>
      </c>
      <c r="O115">
        <v>7.86</v>
      </c>
      <c r="P115">
        <v>1465.77</v>
      </c>
      <c r="Q115">
        <v>76.86</v>
      </c>
      <c r="R115">
        <v>185.65</v>
      </c>
      <c r="S115">
        <v>4.07</v>
      </c>
      <c r="T115">
        <v>755.01</v>
      </c>
      <c r="U115">
        <v>70.510000000000005</v>
      </c>
    </row>
    <row r="116" spans="1:21" x14ac:dyDescent="0.35">
      <c r="A116" s="4" t="s">
        <v>87</v>
      </c>
      <c r="B116">
        <v>1427.6</v>
      </c>
      <c r="C116">
        <v>0.38</v>
      </c>
      <c r="D116">
        <v>540.47</v>
      </c>
      <c r="E116">
        <v>33.49</v>
      </c>
      <c r="F116">
        <v>1419.5</v>
      </c>
      <c r="G116">
        <v>0.35</v>
      </c>
      <c r="H116">
        <v>501</v>
      </c>
      <c r="I116">
        <v>38.090000000000003</v>
      </c>
      <c r="J116">
        <v>1418</v>
      </c>
      <c r="K116">
        <v>0.55000000000000004</v>
      </c>
      <c r="L116">
        <v>768.22</v>
      </c>
      <c r="M116">
        <v>30.74</v>
      </c>
      <c r="N116">
        <v>1418.75</v>
      </c>
      <c r="O116">
        <v>0.41</v>
      </c>
      <c r="P116">
        <v>594.73</v>
      </c>
      <c r="Q116">
        <v>34.56</v>
      </c>
      <c r="R116">
        <v>1484.8</v>
      </c>
      <c r="S116">
        <v>0.52</v>
      </c>
      <c r="T116">
        <v>754.58</v>
      </c>
      <c r="U116">
        <v>34.28</v>
      </c>
    </row>
    <row r="117" spans="1:21" x14ac:dyDescent="0.35">
      <c r="A117" s="4" t="s">
        <v>83</v>
      </c>
      <c r="B117">
        <v>986.65</v>
      </c>
      <c r="C117">
        <v>0.96</v>
      </c>
      <c r="D117">
        <v>937.67</v>
      </c>
      <c r="E117">
        <v>16.2</v>
      </c>
      <c r="F117">
        <v>969.65</v>
      </c>
      <c r="G117">
        <v>0.66</v>
      </c>
      <c r="H117">
        <v>645.29999999999995</v>
      </c>
      <c r="I117">
        <v>18.88</v>
      </c>
      <c r="J117">
        <v>976.8</v>
      </c>
      <c r="K117">
        <v>0.35</v>
      </c>
      <c r="L117">
        <v>344.86</v>
      </c>
      <c r="M117">
        <v>19.18</v>
      </c>
      <c r="N117">
        <v>991.5</v>
      </c>
      <c r="O117">
        <v>0.65</v>
      </c>
      <c r="P117">
        <v>649.38</v>
      </c>
      <c r="Q117">
        <v>26.51</v>
      </c>
      <c r="R117">
        <v>1030.75</v>
      </c>
      <c r="S117">
        <v>0.72</v>
      </c>
      <c r="T117">
        <v>732.61</v>
      </c>
      <c r="U117">
        <v>16.920000000000002</v>
      </c>
    </row>
    <row r="118" spans="1:21" x14ac:dyDescent="0.35">
      <c r="A118" s="4" t="s">
        <v>134</v>
      </c>
      <c r="B118">
        <v>532</v>
      </c>
      <c r="C118">
        <v>1.73</v>
      </c>
      <c r="D118">
        <v>907.09</v>
      </c>
      <c r="E118">
        <v>32.049999999999997</v>
      </c>
      <c r="F118">
        <v>526.6</v>
      </c>
      <c r="G118">
        <v>1.49</v>
      </c>
      <c r="H118">
        <v>792.79</v>
      </c>
      <c r="I118">
        <v>33.53</v>
      </c>
      <c r="J118">
        <v>527.95000000000005</v>
      </c>
      <c r="K118">
        <v>1.34</v>
      </c>
      <c r="L118">
        <v>709.65</v>
      </c>
      <c r="M118">
        <v>31.09</v>
      </c>
      <c r="N118">
        <v>530.70000000000005</v>
      </c>
      <c r="O118">
        <v>2.4300000000000002</v>
      </c>
      <c r="P118">
        <v>1322.56</v>
      </c>
      <c r="Q118">
        <v>41.46</v>
      </c>
      <c r="R118">
        <v>538.54999999999995</v>
      </c>
      <c r="S118">
        <v>1.33</v>
      </c>
      <c r="T118">
        <v>713.64</v>
      </c>
      <c r="U118">
        <v>40.590000000000003</v>
      </c>
    </row>
    <row r="119" spans="1:21" x14ac:dyDescent="0.35">
      <c r="A119" s="4" t="s">
        <v>197</v>
      </c>
      <c r="B119">
        <v>590</v>
      </c>
      <c r="C119">
        <v>1.59</v>
      </c>
      <c r="D119">
        <v>940.07</v>
      </c>
      <c r="E119">
        <v>51.54</v>
      </c>
      <c r="F119">
        <v>583.5</v>
      </c>
      <c r="G119">
        <v>0.67</v>
      </c>
      <c r="H119">
        <v>391.14</v>
      </c>
      <c r="I119">
        <v>19.739999999999998</v>
      </c>
      <c r="J119">
        <v>584.29999999999995</v>
      </c>
      <c r="K119">
        <v>0.8</v>
      </c>
      <c r="L119">
        <v>470.62</v>
      </c>
      <c r="M119">
        <v>45.99</v>
      </c>
      <c r="N119">
        <v>575.5</v>
      </c>
      <c r="O119">
        <v>1.1499999999999999</v>
      </c>
      <c r="P119">
        <v>678.49</v>
      </c>
      <c r="Q119">
        <v>40.15</v>
      </c>
      <c r="R119">
        <v>582.45000000000005</v>
      </c>
      <c r="S119">
        <v>1.23</v>
      </c>
      <c r="T119">
        <v>712.64</v>
      </c>
      <c r="U119">
        <v>50.3</v>
      </c>
    </row>
    <row r="120" spans="1:21" x14ac:dyDescent="0.35">
      <c r="A120" s="4" t="s">
        <v>152</v>
      </c>
      <c r="B120">
        <v>1268.5999999999999</v>
      </c>
      <c r="C120">
        <v>0.16</v>
      </c>
      <c r="D120">
        <v>202.39</v>
      </c>
      <c r="E120">
        <v>48.21</v>
      </c>
      <c r="F120">
        <v>1292.3499999999999</v>
      </c>
      <c r="G120">
        <v>0.68</v>
      </c>
      <c r="H120">
        <v>873.38</v>
      </c>
      <c r="I120">
        <v>47.86</v>
      </c>
      <c r="J120">
        <v>1284</v>
      </c>
      <c r="K120">
        <v>0.35</v>
      </c>
      <c r="L120">
        <v>445.86</v>
      </c>
      <c r="M120">
        <v>59.95</v>
      </c>
      <c r="N120">
        <v>1281.75</v>
      </c>
      <c r="O120">
        <v>0.25</v>
      </c>
      <c r="P120">
        <v>322.94</v>
      </c>
      <c r="Q120">
        <v>52.62</v>
      </c>
      <c r="R120">
        <v>1268.0999999999999</v>
      </c>
      <c r="S120">
        <v>0.54</v>
      </c>
      <c r="T120">
        <v>688.06</v>
      </c>
      <c r="U120">
        <v>67.05</v>
      </c>
    </row>
    <row r="121" spans="1:21" x14ac:dyDescent="0.35">
      <c r="A121" s="4" t="s">
        <v>74</v>
      </c>
      <c r="B121">
        <v>65.95</v>
      </c>
      <c r="C121">
        <v>15.06</v>
      </c>
      <c r="D121">
        <v>989.32</v>
      </c>
      <c r="E121">
        <v>30.81</v>
      </c>
      <c r="F121">
        <v>63.25</v>
      </c>
      <c r="G121">
        <v>10.1</v>
      </c>
      <c r="H121">
        <v>651.16</v>
      </c>
      <c r="I121">
        <v>24.51</v>
      </c>
      <c r="J121">
        <v>65.25</v>
      </c>
      <c r="K121">
        <v>12.71</v>
      </c>
      <c r="L121">
        <v>813.53</v>
      </c>
      <c r="M121">
        <v>21.41</v>
      </c>
      <c r="N121">
        <v>66.55</v>
      </c>
      <c r="O121">
        <v>22.39</v>
      </c>
      <c r="P121">
        <v>1515.76</v>
      </c>
      <c r="Q121">
        <v>29.56</v>
      </c>
      <c r="R121">
        <v>69</v>
      </c>
      <c r="S121">
        <v>10.039999999999999</v>
      </c>
      <c r="T121">
        <v>687.61</v>
      </c>
      <c r="U121">
        <v>20.92</v>
      </c>
    </row>
    <row r="122" spans="1:21" x14ac:dyDescent="0.35">
      <c r="A122" s="4" t="s">
        <v>175</v>
      </c>
      <c r="B122">
        <v>1192.0999999999999</v>
      </c>
      <c r="C122">
        <v>0.41</v>
      </c>
      <c r="D122">
        <v>482.8</v>
      </c>
      <c r="E122">
        <v>29.33</v>
      </c>
      <c r="F122">
        <v>1183.05</v>
      </c>
      <c r="G122">
        <v>0.79</v>
      </c>
      <c r="H122">
        <v>950.6</v>
      </c>
      <c r="I122">
        <v>31.8</v>
      </c>
      <c r="J122">
        <v>1169</v>
      </c>
      <c r="K122">
        <v>0.33</v>
      </c>
      <c r="L122">
        <v>385.04</v>
      </c>
      <c r="M122">
        <v>30.95</v>
      </c>
      <c r="N122">
        <v>1184.8</v>
      </c>
      <c r="O122">
        <v>0.56000000000000005</v>
      </c>
      <c r="P122">
        <v>676.6</v>
      </c>
      <c r="Q122">
        <v>38.450000000000003</v>
      </c>
      <c r="R122">
        <v>1218.95</v>
      </c>
      <c r="S122">
        <v>0.56999999999999995</v>
      </c>
      <c r="T122">
        <v>683.73</v>
      </c>
      <c r="U122">
        <v>48.29</v>
      </c>
    </row>
    <row r="123" spans="1:21" x14ac:dyDescent="0.35">
      <c r="A123" s="4" t="s">
        <v>26</v>
      </c>
      <c r="B123">
        <v>269.55</v>
      </c>
      <c r="C123">
        <v>1.2</v>
      </c>
      <c r="D123">
        <v>323.95999999999998</v>
      </c>
      <c r="E123">
        <v>34.770000000000003</v>
      </c>
      <c r="F123">
        <v>276.10000000000002</v>
      </c>
      <c r="G123">
        <v>4.68</v>
      </c>
      <c r="H123">
        <v>1298.6600000000001</v>
      </c>
      <c r="I123">
        <v>26.49</v>
      </c>
      <c r="J123">
        <v>269.35000000000002</v>
      </c>
      <c r="K123">
        <v>3.24</v>
      </c>
      <c r="L123">
        <v>891.24</v>
      </c>
      <c r="M123">
        <v>38.909999999999997</v>
      </c>
      <c r="N123">
        <v>273.85000000000002</v>
      </c>
      <c r="O123">
        <v>1.6</v>
      </c>
      <c r="P123">
        <v>439.63</v>
      </c>
      <c r="Q123">
        <v>33.479999999999997</v>
      </c>
      <c r="R123">
        <v>277.55</v>
      </c>
      <c r="S123">
        <v>2.4700000000000002</v>
      </c>
      <c r="T123">
        <v>682.54</v>
      </c>
      <c r="U123">
        <v>43.68</v>
      </c>
    </row>
    <row r="124" spans="1:21" x14ac:dyDescent="0.35">
      <c r="A124" s="4" t="s">
        <v>94</v>
      </c>
      <c r="B124">
        <v>30.6</v>
      </c>
      <c r="C124">
        <v>23.59</v>
      </c>
      <c r="D124">
        <v>715.53</v>
      </c>
      <c r="E124">
        <v>28.16</v>
      </c>
      <c r="F124">
        <v>28.85</v>
      </c>
      <c r="G124">
        <v>16.7</v>
      </c>
      <c r="H124">
        <v>493.58</v>
      </c>
      <c r="I124">
        <v>23.94</v>
      </c>
      <c r="J124">
        <v>29</v>
      </c>
      <c r="K124">
        <v>14.28</v>
      </c>
      <c r="L124">
        <v>409.42</v>
      </c>
      <c r="M124">
        <v>23.05</v>
      </c>
      <c r="N124">
        <v>30.45</v>
      </c>
      <c r="O124">
        <v>23.45</v>
      </c>
      <c r="P124">
        <v>716.64</v>
      </c>
      <c r="Q124">
        <v>28.42</v>
      </c>
      <c r="R124">
        <v>31.2</v>
      </c>
      <c r="S124">
        <v>21.89</v>
      </c>
      <c r="T124">
        <v>679.47</v>
      </c>
      <c r="U124">
        <v>8.4</v>
      </c>
    </row>
    <row r="125" spans="1:21" x14ac:dyDescent="0.35">
      <c r="A125" s="4" t="s">
        <v>148</v>
      </c>
      <c r="B125">
        <v>57.2</v>
      </c>
      <c r="C125">
        <v>8.0399999999999991</v>
      </c>
      <c r="D125">
        <v>456.47</v>
      </c>
      <c r="E125">
        <v>29.18</v>
      </c>
      <c r="F125">
        <v>56.3</v>
      </c>
      <c r="G125">
        <v>5.33</v>
      </c>
      <c r="H125">
        <v>302.57</v>
      </c>
      <c r="I125">
        <v>18.329999999999998</v>
      </c>
      <c r="J125">
        <v>57.2</v>
      </c>
      <c r="K125">
        <v>4.91</v>
      </c>
      <c r="L125">
        <v>277.75</v>
      </c>
      <c r="M125">
        <v>23.35</v>
      </c>
      <c r="N125">
        <v>57.6</v>
      </c>
      <c r="O125">
        <v>14.33</v>
      </c>
      <c r="P125">
        <v>845.69</v>
      </c>
      <c r="Q125">
        <v>24.35</v>
      </c>
      <c r="R125">
        <v>61.15</v>
      </c>
      <c r="S125">
        <v>10.93</v>
      </c>
      <c r="T125">
        <v>652.09</v>
      </c>
      <c r="U125">
        <v>28.54</v>
      </c>
    </row>
    <row r="126" spans="1:21" x14ac:dyDescent="0.35">
      <c r="A126" s="4" t="s">
        <v>76</v>
      </c>
      <c r="B126">
        <v>2801.2</v>
      </c>
      <c r="C126">
        <v>0.44</v>
      </c>
      <c r="D126">
        <v>1240.29</v>
      </c>
      <c r="E126">
        <v>54.38</v>
      </c>
      <c r="F126">
        <v>2848.7</v>
      </c>
      <c r="G126">
        <v>0.49</v>
      </c>
      <c r="H126">
        <v>1396.17</v>
      </c>
      <c r="I126">
        <v>39.479999999999997</v>
      </c>
      <c r="J126">
        <v>2852.65</v>
      </c>
      <c r="K126">
        <v>0.39</v>
      </c>
      <c r="L126">
        <v>1122.67</v>
      </c>
      <c r="M126">
        <v>46.69</v>
      </c>
      <c r="N126">
        <v>2838.7</v>
      </c>
      <c r="O126">
        <v>0.26</v>
      </c>
      <c r="P126">
        <v>752.47</v>
      </c>
      <c r="Q126">
        <v>45.57</v>
      </c>
      <c r="R126">
        <v>2851.05</v>
      </c>
      <c r="S126">
        <v>0.23</v>
      </c>
      <c r="T126">
        <v>647.78</v>
      </c>
      <c r="U126">
        <v>38.67</v>
      </c>
    </row>
    <row r="127" spans="1:21" x14ac:dyDescent="0.35">
      <c r="A127" s="4" t="s">
        <v>122</v>
      </c>
      <c r="B127">
        <v>128.05000000000001</v>
      </c>
      <c r="C127">
        <v>3.9</v>
      </c>
      <c r="D127">
        <v>497.86</v>
      </c>
      <c r="E127">
        <v>11.59</v>
      </c>
      <c r="F127">
        <v>124.85</v>
      </c>
      <c r="G127">
        <v>1.86</v>
      </c>
      <c r="H127">
        <v>233.8</v>
      </c>
      <c r="I127">
        <v>14.71</v>
      </c>
      <c r="J127">
        <v>125.75</v>
      </c>
      <c r="K127">
        <v>2.65</v>
      </c>
      <c r="L127">
        <v>330.13</v>
      </c>
      <c r="M127">
        <v>26.61</v>
      </c>
      <c r="N127">
        <v>127.9</v>
      </c>
      <c r="O127">
        <v>6.74</v>
      </c>
      <c r="P127">
        <v>882.65</v>
      </c>
      <c r="Q127">
        <v>9.24</v>
      </c>
      <c r="R127">
        <v>135.80000000000001</v>
      </c>
      <c r="S127">
        <v>4.49</v>
      </c>
      <c r="T127">
        <v>592.87</v>
      </c>
      <c r="U127">
        <v>12.8</v>
      </c>
    </row>
    <row r="128" spans="1:21" x14ac:dyDescent="0.35">
      <c r="A128" s="4" t="s">
        <v>125</v>
      </c>
      <c r="B128">
        <v>53.65</v>
      </c>
      <c r="C128">
        <v>7.19</v>
      </c>
      <c r="D128">
        <v>377.58</v>
      </c>
      <c r="E128">
        <v>21.81</v>
      </c>
      <c r="F128">
        <v>52.95</v>
      </c>
      <c r="G128">
        <v>5.38</v>
      </c>
      <c r="H128">
        <v>283.11</v>
      </c>
      <c r="I128">
        <v>25.37</v>
      </c>
      <c r="J128">
        <v>52.65</v>
      </c>
      <c r="K128">
        <v>4.84</v>
      </c>
      <c r="L128">
        <v>253.62</v>
      </c>
      <c r="M128">
        <v>22.28</v>
      </c>
      <c r="N128">
        <v>51.85</v>
      </c>
      <c r="O128">
        <v>5.96</v>
      </c>
      <c r="P128">
        <v>316.55</v>
      </c>
      <c r="Q128">
        <v>15.39</v>
      </c>
      <c r="R128">
        <v>56.15</v>
      </c>
      <c r="S128">
        <v>10.71</v>
      </c>
      <c r="T128">
        <v>587.64</v>
      </c>
      <c r="U128">
        <v>36.03</v>
      </c>
    </row>
    <row r="129" spans="1:21" x14ac:dyDescent="0.35">
      <c r="A129" s="4" t="s">
        <v>13</v>
      </c>
      <c r="B129">
        <v>237.7</v>
      </c>
      <c r="C129">
        <v>6.98</v>
      </c>
      <c r="D129">
        <v>1659.87</v>
      </c>
      <c r="E129">
        <v>65.099999999999994</v>
      </c>
      <c r="F129">
        <v>237.2</v>
      </c>
      <c r="G129">
        <v>5.82</v>
      </c>
      <c r="H129">
        <v>1384.29</v>
      </c>
      <c r="I129">
        <v>53.61</v>
      </c>
      <c r="J129">
        <v>241.25</v>
      </c>
      <c r="K129">
        <v>3.92</v>
      </c>
      <c r="L129">
        <v>939.37</v>
      </c>
      <c r="M129">
        <v>57.85</v>
      </c>
      <c r="N129">
        <v>244.15</v>
      </c>
      <c r="O129">
        <v>4.9800000000000004</v>
      </c>
      <c r="P129">
        <v>1208.1300000000001</v>
      </c>
      <c r="Q129">
        <v>49.06</v>
      </c>
      <c r="R129">
        <v>244.9</v>
      </c>
      <c r="S129">
        <v>2.41</v>
      </c>
      <c r="T129">
        <v>587.4</v>
      </c>
      <c r="U129">
        <v>33.39</v>
      </c>
    </row>
    <row r="130" spans="1:21" x14ac:dyDescent="0.35">
      <c r="A130" s="4" t="s">
        <v>32</v>
      </c>
      <c r="B130">
        <v>759.55</v>
      </c>
      <c r="C130">
        <v>1.93</v>
      </c>
      <c r="D130">
        <v>1455.64</v>
      </c>
      <c r="E130">
        <v>20.25</v>
      </c>
      <c r="F130">
        <v>747.4</v>
      </c>
      <c r="G130">
        <v>1.98</v>
      </c>
      <c r="H130">
        <v>1501.46</v>
      </c>
      <c r="I130">
        <v>21.78</v>
      </c>
      <c r="J130">
        <v>757.2</v>
      </c>
      <c r="K130">
        <v>1.56</v>
      </c>
      <c r="L130">
        <v>1174.5899999999999</v>
      </c>
      <c r="M130">
        <v>27.37</v>
      </c>
      <c r="N130">
        <v>749.95</v>
      </c>
      <c r="O130">
        <v>1.33</v>
      </c>
      <c r="P130">
        <v>1011.47</v>
      </c>
      <c r="Q130">
        <v>29.42</v>
      </c>
      <c r="R130">
        <v>763.3</v>
      </c>
      <c r="S130">
        <v>0.76</v>
      </c>
      <c r="T130">
        <v>580</v>
      </c>
      <c r="U130">
        <v>27.55</v>
      </c>
    </row>
    <row r="131" spans="1:21" x14ac:dyDescent="0.35">
      <c r="A131" s="4" t="s">
        <v>186</v>
      </c>
      <c r="B131">
        <v>235.85</v>
      </c>
      <c r="C131">
        <v>7.51</v>
      </c>
      <c r="D131">
        <v>1771.06</v>
      </c>
      <c r="E131">
        <v>24.85</v>
      </c>
      <c r="F131">
        <v>232.5</v>
      </c>
      <c r="G131">
        <v>4.4000000000000004</v>
      </c>
      <c r="H131">
        <v>1023.46</v>
      </c>
      <c r="I131">
        <v>23.92</v>
      </c>
      <c r="J131">
        <v>234.05</v>
      </c>
      <c r="K131">
        <v>3.27</v>
      </c>
      <c r="L131">
        <v>763.28</v>
      </c>
      <c r="M131">
        <v>34.85</v>
      </c>
      <c r="N131">
        <v>230.3</v>
      </c>
      <c r="O131">
        <v>3.29</v>
      </c>
      <c r="P131">
        <v>763.46</v>
      </c>
      <c r="Q131">
        <v>37.93</v>
      </c>
      <c r="R131">
        <v>234.9</v>
      </c>
      <c r="S131">
        <v>2.4</v>
      </c>
      <c r="T131">
        <v>559.39</v>
      </c>
      <c r="U131">
        <v>25.33</v>
      </c>
    </row>
    <row r="132" spans="1:21" x14ac:dyDescent="0.35">
      <c r="A132" s="4" t="s">
        <v>194</v>
      </c>
      <c r="B132">
        <v>339.35</v>
      </c>
      <c r="C132">
        <v>2.95</v>
      </c>
      <c r="D132">
        <v>978.29</v>
      </c>
      <c r="E132">
        <v>23.38</v>
      </c>
      <c r="F132">
        <v>330.7</v>
      </c>
      <c r="G132">
        <v>2.06</v>
      </c>
      <c r="H132">
        <v>696.9</v>
      </c>
      <c r="I132">
        <v>10.83</v>
      </c>
      <c r="J132">
        <v>330</v>
      </c>
      <c r="K132">
        <v>1.04</v>
      </c>
      <c r="L132">
        <v>344.21</v>
      </c>
      <c r="M132">
        <v>13.87</v>
      </c>
      <c r="N132">
        <v>332.55</v>
      </c>
      <c r="O132">
        <v>3.03</v>
      </c>
      <c r="P132">
        <v>1036.98</v>
      </c>
      <c r="Q132">
        <v>17.170000000000002</v>
      </c>
      <c r="R132">
        <v>347.25</v>
      </c>
      <c r="S132">
        <v>1.63</v>
      </c>
      <c r="T132">
        <v>557.16</v>
      </c>
      <c r="U132">
        <v>22.62</v>
      </c>
    </row>
    <row r="133" spans="1:21" x14ac:dyDescent="0.35">
      <c r="A133" s="4" t="s">
        <v>138</v>
      </c>
      <c r="B133">
        <v>553.45000000000005</v>
      </c>
      <c r="C133">
        <v>1.83</v>
      </c>
      <c r="D133">
        <v>1004.95</v>
      </c>
      <c r="E133">
        <v>38.61</v>
      </c>
      <c r="F133">
        <v>551.15</v>
      </c>
      <c r="G133">
        <v>2.79</v>
      </c>
      <c r="H133">
        <v>1538.71</v>
      </c>
      <c r="I133">
        <v>41.94</v>
      </c>
      <c r="J133">
        <v>542.79999999999995</v>
      </c>
      <c r="K133">
        <v>0.87</v>
      </c>
      <c r="L133">
        <v>471.39</v>
      </c>
      <c r="M133">
        <v>35.659999999999997</v>
      </c>
      <c r="N133">
        <v>534.20000000000005</v>
      </c>
      <c r="O133">
        <v>1.04</v>
      </c>
      <c r="P133">
        <v>561.67999999999995</v>
      </c>
      <c r="Q133">
        <v>30.63</v>
      </c>
      <c r="R133">
        <v>547.95000000000005</v>
      </c>
      <c r="S133">
        <v>1.01</v>
      </c>
      <c r="T133">
        <v>547.89</v>
      </c>
      <c r="U133">
        <v>38.1</v>
      </c>
    </row>
    <row r="134" spans="1:21" x14ac:dyDescent="0.35">
      <c r="A134" s="4" t="s">
        <v>193</v>
      </c>
      <c r="B134">
        <v>1374.25</v>
      </c>
      <c r="C134">
        <v>0.82</v>
      </c>
      <c r="D134">
        <v>1125.5899999999999</v>
      </c>
      <c r="E134">
        <v>41.92</v>
      </c>
      <c r="F134">
        <v>1426.2</v>
      </c>
      <c r="G134">
        <v>3.38</v>
      </c>
      <c r="H134">
        <v>4820.96</v>
      </c>
      <c r="I134">
        <v>14.68</v>
      </c>
      <c r="J134">
        <v>1425.1</v>
      </c>
      <c r="K134">
        <v>0.93</v>
      </c>
      <c r="L134">
        <v>1309.21</v>
      </c>
      <c r="M134">
        <v>13.53</v>
      </c>
      <c r="N134">
        <v>1386.95</v>
      </c>
      <c r="O134">
        <v>0.81</v>
      </c>
      <c r="P134">
        <v>1128.54</v>
      </c>
      <c r="Q134">
        <v>42.45</v>
      </c>
      <c r="R134">
        <v>1422.35</v>
      </c>
      <c r="S134">
        <v>0.38</v>
      </c>
      <c r="T134">
        <v>539.82000000000005</v>
      </c>
      <c r="U134">
        <v>15.89</v>
      </c>
    </row>
    <row r="135" spans="1:21" x14ac:dyDescent="0.35">
      <c r="A135" s="4" t="s">
        <v>150</v>
      </c>
      <c r="B135">
        <v>10768.15</v>
      </c>
      <c r="C135">
        <v>0.05</v>
      </c>
      <c r="D135">
        <v>532.14</v>
      </c>
      <c r="E135">
        <v>47.24</v>
      </c>
      <c r="F135">
        <v>10609.2</v>
      </c>
      <c r="G135">
        <v>0.05</v>
      </c>
      <c r="H135">
        <v>505.1</v>
      </c>
      <c r="I135">
        <v>39.380000000000003</v>
      </c>
      <c r="J135">
        <v>10700.55</v>
      </c>
      <c r="K135">
        <v>0.03</v>
      </c>
      <c r="L135">
        <v>336.4</v>
      </c>
      <c r="M135">
        <v>56.15</v>
      </c>
      <c r="N135">
        <v>10797.05</v>
      </c>
      <c r="O135">
        <v>0.06</v>
      </c>
      <c r="P135">
        <v>610.22</v>
      </c>
      <c r="Q135">
        <v>44.31</v>
      </c>
      <c r="R135">
        <v>10660.05</v>
      </c>
      <c r="S135">
        <v>0.05</v>
      </c>
      <c r="T135">
        <v>527.17999999999995</v>
      </c>
      <c r="U135">
        <v>52.42</v>
      </c>
    </row>
    <row r="136" spans="1:21" x14ac:dyDescent="0.35">
      <c r="A136" s="4" t="s">
        <v>172</v>
      </c>
      <c r="B136">
        <v>7.05</v>
      </c>
      <c r="C136">
        <v>100</v>
      </c>
      <c r="D136">
        <v>664.52</v>
      </c>
      <c r="E136">
        <v>26.4</v>
      </c>
      <c r="F136">
        <v>6.95</v>
      </c>
      <c r="G136">
        <v>72.88</v>
      </c>
      <c r="H136">
        <v>502.45</v>
      </c>
      <c r="I136">
        <v>19.27</v>
      </c>
      <c r="J136">
        <v>7.75</v>
      </c>
      <c r="K136">
        <v>124.92</v>
      </c>
      <c r="L136">
        <v>918.92</v>
      </c>
      <c r="M136">
        <v>17.64</v>
      </c>
      <c r="N136">
        <v>7.65</v>
      </c>
      <c r="O136">
        <v>150.56</v>
      </c>
      <c r="P136">
        <v>1211.21</v>
      </c>
      <c r="Q136">
        <v>20.65</v>
      </c>
      <c r="R136">
        <v>7.55</v>
      </c>
      <c r="S136">
        <v>69.97</v>
      </c>
      <c r="T136">
        <v>525.32000000000005</v>
      </c>
      <c r="U136">
        <v>16.670000000000002</v>
      </c>
    </row>
    <row r="137" spans="1:21" x14ac:dyDescent="0.35">
      <c r="A137" s="4" t="s">
        <v>161</v>
      </c>
      <c r="B137">
        <v>116.85</v>
      </c>
      <c r="C137">
        <v>6.12</v>
      </c>
      <c r="D137">
        <v>711.82</v>
      </c>
      <c r="E137">
        <v>33.4</v>
      </c>
      <c r="F137">
        <v>111.55</v>
      </c>
      <c r="G137">
        <v>7.29</v>
      </c>
      <c r="H137">
        <v>818.07</v>
      </c>
      <c r="I137">
        <v>49.08</v>
      </c>
      <c r="J137">
        <v>113.4</v>
      </c>
      <c r="K137">
        <v>4.4800000000000004</v>
      </c>
      <c r="L137">
        <v>500.65</v>
      </c>
      <c r="M137">
        <v>41.35</v>
      </c>
      <c r="N137">
        <v>111.4</v>
      </c>
      <c r="O137">
        <v>5.69</v>
      </c>
      <c r="P137">
        <v>652.34</v>
      </c>
      <c r="Q137">
        <v>36.630000000000003</v>
      </c>
      <c r="R137">
        <v>115.4</v>
      </c>
      <c r="S137">
        <v>4.55</v>
      </c>
      <c r="T137">
        <v>519.13</v>
      </c>
      <c r="U137">
        <v>40.049999999999997</v>
      </c>
    </row>
    <row r="138" spans="1:21" x14ac:dyDescent="0.35">
      <c r="A138" s="4" t="s">
        <v>156</v>
      </c>
      <c r="B138">
        <v>95.9</v>
      </c>
      <c r="C138">
        <v>4.67</v>
      </c>
      <c r="D138">
        <v>444.32</v>
      </c>
      <c r="E138">
        <v>11.01</v>
      </c>
      <c r="F138">
        <v>95.2</v>
      </c>
      <c r="G138">
        <v>4.54</v>
      </c>
      <c r="H138">
        <v>435.97</v>
      </c>
      <c r="I138">
        <v>9.7799999999999994</v>
      </c>
      <c r="J138">
        <v>96.8</v>
      </c>
      <c r="K138">
        <v>3.97</v>
      </c>
      <c r="L138">
        <v>380.64</v>
      </c>
      <c r="M138">
        <v>12.24</v>
      </c>
      <c r="N138">
        <v>96.1</v>
      </c>
      <c r="O138">
        <v>7.41</v>
      </c>
      <c r="P138">
        <v>732.07</v>
      </c>
      <c r="Q138">
        <v>10.119999999999999</v>
      </c>
      <c r="R138">
        <v>101.65</v>
      </c>
      <c r="S138">
        <v>5.21</v>
      </c>
      <c r="T138">
        <v>518.01</v>
      </c>
      <c r="U138">
        <v>16.8</v>
      </c>
    </row>
    <row r="139" spans="1:21" x14ac:dyDescent="0.35">
      <c r="A139" s="4" t="s">
        <v>119</v>
      </c>
      <c r="B139">
        <v>254.4</v>
      </c>
      <c r="C139">
        <v>1.87</v>
      </c>
      <c r="D139">
        <v>471.8</v>
      </c>
      <c r="E139">
        <v>14.99</v>
      </c>
      <c r="F139">
        <v>247.2</v>
      </c>
      <c r="G139">
        <v>1.43</v>
      </c>
      <c r="H139">
        <v>357.65</v>
      </c>
      <c r="I139">
        <v>14.32</v>
      </c>
      <c r="J139">
        <v>247.75</v>
      </c>
      <c r="K139">
        <v>1.0900000000000001</v>
      </c>
      <c r="L139">
        <v>268.85000000000002</v>
      </c>
      <c r="M139">
        <v>10.06</v>
      </c>
      <c r="N139">
        <v>253.3</v>
      </c>
      <c r="O139">
        <v>3.97</v>
      </c>
      <c r="P139">
        <v>1038</v>
      </c>
      <c r="Q139">
        <v>19.12</v>
      </c>
      <c r="R139">
        <v>265.39999999999998</v>
      </c>
      <c r="S139">
        <v>1.97</v>
      </c>
      <c r="T139">
        <v>515.71</v>
      </c>
      <c r="U139">
        <v>9.66</v>
      </c>
    </row>
    <row r="140" spans="1:21" x14ac:dyDescent="0.35">
      <c r="A140" s="4" t="s">
        <v>62</v>
      </c>
      <c r="B140">
        <v>182.6</v>
      </c>
      <c r="C140">
        <v>1.96</v>
      </c>
      <c r="D140">
        <v>360.54</v>
      </c>
      <c r="E140">
        <v>30.34</v>
      </c>
      <c r="F140">
        <v>181.9</v>
      </c>
      <c r="G140">
        <v>1.81</v>
      </c>
      <c r="H140">
        <v>330.01</v>
      </c>
      <c r="I140">
        <v>34.659999999999997</v>
      </c>
      <c r="J140">
        <v>183.2</v>
      </c>
      <c r="K140">
        <v>1.08</v>
      </c>
      <c r="L140">
        <v>196.14</v>
      </c>
      <c r="M140">
        <v>16.91</v>
      </c>
      <c r="N140">
        <v>183.6</v>
      </c>
      <c r="O140">
        <v>2.52</v>
      </c>
      <c r="P140">
        <v>467.96</v>
      </c>
      <c r="Q140">
        <v>34.6</v>
      </c>
      <c r="R140">
        <v>194.6</v>
      </c>
      <c r="S140">
        <v>2.67</v>
      </c>
      <c r="T140">
        <v>509.4</v>
      </c>
      <c r="U140">
        <v>27.62</v>
      </c>
    </row>
    <row r="141" spans="1:21" x14ac:dyDescent="0.35">
      <c r="A141" s="4" t="s">
        <v>130</v>
      </c>
      <c r="B141">
        <v>612.1</v>
      </c>
      <c r="C141">
        <v>0.39</v>
      </c>
      <c r="D141">
        <v>234.04</v>
      </c>
      <c r="E141">
        <v>33.79</v>
      </c>
      <c r="F141">
        <v>619.5</v>
      </c>
      <c r="G141">
        <v>0.53</v>
      </c>
      <c r="H141">
        <v>330.62</v>
      </c>
      <c r="I141">
        <v>24.83</v>
      </c>
      <c r="J141">
        <v>609.65</v>
      </c>
      <c r="K141">
        <v>0.62</v>
      </c>
      <c r="L141">
        <v>376.24</v>
      </c>
      <c r="M141">
        <v>54.27</v>
      </c>
      <c r="N141">
        <v>615.79999999999995</v>
      </c>
      <c r="O141">
        <v>0.31</v>
      </c>
      <c r="P141">
        <v>193.53</v>
      </c>
      <c r="Q141">
        <v>26.66</v>
      </c>
      <c r="R141">
        <v>600.9</v>
      </c>
      <c r="S141">
        <v>0.83</v>
      </c>
      <c r="T141">
        <v>502.19</v>
      </c>
      <c r="U141">
        <v>43.07</v>
      </c>
    </row>
    <row r="142" spans="1:21" x14ac:dyDescent="0.35">
      <c r="A142" s="4" t="s">
        <v>189</v>
      </c>
      <c r="B142">
        <v>1654.4</v>
      </c>
      <c r="C142">
        <v>0.12</v>
      </c>
      <c r="D142">
        <v>198.02</v>
      </c>
      <c r="E142">
        <v>36.21</v>
      </c>
      <c r="F142">
        <v>1601.5</v>
      </c>
      <c r="G142">
        <v>1.68</v>
      </c>
      <c r="H142">
        <v>2643.67</v>
      </c>
      <c r="I142">
        <v>30.81</v>
      </c>
      <c r="J142">
        <v>1559.5</v>
      </c>
      <c r="K142">
        <v>0.41</v>
      </c>
      <c r="L142">
        <v>635.67999999999995</v>
      </c>
      <c r="M142">
        <v>32.619999999999997</v>
      </c>
      <c r="N142">
        <v>1552.2</v>
      </c>
      <c r="O142">
        <v>0.3</v>
      </c>
      <c r="P142">
        <v>461.84</v>
      </c>
      <c r="Q142">
        <v>51.26</v>
      </c>
      <c r="R142">
        <v>1528.45</v>
      </c>
      <c r="S142">
        <v>0.33</v>
      </c>
      <c r="T142">
        <v>499.59</v>
      </c>
      <c r="U142">
        <v>49.08</v>
      </c>
    </row>
    <row r="143" spans="1:21" x14ac:dyDescent="0.35">
      <c r="A143" s="4" t="s">
        <v>42</v>
      </c>
      <c r="B143">
        <v>65.75</v>
      </c>
      <c r="C143">
        <v>12.6</v>
      </c>
      <c r="D143">
        <v>835.62</v>
      </c>
      <c r="E143">
        <v>32.35</v>
      </c>
      <c r="F143">
        <v>64.400000000000006</v>
      </c>
      <c r="G143">
        <v>5.27</v>
      </c>
      <c r="H143">
        <v>340.74</v>
      </c>
      <c r="I143">
        <v>34.19</v>
      </c>
      <c r="J143">
        <v>64.8</v>
      </c>
      <c r="K143">
        <v>10.06</v>
      </c>
      <c r="L143">
        <v>648.6</v>
      </c>
      <c r="M143">
        <v>51.72</v>
      </c>
      <c r="N143">
        <v>64.599999999999994</v>
      </c>
      <c r="O143">
        <v>8.01</v>
      </c>
      <c r="P143">
        <v>528.48</v>
      </c>
      <c r="Q143">
        <v>33.64</v>
      </c>
      <c r="R143">
        <v>67.7</v>
      </c>
      <c r="S143">
        <v>7.45</v>
      </c>
      <c r="T143">
        <v>494.59</v>
      </c>
      <c r="U143">
        <v>50.51</v>
      </c>
    </row>
    <row r="144" spans="1:21" x14ac:dyDescent="0.35">
      <c r="A144" s="4" t="s">
        <v>144</v>
      </c>
      <c r="B144">
        <v>54761.3</v>
      </c>
      <c r="C144">
        <v>0.01</v>
      </c>
      <c r="D144">
        <v>502.34</v>
      </c>
      <c r="E144">
        <v>47.94</v>
      </c>
      <c r="F144">
        <v>54772.1</v>
      </c>
      <c r="G144">
        <v>0.01</v>
      </c>
      <c r="H144">
        <v>306.67</v>
      </c>
      <c r="I144">
        <v>47.13</v>
      </c>
      <c r="J144">
        <v>55123.85</v>
      </c>
      <c r="K144">
        <v>0</v>
      </c>
      <c r="L144">
        <v>254.17</v>
      </c>
      <c r="M144">
        <v>55.87</v>
      </c>
      <c r="N144">
        <v>54818.3</v>
      </c>
      <c r="O144">
        <v>0.01</v>
      </c>
      <c r="P144">
        <v>523.99</v>
      </c>
      <c r="Q144">
        <v>40.26</v>
      </c>
      <c r="R144">
        <v>57009.3</v>
      </c>
      <c r="S144">
        <v>0.01</v>
      </c>
      <c r="T144">
        <v>472.38</v>
      </c>
      <c r="U144">
        <v>32.700000000000003</v>
      </c>
    </row>
    <row r="145" spans="1:21" x14ac:dyDescent="0.35">
      <c r="A145" s="4" t="s">
        <v>79</v>
      </c>
      <c r="B145">
        <v>355.1</v>
      </c>
      <c r="C145">
        <v>2.5099999999999998</v>
      </c>
      <c r="D145">
        <v>877.1</v>
      </c>
      <c r="E145">
        <v>16.78</v>
      </c>
      <c r="F145">
        <v>345.2</v>
      </c>
      <c r="G145">
        <v>0.85</v>
      </c>
      <c r="H145">
        <v>295.87</v>
      </c>
      <c r="I145">
        <v>15.66</v>
      </c>
      <c r="J145">
        <v>343.05</v>
      </c>
      <c r="K145">
        <v>1.01</v>
      </c>
      <c r="L145">
        <v>345.34</v>
      </c>
      <c r="M145">
        <v>13.75</v>
      </c>
      <c r="N145">
        <v>340.45</v>
      </c>
      <c r="O145">
        <v>1.1599999999999999</v>
      </c>
      <c r="P145">
        <v>407.3</v>
      </c>
      <c r="Q145">
        <v>24.56</v>
      </c>
      <c r="R145">
        <v>357.7</v>
      </c>
      <c r="S145">
        <v>1.33</v>
      </c>
      <c r="T145">
        <v>470.21</v>
      </c>
      <c r="U145">
        <v>16.39</v>
      </c>
    </row>
    <row r="146" spans="1:21" x14ac:dyDescent="0.35">
      <c r="A146" s="4" t="s">
        <v>92</v>
      </c>
      <c r="B146">
        <v>230.5</v>
      </c>
      <c r="C146">
        <v>3.76</v>
      </c>
      <c r="D146">
        <v>861.58</v>
      </c>
      <c r="E146">
        <v>37.369999999999997</v>
      </c>
      <c r="F146">
        <v>229.2</v>
      </c>
      <c r="G146">
        <v>2.69</v>
      </c>
      <c r="H146">
        <v>618.19000000000005</v>
      </c>
      <c r="I146">
        <v>33.33</v>
      </c>
      <c r="J146">
        <v>230.25</v>
      </c>
      <c r="K146">
        <v>1.67</v>
      </c>
      <c r="L146">
        <v>384.19</v>
      </c>
      <c r="M146">
        <v>41.17</v>
      </c>
      <c r="N146">
        <v>228</v>
      </c>
      <c r="O146">
        <v>1.51</v>
      </c>
      <c r="P146">
        <v>348.42</v>
      </c>
      <c r="Q146">
        <v>24.99</v>
      </c>
      <c r="R146">
        <v>233.65</v>
      </c>
      <c r="S146">
        <v>1.99</v>
      </c>
      <c r="T146">
        <v>463.01</v>
      </c>
      <c r="U146">
        <v>22.5</v>
      </c>
    </row>
    <row r="147" spans="1:21" x14ac:dyDescent="0.35">
      <c r="A147" s="4" t="s">
        <v>84</v>
      </c>
      <c r="B147">
        <v>726.45</v>
      </c>
      <c r="C147">
        <v>0.75</v>
      </c>
      <c r="D147">
        <v>531.34</v>
      </c>
      <c r="E147">
        <v>33.4</v>
      </c>
      <c r="F147">
        <v>717.2</v>
      </c>
      <c r="G147">
        <v>0.27</v>
      </c>
      <c r="H147">
        <v>196.01</v>
      </c>
      <c r="I147">
        <v>43.17</v>
      </c>
      <c r="J147">
        <v>720.25</v>
      </c>
      <c r="K147">
        <v>0.18</v>
      </c>
      <c r="L147">
        <v>130.66999999999999</v>
      </c>
      <c r="M147">
        <v>25.55</v>
      </c>
      <c r="N147">
        <v>726.55</v>
      </c>
      <c r="O147">
        <v>0.32</v>
      </c>
      <c r="P147">
        <v>236.23</v>
      </c>
      <c r="Q147">
        <v>39.229999999999997</v>
      </c>
      <c r="R147">
        <v>743.25</v>
      </c>
      <c r="S147">
        <v>0.61</v>
      </c>
      <c r="T147">
        <v>451.17</v>
      </c>
      <c r="U147">
        <v>17.100000000000001</v>
      </c>
    </row>
    <row r="148" spans="1:21" x14ac:dyDescent="0.35">
      <c r="A148" s="4" t="s">
        <v>97</v>
      </c>
      <c r="B148">
        <v>115.55</v>
      </c>
      <c r="C148">
        <v>4.75</v>
      </c>
      <c r="D148">
        <v>543.55999999999995</v>
      </c>
      <c r="E148">
        <v>31.55</v>
      </c>
      <c r="F148">
        <v>112.55</v>
      </c>
      <c r="G148">
        <v>1.39</v>
      </c>
      <c r="H148">
        <v>157.96</v>
      </c>
      <c r="I148">
        <v>26.5</v>
      </c>
      <c r="J148">
        <v>113.25</v>
      </c>
      <c r="K148">
        <v>1.1399999999999999</v>
      </c>
      <c r="L148">
        <v>127.8</v>
      </c>
      <c r="M148">
        <v>32.69</v>
      </c>
      <c r="N148">
        <v>115.5</v>
      </c>
      <c r="O148">
        <v>5.66</v>
      </c>
      <c r="P148">
        <v>659.27</v>
      </c>
      <c r="Q148">
        <v>42.3</v>
      </c>
      <c r="R148">
        <v>120</v>
      </c>
      <c r="S148">
        <v>3.77</v>
      </c>
      <c r="T148">
        <v>448.04</v>
      </c>
      <c r="U148">
        <v>46.76</v>
      </c>
    </row>
    <row r="149" spans="1:21" x14ac:dyDescent="0.35">
      <c r="A149" s="4" t="s">
        <v>168</v>
      </c>
      <c r="B149">
        <v>145.55000000000001</v>
      </c>
      <c r="C149">
        <v>4.71</v>
      </c>
      <c r="D149">
        <v>680.26</v>
      </c>
      <c r="E149">
        <v>31.19</v>
      </c>
      <c r="F149">
        <v>140.35</v>
      </c>
      <c r="G149">
        <v>4.55</v>
      </c>
      <c r="H149">
        <v>641.9</v>
      </c>
      <c r="I149">
        <v>43.79</v>
      </c>
      <c r="J149">
        <v>141.80000000000001</v>
      </c>
      <c r="K149">
        <v>2.56</v>
      </c>
      <c r="L149">
        <v>360.71</v>
      </c>
      <c r="M149">
        <v>22.06</v>
      </c>
      <c r="N149">
        <v>142.9</v>
      </c>
      <c r="O149">
        <v>6.21</v>
      </c>
      <c r="P149">
        <v>910.37</v>
      </c>
      <c r="Q149">
        <v>30.07</v>
      </c>
      <c r="R149">
        <v>144.4</v>
      </c>
      <c r="S149">
        <v>3.04</v>
      </c>
      <c r="T149">
        <v>437.52</v>
      </c>
      <c r="U149">
        <v>35.93</v>
      </c>
    </row>
    <row r="150" spans="1:21" x14ac:dyDescent="0.35">
      <c r="A150" s="4" t="s">
        <v>60</v>
      </c>
      <c r="B150">
        <v>640.85</v>
      </c>
      <c r="C150">
        <v>0.7</v>
      </c>
      <c r="D150">
        <v>452.94</v>
      </c>
      <c r="E150">
        <v>57.67</v>
      </c>
      <c r="F150">
        <v>629.1</v>
      </c>
      <c r="G150">
        <v>0.18</v>
      </c>
      <c r="H150">
        <v>114.33</v>
      </c>
      <c r="I150">
        <v>22.95</v>
      </c>
      <c r="J150">
        <v>616.1</v>
      </c>
      <c r="K150">
        <v>1</v>
      </c>
      <c r="L150">
        <v>610.6</v>
      </c>
      <c r="M150">
        <v>20.63</v>
      </c>
      <c r="N150">
        <v>621.9</v>
      </c>
      <c r="O150">
        <v>0.34</v>
      </c>
      <c r="P150">
        <v>210.83</v>
      </c>
      <c r="Q150">
        <v>27.32</v>
      </c>
      <c r="R150">
        <v>638.6</v>
      </c>
      <c r="S150">
        <v>0.69</v>
      </c>
      <c r="T150">
        <v>432.62</v>
      </c>
      <c r="U150">
        <v>35.700000000000003</v>
      </c>
    </row>
    <row r="151" spans="1:21" x14ac:dyDescent="0.35">
      <c r="A151" s="4" t="s">
        <v>139</v>
      </c>
      <c r="B151">
        <v>845.35</v>
      </c>
      <c r="C151">
        <v>0.31</v>
      </c>
      <c r="D151">
        <v>261.81</v>
      </c>
      <c r="E151">
        <v>52.65</v>
      </c>
      <c r="F151">
        <v>827.15</v>
      </c>
      <c r="G151">
        <v>0.18</v>
      </c>
      <c r="H151">
        <v>154.15</v>
      </c>
      <c r="I151">
        <v>29.46</v>
      </c>
      <c r="J151">
        <v>833.65</v>
      </c>
      <c r="K151">
        <v>0.18</v>
      </c>
      <c r="L151">
        <v>145.51</v>
      </c>
      <c r="M151">
        <v>32.659999999999997</v>
      </c>
      <c r="N151">
        <v>810</v>
      </c>
      <c r="O151">
        <v>0.27</v>
      </c>
      <c r="P151">
        <v>218.76</v>
      </c>
      <c r="Q151">
        <v>30.15</v>
      </c>
      <c r="R151">
        <v>844.95</v>
      </c>
      <c r="S151">
        <v>0.49</v>
      </c>
      <c r="T151">
        <v>412.64</v>
      </c>
      <c r="U151">
        <v>39.18</v>
      </c>
    </row>
    <row r="152" spans="1:21" x14ac:dyDescent="0.35">
      <c r="A152" s="4" t="s">
        <v>102</v>
      </c>
      <c r="B152">
        <v>576.70000000000005</v>
      </c>
      <c r="C152">
        <v>0.38</v>
      </c>
      <c r="D152">
        <v>219.02</v>
      </c>
      <c r="E152">
        <v>32.119999999999997</v>
      </c>
      <c r="F152">
        <v>575.45000000000005</v>
      </c>
      <c r="G152">
        <v>0.52</v>
      </c>
      <c r="H152">
        <v>296.44</v>
      </c>
      <c r="I152">
        <v>27.43</v>
      </c>
      <c r="J152">
        <v>570.04999999999995</v>
      </c>
      <c r="K152">
        <v>0.47</v>
      </c>
      <c r="L152">
        <v>267.52</v>
      </c>
      <c r="M152">
        <v>56.39</v>
      </c>
      <c r="N152">
        <v>562.35</v>
      </c>
      <c r="O152">
        <v>0.78</v>
      </c>
      <c r="P152">
        <v>447.28</v>
      </c>
      <c r="Q152">
        <v>63.91</v>
      </c>
      <c r="R152">
        <v>559</v>
      </c>
      <c r="S152">
        <v>0.71</v>
      </c>
      <c r="T152">
        <v>395.35</v>
      </c>
      <c r="U152">
        <v>51.04</v>
      </c>
    </row>
    <row r="153" spans="1:21" x14ac:dyDescent="0.35">
      <c r="A153" s="4" t="s">
        <v>198</v>
      </c>
      <c r="B153">
        <v>387.7</v>
      </c>
      <c r="C153">
        <v>1.24</v>
      </c>
      <c r="D153">
        <v>474.65</v>
      </c>
      <c r="E153">
        <v>16.32</v>
      </c>
      <c r="F153">
        <v>383.8</v>
      </c>
      <c r="G153">
        <v>1.34</v>
      </c>
      <c r="H153">
        <v>524.19000000000005</v>
      </c>
      <c r="I153">
        <v>9.41</v>
      </c>
      <c r="J153">
        <v>394.3</v>
      </c>
      <c r="K153">
        <v>1.34</v>
      </c>
      <c r="L153">
        <v>525.64</v>
      </c>
      <c r="M153">
        <v>13.73</v>
      </c>
      <c r="N153">
        <v>391.35</v>
      </c>
      <c r="O153">
        <v>0.9</v>
      </c>
      <c r="P153">
        <v>358.22</v>
      </c>
      <c r="Q153">
        <v>11.71</v>
      </c>
      <c r="R153">
        <v>407.1</v>
      </c>
      <c r="S153">
        <v>0.98</v>
      </c>
      <c r="T153">
        <v>394.56</v>
      </c>
      <c r="U153">
        <v>19.559999999999999</v>
      </c>
    </row>
    <row r="154" spans="1:21" x14ac:dyDescent="0.35">
      <c r="A154" s="4" t="s">
        <v>141</v>
      </c>
      <c r="B154">
        <v>875.45</v>
      </c>
      <c r="C154">
        <v>0.12</v>
      </c>
      <c r="D154">
        <v>108.88</v>
      </c>
      <c r="E154">
        <v>36.83</v>
      </c>
      <c r="F154">
        <v>855.9</v>
      </c>
      <c r="G154">
        <v>0.15</v>
      </c>
      <c r="H154">
        <v>131.44999999999999</v>
      </c>
      <c r="I154">
        <v>51.63</v>
      </c>
      <c r="J154">
        <v>849.25</v>
      </c>
      <c r="K154">
        <v>0.17</v>
      </c>
      <c r="L154">
        <v>145.66</v>
      </c>
      <c r="M154">
        <v>49.62</v>
      </c>
      <c r="N154">
        <v>876.7</v>
      </c>
      <c r="O154">
        <v>0.35</v>
      </c>
      <c r="P154">
        <v>309.33999999999997</v>
      </c>
      <c r="Q154">
        <v>56.1</v>
      </c>
      <c r="R154">
        <v>881.75</v>
      </c>
      <c r="S154">
        <v>0.41</v>
      </c>
      <c r="T154">
        <v>358.58</v>
      </c>
      <c r="U154">
        <v>41.29</v>
      </c>
    </row>
    <row r="155" spans="1:21" x14ac:dyDescent="0.35">
      <c r="A155" s="4" t="s">
        <v>153</v>
      </c>
      <c r="B155">
        <v>96.05</v>
      </c>
      <c r="C155">
        <v>3.7</v>
      </c>
      <c r="D155">
        <v>353.2</v>
      </c>
      <c r="E155">
        <v>38.659999999999997</v>
      </c>
      <c r="F155">
        <v>93.05</v>
      </c>
      <c r="G155">
        <v>3.5</v>
      </c>
      <c r="H155">
        <v>329.8</v>
      </c>
      <c r="I155">
        <v>42.95</v>
      </c>
      <c r="J155">
        <v>94.65</v>
      </c>
      <c r="K155">
        <v>5.0199999999999996</v>
      </c>
      <c r="L155">
        <v>475.27</v>
      </c>
      <c r="M155">
        <v>51.4</v>
      </c>
      <c r="N155">
        <v>96.25</v>
      </c>
      <c r="O155">
        <v>8.4600000000000009</v>
      </c>
      <c r="P155">
        <v>818.03</v>
      </c>
      <c r="Q155">
        <v>51.17</v>
      </c>
      <c r="R155">
        <v>97.8</v>
      </c>
      <c r="S155">
        <v>3.59</v>
      </c>
      <c r="T155">
        <v>347.57</v>
      </c>
      <c r="U155">
        <v>32.229999999999997</v>
      </c>
    </row>
    <row r="156" spans="1:21" x14ac:dyDescent="0.35">
      <c r="A156" s="4" t="s">
        <v>71</v>
      </c>
      <c r="B156">
        <v>313.3</v>
      </c>
      <c r="C156">
        <v>0.49</v>
      </c>
      <c r="D156">
        <v>151.18</v>
      </c>
      <c r="E156">
        <v>44.54</v>
      </c>
      <c r="F156">
        <v>311.85000000000002</v>
      </c>
      <c r="G156">
        <v>0.75</v>
      </c>
      <c r="H156">
        <v>235.21</v>
      </c>
      <c r="I156">
        <v>44.72</v>
      </c>
      <c r="J156">
        <v>310.5</v>
      </c>
      <c r="K156">
        <v>0.6</v>
      </c>
      <c r="L156">
        <v>185.3</v>
      </c>
      <c r="M156">
        <v>26.63</v>
      </c>
      <c r="N156">
        <v>307.45</v>
      </c>
      <c r="O156">
        <v>0.33</v>
      </c>
      <c r="P156">
        <v>102.03</v>
      </c>
      <c r="Q156">
        <v>23.31</v>
      </c>
      <c r="R156">
        <v>310.5</v>
      </c>
      <c r="S156">
        <v>1.07</v>
      </c>
      <c r="T156">
        <v>331.13</v>
      </c>
      <c r="U156">
        <v>45.84</v>
      </c>
    </row>
    <row r="157" spans="1:21" x14ac:dyDescent="0.35">
      <c r="A157" s="4" t="s">
        <v>89</v>
      </c>
      <c r="B157">
        <v>496.85</v>
      </c>
      <c r="C157">
        <v>0.31</v>
      </c>
      <c r="D157">
        <v>153.82</v>
      </c>
      <c r="E157">
        <v>32.21</v>
      </c>
      <c r="F157">
        <v>482.85</v>
      </c>
      <c r="G157">
        <v>0.71</v>
      </c>
      <c r="H157">
        <v>344.81</v>
      </c>
      <c r="I157">
        <v>56.39</v>
      </c>
      <c r="J157">
        <v>484.75</v>
      </c>
      <c r="K157">
        <v>0.79</v>
      </c>
      <c r="L157">
        <v>379.82</v>
      </c>
      <c r="M157">
        <v>65.959999999999994</v>
      </c>
      <c r="N157">
        <v>492.1</v>
      </c>
      <c r="O157">
        <v>2.12</v>
      </c>
      <c r="P157">
        <v>1042.6500000000001</v>
      </c>
      <c r="Q157">
        <v>78.849999999999994</v>
      </c>
      <c r="R157">
        <v>505.55</v>
      </c>
      <c r="S157">
        <v>0.66</v>
      </c>
      <c r="T157">
        <v>326.98</v>
      </c>
      <c r="U157">
        <v>43.37</v>
      </c>
    </row>
    <row r="158" spans="1:21" x14ac:dyDescent="0.35">
      <c r="A158" s="4" t="s">
        <v>185</v>
      </c>
      <c r="B158">
        <v>861.4</v>
      </c>
      <c r="C158">
        <v>0.62</v>
      </c>
      <c r="D158">
        <v>539.33000000000004</v>
      </c>
      <c r="E158">
        <v>42.78</v>
      </c>
      <c r="F158">
        <v>840.95</v>
      </c>
      <c r="G158">
        <v>0.45</v>
      </c>
      <c r="H158">
        <v>384.17</v>
      </c>
      <c r="I158">
        <v>29.19</v>
      </c>
      <c r="J158">
        <v>850.45</v>
      </c>
      <c r="K158">
        <v>0.48</v>
      </c>
      <c r="L158">
        <v>407.07</v>
      </c>
      <c r="M158">
        <v>17.73</v>
      </c>
      <c r="N158">
        <v>847.7</v>
      </c>
      <c r="O158">
        <v>0.32</v>
      </c>
      <c r="P158">
        <v>275.85000000000002</v>
      </c>
      <c r="Q158">
        <v>22.48</v>
      </c>
      <c r="R158">
        <v>862.5</v>
      </c>
      <c r="S158">
        <v>0.37</v>
      </c>
      <c r="T158">
        <v>314.81</v>
      </c>
      <c r="U158">
        <v>20.68</v>
      </c>
    </row>
    <row r="159" spans="1:21" x14ac:dyDescent="0.35">
      <c r="A159" s="4" t="s">
        <v>183</v>
      </c>
      <c r="B159">
        <v>609.45000000000005</v>
      </c>
      <c r="C159">
        <v>1.99</v>
      </c>
      <c r="D159">
        <v>1229.0999999999999</v>
      </c>
      <c r="E159">
        <v>54.84</v>
      </c>
      <c r="F159">
        <v>616.4</v>
      </c>
      <c r="G159">
        <v>1.64</v>
      </c>
      <c r="H159">
        <v>1001.21</v>
      </c>
      <c r="I159">
        <v>43.47</v>
      </c>
      <c r="J159">
        <v>622.5</v>
      </c>
      <c r="K159">
        <v>1.08</v>
      </c>
      <c r="L159">
        <v>671.75</v>
      </c>
      <c r="M159">
        <v>36.67</v>
      </c>
      <c r="N159">
        <v>616.35</v>
      </c>
      <c r="O159">
        <v>0.6</v>
      </c>
      <c r="P159">
        <v>374.59</v>
      </c>
      <c r="Q159">
        <v>30.35</v>
      </c>
      <c r="R159">
        <v>628.35</v>
      </c>
      <c r="S159">
        <v>0.5</v>
      </c>
      <c r="T159">
        <v>313.42</v>
      </c>
      <c r="U159">
        <v>43.14</v>
      </c>
    </row>
    <row r="160" spans="1:21" x14ac:dyDescent="0.35">
      <c r="A160" s="4" t="s">
        <v>140</v>
      </c>
      <c r="B160">
        <v>414.7</v>
      </c>
      <c r="C160">
        <v>0.27</v>
      </c>
      <c r="D160">
        <v>110.48</v>
      </c>
      <c r="E160">
        <v>40.6</v>
      </c>
      <c r="F160">
        <v>412.35</v>
      </c>
      <c r="G160">
        <v>0.64</v>
      </c>
      <c r="H160">
        <v>263.10000000000002</v>
      </c>
      <c r="I160">
        <v>64.349999999999994</v>
      </c>
      <c r="J160">
        <v>408.4</v>
      </c>
      <c r="K160">
        <v>0.27</v>
      </c>
      <c r="L160">
        <v>111.49</v>
      </c>
      <c r="M160">
        <v>46.12</v>
      </c>
      <c r="N160">
        <v>413.75</v>
      </c>
      <c r="O160">
        <v>0.33</v>
      </c>
      <c r="P160">
        <v>135.75</v>
      </c>
      <c r="Q160">
        <v>28.19</v>
      </c>
      <c r="R160">
        <v>428.2</v>
      </c>
      <c r="S160">
        <v>0.73</v>
      </c>
      <c r="T160">
        <v>311.61</v>
      </c>
      <c r="U160">
        <v>48.66</v>
      </c>
    </row>
    <row r="161" spans="1:21" x14ac:dyDescent="0.35">
      <c r="A161" s="4" t="s">
        <v>117</v>
      </c>
      <c r="B161">
        <v>313.55</v>
      </c>
      <c r="C161">
        <v>0.75</v>
      </c>
      <c r="D161">
        <v>235.56</v>
      </c>
      <c r="E161">
        <v>33.549999999999997</v>
      </c>
      <c r="F161">
        <v>307.05</v>
      </c>
      <c r="G161">
        <v>0.69</v>
      </c>
      <c r="H161">
        <v>212.67</v>
      </c>
      <c r="I161">
        <v>41.18</v>
      </c>
      <c r="J161">
        <v>305.60000000000002</v>
      </c>
      <c r="K161">
        <v>0.75</v>
      </c>
      <c r="L161">
        <v>229.25</v>
      </c>
      <c r="M161">
        <v>43.39</v>
      </c>
      <c r="N161">
        <v>306.35000000000002</v>
      </c>
      <c r="O161">
        <v>1.22</v>
      </c>
      <c r="P161">
        <v>377.7</v>
      </c>
      <c r="Q161">
        <v>43.57</v>
      </c>
      <c r="R161">
        <v>314.05</v>
      </c>
      <c r="S161">
        <v>0.97</v>
      </c>
      <c r="T161">
        <v>304.52</v>
      </c>
      <c r="U161">
        <v>29.75</v>
      </c>
    </row>
    <row r="162" spans="1:21" x14ac:dyDescent="0.35">
      <c r="A162" s="4" t="s">
        <v>61</v>
      </c>
      <c r="B162">
        <v>1198.3</v>
      </c>
      <c r="C162">
        <v>0.33</v>
      </c>
      <c r="D162">
        <v>388.93</v>
      </c>
      <c r="E162">
        <v>41.62</v>
      </c>
      <c r="F162">
        <v>1172.7</v>
      </c>
      <c r="G162">
        <v>0.25</v>
      </c>
      <c r="H162">
        <v>301.86</v>
      </c>
      <c r="I162">
        <v>19.13</v>
      </c>
      <c r="J162">
        <v>1162.95</v>
      </c>
      <c r="K162">
        <v>0.22</v>
      </c>
      <c r="L162">
        <v>257.74</v>
      </c>
      <c r="M162">
        <v>25</v>
      </c>
      <c r="N162">
        <v>1150.0999999999999</v>
      </c>
      <c r="O162">
        <v>0.22</v>
      </c>
      <c r="P162">
        <v>260.17</v>
      </c>
      <c r="Q162">
        <v>30.65</v>
      </c>
      <c r="R162">
        <v>1170.5</v>
      </c>
      <c r="S162">
        <v>0.26</v>
      </c>
      <c r="T162">
        <v>301.83999999999997</v>
      </c>
      <c r="U162">
        <v>23.65</v>
      </c>
    </row>
    <row r="163" spans="1:21" x14ac:dyDescent="0.35">
      <c r="A163" s="4" t="s">
        <v>187</v>
      </c>
      <c r="B163">
        <v>88.85</v>
      </c>
      <c r="C163">
        <v>5.28</v>
      </c>
      <c r="D163">
        <v>459.98</v>
      </c>
      <c r="E163">
        <v>33.159999999999997</v>
      </c>
      <c r="F163">
        <v>83.15</v>
      </c>
      <c r="G163">
        <v>8.32</v>
      </c>
      <c r="H163">
        <v>705.5</v>
      </c>
      <c r="I163">
        <v>28.75</v>
      </c>
      <c r="J163">
        <v>85.4</v>
      </c>
      <c r="K163">
        <v>3.01</v>
      </c>
      <c r="L163">
        <v>254</v>
      </c>
      <c r="M163">
        <v>22.66</v>
      </c>
      <c r="N163">
        <v>84.85</v>
      </c>
      <c r="O163">
        <v>4.8899999999999997</v>
      </c>
      <c r="P163">
        <v>418.36</v>
      </c>
      <c r="Q163">
        <v>33.869999999999997</v>
      </c>
      <c r="R163">
        <v>86.85</v>
      </c>
      <c r="S163">
        <v>3.39</v>
      </c>
      <c r="T163">
        <v>291.88</v>
      </c>
      <c r="U163">
        <v>33.57</v>
      </c>
    </row>
    <row r="164" spans="1:21" x14ac:dyDescent="0.35">
      <c r="A164" s="4" t="s">
        <v>181</v>
      </c>
      <c r="B164">
        <v>5.85</v>
      </c>
      <c r="C164">
        <v>51.63</v>
      </c>
      <c r="D164">
        <v>292.66000000000003</v>
      </c>
      <c r="E164">
        <v>31.91</v>
      </c>
      <c r="F164">
        <v>5.55</v>
      </c>
      <c r="G164">
        <v>60.89</v>
      </c>
      <c r="H164">
        <v>348.78</v>
      </c>
      <c r="I164">
        <v>24.74</v>
      </c>
      <c r="J164">
        <v>5.6</v>
      </c>
      <c r="K164">
        <v>38.1</v>
      </c>
      <c r="L164">
        <v>210.45</v>
      </c>
      <c r="M164">
        <v>26.89</v>
      </c>
      <c r="N164">
        <v>5.4</v>
      </c>
      <c r="O164">
        <v>60.69</v>
      </c>
      <c r="P164">
        <v>337.17</v>
      </c>
      <c r="Q164">
        <v>29.85</v>
      </c>
      <c r="R164">
        <v>5.7</v>
      </c>
      <c r="S164">
        <v>50.96</v>
      </c>
      <c r="T164">
        <v>285.52</v>
      </c>
      <c r="U164">
        <v>21.27</v>
      </c>
    </row>
    <row r="165" spans="1:21" x14ac:dyDescent="0.35">
      <c r="A165" s="4" t="s">
        <v>165</v>
      </c>
      <c r="B165">
        <v>783.4</v>
      </c>
      <c r="C165">
        <v>0.26</v>
      </c>
      <c r="D165">
        <v>199.69</v>
      </c>
      <c r="E165">
        <v>40.65</v>
      </c>
      <c r="F165">
        <v>768.45</v>
      </c>
      <c r="G165">
        <v>0.36</v>
      </c>
      <c r="H165">
        <v>277.39999999999998</v>
      </c>
      <c r="I165">
        <v>56.16</v>
      </c>
      <c r="J165">
        <v>766.85</v>
      </c>
      <c r="K165">
        <v>0.64</v>
      </c>
      <c r="L165">
        <v>493.9</v>
      </c>
      <c r="M165">
        <v>17.13</v>
      </c>
      <c r="N165">
        <v>790.7</v>
      </c>
      <c r="O165">
        <v>0.6</v>
      </c>
      <c r="P165">
        <v>481.15</v>
      </c>
      <c r="Q165">
        <v>38.31</v>
      </c>
      <c r="R165">
        <v>814.4</v>
      </c>
      <c r="S165">
        <v>0.35</v>
      </c>
      <c r="T165">
        <v>284.26</v>
      </c>
      <c r="U165">
        <v>38.619999999999997</v>
      </c>
    </row>
    <row r="166" spans="1:21" x14ac:dyDescent="0.35">
      <c r="A166" s="4" t="s">
        <v>147</v>
      </c>
      <c r="B166">
        <v>51.5</v>
      </c>
      <c r="C166">
        <v>6.12</v>
      </c>
      <c r="D166">
        <v>310.93</v>
      </c>
      <c r="E166">
        <v>36.049999999999997</v>
      </c>
      <c r="F166">
        <v>49.2</v>
      </c>
      <c r="G166">
        <v>9.3699999999999992</v>
      </c>
      <c r="H166">
        <v>464.93</v>
      </c>
      <c r="I166">
        <v>44.13</v>
      </c>
      <c r="J166">
        <v>49.95</v>
      </c>
      <c r="K166">
        <v>4.1500000000000004</v>
      </c>
      <c r="L166">
        <v>206.32</v>
      </c>
      <c r="M166">
        <v>33.78</v>
      </c>
      <c r="N166">
        <v>48.75</v>
      </c>
      <c r="O166">
        <v>12.11</v>
      </c>
      <c r="P166">
        <v>599.55999999999995</v>
      </c>
      <c r="Q166">
        <v>44.23</v>
      </c>
      <c r="R166">
        <v>49.65</v>
      </c>
      <c r="S166">
        <v>5.59</v>
      </c>
      <c r="T166">
        <v>275.45</v>
      </c>
      <c r="U166">
        <v>34.64</v>
      </c>
    </row>
    <row r="167" spans="1:21" x14ac:dyDescent="0.35">
      <c r="A167" s="4" t="s">
        <v>59</v>
      </c>
      <c r="B167">
        <v>46.35</v>
      </c>
      <c r="C167">
        <v>7.05</v>
      </c>
      <c r="D167">
        <v>321.18</v>
      </c>
      <c r="E167">
        <v>13.79</v>
      </c>
      <c r="F167">
        <v>45.15</v>
      </c>
      <c r="G167">
        <v>5.12</v>
      </c>
      <c r="H167">
        <v>233.9</v>
      </c>
      <c r="I167">
        <v>13.81</v>
      </c>
      <c r="J167">
        <v>47.9</v>
      </c>
      <c r="K167">
        <v>6.83</v>
      </c>
      <c r="L167">
        <v>318.63</v>
      </c>
      <c r="M167">
        <v>15.2</v>
      </c>
      <c r="N167">
        <v>45.6</v>
      </c>
      <c r="O167">
        <v>10.14</v>
      </c>
      <c r="P167">
        <v>484.91</v>
      </c>
      <c r="Q167">
        <v>14.39</v>
      </c>
      <c r="R167">
        <v>47.4</v>
      </c>
      <c r="S167">
        <v>5.82</v>
      </c>
      <c r="T167">
        <v>272.14999999999998</v>
      </c>
      <c r="U167">
        <v>12.85</v>
      </c>
    </row>
    <row r="168" spans="1:21" x14ac:dyDescent="0.35">
      <c r="A168" s="4" t="s">
        <v>103</v>
      </c>
      <c r="B168">
        <v>15.7</v>
      </c>
      <c r="C168">
        <v>21.24</v>
      </c>
      <c r="D168">
        <v>335.01</v>
      </c>
      <c r="E168">
        <v>35.119999999999997</v>
      </c>
      <c r="F168">
        <v>15.4</v>
      </c>
      <c r="G168">
        <v>12.67</v>
      </c>
      <c r="H168">
        <v>196.6</v>
      </c>
      <c r="I168">
        <v>46.94</v>
      </c>
      <c r="J168">
        <v>15.4</v>
      </c>
      <c r="K168">
        <v>10.62</v>
      </c>
      <c r="L168">
        <v>163.13</v>
      </c>
      <c r="M168">
        <v>39.11</v>
      </c>
      <c r="N168">
        <v>15.85</v>
      </c>
      <c r="O168">
        <v>36.57</v>
      </c>
      <c r="P168">
        <v>589.82000000000005</v>
      </c>
      <c r="Q168">
        <v>30.63</v>
      </c>
      <c r="R168">
        <v>16.8</v>
      </c>
      <c r="S168">
        <v>15.54</v>
      </c>
      <c r="T168">
        <v>256.13</v>
      </c>
      <c r="U168">
        <v>26.9</v>
      </c>
    </row>
    <row r="169" spans="1:21" x14ac:dyDescent="0.35">
      <c r="A169" s="4" t="s">
        <v>10</v>
      </c>
      <c r="B169">
        <v>17621.75</v>
      </c>
      <c r="C169">
        <v>0.01</v>
      </c>
      <c r="D169">
        <v>191.43</v>
      </c>
      <c r="E169">
        <v>48.64</v>
      </c>
      <c r="F169">
        <v>17410.7</v>
      </c>
      <c r="G169">
        <v>0.06</v>
      </c>
      <c r="H169">
        <v>981.57</v>
      </c>
      <c r="I169">
        <v>37.29</v>
      </c>
      <c r="J169">
        <v>16809.3</v>
      </c>
      <c r="K169">
        <v>0.03</v>
      </c>
      <c r="L169">
        <v>539.99</v>
      </c>
      <c r="M169">
        <v>49.75</v>
      </c>
      <c r="N169">
        <v>16785.75</v>
      </c>
      <c r="O169">
        <v>0.03</v>
      </c>
      <c r="P169">
        <v>538.9</v>
      </c>
      <c r="Q169">
        <v>66.63</v>
      </c>
      <c r="R169">
        <v>16972.5</v>
      </c>
      <c r="S169">
        <v>0.02</v>
      </c>
      <c r="T169">
        <v>254.96</v>
      </c>
      <c r="U169">
        <v>60.01</v>
      </c>
    </row>
    <row r="170" spans="1:21" x14ac:dyDescent="0.35">
      <c r="A170" s="4" t="s">
        <v>179</v>
      </c>
      <c r="B170">
        <v>422.25</v>
      </c>
      <c r="C170">
        <v>0.66</v>
      </c>
      <c r="D170">
        <v>277.54000000000002</v>
      </c>
      <c r="E170">
        <v>15.03</v>
      </c>
      <c r="F170">
        <v>411.75</v>
      </c>
      <c r="G170">
        <v>1.78</v>
      </c>
      <c r="H170">
        <v>751.53</v>
      </c>
      <c r="I170">
        <v>12.57</v>
      </c>
      <c r="J170">
        <v>414.25</v>
      </c>
      <c r="K170">
        <v>1.1299999999999999</v>
      </c>
      <c r="L170">
        <v>463.69</v>
      </c>
      <c r="M170">
        <v>10.77</v>
      </c>
      <c r="N170">
        <v>415.1</v>
      </c>
      <c r="O170">
        <v>0.84</v>
      </c>
      <c r="P170">
        <v>352.45</v>
      </c>
      <c r="Q170">
        <v>11.98</v>
      </c>
      <c r="R170">
        <v>421.45</v>
      </c>
      <c r="S170">
        <v>0.6</v>
      </c>
      <c r="T170">
        <v>252.66</v>
      </c>
      <c r="U170">
        <v>11.39</v>
      </c>
    </row>
    <row r="171" spans="1:21" x14ac:dyDescent="0.35">
      <c r="A171" s="4" t="s">
        <v>115</v>
      </c>
      <c r="B171">
        <v>37.700000000000003</v>
      </c>
      <c r="C171">
        <v>10.1</v>
      </c>
      <c r="D171">
        <v>379.76</v>
      </c>
      <c r="E171">
        <v>41.8</v>
      </c>
      <c r="F171">
        <v>36.549999999999997</v>
      </c>
      <c r="G171">
        <v>4.78</v>
      </c>
      <c r="H171">
        <v>175.05</v>
      </c>
      <c r="I171">
        <v>40.869999999999997</v>
      </c>
      <c r="J171">
        <v>36.15</v>
      </c>
      <c r="K171">
        <v>6.77</v>
      </c>
      <c r="L171">
        <v>240.72</v>
      </c>
      <c r="M171">
        <v>41.11</v>
      </c>
      <c r="N171">
        <v>35.950000000000003</v>
      </c>
      <c r="O171">
        <v>4.99</v>
      </c>
      <c r="P171">
        <v>182.05</v>
      </c>
      <c r="Q171">
        <v>37.32</v>
      </c>
      <c r="R171">
        <v>38.549999999999997</v>
      </c>
      <c r="S171">
        <v>6.69</v>
      </c>
      <c r="T171">
        <v>251.96</v>
      </c>
      <c r="U171">
        <v>25.56</v>
      </c>
    </row>
    <row r="172" spans="1:21" x14ac:dyDescent="0.35">
      <c r="A172" s="4" t="s">
        <v>113</v>
      </c>
      <c r="B172">
        <v>37.6</v>
      </c>
      <c r="C172">
        <v>7</v>
      </c>
      <c r="D172">
        <v>257.69</v>
      </c>
      <c r="E172">
        <v>26.08</v>
      </c>
      <c r="F172">
        <v>35.450000000000003</v>
      </c>
      <c r="G172">
        <v>6.03</v>
      </c>
      <c r="H172">
        <v>218.57</v>
      </c>
      <c r="I172">
        <v>22.8</v>
      </c>
      <c r="J172">
        <v>36.549999999999997</v>
      </c>
      <c r="K172">
        <v>12.57</v>
      </c>
      <c r="L172">
        <v>448.28</v>
      </c>
      <c r="M172">
        <v>14.47</v>
      </c>
      <c r="N172">
        <v>36.15</v>
      </c>
      <c r="O172">
        <v>15.06</v>
      </c>
      <c r="P172">
        <v>560.35</v>
      </c>
      <c r="Q172">
        <v>10.68</v>
      </c>
      <c r="R172">
        <v>37.4</v>
      </c>
      <c r="S172">
        <v>6.79</v>
      </c>
      <c r="T172">
        <v>251.9</v>
      </c>
      <c r="U172">
        <v>13.96</v>
      </c>
    </row>
    <row r="173" spans="1:21" x14ac:dyDescent="0.35">
      <c r="A173" s="4" t="s">
        <v>132</v>
      </c>
      <c r="B173">
        <v>116.95</v>
      </c>
      <c r="C173">
        <v>2.71</v>
      </c>
      <c r="D173">
        <v>311.61</v>
      </c>
      <c r="E173">
        <v>32.49</v>
      </c>
      <c r="F173">
        <v>112.75</v>
      </c>
      <c r="G173">
        <v>2.29</v>
      </c>
      <c r="H173">
        <v>262.33</v>
      </c>
      <c r="I173">
        <v>22.99</v>
      </c>
      <c r="J173">
        <v>111.45</v>
      </c>
      <c r="K173">
        <v>1.69</v>
      </c>
      <c r="L173">
        <v>189.14</v>
      </c>
      <c r="M173">
        <v>32.020000000000003</v>
      </c>
      <c r="N173">
        <v>110.55</v>
      </c>
      <c r="O173">
        <v>3.25</v>
      </c>
      <c r="P173">
        <v>368.65</v>
      </c>
      <c r="Q173">
        <v>26.12</v>
      </c>
      <c r="R173">
        <v>115.15</v>
      </c>
      <c r="S173">
        <v>2.12</v>
      </c>
      <c r="T173">
        <v>240.69</v>
      </c>
      <c r="U173">
        <v>30.5</v>
      </c>
    </row>
    <row r="174" spans="1:21" x14ac:dyDescent="0.35">
      <c r="A174" s="4" t="s">
        <v>111</v>
      </c>
      <c r="B174">
        <v>261.10000000000002</v>
      </c>
      <c r="C174">
        <v>0.77</v>
      </c>
      <c r="D174">
        <v>200.74</v>
      </c>
      <c r="E174">
        <v>40.020000000000003</v>
      </c>
      <c r="F174">
        <v>255.25</v>
      </c>
      <c r="G174">
        <v>0.61</v>
      </c>
      <c r="H174">
        <v>156.6</v>
      </c>
      <c r="I174">
        <v>50.19</v>
      </c>
      <c r="J174">
        <v>250.45</v>
      </c>
      <c r="K174">
        <v>1.34</v>
      </c>
      <c r="L174">
        <v>337.15</v>
      </c>
      <c r="M174">
        <v>64.7</v>
      </c>
      <c r="N174">
        <v>248.6</v>
      </c>
      <c r="O174">
        <v>0.78</v>
      </c>
      <c r="P174">
        <v>196.85</v>
      </c>
      <c r="Q174">
        <v>52.9</v>
      </c>
      <c r="R174">
        <v>252.8</v>
      </c>
      <c r="S174">
        <v>0.92</v>
      </c>
      <c r="T174">
        <v>230.18</v>
      </c>
      <c r="U174">
        <v>39.5</v>
      </c>
    </row>
    <row r="175" spans="1:21" x14ac:dyDescent="0.35">
      <c r="A175" s="4" t="s">
        <v>110</v>
      </c>
      <c r="B175">
        <v>357.05</v>
      </c>
      <c r="C175">
        <v>0.75</v>
      </c>
      <c r="D175">
        <v>266.08</v>
      </c>
      <c r="E175">
        <v>44</v>
      </c>
      <c r="F175">
        <v>357.85</v>
      </c>
      <c r="G175">
        <v>1.1399999999999999</v>
      </c>
      <c r="H175">
        <v>412.15</v>
      </c>
      <c r="I175">
        <v>26.56</v>
      </c>
      <c r="J175">
        <v>356.7</v>
      </c>
      <c r="K175">
        <v>0.36</v>
      </c>
      <c r="L175">
        <v>128.38999999999999</v>
      </c>
      <c r="M175">
        <v>21.77</v>
      </c>
      <c r="N175">
        <v>356.15</v>
      </c>
      <c r="O175">
        <v>0.49</v>
      </c>
      <c r="P175">
        <v>176.77</v>
      </c>
      <c r="Q175">
        <v>53.07</v>
      </c>
      <c r="R175">
        <v>351.05</v>
      </c>
      <c r="S175">
        <v>0.63</v>
      </c>
      <c r="T175">
        <v>220.01</v>
      </c>
      <c r="U175">
        <v>42.22</v>
      </c>
    </row>
    <row r="176" spans="1:21" x14ac:dyDescent="0.35">
      <c r="A176" s="4" t="s">
        <v>182</v>
      </c>
      <c r="B176">
        <v>35</v>
      </c>
      <c r="C176">
        <v>7.56</v>
      </c>
      <c r="D176">
        <v>260.56</v>
      </c>
      <c r="E176">
        <v>17.73</v>
      </c>
      <c r="F176">
        <v>34.049999999999997</v>
      </c>
      <c r="G176">
        <v>6.5</v>
      </c>
      <c r="H176">
        <v>224.13</v>
      </c>
      <c r="I176">
        <v>11.58</v>
      </c>
      <c r="J176">
        <v>34.700000000000003</v>
      </c>
      <c r="K176">
        <v>5.36</v>
      </c>
      <c r="L176">
        <v>183.33</v>
      </c>
      <c r="M176">
        <v>15.85</v>
      </c>
      <c r="N176">
        <v>34.1</v>
      </c>
      <c r="O176">
        <v>10.43</v>
      </c>
      <c r="P176">
        <v>368.79</v>
      </c>
      <c r="Q176">
        <v>14.1</v>
      </c>
      <c r="R176">
        <v>35.9</v>
      </c>
      <c r="S176">
        <v>6.17</v>
      </c>
      <c r="T176">
        <v>217.65</v>
      </c>
      <c r="U176">
        <v>16.07</v>
      </c>
    </row>
    <row r="177" spans="1:21" x14ac:dyDescent="0.35">
      <c r="A177" s="4" t="s">
        <v>98</v>
      </c>
      <c r="B177">
        <v>135.85</v>
      </c>
      <c r="C177">
        <v>2.44</v>
      </c>
      <c r="D177">
        <v>329.47</v>
      </c>
      <c r="E177">
        <v>47.88</v>
      </c>
      <c r="F177">
        <v>132.85</v>
      </c>
      <c r="G177">
        <v>0.73</v>
      </c>
      <c r="H177">
        <v>97.51</v>
      </c>
      <c r="I177">
        <v>25.11</v>
      </c>
      <c r="J177">
        <v>133.19999999999999</v>
      </c>
      <c r="K177">
        <v>1.06</v>
      </c>
      <c r="L177">
        <v>139.99</v>
      </c>
      <c r="M177">
        <v>37.130000000000003</v>
      </c>
      <c r="N177">
        <v>134.4</v>
      </c>
      <c r="O177">
        <v>6</v>
      </c>
      <c r="P177">
        <v>821.94</v>
      </c>
      <c r="Q177">
        <v>41.88</v>
      </c>
      <c r="R177">
        <v>137.05000000000001</v>
      </c>
      <c r="S177">
        <v>1.57</v>
      </c>
      <c r="T177">
        <v>214.65</v>
      </c>
      <c r="U177">
        <v>36.130000000000003</v>
      </c>
    </row>
    <row r="178" spans="1:21" x14ac:dyDescent="0.35">
      <c r="A178" s="4" t="s">
        <v>176</v>
      </c>
      <c r="B178">
        <v>14.05</v>
      </c>
      <c r="C178">
        <v>18.899999999999999</v>
      </c>
      <c r="D178">
        <v>263.75</v>
      </c>
      <c r="E178">
        <v>37.450000000000003</v>
      </c>
      <c r="F178">
        <v>13.8</v>
      </c>
      <c r="G178">
        <v>17.010000000000002</v>
      </c>
      <c r="H178">
        <v>236.74</v>
      </c>
      <c r="I178">
        <v>25.81</v>
      </c>
      <c r="J178">
        <v>13.9</v>
      </c>
      <c r="K178">
        <v>12.48</v>
      </c>
      <c r="L178">
        <v>172.21</v>
      </c>
      <c r="M178">
        <v>34.86</v>
      </c>
      <c r="N178">
        <v>13.9</v>
      </c>
      <c r="O178">
        <v>24.39</v>
      </c>
      <c r="P178">
        <v>344.91</v>
      </c>
      <c r="Q178">
        <v>22.09</v>
      </c>
      <c r="R178">
        <v>14.35</v>
      </c>
      <c r="S178">
        <v>14.51</v>
      </c>
      <c r="T178">
        <v>206.47</v>
      </c>
      <c r="U178">
        <v>35.159999999999997</v>
      </c>
    </row>
    <row r="179" spans="1:21" x14ac:dyDescent="0.35">
      <c r="A179" s="4" t="s">
        <v>145</v>
      </c>
      <c r="B179">
        <v>62.95</v>
      </c>
      <c r="C179">
        <v>2.68</v>
      </c>
      <c r="D179">
        <v>169.85</v>
      </c>
      <c r="E179">
        <v>55.61</v>
      </c>
      <c r="F179">
        <v>61.7</v>
      </c>
      <c r="G179">
        <v>1.83</v>
      </c>
      <c r="H179">
        <v>113.21</v>
      </c>
      <c r="I179">
        <v>19.059999999999999</v>
      </c>
      <c r="J179">
        <v>62</v>
      </c>
      <c r="K179">
        <v>4.0599999999999996</v>
      </c>
      <c r="L179">
        <v>250.8</v>
      </c>
      <c r="M179">
        <v>30.44</v>
      </c>
      <c r="N179">
        <v>62.7</v>
      </c>
      <c r="O179">
        <v>2.23</v>
      </c>
      <c r="P179">
        <v>139.38999999999999</v>
      </c>
      <c r="Q179">
        <v>47.75</v>
      </c>
      <c r="R179">
        <v>62.95</v>
      </c>
      <c r="S179">
        <v>3.18</v>
      </c>
      <c r="T179">
        <v>200.43</v>
      </c>
      <c r="U179">
        <v>47.45</v>
      </c>
    </row>
    <row r="180" spans="1:21" x14ac:dyDescent="0.35">
      <c r="A180" s="4" t="s">
        <v>85</v>
      </c>
      <c r="B180">
        <v>38.85</v>
      </c>
      <c r="C180">
        <v>10.17</v>
      </c>
      <c r="D180">
        <v>388.4</v>
      </c>
      <c r="E180">
        <v>30.03</v>
      </c>
      <c r="F180">
        <v>37.9</v>
      </c>
      <c r="G180">
        <v>5.21</v>
      </c>
      <c r="H180">
        <v>198.41</v>
      </c>
      <c r="I180">
        <v>11.83</v>
      </c>
      <c r="J180">
        <v>38.9</v>
      </c>
      <c r="K180">
        <v>7.43</v>
      </c>
      <c r="L180">
        <v>285.26</v>
      </c>
      <c r="M180">
        <v>13.12</v>
      </c>
      <c r="N180">
        <v>38.15</v>
      </c>
      <c r="O180">
        <v>6.43</v>
      </c>
      <c r="P180">
        <v>249.08</v>
      </c>
      <c r="Q180">
        <v>12.55</v>
      </c>
      <c r="R180">
        <v>39.200000000000003</v>
      </c>
      <c r="S180">
        <v>5.16</v>
      </c>
      <c r="T180">
        <v>199.34</v>
      </c>
      <c r="U180">
        <v>16.91</v>
      </c>
    </row>
    <row r="181" spans="1:21" x14ac:dyDescent="0.35">
      <c r="A181" s="4" t="s">
        <v>121</v>
      </c>
      <c r="B181">
        <v>45.8</v>
      </c>
      <c r="C181">
        <v>9.91</v>
      </c>
      <c r="D181">
        <v>449.68</v>
      </c>
      <c r="E181">
        <v>21.45</v>
      </c>
      <c r="F181">
        <v>45.3</v>
      </c>
      <c r="G181">
        <v>4.45</v>
      </c>
      <c r="H181">
        <v>200.54</v>
      </c>
      <c r="I181">
        <v>15.97</v>
      </c>
      <c r="J181">
        <v>45.85</v>
      </c>
      <c r="K181">
        <v>4.62</v>
      </c>
      <c r="L181">
        <v>210.11</v>
      </c>
      <c r="M181">
        <v>20.57</v>
      </c>
      <c r="N181">
        <v>44.9</v>
      </c>
      <c r="O181">
        <v>4.88</v>
      </c>
      <c r="P181">
        <v>224.88</v>
      </c>
      <c r="Q181">
        <v>18.91</v>
      </c>
      <c r="R181">
        <v>46.1</v>
      </c>
      <c r="S181">
        <v>4.33</v>
      </c>
      <c r="T181">
        <v>198.39</v>
      </c>
      <c r="U181">
        <v>17.5</v>
      </c>
    </row>
    <row r="182" spans="1:21" x14ac:dyDescent="0.35">
      <c r="A182" s="4" t="s">
        <v>88</v>
      </c>
      <c r="B182">
        <v>1168.25</v>
      </c>
      <c r="C182">
        <v>0.62</v>
      </c>
      <c r="D182">
        <v>717.42</v>
      </c>
      <c r="E182">
        <v>63.16</v>
      </c>
      <c r="F182">
        <v>1157.9000000000001</v>
      </c>
      <c r="G182">
        <v>0.34</v>
      </c>
      <c r="H182">
        <v>398.29</v>
      </c>
      <c r="I182">
        <v>49.81</v>
      </c>
      <c r="J182">
        <v>1151.4000000000001</v>
      </c>
      <c r="K182">
        <v>0.14000000000000001</v>
      </c>
      <c r="L182">
        <v>159.82</v>
      </c>
      <c r="M182">
        <v>20.48</v>
      </c>
      <c r="N182">
        <v>1153.3</v>
      </c>
      <c r="O182">
        <v>0.34</v>
      </c>
      <c r="P182">
        <v>394.53</v>
      </c>
      <c r="Q182">
        <v>47.33</v>
      </c>
      <c r="R182">
        <v>1161.5999999999999</v>
      </c>
      <c r="S182">
        <v>0.16</v>
      </c>
      <c r="T182">
        <v>186.72</v>
      </c>
      <c r="U182">
        <v>33.78</v>
      </c>
    </row>
    <row r="183" spans="1:21" x14ac:dyDescent="0.35">
      <c r="A183" s="4" t="s">
        <v>155</v>
      </c>
      <c r="B183">
        <v>182.4</v>
      </c>
      <c r="C183">
        <v>2.64</v>
      </c>
      <c r="D183">
        <v>480.6</v>
      </c>
      <c r="E183">
        <v>34.18</v>
      </c>
      <c r="F183">
        <v>181.9</v>
      </c>
      <c r="G183">
        <v>0.97</v>
      </c>
      <c r="H183">
        <v>177.27</v>
      </c>
      <c r="I183">
        <v>43.56</v>
      </c>
      <c r="J183">
        <v>182.35</v>
      </c>
      <c r="K183">
        <v>1.27</v>
      </c>
      <c r="L183">
        <v>232.91</v>
      </c>
      <c r="M183">
        <v>38.159999999999997</v>
      </c>
      <c r="N183">
        <v>184</v>
      </c>
      <c r="O183">
        <v>2.29</v>
      </c>
      <c r="P183">
        <v>421.43</v>
      </c>
      <c r="Q183">
        <v>55.76</v>
      </c>
      <c r="R183">
        <v>184.3</v>
      </c>
      <c r="S183">
        <v>0.98</v>
      </c>
      <c r="T183">
        <v>180.33</v>
      </c>
      <c r="U183">
        <v>38.97</v>
      </c>
    </row>
    <row r="184" spans="1:21" x14ac:dyDescent="0.35">
      <c r="A184" s="4" t="s">
        <v>63</v>
      </c>
      <c r="B184">
        <v>80.2</v>
      </c>
      <c r="C184">
        <v>5.8</v>
      </c>
      <c r="D184">
        <v>464.29</v>
      </c>
      <c r="E184">
        <v>15.65</v>
      </c>
      <c r="F184">
        <v>77.25</v>
      </c>
      <c r="G184">
        <v>2.04</v>
      </c>
      <c r="H184">
        <v>159.59</v>
      </c>
      <c r="I184">
        <v>19.75</v>
      </c>
      <c r="J184">
        <v>77.7</v>
      </c>
      <c r="K184">
        <v>1.36</v>
      </c>
      <c r="L184">
        <v>105.04</v>
      </c>
      <c r="M184">
        <v>19.579999999999998</v>
      </c>
      <c r="N184">
        <v>74.900000000000006</v>
      </c>
      <c r="O184">
        <v>2.5</v>
      </c>
      <c r="P184">
        <v>191.72</v>
      </c>
      <c r="Q184">
        <v>27.3</v>
      </c>
      <c r="R184">
        <v>77.95</v>
      </c>
      <c r="S184">
        <v>2.34</v>
      </c>
      <c r="T184">
        <v>180.01</v>
      </c>
      <c r="U184">
        <v>24.29</v>
      </c>
    </row>
    <row r="185" spans="1:21" x14ac:dyDescent="0.35">
      <c r="A185" s="4" t="s">
        <v>58</v>
      </c>
      <c r="B185">
        <v>1026.9000000000001</v>
      </c>
      <c r="C185">
        <v>0.47</v>
      </c>
      <c r="D185">
        <v>481.26</v>
      </c>
      <c r="E185">
        <v>34.61</v>
      </c>
      <c r="F185">
        <v>1016.25</v>
      </c>
      <c r="G185">
        <v>0.27</v>
      </c>
      <c r="H185">
        <v>276.85000000000002</v>
      </c>
      <c r="I185">
        <v>22.33</v>
      </c>
      <c r="J185">
        <v>1025.6500000000001</v>
      </c>
      <c r="K185">
        <v>0.2</v>
      </c>
      <c r="L185">
        <v>198.31</v>
      </c>
      <c r="M185">
        <v>15.24</v>
      </c>
      <c r="N185">
        <v>1008.9</v>
      </c>
      <c r="O185">
        <v>0.15</v>
      </c>
      <c r="P185">
        <v>153.28</v>
      </c>
      <c r="Q185">
        <v>15.32</v>
      </c>
      <c r="R185">
        <v>1039.25</v>
      </c>
      <c r="S185">
        <v>0.17</v>
      </c>
      <c r="T185">
        <v>173.74</v>
      </c>
      <c r="U185">
        <v>30.66</v>
      </c>
    </row>
    <row r="186" spans="1:21" x14ac:dyDescent="0.35">
      <c r="A186" s="4" t="s">
        <v>86</v>
      </c>
      <c r="B186">
        <v>213.35</v>
      </c>
      <c r="C186">
        <v>1.47</v>
      </c>
      <c r="D186">
        <v>315.63</v>
      </c>
      <c r="E186">
        <v>49.84</v>
      </c>
      <c r="F186">
        <v>207</v>
      </c>
      <c r="G186">
        <v>0.36</v>
      </c>
      <c r="H186">
        <v>76.290000000000006</v>
      </c>
      <c r="I186">
        <v>34.75</v>
      </c>
      <c r="J186">
        <v>210.15</v>
      </c>
      <c r="K186">
        <v>0.37</v>
      </c>
      <c r="L186">
        <v>76.790000000000006</v>
      </c>
      <c r="M186">
        <v>26.51</v>
      </c>
      <c r="N186">
        <v>208.95</v>
      </c>
      <c r="O186">
        <v>0.4</v>
      </c>
      <c r="P186">
        <v>84.03</v>
      </c>
      <c r="Q186">
        <v>28.62</v>
      </c>
      <c r="R186">
        <v>217.95</v>
      </c>
      <c r="S186">
        <v>0.8</v>
      </c>
      <c r="T186">
        <v>170.68</v>
      </c>
      <c r="U186">
        <v>18.62</v>
      </c>
    </row>
    <row r="187" spans="1:21" x14ac:dyDescent="0.35">
      <c r="A187" s="4" t="s">
        <v>151</v>
      </c>
      <c r="B187">
        <v>23.15</v>
      </c>
      <c r="C187">
        <v>2.62</v>
      </c>
      <c r="D187">
        <v>60.07</v>
      </c>
      <c r="E187">
        <v>45.99</v>
      </c>
      <c r="F187">
        <v>22.85</v>
      </c>
      <c r="G187">
        <v>1.77</v>
      </c>
      <c r="H187">
        <v>40.71</v>
      </c>
      <c r="I187">
        <v>41.03</v>
      </c>
      <c r="J187">
        <v>22.95</v>
      </c>
      <c r="K187">
        <v>5.23</v>
      </c>
      <c r="L187">
        <v>119.62</v>
      </c>
      <c r="M187">
        <v>63.05</v>
      </c>
      <c r="N187">
        <v>22.8</v>
      </c>
      <c r="O187">
        <v>3.89</v>
      </c>
      <c r="P187">
        <v>89.11</v>
      </c>
      <c r="Q187">
        <v>54.67</v>
      </c>
      <c r="R187">
        <v>23.05</v>
      </c>
      <c r="S187">
        <v>7.07</v>
      </c>
      <c r="T187">
        <v>162.80000000000001</v>
      </c>
      <c r="U187">
        <v>52.96</v>
      </c>
    </row>
    <row r="188" spans="1:21" x14ac:dyDescent="0.35">
      <c r="A188" s="4" t="s">
        <v>104</v>
      </c>
      <c r="B188">
        <v>1060.95</v>
      </c>
      <c r="C188">
        <v>0.21</v>
      </c>
      <c r="D188">
        <v>226.49</v>
      </c>
      <c r="E188">
        <v>15.15</v>
      </c>
      <c r="F188">
        <v>1031.25</v>
      </c>
      <c r="G188">
        <v>0.11</v>
      </c>
      <c r="H188">
        <v>117.42</v>
      </c>
      <c r="I188">
        <v>10.86</v>
      </c>
      <c r="J188">
        <v>1013.85</v>
      </c>
      <c r="K188">
        <v>0.09</v>
      </c>
      <c r="L188">
        <v>86.75</v>
      </c>
      <c r="M188">
        <v>21.18</v>
      </c>
      <c r="N188">
        <v>991.95</v>
      </c>
      <c r="O188">
        <v>0.08</v>
      </c>
      <c r="P188">
        <v>77.62</v>
      </c>
      <c r="Q188">
        <v>25.44</v>
      </c>
      <c r="R188">
        <v>1029.55</v>
      </c>
      <c r="S188">
        <v>0.15</v>
      </c>
      <c r="T188">
        <v>156.9</v>
      </c>
      <c r="U188">
        <v>22.15</v>
      </c>
    </row>
    <row r="189" spans="1:21" x14ac:dyDescent="0.35">
      <c r="A189" s="4" t="s">
        <v>171</v>
      </c>
      <c r="B189">
        <v>437.3</v>
      </c>
      <c r="C189">
        <v>0.23</v>
      </c>
      <c r="D189">
        <v>99.87</v>
      </c>
      <c r="E189">
        <v>16.190000000000001</v>
      </c>
      <c r="F189">
        <v>425.7</v>
      </c>
      <c r="G189">
        <v>0.25</v>
      </c>
      <c r="H189">
        <v>107.02</v>
      </c>
      <c r="I189">
        <v>10.51</v>
      </c>
      <c r="J189">
        <v>418.35</v>
      </c>
      <c r="K189">
        <v>0.14000000000000001</v>
      </c>
      <c r="L189">
        <v>59.14</v>
      </c>
      <c r="M189">
        <v>21.73</v>
      </c>
      <c r="N189">
        <v>419.3</v>
      </c>
      <c r="O189">
        <v>0.44</v>
      </c>
      <c r="P189">
        <v>191.29</v>
      </c>
      <c r="Q189">
        <v>18.96</v>
      </c>
      <c r="R189">
        <v>419.85</v>
      </c>
      <c r="S189">
        <v>0.34</v>
      </c>
      <c r="T189">
        <v>144.38999999999999</v>
      </c>
      <c r="U189">
        <v>50.18</v>
      </c>
    </row>
    <row r="190" spans="1:21" x14ac:dyDescent="0.35">
      <c r="A190" s="4" t="s">
        <v>191</v>
      </c>
      <c r="B190">
        <v>28.85</v>
      </c>
      <c r="C190">
        <v>6.19</v>
      </c>
      <c r="D190">
        <v>177.93</v>
      </c>
      <c r="E190">
        <v>30.17</v>
      </c>
      <c r="F190">
        <v>28.65</v>
      </c>
      <c r="G190">
        <v>3.52</v>
      </c>
      <c r="H190">
        <v>101.45</v>
      </c>
      <c r="I190">
        <v>23.2</v>
      </c>
      <c r="J190">
        <v>29.25</v>
      </c>
      <c r="K190">
        <v>3.06</v>
      </c>
      <c r="L190">
        <v>87.98</v>
      </c>
      <c r="M190">
        <v>30.23</v>
      </c>
      <c r="N190">
        <v>29.25</v>
      </c>
      <c r="O190">
        <v>4.38</v>
      </c>
      <c r="P190">
        <v>129.6</v>
      </c>
      <c r="Q190">
        <v>22.63</v>
      </c>
      <c r="R190">
        <v>30.3</v>
      </c>
      <c r="S190">
        <v>4.6500000000000004</v>
      </c>
      <c r="T190">
        <v>139.25</v>
      </c>
      <c r="U190">
        <v>25.08</v>
      </c>
    </row>
    <row r="191" spans="1:21" x14ac:dyDescent="0.35">
      <c r="A191" s="4" t="s">
        <v>196</v>
      </c>
      <c r="B191">
        <v>207.85</v>
      </c>
      <c r="C191">
        <v>0.87</v>
      </c>
      <c r="D191">
        <v>182.53</v>
      </c>
      <c r="E191">
        <v>57.28</v>
      </c>
      <c r="F191">
        <v>205.6</v>
      </c>
      <c r="G191">
        <v>0.28000000000000003</v>
      </c>
      <c r="H191">
        <v>57.11</v>
      </c>
      <c r="I191">
        <v>38.39</v>
      </c>
      <c r="J191">
        <v>207.35</v>
      </c>
      <c r="K191">
        <v>0.41</v>
      </c>
      <c r="L191">
        <v>83.94</v>
      </c>
      <c r="M191">
        <v>33.409999999999997</v>
      </c>
      <c r="N191">
        <v>206.35</v>
      </c>
      <c r="O191">
        <v>0.39</v>
      </c>
      <c r="P191">
        <v>81.260000000000005</v>
      </c>
      <c r="Q191">
        <v>30.22</v>
      </c>
      <c r="R191">
        <v>209.55</v>
      </c>
      <c r="S191">
        <v>0.66</v>
      </c>
      <c r="T191">
        <v>138.6</v>
      </c>
      <c r="U191">
        <v>43.62</v>
      </c>
    </row>
    <row r="192" spans="1:21" x14ac:dyDescent="0.35">
      <c r="A192" s="4" t="s">
        <v>190</v>
      </c>
      <c r="B192">
        <v>248.05</v>
      </c>
      <c r="C192">
        <v>0.89</v>
      </c>
      <c r="D192">
        <v>218.35</v>
      </c>
      <c r="E192">
        <v>27.27</v>
      </c>
      <c r="F192">
        <v>241.55</v>
      </c>
      <c r="G192">
        <v>0.46</v>
      </c>
      <c r="H192">
        <v>111.34</v>
      </c>
      <c r="I192">
        <v>35.979999999999997</v>
      </c>
      <c r="J192">
        <v>240.5</v>
      </c>
      <c r="K192">
        <v>0.28000000000000003</v>
      </c>
      <c r="L192">
        <v>66.8</v>
      </c>
      <c r="M192">
        <v>31.42</v>
      </c>
      <c r="N192">
        <v>244.1</v>
      </c>
      <c r="O192">
        <v>1.64</v>
      </c>
      <c r="P192">
        <v>398.82</v>
      </c>
      <c r="Q192">
        <v>60.07</v>
      </c>
      <c r="R192">
        <v>242.8</v>
      </c>
      <c r="S192">
        <v>0.55000000000000004</v>
      </c>
      <c r="T192">
        <v>132.61000000000001</v>
      </c>
      <c r="U192">
        <v>46.1</v>
      </c>
    </row>
    <row r="193" spans="1:21" x14ac:dyDescent="0.35">
      <c r="A193" s="4" t="s">
        <v>106</v>
      </c>
      <c r="B193">
        <v>483.6</v>
      </c>
      <c r="C193">
        <v>0.61</v>
      </c>
      <c r="D193">
        <v>290.55</v>
      </c>
      <c r="E193">
        <v>39.9</v>
      </c>
      <c r="F193">
        <v>470.9</v>
      </c>
      <c r="G193">
        <v>0.19</v>
      </c>
      <c r="H193">
        <v>92.62</v>
      </c>
      <c r="I193">
        <v>17.93</v>
      </c>
      <c r="J193">
        <v>474.85</v>
      </c>
      <c r="K193">
        <v>0.25</v>
      </c>
      <c r="L193">
        <v>121.13</v>
      </c>
      <c r="M193">
        <v>27.49</v>
      </c>
      <c r="N193">
        <v>479.3</v>
      </c>
      <c r="O193">
        <v>0.26</v>
      </c>
      <c r="P193">
        <v>126.83</v>
      </c>
      <c r="Q193">
        <v>41.08</v>
      </c>
      <c r="R193">
        <v>491.75</v>
      </c>
      <c r="S193">
        <v>0.23</v>
      </c>
      <c r="T193">
        <v>110.76</v>
      </c>
      <c r="U193">
        <v>45.4</v>
      </c>
    </row>
    <row r="194" spans="1:21" x14ac:dyDescent="0.35">
      <c r="A194" s="4" t="s">
        <v>108</v>
      </c>
      <c r="B194">
        <v>97.85</v>
      </c>
      <c r="C194">
        <v>1.1200000000000001</v>
      </c>
      <c r="D194">
        <v>110.46</v>
      </c>
      <c r="E194">
        <v>28.79</v>
      </c>
      <c r="F194">
        <v>97.45</v>
      </c>
      <c r="G194">
        <v>1.07</v>
      </c>
      <c r="H194">
        <v>104.3</v>
      </c>
      <c r="I194">
        <v>18.809999999999999</v>
      </c>
      <c r="J194">
        <v>98</v>
      </c>
      <c r="K194">
        <v>1.46</v>
      </c>
      <c r="L194">
        <v>142.82</v>
      </c>
      <c r="M194">
        <v>30.71</v>
      </c>
      <c r="N194">
        <v>97.9</v>
      </c>
      <c r="O194">
        <v>1.46</v>
      </c>
      <c r="P194">
        <v>145.29</v>
      </c>
      <c r="Q194">
        <v>20.079999999999998</v>
      </c>
      <c r="R194">
        <v>101.9</v>
      </c>
      <c r="S194">
        <v>1.03</v>
      </c>
      <c r="T194">
        <v>103.11</v>
      </c>
      <c r="U194">
        <v>31.37</v>
      </c>
    </row>
    <row r="195" spans="1:21" x14ac:dyDescent="0.35">
      <c r="A195" s="4" t="s">
        <v>81</v>
      </c>
      <c r="B195">
        <v>146.6</v>
      </c>
      <c r="C195">
        <v>1.26</v>
      </c>
      <c r="D195">
        <v>183.75</v>
      </c>
      <c r="E195">
        <v>51.57</v>
      </c>
      <c r="F195">
        <v>145.75</v>
      </c>
      <c r="G195">
        <v>1.51</v>
      </c>
      <c r="H195">
        <v>220.84</v>
      </c>
      <c r="I195">
        <v>54.42</v>
      </c>
      <c r="J195">
        <v>144.69999999999999</v>
      </c>
      <c r="K195">
        <v>0.68</v>
      </c>
      <c r="L195">
        <v>99.27</v>
      </c>
      <c r="M195">
        <v>46.36</v>
      </c>
      <c r="N195">
        <v>144.75</v>
      </c>
      <c r="O195">
        <v>1.1200000000000001</v>
      </c>
      <c r="P195">
        <v>162.99</v>
      </c>
      <c r="Q195">
        <v>40.9</v>
      </c>
      <c r="R195">
        <v>146.6</v>
      </c>
      <c r="S195">
        <v>0.68</v>
      </c>
      <c r="T195">
        <v>98.8</v>
      </c>
      <c r="U195">
        <v>40.659999999999997</v>
      </c>
    </row>
    <row r="196" spans="1:21" x14ac:dyDescent="0.35">
      <c r="A196" s="4" t="s">
        <v>131</v>
      </c>
      <c r="B196">
        <v>477.35</v>
      </c>
      <c r="C196">
        <v>0.15</v>
      </c>
      <c r="D196">
        <v>72.34</v>
      </c>
      <c r="E196">
        <v>18.72</v>
      </c>
      <c r="F196">
        <v>466.7</v>
      </c>
      <c r="G196">
        <v>0.13</v>
      </c>
      <c r="H196">
        <v>60</v>
      </c>
      <c r="I196">
        <v>16.73</v>
      </c>
      <c r="J196">
        <v>477.55</v>
      </c>
      <c r="K196">
        <v>0.2</v>
      </c>
      <c r="L196">
        <v>93.79</v>
      </c>
      <c r="M196">
        <v>16.899999999999999</v>
      </c>
      <c r="N196">
        <v>466.05</v>
      </c>
      <c r="O196">
        <v>0.15</v>
      </c>
      <c r="P196">
        <v>73.239999999999995</v>
      </c>
      <c r="Q196">
        <v>21.08</v>
      </c>
      <c r="R196">
        <v>487.35</v>
      </c>
      <c r="S196">
        <v>0.18</v>
      </c>
      <c r="T196">
        <v>88.79</v>
      </c>
      <c r="U196">
        <v>19.36</v>
      </c>
    </row>
    <row r="197" spans="1:21" x14ac:dyDescent="0.35">
      <c r="A197" s="4" t="s">
        <v>184</v>
      </c>
      <c r="B197">
        <v>555.20000000000005</v>
      </c>
      <c r="C197">
        <v>0.38</v>
      </c>
      <c r="D197">
        <v>211.57</v>
      </c>
      <c r="E197">
        <v>40.270000000000003</v>
      </c>
      <c r="F197">
        <v>544.45000000000005</v>
      </c>
      <c r="G197">
        <v>0.14000000000000001</v>
      </c>
      <c r="H197">
        <v>74.83</v>
      </c>
      <c r="I197">
        <v>27.21</v>
      </c>
      <c r="J197">
        <v>534.35</v>
      </c>
      <c r="K197">
        <v>0.11</v>
      </c>
      <c r="L197">
        <v>61.14</v>
      </c>
      <c r="M197">
        <v>26.87</v>
      </c>
      <c r="N197">
        <v>531.20000000000005</v>
      </c>
      <c r="O197">
        <v>0.19</v>
      </c>
      <c r="P197">
        <v>101.41</v>
      </c>
      <c r="Q197">
        <v>24.5</v>
      </c>
      <c r="R197">
        <v>550.04999999999995</v>
      </c>
      <c r="S197">
        <v>0.14000000000000001</v>
      </c>
      <c r="T197">
        <v>76.63</v>
      </c>
      <c r="U197">
        <v>16.87</v>
      </c>
    </row>
    <row r="198" spans="1:21" x14ac:dyDescent="0.35">
      <c r="A198" s="4" t="s">
        <v>116</v>
      </c>
      <c r="B198">
        <v>10.15</v>
      </c>
      <c r="C198">
        <v>8.98</v>
      </c>
      <c r="D198">
        <v>88.1</v>
      </c>
      <c r="E198">
        <v>22.53</v>
      </c>
      <c r="F198">
        <v>9.9499999999999993</v>
      </c>
      <c r="G198">
        <v>5.27</v>
      </c>
      <c r="H198">
        <v>52.54</v>
      </c>
      <c r="I198">
        <v>25.92</v>
      </c>
      <c r="J198">
        <v>10.4</v>
      </c>
      <c r="K198">
        <v>23.11</v>
      </c>
      <c r="L198">
        <v>232.84</v>
      </c>
      <c r="M198">
        <v>11.45</v>
      </c>
      <c r="N198">
        <v>10.199999999999999</v>
      </c>
      <c r="O198">
        <v>9.0500000000000007</v>
      </c>
      <c r="P198">
        <v>95.07</v>
      </c>
      <c r="Q198">
        <v>24.65</v>
      </c>
      <c r="R198">
        <v>10.8</v>
      </c>
      <c r="S198">
        <v>6.04</v>
      </c>
      <c r="T198">
        <v>64.14</v>
      </c>
      <c r="U198">
        <v>27.47</v>
      </c>
    </row>
    <row r="199" spans="1:21" x14ac:dyDescent="0.35">
      <c r="A199" s="4" t="s">
        <v>371</v>
      </c>
      <c r="B199">
        <v>89.6</v>
      </c>
      <c r="C199">
        <v>0.41</v>
      </c>
      <c r="D199">
        <v>36.39</v>
      </c>
      <c r="E199">
        <v>52.27</v>
      </c>
      <c r="F199">
        <v>86.55</v>
      </c>
      <c r="G199">
        <v>0.88</v>
      </c>
      <c r="H199">
        <v>75.849999999999994</v>
      </c>
      <c r="I199">
        <v>44.57</v>
      </c>
      <c r="J199">
        <v>86.6</v>
      </c>
      <c r="K199">
        <v>1.34</v>
      </c>
      <c r="L199">
        <v>114.93</v>
      </c>
      <c r="M199">
        <v>53.55</v>
      </c>
      <c r="N199">
        <v>86.4</v>
      </c>
      <c r="O199">
        <v>0.56999999999999995</v>
      </c>
      <c r="P199">
        <v>49.86</v>
      </c>
      <c r="Q199">
        <v>56.76</v>
      </c>
      <c r="R199">
        <v>88.85</v>
      </c>
      <c r="S199">
        <v>0.56999999999999995</v>
      </c>
      <c r="T199">
        <v>49.83</v>
      </c>
      <c r="U199">
        <v>46.35</v>
      </c>
    </row>
    <row r="200" spans="1:21" x14ac:dyDescent="0.35">
      <c r="A200" s="4" t="s">
        <v>154</v>
      </c>
      <c r="B200">
        <v>3426.85</v>
      </c>
      <c r="C200">
        <v>0.02</v>
      </c>
      <c r="D200">
        <v>59.45</v>
      </c>
      <c r="E200">
        <v>48.12</v>
      </c>
      <c r="F200">
        <v>3403</v>
      </c>
      <c r="G200">
        <v>0.08</v>
      </c>
      <c r="H200">
        <v>274.85000000000002</v>
      </c>
      <c r="I200">
        <v>86.95</v>
      </c>
      <c r="J200">
        <v>3415</v>
      </c>
      <c r="K200">
        <v>0.02</v>
      </c>
      <c r="L200">
        <v>67.63</v>
      </c>
      <c r="M200">
        <v>59.81</v>
      </c>
      <c r="N200">
        <v>3407.15</v>
      </c>
      <c r="O200">
        <v>0.02</v>
      </c>
      <c r="P200">
        <v>82.47</v>
      </c>
      <c r="Q200">
        <v>46.67</v>
      </c>
      <c r="R200">
        <v>3418.45</v>
      </c>
      <c r="S200">
        <v>0.01</v>
      </c>
      <c r="T200">
        <v>28.37</v>
      </c>
      <c r="U200">
        <v>40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C36"/>
  <sheetViews>
    <sheetView workbookViewId="0">
      <pane ySplit="1" topLeftCell="A14" activePane="bottomLeft" state="frozen"/>
      <selection pane="bottomLeft" activeCell="A29" sqref="A29"/>
    </sheetView>
  </sheetViews>
  <sheetFormatPr defaultRowHeight="14.5" x14ac:dyDescent="0.35"/>
  <cols>
    <col min="1" max="1" width="13.81640625" customWidth="1"/>
    <col min="2" max="2" width="12.36328125" bestFit="1" customWidth="1"/>
    <col min="3" max="3" width="11.26953125" bestFit="1" customWidth="1"/>
  </cols>
  <sheetData>
    <row r="1" spans="1:3" x14ac:dyDescent="0.35">
      <c r="A1" s="41" t="s">
        <v>226</v>
      </c>
    </row>
    <row r="2" spans="1:3" x14ac:dyDescent="0.35">
      <c r="A2" s="42" t="s">
        <v>189</v>
      </c>
      <c r="B2" s="113" t="s">
        <v>3</v>
      </c>
      <c r="C2" s="113" t="s">
        <v>31</v>
      </c>
    </row>
    <row r="3" spans="1:3" x14ac:dyDescent="0.35">
      <c r="A3" s="40" t="s">
        <v>148</v>
      </c>
      <c r="B3" s="114" t="s">
        <v>97</v>
      </c>
      <c r="C3" s="114" t="s">
        <v>188</v>
      </c>
    </row>
    <row r="4" spans="1:3" x14ac:dyDescent="0.35">
      <c r="A4" s="42" t="s">
        <v>88</v>
      </c>
      <c r="B4" s="113" t="s">
        <v>16</v>
      </c>
      <c r="C4" s="113" t="s">
        <v>25</v>
      </c>
    </row>
    <row r="5" spans="1:3" x14ac:dyDescent="0.35">
      <c r="A5" s="40" t="s">
        <v>158</v>
      </c>
      <c r="B5" s="114" t="s">
        <v>58</v>
      </c>
      <c r="C5" s="114" t="s">
        <v>26</v>
      </c>
    </row>
    <row r="6" spans="1:3" x14ac:dyDescent="0.35">
      <c r="A6" s="42" t="s">
        <v>149</v>
      </c>
      <c r="B6" s="111" t="s">
        <v>117</v>
      </c>
      <c r="C6" s="113" t="s">
        <v>107</v>
      </c>
    </row>
    <row r="7" spans="1:3" x14ac:dyDescent="0.35">
      <c r="A7" s="105" t="s">
        <v>36</v>
      </c>
      <c r="B7" s="114" t="s">
        <v>160</v>
      </c>
      <c r="C7" s="114" t="s">
        <v>116</v>
      </c>
    </row>
    <row r="8" spans="1:3" x14ac:dyDescent="0.35">
      <c r="A8" s="106" t="s">
        <v>35</v>
      </c>
      <c r="B8" s="113" t="s">
        <v>121</v>
      </c>
      <c r="C8" s="113" t="s">
        <v>167</v>
      </c>
    </row>
    <row r="9" spans="1:3" x14ac:dyDescent="0.35">
      <c r="A9" s="107" t="s">
        <v>48</v>
      </c>
      <c r="B9" s="114" t="s">
        <v>186</v>
      </c>
    </row>
    <row r="10" spans="1:3" x14ac:dyDescent="0.35">
      <c r="A10" s="106" t="s">
        <v>38</v>
      </c>
      <c r="B10" s="113" t="s">
        <v>158</v>
      </c>
    </row>
    <row r="11" spans="1:3" x14ac:dyDescent="0.35">
      <c r="A11" s="105" t="s">
        <v>46</v>
      </c>
      <c r="B11" s="114" t="s">
        <v>191</v>
      </c>
    </row>
    <row r="12" spans="1:3" x14ac:dyDescent="0.35">
      <c r="A12" s="106" t="s">
        <v>57</v>
      </c>
      <c r="B12" s="113" t="s">
        <v>141</v>
      </c>
    </row>
    <row r="13" spans="1:3" x14ac:dyDescent="0.35">
      <c r="A13" s="105" t="s">
        <v>117</v>
      </c>
      <c r="B13" s="112" t="s">
        <v>56</v>
      </c>
    </row>
    <row r="14" spans="1:3" x14ac:dyDescent="0.35">
      <c r="A14" s="106" t="s">
        <v>88</v>
      </c>
      <c r="B14" s="113" t="s">
        <v>1</v>
      </c>
    </row>
    <row r="15" spans="1:3" x14ac:dyDescent="0.35">
      <c r="A15" s="105" t="s">
        <v>59</v>
      </c>
      <c r="B15" s="114" t="s">
        <v>130</v>
      </c>
    </row>
    <row r="16" spans="1:3" x14ac:dyDescent="0.35">
      <c r="A16" s="106" t="s">
        <v>198</v>
      </c>
      <c r="B16" s="113" t="s">
        <v>51</v>
      </c>
    </row>
    <row r="17" spans="1:2" x14ac:dyDescent="0.35">
      <c r="A17" s="105" t="s">
        <v>119</v>
      </c>
      <c r="B17" s="114" t="s">
        <v>51</v>
      </c>
    </row>
    <row r="18" spans="1:2" x14ac:dyDescent="0.35">
      <c r="A18" s="106" t="s">
        <v>189</v>
      </c>
    </row>
    <row r="19" spans="1:2" x14ac:dyDescent="0.35">
      <c r="A19" s="105" t="s">
        <v>89</v>
      </c>
    </row>
    <row r="20" spans="1:2" x14ac:dyDescent="0.35">
      <c r="A20" s="106" t="s">
        <v>176</v>
      </c>
    </row>
    <row r="21" spans="1:2" x14ac:dyDescent="0.35">
      <c r="A21" s="105" t="s">
        <v>56</v>
      </c>
    </row>
    <row r="22" spans="1:2" x14ac:dyDescent="0.35">
      <c r="A22" s="106" t="s">
        <v>149</v>
      </c>
    </row>
    <row r="23" spans="1:2" x14ac:dyDescent="0.35">
      <c r="A23" s="105" t="s">
        <v>23</v>
      </c>
    </row>
    <row r="24" spans="1:2" x14ac:dyDescent="0.35">
      <c r="A24" s="106" t="s">
        <v>85</v>
      </c>
    </row>
    <row r="28" spans="1:2" x14ac:dyDescent="0.35">
      <c r="A28" t="s">
        <v>405</v>
      </c>
    </row>
    <row r="29" spans="1:2" x14ac:dyDescent="0.35">
      <c r="A29" s="113" t="s">
        <v>13</v>
      </c>
    </row>
    <row r="30" spans="1:2" x14ac:dyDescent="0.35">
      <c r="A30" s="114" t="s">
        <v>22</v>
      </c>
    </row>
    <row r="31" spans="1:2" x14ac:dyDescent="0.35">
      <c r="A31" s="113" t="s">
        <v>114</v>
      </c>
    </row>
    <row r="32" spans="1:2" x14ac:dyDescent="0.35">
      <c r="A32" s="114" t="s">
        <v>10</v>
      </c>
    </row>
    <row r="33" spans="1:1" x14ac:dyDescent="0.35">
      <c r="A33" s="113" t="s">
        <v>2</v>
      </c>
    </row>
    <row r="34" spans="1:1" x14ac:dyDescent="0.35">
      <c r="A34" s="114" t="s">
        <v>155</v>
      </c>
    </row>
    <row r="35" spans="1:1" x14ac:dyDescent="0.35">
      <c r="A35" s="113" t="s">
        <v>76</v>
      </c>
    </row>
    <row r="36" spans="1:1" x14ac:dyDescent="0.35">
      <c r="A36" s="114" t="s">
        <v>86</v>
      </c>
    </row>
  </sheetData>
  <conditionalFormatting sqref="A7:A24">
    <cfRule type="cellIs" dxfId="56" priority="7" operator="equal">
      <formula>"N"</formula>
    </cfRule>
    <cfRule type="cellIs" dxfId="55" priority="8" operator="equal">
      <formula>"Y"</formula>
    </cfRule>
  </conditionalFormatting>
  <conditionalFormatting sqref="B2:B15">
    <cfRule type="cellIs" dxfId="54" priority="5" operator="equal">
      <formula>"N"</formula>
    </cfRule>
    <cfRule type="cellIs" dxfId="53" priority="6" operator="equal">
      <formula>"Y"</formula>
    </cfRule>
  </conditionalFormatting>
  <conditionalFormatting sqref="C2:C8">
    <cfRule type="cellIs" dxfId="52" priority="3" operator="equal">
      <formula>"N"</formula>
    </cfRule>
    <cfRule type="cellIs" dxfId="51" priority="4" operator="equal">
      <formula>"Y"</formula>
    </cfRule>
  </conditionalFormatting>
  <conditionalFormatting sqref="A29:A36">
    <cfRule type="cellIs" dxfId="50" priority="1" operator="equal">
      <formula>"N"</formula>
    </cfRule>
    <cfRule type="cellIs" dxfId="49" priority="2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84741-0322-4553-8324-6C2A7BF5AE03}">
  <sheetPr codeName="Sheet3"/>
  <dimension ref="A1:L74"/>
  <sheetViews>
    <sheetView workbookViewId="0">
      <selection activeCell="F3" sqref="F3:F4"/>
    </sheetView>
  </sheetViews>
  <sheetFormatPr defaultRowHeight="14.5" x14ac:dyDescent="0.35"/>
  <cols>
    <col min="1" max="1" width="9" customWidth="1"/>
    <col min="3" max="5" width="6.90625" bestFit="1" customWidth="1"/>
    <col min="7" max="7" width="6.90625" bestFit="1" customWidth="1"/>
    <col min="9" max="9" width="6.90625" bestFit="1" customWidth="1"/>
    <col min="10" max="10" width="11.26953125" customWidth="1"/>
    <col min="11" max="11" width="18.54296875" customWidth="1"/>
  </cols>
  <sheetData>
    <row r="1" spans="1:12" ht="17.5" customHeight="1" thickBot="1" x14ac:dyDescent="0.4">
      <c r="B1" s="117" t="s">
        <v>319</v>
      </c>
      <c r="C1" s="118"/>
      <c r="D1" s="117" t="s">
        <v>320</v>
      </c>
      <c r="E1" s="118"/>
      <c r="F1" s="117" t="s">
        <v>321</v>
      </c>
      <c r="G1" s="118"/>
      <c r="H1" s="117" t="s">
        <v>322</v>
      </c>
      <c r="I1" s="118"/>
      <c r="J1" s="62" t="s">
        <v>323</v>
      </c>
      <c r="K1" s="62" t="s">
        <v>324</v>
      </c>
    </row>
    <row r="2" spans="1:12" ht="34.5" x14ac:dyDescent="0.35">
      <c r="A2" s="56" t="s">
        <v>325</v>
      </c>
      <c r="B2" s="64" t="s">
        <v>326</v>
      </c>
      <c r="C2" s="64" t="s">
        <v>327</v>
      </c>
      <c r="D2" s="64" t="s">
        <v>326</v>
      </c>
      <c r="E2" s="64" t="s">
        <v>327</v>
      </c>
      <c r="F2" s="64" t="s">
        <v>326</v>
      </c>
      <c r="G2" s="64" t="s">
        <v>327</v>
      </c>
      <c r="H2" s="64" t="s">
        <v>326</v>
      </c>
      <c r="I2" s="64" t="s">
        <v>327</v>
      </c>
      <c r="J2" s="64" t="s">
        <v>227</v>
      </c>
      <c r="K2" s="64" t="s">
        <v>227</v>
      </c>
    </row>
    <row r="3" spans="1:12" x14ac:dyDescent="0.35">
      <c r="A3" s="61">
        <v>43680</v>
      </c>
      <c r="B3" s="63">
        <v>9838</v>
      </c>
      <c r="C3" s="63">
        <v>-3801</v>
      </c>
      <c r="D3" s="63">
        <v>-29846</v>
      </c>
      <c r="E3" s="63">
        <v>1848</v>
      </c>
      <c r="F3" s="63">
        <v>7119</v>
      </c>
      <c r="G3" s="63">
        <v>2028</v>
      </c>
      <c r="H3" s="63">
        <v>12889</v>
      </c>
      <c r="I3" s="63">
        <v>-75</v>
      </c>
      <c r="J3" s="63">
        <v>11035</v>
      </c>
      <c r="K3" s="63">
        <v>27762</v>
      </c>
      <c r="L3">
        <f>J3-J4</f>
        <v>-23</v>
      </c>
    </row>
    <row r="4" spans="1:12" x14ac:dyDescent="0.35">
      <c r="A4" s="61">
        <v>43649</v>
      </c>
      <c r="B4" s="63">
        <v>13639</v>
      </c>
      <c r="C4" s="63">
        <v>4091</v>
      </c>
      <c r="D4" s="63">
        <v>-31694</v>
      </c>
      <c r="E4" s="63">
        <v>486</v>
      </c>
      <c r="F4" s="63">
        <v>5091</v>
      </c>
      <c r="G4" s="63">
        <v>-707</v>
      </c>
      <c r="H4" s="63">
        <v>12964</v>
      </c>
      <c r="I4" s="63">
        <v>-3870</v>
      </c>
      <c r="J4" s="63">
        <v>11058</v>
      </c>
      <c r="K4" s="63">
        <v>27765</v>
      </c>
      <c r="L4">
        <f t="shared" ref="L4:L67" si="0">J4-J5</f>
        <v>71</v>
      </c>
    </row>
    <row r="5" spans="1:12" x14ac:dyDescent="0.35">
      <c r="A5" s="61">
        <v>43470</v>
      </c>
      <c r="B5" s="63">
        <v>5530</v>
      </c>
      <c r="C5" s="63">
        <v>179</v>
      </c>
      <c r="D5" s="63">
        <v>-27886</v>
      </c>
      <c r="E5" s="63">
        <v>-3966</v>
      </c>
      <c r="F5" s="63">
        <v>4395</v>
      </c>
      <c r="G5" s="63">
        <v>4773</v>
      </c>
      <c r="H5" s="63">
        <v>17961</v>
      </c>
      <c r="I5" s="63">
        <v>-986</v>
      </c>
      <c r="J5" s="63">
        <v>10987</v>
      </c>
      <c r="K5" s="63">
        <v>27554</v>
      </c>
      <c r="L5">
        <f t="shared" si="0"/>
        <v>123</v>
      </c>
    </row>
    <row r="6" spans="1:12" x14ac:dyDescent="0.35">
      <c r="A6" s="61">
        <v>43468</v>
      </c>
      <c r="B6" s="63">
        <v>5351</v>
      </c>
      <c r="C6" s="63">
        <v>2540</v>
      </c>
      <c r="D6" s="63">
        <v>-23920</v>
      </c>
      <c r="E6" s="63">
        <v>-6446</v>
      </c>
      <c r="F6" s="63">
        <v>-378</v>
      </c>
      <c r="G6" s="63">
        <v>3869</v>
      </c>
      <c r="H6" s="63">
        <v>18947</v>
      </c>
      <c r="I6" s="63">
        <v>37</v>
      </c>
      <c r="J6" s="63">
        <v>10864</v>
      </c>
      <c r="K6" s="63">
        <v>27044</v>
      </c>
      <c r="L6">
        <f t="shared" si="0"/>
        <v>72</v>
      </c>
    </row>
    <row r="7" spans="1:12" x14ac:dyDescent="0.35">
      <c r="A7" s="57" t="s">
        <v>372</v>
      </c>
      <c r="B7" s="63">
        <v>2811</v>
      </c>
      <c r="C7" s="63">
        <v>15879</v>
      </c>
      <c r="D7" s="63">
        <v>-17474</v>
      </c>
      <c r="E7" s="63">
        <v>4194</v>
      </c>
      <c r="F7" s="63">
        <v>-4247</v>
      </c>
      <c r="G7" s="63">
        <v>-19976</v>
      </c>
      <c r="H7" s="63">
        <v>18910</v>
      </c>
      <c r="I7" s="63">
        <v>-97</v>
      </c>
      <c r="J7" s="63">
        <v>10792</v>
      </c>
      <c r="K7" s="63">
        <v>26790</v>
      </c>
      <c r="L7">
        <f t="shared" si="0"/>
        <v>-15</v>
      </c>
    </row>
    <row r="8" spans="1:12" x14ac:dyDescent="0.35">
      <c r="A8" s="57" t="s">
        <v>373</v>
      </c>
      <c r="B8" s="63">
        <v>-13068</v>
      </c>
      <c r="C8" s="63">
        <v>5091</v>
      </c>
      <c r="D8" s="63">
        <v>-21668</v>
      </c>
      <c r="E8" s="63">
        <v>-6603</v>
      </c>
      <c r="F8" s="63">
        <v>15729</v>
      </c>
      <c r="G8" s="63">
        <v>2382</v>
      </c>
      <c r="H8" s="63">
        <v>19007</v>
      </c>
      <c r="I8" s="63">
        <v>-870</v>
      </c>
      <c r="J8" s="63">
        <v>10807</v>
      </c>
      <c r="K8" s="63">
        <v>26799</v>
      </c>
      <c r="L8">
        <f t="shared" si="0"/>
        <v>-28</v>
      </c>
    </row>
    <row r="9" spans="1:12" x14ac:dyDescent="0.35">
      <c r="A9" s="57" t="s">
        <v>374</v>
      </c>
      <c r="B9" s="63">
        <v>-18159</v>
      </c>
      <c r="C9" s="63">
        <v>-8720</v>
      </c>
      <c r="D9" s="63">
        <v>-15065</v>
      </c>
      <c r="E9" s="63">
        <v>-6418</v>
      </c>
      <c r="F9" s="63">
        <v>13347</v>
      </c>
      <c r="G9" s="63">
        <v>11793</v>
      </c>
      <c r="H9" s="63">
        <v>19877</v>
      </c>
      <c r="I9" s="63">
        <v>3345</v>
      </c>
      <c r="J9" s="63">
        <v>10835</v>
      </c>
      <c r="K9" s="63">
        <v>26953</v>
      </c>
      <c r="L9">
        <f t="shared" si="0"/>
        <v>-45</v>
      </c>
    </row>
    <row r="10" spans="1:12" x14ac:dyDescent="0.35">
      <c r="A10" s="57" t="s">
        <v>375</v>
      </c>
      <c r="B10" s="63">
        <v>-9439</v>
      </c>
      <c r="C10" s="63">
        <v>1988</v>
      </c>
      <c r="D10" s="63">
        <v>-8647</v>
      </c>
      <c r="E10" s="63">
        <v>-9211</v>
      </c>
      <c r="F10" s="63">
        <v>1554</v>
      </c>
      <c r="G10" s="63">
        <v>4711</v>
      </c>
      <c r="H10" s="63">
        <v>16532</v>
      </c>
      <c r="I10" s="63">
        <v>2512</v>
      </c>
      <c r="J10" s="63">
        <v>10880</v>
      </c>
      <c r="K10" s="63">
        <v>27159</v>
      </c>
      <c r="L10">
        <f t="shared" si="0"/>
        <v>88</v>
      </c>
    </row>
    <row r="11" spans="1:12" x14ac:dyDescent="0.35">
      <c r="A11" s="57" t="s">
        <v>376</v>
      </c>
      <c r="B11" s="63">
        <v>-11427</v>
      </c>
      <c r="C11" s="63">
        <v>871</v>
      </c>
      <c r="D11" s="63">
        <v>564</v>
      </c>
      <c r="E11" s="63">
        <v>4715</v>
      </c>
      <c r="F11" s="63">
        <v>-3157</v>
      </c>
      <c r="G11" s="63">
        <v>1301</v>
      </c>
      <c r="H11" s="63">
        <v>14020</v>
      </c>
      <c r="I11" s="63">
        <v>-6887</v>
      </c>
      <c r="J11" s="63">
        <v>10792</v>
      </c>
      <c r="K11" s="63">
        <v>26867</v>
      </c>
      <c r="L11">
        <f t="shared" si="0"/>
        <v>2</v>
      </c>
    </row>
    <row r="12" spans="1:12" s="57" customFormat="1" x14ac:dyDescent="0.35">
      <c r="A12" s="57" t="s">
        <v>370</v>
      </c>
      <c r="B12" s="63">
        <v>-12298</v>
      </c>
      <c r="C12" s="63">
        <v>-6000</v>
      </c>
      <c r="D12" s="63">
        <v>-4151</v>
      </c>
      <c r="E12" s="63">
        <v>2991</v>
      </c>
      <c r="F12" s="63">
        <v>-4458</v>
      </c>
      <c r="G12" s="63">
        <v>827</v>
      </c>
      <c r="H12" s="63">
        <v>20907</v>
      </c>
      <c r="I12" s="63">
        <v>2182</v>
      </c>
      <c r="J12" s="63">
        <v>10790</v>
      </c>
      <c r="K12" s="63">
        <v>27052</v>
      </c>
      <c r="L12">
        <f t="shared" si="0"/>
        <v>55</v>
      </c>
    </row>
    <row r="13" spans="1:12" x14ac:dyDescent="0.35">
      <c r="A13" s="57" t="s">
        <v>328</v>
      </c>
      <c r="B13" s="63">
        <v>-6298</v>
      </c>
      <c r="C13" s="63">
        <v>8798</v>
      </c>
      <c r="D13" s="63">
        <v>-7142</v>
      </c>
      <c r="E13" s="63">
        <v>-5466</v>
      </c>
      <c r="F13" s="63">
        <v>-5285</v>
      </c>
      <c r="G13" s="63">
        <v>-1150</v>
      </c>
      <c r="H13" s="63">
        <v>18725</v>
      </c>
      <c r="I13" s="63">
        <v>-2182</v>
      </c>
      <c r="J13" s="63">
        <v>10735</v>
      </c>
      <c r="K13" s="63">
        <v>26956</v>
      </c>
      <c r="L13">
        <f t="shared" si="0"/>
        <v>131</v>
      </c>
    </row>
    <row r="14" spans="1:12" x14ac:dyDescent="0.35">
      <c r="A14" s="57" t="s">
        <v>329</v>
      </c>
      <c r="B14" s="58">
        <v>-15096</v>
      </c>
      <c r="C14" s="58">
        <v>11788</v>
      </c>
      <c r="D14" s="58">
        <v>-1676</v>
      </c>
      <c r="E14" s="58">
        <v>-7131</v>
      </c>
      <c r="F14" s="58">
        <v>-4135</v>
      </c>
      <c r="G14" s="58">
        <v>-8654</v>
      </c>
      <c r="H14" s="58">
        <v>20907</v>
      </c>
      <c r="I14" s="58">
        <v>3997</v>
      </c>
      <c r="J14" s="59">
        <v>10604</v>
      </c>
      <c r="K14" s="58">
        <v>26685</v>
      </c>
      <c r="L14">
        <f t="shared" si="0"/>
        <v>-37</v>
      </c>
    </row>
    <row r="15" spans="1:12" x14ac:dyDescent="0.35">
      <c r="A15" s="57" t="s">
        <v>330</v>
      </c>
      <c r="B15" s="58">
        <v>-26884</v>
      </c>
      <c r="C15" s="58">
        <v>-6207</v>
      </c>
      <c r="D15" s="58">
        <v>5455</v>
      </c>
      <c r="E15" s="58">
        <v>6438</v>
      </c>
      <c r="F15" s="58">
        <v>4519</v>
      </c>
      <c r="G15" s="58">
        <v>1077</v>
      </c>
      <c r="H15" s="58">
        <v>16910</v>
      </c>
      <c r="I15" s="58">
        <v>-1308</v>
      </c>
      <c r="J15" s="58">
        <v>10641</v>
      </c>
      <c r="K15" s="58">
        <v>26654</v>
      </c>
      <c r="L15">
        <f t="shared" si="0"/>
        <v>-83</v>
      </c>
    </row>
    <row r="16" spans="1:12" x14ac:dyDescent="0.35">
      <c r="A16" s="57" t="s">
        <v>331</v>
      </c>
      <c r="B16" s="58">
        <v>-20677</v>
      </c>
      <c r="C16" s="58">
        <v>-13216</v>
      </c>
      <c r="D16" s="58">
        <v>-983</v>
      </c>
      <c r="E16" s="58">
        <v>-3120</v>
      </c>
      <c r="F16" s="58">
        <v>3442</v>
      </c>
      <c r="G16" s="58">
        <v>4581</v>
      </c>
      <c r="H16" s="58">
        <v>18218</v>
      </c>
      <c r="I16" s="58">
        <v>11755</v>
      </c>
      <c r="J16" s="60">
        <v>10724</v>
      </c>
      <c r="K16" s="58">
        <v>26794</v>
      </c>
      <c r="L16">
        <f t="shared" si="0"/>
        <v>-22</v>
      </c>
    </row>
    <row r="17" spans="1:12" x14ac:dyDescent="0.35">
      <c r="A17" s="57" t="s">
        <v>332</v>
      </c>
      <c r="B17" s="58">
        <v>-7461</v>
      </c>
      <c r="C17" s="58">
        <v>-45487</v>
      </c>
      <c r="D17" s="58">
        <v>2137</v>
      </c>
      <c r="E17" s="58">
        <v>13541</v>
      </c>
      <c r="F17" s="58">
        <v>-1139</v>
      </c>
      <c r="G17" s="58">
        <v>15030</v>
      </c>
      <c r="H17" s="58">
        <v>6463</v>
      </c>
      <c r="I17" s="58">
        <v>16916</v>
      </c>
      <c r="J17" s="58">
        <v>10746</v>
      </c>
      <c r="K17" s="58">
        <v>26971</v>
      </c>
      <c r="L17">
        <f t="shared" si="0"/>
        <v>-48</v>
      </c>
    </row>
    <row r="18" spans="1:12" x14ac:dyDescent="0.35">
      <c r="A18" s="57" t="s">
        <v>333</v>
      </c>
      <c r="B18" s="58">
        <v>38026</v>
      </c>
      <c r="C18" s="58">
        <v>6249</v>
      </c>
      <c r="D18" s="58">
        <v>-11404</v>
      </c>
      <c r="E18" s="58">
        <v>1500</v>
      </c>
      <c r="F18" s="60">
        <v>-16169</v>
      </c>
      <c r="G18" s="58">
        <v>-7813</v>
      </c>
      <c r="H18" s="58">
        <v>-10453</v>
      </c>
      <c r="I18" s="58">
        <v>64</v>
      </c>
      <c r="J18" s="59">
        <v>10794</v>
      </c>
      <c r="K18" s="58">
        <v>26885</v>
      </c>
      <c r="L18">
        <f t="shared" si="0"/>
        <v>-37</v>
      </c>
    </row>
    <row r="19" spans="1:12" x14ac:dyDescent="0.35">
      <c r="A19" s="61">
        <v>43801</v>
      </c>
      <c r="B19" s="58">
        <v>31777</v>
      </c>
      <c r="C19" s="58">
        <v>7122</v>
      </c>
      <c r="D19" s="58">
        <v>-12904</v>
      </c>
      <c r="E19" s="58">
        <v>2312</v>
      </c>
      <c r="F19" s="58">
        <v>-8356</v>
      </c>
      <c r="G19" s="58">
        <v>-8660</v>
      </c>
      <c r="H19" s="58">
        <v>-10517</v>
      </c>
      <c r="I19" s="58">
        <v>-774</v>
      </c>
      <c r="J19" s="60">
        <v>10831</v>
      </c>
      <c r="K19" s="58">
        <v>27011</v>
      </c>
      <c r="L19">
        <f t="shared" si="0"/>
        <v>-58</v>
      </c>
    </row>
    <row r="20" spans="1:12" x14ac:dyDescent="0.35">
      <c r="A20" s="61">
        <v>43771</v>
      </c>
      <c r="B20" s="58">
        <v>24655</v>
      </c>
      <c r="C20" s="58">
        <v>4056</v>
      </c>
      <c r="D20" s="58">
        <v>-15216</v>
      </c>
      <c r="E20" s="58">
        <v>4475</v>
      </c>
      <c r="F20" s="60">
        <v>304</v>
      </c>
      <c r="G20" s="58">
        <v>-8756</v>
      </c>
      <c r="H20" s="58">
        <v>-9743</v>
      </c>
      <c r="I20" s="58">
        <v>225</v>
      </c>
      <c r="J20" s="60">
        <v>10889</v>
      </c>
      <c r="K20" s="58">
        <v>27228</v>
      </c>
      <c r="L20">
        <f t="shared" si="0"/>
        <v>-55</v>
      </c>
    </row>
    <row r="21" spans="1:12" x14ac:dyDescent="0.35">
      <c r="A21" s="61">
        <v>43679</v>
      </c>
      <c r="B21" s="58">
        <v>20599</v>
      </c>
      <c r="C21" s="58">
        <v>-2602</v>
      </c>
      <c r="D21" s="58">
        <v>-19691</v>
      </c>
      <c r="E21" s="58">
        <v>2657</v>
      </c>
      <c r="F21" s="58">
        <v>9060</v>
      </c>
      <c r="G21" s="58">
        <v>8702</v>
      </c>
      <c r="H21" s="58">
        <v>-9968</v>
      </c>
      <c r="I21" s="58">
        <v>-8757</v>
      </c>
      <c r="J21" s="58">
        <v>10944</v>
      </c>
      <c r="K21" s="58">
        <v>27294</v>
      </c>
      <c r="L21">
        <f t="shared" si="0"/>
        <v>-125</v>
      </c>
    </row>
    <row r="22" spans="1:12" x14ac:dyDescent="0.35">
      <c r="A22" s="61">
        <v>43648</v>
      </c>
      <c r="B22" s="58">
        <v>23201</v>
      </c>
      <c r="C22" s="58">
        <v>12311</v>
      </c>
      <c r="D22" s="58">
        <v>-22348</v>
      </c>
      <c r="E22" s="58">
        <v>1296</v>
      </c>
      <c r="F22" s="58">
        <v>358</v>
      </c>
      <c r="G22" s="58">
        <v>-10695</v>
      </c>
      <c r="H22" s="58">
        <v>-1211</v>
      </c>
      <c r="I22" s="58">
        <v>-2912</v>
      </c>
      <c r="J22" s="60">
        <v>11069</v>
      </c>
      <c r="K22" s="58">
        <v>27387</v>
      </c>
      <c r="L22">
        <f t="shared" si="0"/>
        <v>7</v>
      </c>
    </row>
    <row r="23" spans="1:12" x14ac:dyDescent="0.35">
      <c r="A23" s="61">
        <v>43618</v>
      </c>
      <c r="B23" s="58">
        <v>10890</v>
      </c>
      <c r="C23" s="58">
        <v>32950</v>
      </c>
      <c r="D23" s="58">
        <v>-23644</v>
      </c>
      <c r="E23" s="58">
        <v>-11556</v>
      </c>
      <c r="F23" s="59">
        <v>11053</v>
      </c>
      <c r="G23" s="58">
        <v>-13818</v>
      </c>
      <c r="H23" s="58">
        <v>1701</v>
      </c>
      <c r="I23" s="58">
        <v>-7576</v>
      </c>
      <c r="J23" s="58">
        <v>11062</v>
      </c>
      <c r="K23" s="58">
        <v>27402</v>
      </c>
      <c r="L23">
        <f t="shared" si="0"/>
        <v>128</v>
      </c>
    </row>
    <row r="24" spans="1:12" x14ac:dyDescent="0.35">
      <c r="A24" s="61">
        <v>43587</v>
      </c>
      <c r="B24" s="58">
        <v>-22060</v>
      </c>
      <c r="C24" s="58">
        <v>8337</v>
      </c>
      <c r="D24" s="58">
        <v>-12088</v>
      </c>
      <c r="E24" s="58">
        <v>968</v>
      </c>
      <c r="F24" s="58">
        <v>24871</v>
      </c>
      <c r="G24" s="58">
        <v>-793</v>
      </c>
      <c r="H24" s="58">
        <v>9277</v>
      </c>
      <c r="I24" s="58">
        <v>-8512</v>
      </c>
      <c r="J24" s="59">
        <v>10934</v>
      </c>
      <c r="K24" s="58">
        <v>27272</v>
      </c>
      <c r="L24">
        <f t="shared" si="0"/>
        <v>22</v>
      </c>
    </row>
    <row r="25" spans="1:12" x14ac:dyDescent="0.35">
      <c r="A25" s="61">
        <v>43557</v>
      </c>
      <c r="B25" s="58">
        <v>-30397</v>
      </c>
      <c r="C25" s="58">
        <v>-2718</v>
      </c>
      <c r="D25" s="58">
        <v>-13056</v>
      </c>
      <c r="E25" s="58">
        <v>-1476</v>
      </c>
      <c r="F25" s="58">
        <v>25664</v>
      </c>
      <c r="G25" s="58">
        <v>9702</v>
      </c>
      <c r="H25" s="58">
        <v>17789</v>
      </c>
      <c r="I25" s="58">
        <v>-5508</v>
      </c>
      <c r="J25" s="58">
        <v>10912</v>
      </c>
      <c r="K25" s="58">
        <v>27187</v>
      </c>
      <c r="L25">
        <f t="shared" si="0"/>
        <v>18</v>
      </c>
    </row>
    <row r="26" spans="1:12" x14ac:dyDescent="0.35">
      <c r="A26" s="61">
        <v>43467</v>
      </c>
      <c r="B26" s="58">
        <v>-27679</v>
      </c>
      <c r="C26" s="58">
        <v>20927</v>
      </c>
      <c r="D26" s="58">
        <v>-11580</v>
      </c>
      <c r="E26" s="58">
        <v>989</v>
      </c>
      <c r="F26" s="58">
        <v>15962</v>
      </c>
      <c r="G26" s="58">
        <v>-16164</v>
      </c>
      <c r="H26" s="58">
        <v>23297</v>
      </c>
      <c r="I26" s="58">
        <v>-5752</v>
      </c>
      <c r="J26" s="58">
        <v>10894</v>
      </c>
      <c r="K26" s="58">
        <v>27086</v>
      </c>
      <c r="L26">
        <f t="shared" si="0"/>
        <v>63</v>
      </c>
    </row>
    <row r="27" spans="1:12" x14ac:dyDescent="0.35">
      <c r="A27" s="61" t="s">
        <v>334</v>
      </c>
      <c r="B27" s="58">
        <v>-48606</v>
      </c>
      <c r="C27" s="58">
        <v>-6297</v>
      </c>
      <c r="D27" s="58">
        <v>-12569</v>
      </c>
      <c r="E27" s="58">
        <v>12088</v>
      </c>
      <c r="F27" s="58">
        <v>32126</v>
      </c>
      <c r="G27" s="58">
        <v>-564</v>
      </c>
      <c r="H27" s="58">
        <v>29049</v>
      </c>
      <c r="I27" s="58">
        <v>-5227</v>
      </c>
      <c r="J27" s="58">
        <v>10831</v>
      </c>
      <c r="K27" s="58">
        <v>27295</v>
      </c>
      <c r="L27">
        <f t="shared" si="0"/>
        <v>179</v>
      </c>
    </row>
    <row r="28" spans="1:12" x14ac:dyDescent="0.35">
      <c r="A28" s="57" t="s">
        <v>335</v>
      </c>
      <c r="B28" s="58">
        <v>-42309</v>
      </c>
      <c r="C28" s="58">
        <v>-23361</v>
      </c>
      <c r="D28" s="58">
        <v>-24657</v>
      </c>
      <c r="E28" s="58">
        <v>-7195</v>
      </c>
      <c r="F28" s="59">
        <v>32690</v>
      </c>
      <c r="G28" s="58">
        <v>30306</v>
      </c>
      <c r="H28" s="58">
        <v>34276</v>
      </c>
      <c r="I28" s="58">
        <v>250</v>
      </c>
      <c r="J28" s="59">
        <v>10652</v>
      </c>
      <c r="K28" s="58">
        <v>26573</v>
      </c>
      <c r="L28">
        <f t="shared" si="0"/>
        <v>0</v>
      </c>
    </row>
    <row r="29" spans="1:12" x14ac:dyDescent="0.35">
      <c r="A29" s="57" t="s">
        <v>336</v>
      </c>
      <c r="B29" s="58">
        <v>-18948</v>
      </c>
      <c r="C29" s="58">
        <v>-3931</v>
      </c>
      <c r="D29" s="58">
        <v>-17462</v>
      </c>
      <c r="E29" s="58">
        <v>206</v>
      </c>
      <c r="F29" s="58">
        <v>2384</v>
      </c>
      <c r="G29" s="58">
        <v>-438</v>
      </c>
      <c r="H29" s="58">
        <v>34026</v>
      </c>
      <c r="I29" s="58">
        <v>4163</v>
      </c>
      <c r="J29" s="59">
        <v>10652</v>
      </c>
      <c r="K29" s="58">
        <v>26573</v>
      </c>
      <c r="L29">
        <f t="shared" si="0"/>
        <v>-10</v>
      </c>
    </row>
    <row r="30" spans="1:12" x14ac:dyDescent="0.35">
      <c r="A30" s="57" t="s">
        <v>337</v>
      </c>
      <c r="B30" s="58">
        <v>-15017</v>
      </c>
      <c r="C30" s="58">
        <v>12793</v>
      </c>
      <c r="D30" s="58">
        <v>-17668</v>
      </c>
      <c r="E30" s="58">
        <v>-3464</v>
      </c>
      <c r="F30" s="58">
        <v>2822</v>
      </c>
      <c r="G30" s="58">
        <v>-17410</v>
      </c>
      <c r="H30" s="58">
        <v>29863</v>
      </c>
      <c r="I30" s="58">
        <v>8081</v>
      </c>
      <c r="J30" s="58">
        <v>10662</v>
      </c>
      <c r="K30" s="58">
        <v>26653</v>
      </c>
      <c r="L30">
        <f t="shared" si="0"/>
        <v>-118</v>
      </c>
    </row>
    <row r="31" spans="1:12" x14ac:dyDescent="0.35">
      <c r="A31" s="57" t="s">
        <v>338</v>
      </c>
      <c r="B31" s="58">
        <v>-27810</v>
      </c>
      <c r="C31" s="58">
        <v>16020</v>
      </c>
      <c r="D31" s="58">
        <v>-14204</v>
      </c>
      <c r="E31" s="58">
        <v>-3079</v>
      </c>
      <c r="F31" s="60">
        <v>20232</v>
      </c>
      <c r="G31" s="58">
        <v>-7336</v>
      </c>
      <c r="H31" s="58">
        <v>21782</v>
      </c>
      <c r="I31" s="58">
        <v>-5605</v>
      </c>
      <c r="J31" s="60">
        <v>10780</v>
      </c>
      <c r="K31" s="58">
        <v>27115</v>
      </c>
      <c r="L31">
        <f t="shared" si="0"/>
        <v>-70</v>
      </c>
    </row>
    <row r="32" spans="1:12" x14ac:dyDescent="0.35">
      <c r="A32" s="57" t="s">
        <v>339</v>
      </c>
      <c r="B32" s="58">
        <v>-43830</v>
      </c>
      <c r="C32" s="58">
        <v>-4120</v>
      </c>
      <c r="D32" s="58">
        <v>-11125</v>
      </c>
      <c r="E32" s="58">
        <v>-5136</v>
      </c>
      <c r="F32" s="58">
        <v>27568</v>
      </c>
      <c r="G32" s="58">
        <v>5381</v>
      </c>
      <c r="H32" s="58">
        <v>27387</v>
      </c>
      <c r="I32" s="58">
        <v>3875</v>
      </c>
      <c r="J32" s="60">
        <v>10850</v>
      </c>
      <c r="K32" s="58">
        <v>27266</v>
      </c>
      <c r="L32">
        <f t="shared" si="0"/>
        <v>18</v>
      </c>
    </row>
    <row r="33" spans="1:12" x14ac:dyDescent="0.35">
      <c r="A33" s="56" t="s">
        <v>340</v>
      </c>
      <c r="B33" s="56">
        <v>-39710</v>
      </c>
      <c r="C33" s="56">
        <v>-2676</v>
      </c>
      <c r="D33" s="56">
        <v>-5989</v>
      </c>
      <c r="E33" s="56">
        <v>306</v>
      </c>
      <c r="F33" s="56">
        <v>22187</v>
      </c>
      <c r="G33" s="56">
        <v>929</v>
      </c>
      <c r="H33" s="56">
        <v>23512</v>
      </c>
      <c r="I33" s="56">
        <v>1441</v>
      </c>
      <c r="J33" s="56">
        <v>10832</v>
      </c>
      <c r="K33" s="56">
        <v>27251</v>
      </c>
      <c r="L33">
        <f t="shared" si="0"/>
        <v>-91</v>
      </c>
    </row>
    <row r="34" spans="1:12" x14ac:dyDescent="0.35">
      <c r="A34" s="57" t="s">
        <v>341</v>
      </c>
      <c r="B34" s="57">
        <v>-37034</v>
      </c>
      <c r="C34" s="57">
        <v>-5662</v>
      </c>
      <c r="D34" s="57">
        <v>-6295</v>
      </c>
      <c r="E34" s="57">
        <v>3201</v>
      </c>
      <c r="F34" s="57">
        <v>21258</v>
      </c>
      <c r="G34" s="57">
        <v>2938</v>
      </c>
      <c r="H34" s="57">
        <v>22071</v>
      </c>
      <c r="I34" s="57">
        <v>-477</v>
      </c>
      <c r="J34" s="57">
        <v>10923</v>
      </c>
      <c r="K34" s="57">
        <v>27482</v>
      </c>
      <c r="L34">
        <f t="shared" si="0"/>
        <v>16</v>
      </c>
    </row>
    <row r="35" spans="1:12" x14ac:dyDescent="0.35">
      <c r="A35" s="57" t="s">
        <v>342</v>
      </c>
      <c r="B35" s="58">
        <v>-31372</v>
      </c>
      <c r="C35" s="58">
        <v>5631</v>
      </c>
      <c r="D35" s="58">
        <v>-9496</v>
      </c>
      <c r="E35" s="58">
        <v>-782</v>
      </c>
      <c r="F35" s="58">
        <v>18320</v>
      </c>
      <c r="G35" s="58">
        <v>5569</v>
      </c>
      <c r="H35" s="58">
        <v>22548</v>
      </c>
      <c r="I35" s="58">
        <v>-10418</v>
      </c>
      <c r="J35" s="59">
        <v>10907</v>
      </c>
      <c r="K35" s="58">
        <v>27457</v>
      </c>
      <c r="L35">
        <f t="shared" si="0"/>
        <v>0</v>
      </c>
    </row>
    <row r="36" spans="1:12" x14ac:dyDescent="0.35">
      <c r="A36" s="57" t="s">
        <v>343</v>
      </c>
      <c r="B36" s="58">
        <v>-37003</v>
      </c>
      <c r="C36" s="58">
        <v>-3987</v>
      </c>
      <c r="D36" s="58">
        <v>-8714</v>
      </c>
      <c r="E36" s="58">
        <v>3444</v>
      </c>
      <c r="F36" s="58">
        <v>12751</v>
      </c>
      <c r="G36" s="58">
        <v>743</v>
      </c>
      <c r="H36" s="58">
        <v>32966</v>
      </c>
      <c r="I36" s="58">
        <v>-200</v>
      </c>
      <c r="J36" s="58">
        <v>10907</v>
      </c>
      <c r="K36" s="58">
        <v>27457</v>
      </c>
      <c r="L36">
        <f t="shared" si="0"/>
        <v>2</v>
      </c>
    </row>
    <row r="37" spans="1:12" x14ac:dyDescent="0.35">
      <c r="A37" s="57" t="s">
        <v>344</v>
      </c>
      <c r="B37" s="58">
        <v>-33016</v>
      </c>
      <c r="C37" s="58">
        <v>-7934</v>
      </c>
      <c r="D37" s="58">
        <v>-12158</v>
      </c>
      <c r="E37" s="58">
        <v>-2725</v>
      </c>
      <c r="F37" s="58">
        <v>12008</v>
      </c>
      <c r="G37" s="58">
        <v>15619</v>
      </c>
      <c r="H37" s="58">
        <v>33166</v>
      </c>
      <c r="I37" s="58">
        <v>-4960</v>
      </c>
      <c r="J37" s="60">
        <v>10905</v>
      </c>
      <c r="K37" s="58">
        <v>27529</v>
      </c>
      <c r="L37">
        <f t="shared" si="0"/>
        <v>15</v>
      </c>
    </row>
    <row r="38" spans="1:12" x14ac:dyDescent="0.35">
      <c r="A38" s="57" t="s">
        <v>345</v>
      </c>
      <c r="B38" s="58">
        <v>-25082</v>
      </c>
      <c r="C38" s="58">
        <v>-12106</v>
      </c>
      <c r="D38" s="58">
        <v>-9433</v>
      </c>
      <c r="E38" s="58">
        <v>2902</v>
      </c>
      <c r="F38" s="58">
        <v>-3611</v>
      </c>
      <c r="G38" s="58">
        <v>11906</v>
      </c>
      <c r="H38" s="58">
        <v>38126</v>
      </c>
      <c r="I38" s="58">
        <v>-2702</v>
      </c>
      <c r="J38" s="58">
        <v>10890</v>
      </c>
      <c r="K38" s="58">
        <v>27484</v>
      </c>
      <c r="L38">
        <f t="shared" si="0"/>
        <v>3</v>
      </c>
    </row>
    <row r="39" spans="1:12" x14ac:dyDescent="0.35">
      <c r="A39" s="57" t="s">
        <v>346</v>
      </c>
      <c r="B39" s="58">
        <v>-12976</v>
      </c>
      <c r="C39" s="58">
        <v>15003</v>
      </c>
      <c r="D39" s="58">
        <v>-12335</v>
      </c>
      <c r="E39" s="58">
        <v>-7170</v>
      </c>
      <c r="F39" s="60">
        <v>-15517</v>
      </c>
      <c r="G39" s="58">
        <v>-6712</v>
      </c>
      <c r="H39" s="58">
        <v>40828</v>
      </c>
      <c r="I39" s="58">
        <v>-1121</v>
      </c>
      <c r="J39" s="59">
        <v>10887</v>
      </c>
      <c r="K39" s="58">
        <v>27401</v>
      </c>
      <c r="L39">
        <f t="shared" si="0"/>
        <v>149</v>
      </c>
    </row>
    <row r="40" spans="1:12" x14ac:dyDescent="0.35">
      <c r="A40" s="57" t="s">
        <v>347</v>
      </c>
      <c r="B40" s="58">
        <v>-27979</v>
      </c>
      <c r="C40" s="58">
        <v>-13143</v>
      </c>
      <c r="D40" s="58">
        <v>-5165</v>
      </c>
      <c r="E40" s="58">
        <v>-1648</v>
      </c>
      <c r="F40" s="58">
        <v>-8805</v>
      </c>
      <c r="G40" s="58">
        <v>14773</v>
      </c>
      <c r="H40" s="58">
        <v>41949</v>
      </c>
      <c r="I40" s="58">
        <v>18</v>
      </c>
      <c r="J40" s="60">
        <v>10738</v>
      </c>
      <c r="K40" s="58">
        <v>27248</v>
      </c>
      <c r="L40">
        <f t="shared" si="0"/>
        <v>-57</v>
      </c>
    </row>
    <row r="41" spans="1:12" x14ac:dyDescent="0.35">
      <c r="A41" s="61">
        <v>43770</v>
      </c>
      <c r="B41" s="58">
        <v>-14836</v>
      </c>
      <c r="C41" s="58">
        <v>-3898</v>
      </c>
      <c r="D41" s="58">
        <v>-3517</v>
      </c>
      <c r="E41" s="58">
        <v>10256</v>
      </c>
      <c r="F41" s="60">
        <v>-23578</v>
      </c>
      <c r="G41" s="58">
        <v>1348</v>
      </c>
      <c r="H41" s="58">
        <v>41931</v>
      </c>
      <c r="I41" s="58">
        <v>-7706</v>
      </c>
      <c r="J41" s="60">
        <v>10795</v>
      </c>
      <c r="K41" s="58">
        <v>27454</v>
      </c>
      <c r="L41">
        <f t="shared" si="0"/>
        <v>-27</v>
      </c>
    </row>
    <row r="42" spans="1:12" x14ac:dyDescent="0.35">
      <c r="A42" s="61">
        <v>43739</v>
      </c>
      <c r="B42" s="58">
        <v>-6410</v>
      </c>
      <c r="C42" s="58">
        <v>8238</v>
      </c>
      <c r="D42" s="58">
        <v>-11729</v>
      </c>
      <c r="E42" s="58">
        <v>-919</v>
      </c>
      <c r="F42" s="58">
        <v>-25215</v>
      </c>
      <c r="G42" s="58">
        <v>2853</v>
      </c>
      <c r="H42" s="58">
        <v>43354</v>
      </c>
      <c r="I42" s="58">
        <v>-10172</v>
      </c>
      <c r="J42" s="58">
        <v>10822</v>
      </c>
      <c r="K42" s="58">
        <v>27528</v>
      </c>
      <c r="L42">
        <f t="shared" si="0"/>
        <v>-33</v>
      </c>
    </row>
    <row r="43" spans="1:12" x14ac:dyDescent="0.35">
      <c r="A43" s="61">
        <v>43709</v>
      </c>
      <c r="B43" s="58">
        <v>-10938</v>
      </c>
      <c r="C43" s="58">
        <v>-3119</v>
      </c>
      <c r="D43" s="58">
        <v>-13773</v>
      </c>
      <c r="E43" s="58">
        <v>-9102</v>
      </c>
      <c r="F43" s="58">
        <v>-24926</v>
      </c>
      <c r="G43" s="58">
        <v>16317</v>
      </c>
      <c r="H43" s="58">
        <v>49637</v>
      </c>
      <c r="I43" s="58">
        <v>-4096</v>
      </c>
      <c r="J43" s="60">
        <v>10855</v>
      </c>
      <c r="K43" s="58">
        <v>27720</v>
      </c>
      <c r="L43">
        <f t="shared" si="0"/>
        <v>53</v>
      </c>
    </row>
    <row r="44" spans="1:12" x14ac:dyDescent="0.35">
      <c r="A44" s="61">
        <v>43678</v>
      </c>
      <c r="B44" s="58">
        <v>-14648</v>
      </c>
      <c r="C44" s="58">
        <v>-2306</v>
      </c>
      <c r="D44" s="58">
        <v>-10810</v>
      </c>
      <c r="E44" s="58">
        <v>-5879</v>
      </c>
      <c r="F44" s="59">
        <v>-28068</v>
      </c>
      <c r="G44" s="58">
        <v>14517</v>
      </c>
      <c r="H44" s="58">
        <v>53526</v>
      </c>
      <c r="I44" s="58">
        <v>-6332</v>
      </c>
      <c r="J44" s="58">
        <v>10802</v>
      </c>
      <c r="K44" s="58">
        <v>27510</v>
      </c>
      <c r="L44">
        <f t="shared" si="0"/>
        <v>30</v>
      </c>
    </row>
    <row r="45" spans="1:12" x14ac:dyDescent="0.35">
      <c r="A45" s="61">
        <v>43647</v>
      </c>
      <c r="B45" s="58">
        <v>-7819</v>
      </c>
      <c r="C45" s="58">
        <v>-730</v>
      </c>
      <c r="D45" s="58">
        <v>-4671</v>
      </c>
      <c r="E45" s="58">
        <v>4998</v>
      </c>
      <c r="F45" s="58">
        <v>-41243</v>
      </c>
      <c r="G45" s="58">
        <v>3859</v>
      </c>
      <c r="H45" s="58">
        <v>53733</v>
      </c>
      <c r="I45" s="58">
        <v>-8127</v>
      </c>
      <c r="J45" s="59">
        <v>10772</v>
      </c>
      <c r="K45" s="58">
        <v>27305</v>
      </c>
      <c r="L45">
        <f t="shared" si="0"/>
        <v>45</v>
      </c>
    </row>
    <row r="46" spans="1:12" x14ac:dyDescent="0.35">
      <c r="A46" s="61">
        <v>43556</v>
      </c>
      <c r="B46" s="58">
        <v>-12342</v>
      </c>
      <c r="C46" s="58">
        <v>-11338</v>
      </c>
      <c r="D46" s="58">
        <v>-4931</v>
      </c>
      <c r="E46" s="58">
        <v>3264</v>
      </c>
      <c r="F46" s="58">
        <v>-42585</v>
      </c>
      <c r="G46" s="58">
        <v>9037</v>
      </c>
      <c r="H46" s="58">
        <v>59858</v>
      </c>
      <c r="I46" s="58">
        <v>-963</v>
      </c>
      <c r="J46" s="58">
        <v>10727</v>
      </c>
      <c r="K46" s="58">
        <v>27195</v>
      </c>
      <c r="L46">
        <f t="shared" si="0"/>
        <v>55</v>
      </c>
    </row>
    <row r="47" spans="1:12" x14ac:dyDescent="0.35">
      <c r="A47" s="61">
        <v>43525</v>
      </c>
      <c r="B47" s="58">
        <v>-7089</v>
      </c>
      <c r="C47" s="58">
        <v>-16785</v>
      </c>
      <c r="D47" s="58">
        <v>-9669</v>
      </c>
      <c r="E47" s="58">
        <v>2343</v>
      </c>
      <c r="F47" s="58">
        <v>-45102</v>
      </c>
      <c r="G47" s="58">
        <v>9434</v>
      </c>
      <c r="H47" s="58">
        <v>61860</v>
      </c>
      <c r="I47" s="58">
        <v>5008</v>
      </c>
      <c r="J47" s="58">
        <v>10672</v>
      </c>
      <c r="K47" s="58">
        <v>26960</v>
      </c>
      <c r="L47">
        <f t="shared" si="0"/>
        <v>-121</v>
      </c>
    </row>
    <row r="48" spans="1:12" x14ac:dyDescent="0.35">
      <c r="A48" s="61">
        <v>43497</v>
      </c>
      <c r="B48" s="58">
        <v>-1004</v>
      </c>
      <c r="C48" s="58">
        <v>-17821</v>
      </c>
      <c r="D48" s="58">
        <v>-8195</v>
      </c>
      <c r="E48" s="58">
        <v>6093</v>
      </c>
      <c r="F48" s="58">
        <v>-51622</v>
      </c>
      <c r="G48" s="58">
        <v>7730</v>
      </c>
      <c r="H48" s="58">
        <v>60821</v>
      </c>
      <c r="I48" s="58">
        <v>3998</v>
      </c>
      <c r="J48" s="58">
        <v>10793</v>
      </c>
      <c r="K48" s="58">
        <v>27175</v>
      </c>
      <c r="L48">
        <f t="shared" si="0"/>
        <v>-117</v>
      </c>
    </row>
    <row r="49" spans="1:12" x14ac:dyDescent="0.35">
      <c r="A49" s="57">
        <v>43466</v>
      </c>
      <c r="B49" s="58">
        <v>9696</v>
      </c>
      <c r="C49" s="58">
        <v>-536</v>
      </c>
      <c r="D49" s="58">
        <v>-12012</v>
      </c>
      <c r="E49" s="58">
        <v>-1357</v>
      </c>
      <c r="F49" s="59">
        <v>-54536</v>
      </c>
      <c r="G49" s="58">
        <v>-2250</v>
      </c>
      <c r="H49" s="58">
        <v>56852</v>
      </c>
      <c r="I49" s="58">
        <v>4143</v>
      </c>
      <c r="J49" s="59">
        <v>10910</v>
      </c>
      <c r="K49" s="58">
        <v>27392</v>
      </c>
      <c r="L49">
        <f t="shared" si="0"/>
        <v>47</v>
      </c>
    </row>
    <row r="50" spans="1:12" x14ac:dyDescent="0.35">
      <c r="A50" s="57" t="s">
        <v>348</v>
      </c>
      <c r="B50" s="58">
        <v>16817</v>
      </c>
      <c r="C50" s="58">
        <v>13997</v>
      </c>
      <c r="D50" s="58">
        <v>-14288</v>
      </c>
      <c r="E50" s="58">
        <v>-2825</v>
      </c>
      <c r="F50" s="58">
        <v>-59352</v>
      </c>
      <c r="G50" s="58">
        <v>-11780</v>
      </c>
      <c r="H50" s="58">
        <v>56823</v>
      </c>
      <c r="I50" s="58">
        <v>608</v>
      </c>
      <c r="J50" s="59">
        <v>10863</v>
      </c>
      <c r="K50" s="58">
        <v>27160</v>
      </c>
      <c r="L50">
        <f t="shared" si="0"/>
        <v>3</v>
      </c>
    </row>
    <row r="51" spans="1:12" x14ac:dyDescent="0.35">
      <c r="A51" s="57" t="s">
        <v>349</v>
      </c>
      <c r="B51" s="58">
        <v>10232</v>
      </c>
      <c r="C51" s="58">
        <v>40290</v>
      </c>
      <c r="D51" s="58">
        <v>-10655</v>
      </c>
      <c r="E51" s="58">
        <v>-8725</v>
      </c>
      <c r="F51" s="58">
        <v>-52286</v>
      </c>
      <c r="G51" s="58">
        <v>-29162</v>
      </c>
      <c r="H51" s="58">
        <v>52709</v>
      </c>
      <c r="I51" s="58">
        <v>-2403</v>
      </c>
      <c r="J51" s="58">
        <v>10860</v>
      </c>
      <c r="K51" s="58">
        <v>27125</v>
      </c>
      <c r="L51">
        <f t="shared" si="0"/>
        <v>80</v>
      </c>
    </row>
    <row r="52" spans="1:12" x14ac:dyDescent="0.35">
      <c r="A52" s="57" t="s">
        <v>350</v>
      </c>
      <c r="B52" s="58">
        <v>2820</v>
      </c>
      <c r="C52" s="58">
        <v>24507</v>
      </c>
      <c r="D52" s="58">
        <v>-11463</v>
      </c>
      <c r="E52" s="58">
        <v>-5359</v>
      </c>
      <c r="F52" s="60">
        <v>-47572</v>
      </c>
      <c r="G52" s="58">
        <v>-19518</v>
      </c>
      <c r="H52" s="58">
        <v>56215</v>
      </c>
      <c r="I52" s="58">
        <v>370</v>
      </c>
      <c r="J52" s="60">
        <v>10780</v>
      </c>
      <c r="K52" s="58">
        <v>26879</v>
      </c>
      <c r="L52">
        <f t="shared" si="0"/>
        <v>50</v>
      </c>
    </row>
    <row r="53" spans="1:12" x14ac:dyDescent="0.35">
      <c r="A53" s="57" t="s">
        <v>351</v>
      </c>
      <c r="B53" s="58">
        <v>-30058</v>
      </c>
      <c r="C53" s="58">
        <v>-4694</v>
      </c>
      <c r="D53" s="58">
        <v>-1930</v>
      </c>
      <c r="E53" s="58">
        <v>-4926</v>
      </c>
      <c r="F53" s="58">
        <v>-23124</v>
      </c>
      <c r="G53" s="58">
        <v>-3610</v>
      </c>
      <c r="H53" s="58">
        <v>55112</v>
      </c>
      <c r="I53" s="58">
        <v>13230</v>
      </c>
      <c r="J53" s="60">
        <v>10730</v>
      </c>
      <c r="K53" s="58">
        <v>26987</v>
      </c>
      <c r="L53">
        <f t="shared" si="0"/>
        <v>66</v>
      </c>
    </row>
    <row r="54" spans="1:12" x14ac:dyDescent="0.35">
      <c r="A54" s="56" t="s">
        <v>352</v>
      </c>
      <c r="B54" s="56">
        <v>-21687</v>
      </c>
      <c r="C54" s="56">
        <v>653</v>
      </c>
      <c r="D54" s="56">
        <v>-6104</v>
      </c>
      <c r="E54" s="56">
        <v>-8930</v>
      </c>
      <c r="F54" s="56">
        <v>-28054</v>
      </c>
      <c r="G54" s="56">
        <v>-14650</v>
      </c>
      <c r="H54" s="56">
        <v>55845</v>
      </c>
      <c r="I54" s="56">
        <v>22927</v>
      </c>
      <c r="J54" s="56">
        <v>10664</v>
      </c>
      <c r="K54" s="56">
        <v>26715</v>
      </c>
      <c r="L54">
        <f t="shared" si="0"/>
        <v>-90</v>
      </c>
    </row>
    <row r="55" spans="1:12" x14ac:dyDescent="0.35">
      <c r="A55" s="57" t="s">
        <v>353</v>
      </c>
      <c r="B55" s="57">
        <v>-25364</v>
      </c>
      <c r="C55" s="57">
        <v>990</v>
      </c>
      <c r="D55" s="57">
        <v>2996</v>
      </c>
      <c r="E55" s="57">
        <v>-2501</v>
      </c>
      <c r="F55" s="57">
        <v>-19514</v>
      </c>
      <c r="G55" s="57">
        <v>-6987</v>
      </c>
      <c r="H55" s="57">
        <v>41882</v>
      </c>
      <c r="I55" s="57">
        <v>8498</v>
      </c>
      <c r="J55" s="57">
        <v>10754</v>
      </c>
      <c r="K55" s="57">
        <v>26870</v>
      </c>
      <c r="L55">
        <f t="shared" si="0"/>
        <v>-198</v>
      </c>
    </row>
    <row r="56" spans="1:12" x14ac:dyDescent="0.35">
      <c r="A56" s="57" t="s">
        <v>354</v>
      </c>
      <c r="B56" s="58">
        <v>-22340</v>
      </c>
      <c r="C56" s="58">
        <v>9347</v>
      </c>
      <c r="D56" s="58">
        <v>2826</v>
      </c>
      <c r="E56" s="58">
        <v>-4505</v>
      </c>
      <c r="F56" s="58">
        <v>-13404</v>
      </c>
      <c r="G56" s="58">
        <v>-4723</v>
      </c>
      <c r="H56" s="58">
        <v>32918</v>
      </c>
      <c r="I56" s="58">
        <v>-119</v>
      </c>
      <c r="J56" s="59">
        <v>10952</v>
      </c>
      <c r="K56" s="58">
        <v>27275</v>
      </c>
      <c r="L56">
        <f t="shared" si="0"/>
        <v>-15</v>
      </c>
    </row>
    <row r="57" spans="1:12" x14ac:dyDescent="0.35">
      <c r="A57" s="57" t="s">
        <v>355</v>
      </c>
      <c r="B57" s="58">
        <v>-26354</v>
      </c>
      <c r="C57" s="58">
        <v>-6884</v>
      </c>
      <c r="D57" s="58">
        <v>5497</v>
      </c>
      <c r="E57" s="58">
        <v>9146</v>
      </c>
      <c r="F57" s="58">
        <v>-12527</v>
      </c>
      <c r="G57" s="58">
        <v>1322</v>
      </c>
      <c r="H57" s="58">
        <v>33384</v>
      </c>
      <c r="I57" s="58">
        <v>-3584</v>
      </c>
      <c r="J57" s="58">
        <v>10967</v>
      </c>
      <c r="K57" s="58">
        <v>27298</v>
      </c>
      <c r="L57">
        <f t="shared" si="0"/>
        <v>58</v>
      </c>
    </row>
    <row r="58" spans="1:12" x14ac:dyDescent="0.35">
      <c r="A58" s="57" t="s">
        <v>356</v>
      </c>
      <c r="B58" s="58">
        <v>-31687</v>
      </c>
      <c r="C58" s="58">
        <v>-18363</v>
      </c>
      <c r="D58" s="58">
        <v>7331</v>
      </c>
      <c r="E58" s="58">
        <v>17884</v>
      </c>
      <c r="F58" s="58">
        <v>-8681</v>
      </c>
      <c r="G58" s="58">
        <v>9371</v>
      </c>
      <c r="H58" s="58">
        <v>33037</v>
      </c>
      <c r="I58" s="58">
        <v>-8892</v>
      </c>
      <c r="J58" s="60">
        <v>10909</v>
      </c>
      <c r="K58" s="58">
        <v>27175</v>
      </c>
      <c r="L58">
        <f t="shared" si="0"/>
        <v>21</v>
      </c>
    </row>
    <row r="59" spans="1:12" x14ac:dyDescent="0.35">
      <c r="A59" s="57" t="s">
        <v>357</v>
      </c>
      <c r="B59" s="58">
        <v>-19470</v>
      </c>
      <c r="C59" s="58">
        <v>-1862</v>
      </c>
      <c r="D59" s="58">
        <v>-3649</v>
      </c>
      <c r="E59" s="58">
        <v>1443</v>
      </c>
      <c r="F59" s="58">
        <v>-13849</v>
      </c>
      <c r="G59" s="58">
        <v>10387</v>
      </c>
      <c r="H59" s="58">
        <v>36968</v>
      </c>
      <c r="I59" s="58">
        <v>-9968</v>
      </c>
      <c r="J59" s="58">
        <v>10888</v>
      </c>
      <c r="K59" s="58">
        <v>27016</v>
      </c>
      <c r="L59">
        <f t="shared" si="0"/>
        <v>83</v>
      </c>
    </row>
    <row r="60" spans="1:12" x14ac:dyDescent="0.35">
      <c r="A60" s="57" t="s">
        <v>358</v>
      </c>
      <c r="B60" s="58">
        <v>-13324</v>
      </c>
      <c r="C60" s="58">
        <v>36811</v>
      </c>
      <c r="D60" s="58">
        <v>-10553</v>
      </c>
      <c r="E60" s="58">
        <v>-9195</v>
      </c>
      <c r="F60" s="60">
        <v>-18052</v>
      </c>
      <c r="G60" s="58">
        <v>-14512</v>
      </c>
      <c r="H60" s="58">
        <v>41929</v>
      </c>
      <c r="I60" s="58">
        <v>-13104</v>
      </c>
      <c r="J60" s="59">
        <v>10805</v>
      </c>
      <c r="K60" s="58">
        <v>26826</v>
      </c>
      <c r="L60">
        <f t="shared" si="0"/>
        <v>13</v>
      </c>
    </row>
    <row r="61" spans="1:12" x14ac:dyDescent="0.35">
      <c r="A61" s="57" t="s">
        <v>359</v>
      </c>
      <c r="B61" s="58">
        <v>-17608</v>
      </c>
      <c r="C61" s="58">
        <v>22176</v>
      </c>
      <c r="D61" s="58">
        <v>-5092</v>
      </c>
      <c r="E61" s="58">
        <v>14121</v>
      </c>
      <c r="F61" s="58">
        <v>-24236</v>
      </c>
      <c r="G61" s="58">
        <v>-23718</v>
      </c>
      <c r="H61" s="58">
        <v>46936</v>
      </c>
      <c r="I61" s="58">
        <v>-12579</v>
      </c>
      <c r="J61" s="60">
        <v>10792</v>
      </c>
      <c r="K61" s="58">
        <v>26816</v>
      </c>
      <c r="L61">
        <f t="shared" si="0"/>
        <v>54</v>
      </c>
    </row>
    <row r="62" spans="1:12" x14ac:dyDescent="0.35">
      <c r="A62" s="61">
        <v>43446</v>
      </c>
      <c r="B62" s="58">
        <v>-50135</v>
      </c>
      <c r="C62" s="58">
        <v>-15867</v>
      </c>
      <c r="D62" s="58">
        <v>-1358</v>
      </c>
      <c r="E62" s="58">
        <v>9171</v>
      </c>
      <c r="F62" s="60">
        <v>-3540</v>
      </c>
      <c r="G62" s="58">
        <v>8609</v>
      </c>
      <c r="H62" s="58">
        <v>55033</v>
      </c>
      <c r="I62" s="58">
        <v>-1913</v>
      </c>
      <c r="J62" s="60">
        <v>10738</v>
      </c>
      <c r="K62" s="58">
        <v>26644</v>
      </c>
      <c r="L62">
        <f t="shared" si="0"/>
        <v>189</v>
      </c>
    </row>
    <row r="63" spans="1:12" x14ac:dyDescent="0.35">
      <c r="A63" s="61">
        <v>43416</v>
      </c>
      <c r="B63" s="58">
        <v>-39784</v>
      </c>
      <c r="C63" s="58">
        <v>-17227</v>
      </c>
      <c r="D63" s="58">
        <v>-19213</v>
      </c>
      <c r="E63" s="58">
        <v>-6756</v>
      </c>
      <c r="F63" s="58">
        <v>-518</v>
      </c>
      <c r="G63" s="58">
        <v>18551</v>
      </c>
      <c r="H63" s="58">
        <v>59515</v>
      </c>
      <c r="I63" s="58">
        <v>5432</v>
      </c>
      <c r="J63" s="58">
        <v>10549</v>
      </c>
      <c r="K63" s="58">
        <v>26163</v>
      </c>
      <c r="L63">
        <f t="shared" si="0"/>
        <v>61</v>
      </c>
    </row>
    <row r="64" spans="1:12" x14ac:dyDescent="0.35">
      <c r="A64" s="61">
        <v>43385</v>
      </c>
      <c r="B64" s="58">
        <v>-34268</v>
      </c>
      <c r="C64" s="58">
        <v>-4154</v>
      </c>
      <c r="D64" s="58">
        <v>-10529</v>
      </c>
      <c r="E64" s="58">
        <v>2779</v>
      </c>
      <c r="F64" s="58">
        <v>-12149</v>
      </c>
      <c r="G64" s="58">
        <v>-8056</v>
      </c>
      <c r="H64" s="58">
        <v>56946</v>
      </c>
      <c r="I64" s="58">
        <v>9431</v>
      </c>
      <c r="J64" s="60">
        <v>10488</v>
      </c>
      <c r="K64" s="58">
        <v>26103</v>
      </c>
      <c r="L64">
        <f t="shared" si="0"/>
        <v>-206</v>
      </c>
    </row>
    <row r="65" spans="1:12" x14ac:dyDescent="0.35">
      <c r="A65" s="61">
        <v>43293</v>
      </c>
      <c r="B65" s="58">
        <v>-22557</v>
      </c>
      <c r="C65" s="58">
        <v>-14735</v>
      </c>
      <c r="D65" s="58">
        <v>-12457</v>
      </c>
      <c r="E65" s="58">
        <v>-815</v>
      </c>
      <c r="F65" s="59">
        <v>-19069</v>
      </c>
      <c r="G65" s="58">
        <v>1085</v>
      </c>
      <c r="H65" s="58">
        <v>54083</v>
      </c>
      <c r="I65" s="58">
        <v>14465</v>
      </c>
      <c r="J65" s="58">
        <v>10694</v>
      </c>
      <c r="K65" s="58">
        <v>26594</v>
      </c>
      <c r="L65">
        <f t="shared" si="0"/>
        <v>93</v>
      </c>
    </row>
    <row r="66" spans="1:12" x14ac:dyDescent="0.35">
      <c r="A66" s="61">
        <v>43263</v>
      </c>
      <c r="B66" s="58">
        <v>-30114</v>
      </c>
      <c r="C66" s="58">
        <v>-41153</v>
      </c>
      <c r="D66" s="58">
        <v>-13308</v>
      </c>
      <c r="E66" s="58">
        <v>4023</v>
      </c>
      <c r="F66" s="58">
        <v>-4093</v>
      </c>
      <c r="G66" s="58">
        <v>27510</v>
      </c>
      <c r="H66" s="58">
        <v>47515</v>
      </c>
      <c r="I66" s="58">
        <v>9620</v>
      </c>
      <c r="J66" s="59">
        <v>10601</v>
      </c>
      <c r="K66" s="58">
        <v>26198</v>
      </c>
      <c r="L66">
        <f t="shared" si="0"/>
        <v>-182</v>
      </c>
    </row>
    <row r="67" spans="1:12" x14ac:dyDescent="0.35">
      <c r="A67" s="61">
        <v>43232</v>
      </c>
      <c r="B67" s="58">
        <v>-7822</v>
      </c>
      <c r="C67" s="58">
        <v>-20694</v>
      </c>
      <c r="D67" s="58">
        <v>-11642</v>
      </c>
      <c r="E67" s="58">
        <v>7760</v>
      </c>
      <c r="F67" s="58">
        <v>-20154</v>
      </c>
      <c r="G67" s="58">
        <v>11398</v>
      </c>
      <c r="H67" s="58">
        <v>39618</v>
      </c>
      <c r="I67" s="58">
        <v>1536</v>
      </c>
      <c r="J67" s="58">
        <v>10783</v>
      </c>
      <c r="K67" s="58">
        <v>26520</v>
      </c>
      <c r="L67">
        <f t="shared" si="0"/>
        <v>-87</v>
      </c>
    </row>
    <row r="68" spans="1:12" x14ac:dyDescent="0.35">
      <c r="A68" s="61">
        <v>43202</v>
      </c>
      <c r="B68" s="58">
        <v>11039</v>
      </c>
      <c r="C68" s="58">
        <v>2232</v>
      </c>
      <c r="D68" s="58">
        <v>-17331</v>
      </c>
      <c r="E68" s="58">
        <v>3976</v>
      </c>
      <c r="F68" s="58">
        <v>-31603</v>
      </c>
      <c r="G68" s="58">
        <v>-1221</v>
      </c>
      <c r="H68" s="58">
        <v>37895</v>
      </c>
      <c r="I68" s="58">
        <v>-4987</v>
      </c>
      <c r="J68" s="58">
        <v>10870</v>
      </c>
      <c r="K68" s="58">
        <v>26694</v>
      </c>
      <c r="L68">
        <f t="shared" ref="L68:L74" si="1">J68-J69</f>
        <v>-14</v>
      </c>
    </row>
    <row r="69" spans="1:12" x14ac:dyDescent="0.35">
      <c r="A69" s="61">
        <v>43171</v>
      </c>
      <c r="B69" s="58">
        <v>12872</v>
      </c>
      <c r="C69" s="58">
        <v>5458</v>
      </c>
      <c r="D69" s="58">
        <v>-19402</v>
      </c>
      <c r="E69" s="58">
        <v>977</v>
      </c>
      <c r="F69" s="58">
        <v>-31552</v>
      </c>
      <c r="G69" s="58">
        <v>-4366</v>
      </c>
      <c r="H69" s="58">
        <v>38082</v>
      </c>
      <c r="I69" s="58">
        <v>-2069</v>
      </c>
      <c r="J69" s="58">
        <v>10884</v>
      </c>
      <c r="K69" s="58">
        <v>26858</v>
      </c>
      <c r="L69">
        <f t="shared" si="1"/>
        <v>7</v>
      </c>
    </row>
    <row r="70" spans="1:12" x14ac:dyDescent="0.35">
      <c r="A70" s="57" t="s">
        <v>360</v>
      </c>
      <c r="B70" s="58">
        <v>8807</v>
      </c>
      <c r="C70" s="58">
        <v>77132</v>
      </c>
      <c r="D70" s="58">
        <v>-21307</v>
      </c>
      <c r="E70" s="58">
        <v>-35354</v>
      </c>
      <c r="F70" s="59">
        <v>-30382</v>
      </c>
      <c r="G70" s="58">
        <v>-47015</v>
      </c>
      <c r="H70" s="58">
        <v>42882</v>
      </c>
      <c r="I70" s="58">
        <v>5237</v>
      </c>
      <c r="J70" s="59">
        <v>10877</v>
      </c>
      <c r="K70" s="58">
        <v>26863</v>
      </c>
      <c r="L70">
        <f t="shared" si="1"/>
        <v>18</v>
      </c>
    </row>
    <row r="71" spans="1:12" x14ac:dyDescent="0.35">
      <c r="A71" s="57" t="s">
        <v>361</v>
      </c>
      <c r="B71" s="58">
        <v>7414</v>
      </c>
      <c r="C71" s="58">
        <v>89419</v>
      </c>
      <c r="D71" s="58">
        <v>-20379</v>
      </c>
      <c r="E71" s="58">
        <v>-23101</v>
      </c>
      <c r="F71" s="58">
        <v>-27186</v>
      </c>
      <c r="G71" s="58">
        <v>-60328</v>
      </c>
      <c r="H71" s="58">
        <v>40151</v>
      </c>
      <c r="I71" s="58">
        <v>-5990</v>
      </c>
      <c r="J71" s="59">
        <v>10859</v>
      </c>
      <c r="K71" s="58">
        <v>26940</v>
      </c>
      <c r="L71">
        <f t="shared" si="1"/>
        <v>173</v>
      </c>
    </row>
    <row r="72" spans="1:12" x14ac:dyDescent="0.35">
      <c r="A72" s="57" t="s">
        <v>362</v>
      </c>
      <c r="B72" s="58">
        <v>-68325</v>
      </c>
      <c r="C72" s="58">
        <v>2470</v>
      </c>
      <c r="D72" s="58">
        <v>14047</v>
      </c>
      <c r="E72" s="58">
        <v>10886</v>
      </c>
      <c r="F72" s="58">
        <v>16633</v>
      </c>
      <c r="G72" s="58">
        <v>-8291</v>
      </c>
      <c r="H72" s="58">
        <v>37645</v>
      </c>
      <c r="I72" s="58">
        <v>-5065</v>
      </c>
      <c r="J72" s="58">
        <v>10686</v>
      </c>
      <c r="K72" s="58">
        <v>26443</v>
      </c>
      <c r="L72">
        <f t="shared" si="1"/>
        <v>0</v>
      </c>
    </row>
    <row r="73" spans="1:12" x14ac:dyDescent="0.35">
      <c r="A73" s="57" t="s">
        <v>363</v>
      </c>
      <c r="B73" s="58">
        <v>-82005</v>
      </c>
      <c r="C73" s="58">
        <v>-17210</v>
      </c>
      <c r="D73" s="58">
        <v>2722</v>
      </c>
      <c r="E73" s="58">
        <v>6133</v>
      </c>
      <c r="F73" s="60">
        <v>33142</v>
      </c>
      <c r="G73" s="58">
        <v>4334</v>
      </c>
      <c r="H73" s="58">
        <v>46141</v>
      </c>
      <c r="I73" s="58">
        <v>6743</v>
      </c>
      <c r="J73" s="60">
        <v>10686</v>
      </c>
      <c r="K73" s="58">
        <v>26443</v>
      </c>
      <c r="L73">
        <f t="shared" si="1"/>
        <v>57</v>
      </c>
    </row>
    <row r="74" spans="1:12" x14ac:dyDescent="0.35">
      <c r="A74" s="57" t="s">
        <v>364</v>
      </c>
      <c r="B74" s="58">
        <v>-70795</v>
      </c>
      <c r="C74" s="58">
        <v>23192</v>
      </c>
      <c r="D74" s="58">
        <v>3161</v>
      </c>
      <c r="E74" s="58">
        <v>-22157</v>
      </c>
      <c r="F74" s="58">
        <v>24924</v>
      </c>
      <c r="G74" s="58">
        <v>-7967</v>
      </c>
      <c r="H74" s="58">
        <v>42710</v>
      </c>
      <c r="I74" s="58">
        <v>6932</v>
      </c>
      <c r="J74" s="60">
        <v>10629</v>
      </c>
      <c r="K74" s="58">
        <v>26366</v>
      </c>
      <c r="L74">
        <f t="shared" si="1"/>
        <v>10629</v>
      </c>
    </row>
  </sheetData>
  <mergeCells count="4">
    <mergeCell ref="H1:I1"/>
    <mergeCell ref="F1:G1"/>
    <mergeCell ref="D1:E1"/>
    <mergeCell ref="B1:C1"/>
  </mergeCells>
  <conditionalFormatting sqref="A3:K74">
    <cfRule type="expression" dxfId="48" priority="1">
      <formula>$L3&lt;=0</formula>
    </cfRule>
    <cfRule type="expression" dxfId="47" priority="2">
      <formula>$L3&gt;=0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96961-FCE0-496B-968A-0D2F2544B02B}">
  <sheetPr codeName="Sheet5"/>
  <dimension ref="A1:P76"/>
  <sheetViews>
    <sheetView workbookViewId="0">
      <selection activeCell="B3" sqref="B3"/>
    </sheetView>
  </sheetViews>
  <sheetFormatPr defaultRowHeight="14.5" x14ac:dyDescent="0.35"/>
  <cols>
    <col min="1" max="1" width="10.08984375" bestFit="1" customWidth="1"/>
    <col min="2" max="8" width="8.81640625" bestFit="1" customWidth="1"/>
    <col min="9" max="9" width="8.36328125" bestFit="1" customWidth="1"/>
    <col min="10" max="14" width="8.81640625" bestFit="1" customWidth="1"/>
    <col min="15" max="15" width="10.1796875" bestFit="1" customWidth="1"/>
  </cols>
  <sheetData>
    <row r="1" spans="1:16" x14ac:dyDescent="0.35">
      <c r="B1" s="67" t="s">
        <v>319</v>
      </c>
      <c r="C1" s="67"/>
      <c r="D1" s="67"/>
      <c r="E1" s="119" t="s">
        <v>320</v>
      </c>
      <c r="F1" s="119"/>
      <c r="G1" s="119"/>
      <c r="H1" s="119" t="s">
        <v>322</v>
      </c>
      <c r="I1" s="119"/>
      <c r="J1" s="119"/>
      <c r="K1" s="119" t="s">
        <v>385</v>
      </c>
      <c r="L1" s="119"/>
      <c r="M1" s="119"/>
      <c r="N1" s="55" t="s">
        <v>315</v>
      </c>
      <c r="O1" s="55" t="s">
        <v>369</v>
      </c>
    </row>
    <row r="2" spans="1:16" ht="34.5" x14ac:dyDescent="0.35">
      <c r="A2" s="56" t="s">
        <v>325</v>
      </c>
      <c r="B2" s="56" t="s">
        <v>382</v>
      </c>
      <c r="C2" s="56" t="s">
        <v>383</v>
      </c>
      <c r="D2" s="56" t="s">
        <v>384</v>
      </c>
      <c r="E2" s="56" t="s">
        <v>382</v>
      </c>
      <c r="F2" s="56" t="s">
        <v>383</v>
      </c>
      <c r="G2" s="56" t="s">
        <v>384</v>
      </c>
      <c r="H2" s="56" t="s">
        <v>382</v>
      </c>
      <c r="I2" s="56" t="s">
        <v>383</v>
      </c>
      <c r="J2" s="56" t="s">
        <v>384</v>
      </c>
      <c r="K2" s="56" t="s">
        <v>382</v>
      </c>
      <c r="L2" s="56" t="s">
        <v>383</v>
      </c>
      <c r="M2" s="56" t="s">
        <v>384</v>
      </c>
      <c r="N2" s="56" t="s">
        <v>227</v>
      </c>
      <c r="O2" s="56" t="s">
        <v>227</v>
      </c>
    </row>
    <row r="3" spans="1:16" x14ac:dyDescent="0.35">
      <c r="A3" s="66">
        <v>43468</v>
      </c>
      <c r="B3">
        <v>363568</v>
      </c>
      <c r="C3">
        <v>6747</v>
      </c>
      <c r="D3">
        <v>-198</v>
      </c>
      <c r="E3">
        <v>24588</v>
      </c>
      <c r="F3">
        <v>-80764</v>
      </c>
      <c r="G3">
        <v>-31026</v>
      </c>
      <c r="H3">
        <v>-944397</v>
      </c>
      <c r="I3">
        <v>83</v>
      </c>
      <c r="J3">
        <v>0</v>
      </c>
      <c r="K3">
        <v>556241</v>
      </c>
      <c r="L3">
        <v>73934</v>
      </c>
      <c r="M3">
        <v>31754</v>
      </c>
      <c r="N3" s="63">
        <v>10864</v>
      </c>
      <c r="O3" s="39"/>
      <c r="P3">
        <f>N3-N4</f>
        <v>72</v>
      </c>
    </row>
    <row r="4" spans="1:16" x14ac:dyDescent="0.35">
      <c r="A4" s="39" t="s">
        <v>381</v>
      </c>
      <c r="B4">
        <v>392834</v>
      </c>
      <c r="C4">
        <v>-2057</v>
      </c>
      <c r="D4">
        <v>-485</v>
      </c>
      <c r="E4">
        <v>15425</v>
      </c>
      <c r="F4">
        <v>-10928</v>
      </c>
      <c r="G4">
        <v>38353</v>
      </c>
      <c r="H4">
        <v>-919093</v>
      </c>
      <c r="I4">
        <v>0</v>
      </c>
      <c r="J4">
        <v>0</v>
      </c>
      <c r="K4">
        <v>510834</v>
      </c>
      <c r="L4">
        <v>12985</v>
      </c>
      <c r="M4">
        <v>-6422</v>
      </c>
      <c r="N4" s="63">
        <v>10792</v>
      </c>
      <c r="O4" s="39"/>
      <c r="P4">
        <f t="shared" ref="P4:P8" si="0">N4-N5</f>
        <v>-15</v>
      </c>
    </row>
    <row r="5" spans="1:16" x14ac:dyDescent="0.35">
      <c r="A5" s="39" t="s">
        <v>380</v>
      </c>
      <c r="B5">
        <v>368555</v>
      </c>
      <c r="C5">
        <v>6088</v>
      </c>
      <c r="D5">
        <v>-1932</v>
      </c>
      <c r="E5">
        <v>24801</v>
      </c>
      <c r="F5">
        <v>-70113</v>
      </c>
      <c r="G5">
        <v>-29522</v>
      </c>
      <c r="H5">
        <v>-930675</v>
      </c>
      <c r="I5">
        <v>83</v>
      </c>
      <c r="J5">
        <v>0</v>
      </c>
      <c r="K5">
        <v>537319</v>
      </c>
      <c r="L5">
        <v>63942</v>
      </c>
      <c r="M5">
        <v>26140</v>
      </c>
      <c r="N5" s="63">
        <v>10807</v>
      </c>
      <c r="O5" s="39"/>
      <c r="P5">
        <f t="shared" si="0"/>
        <v>-28</v>
      </c>
    </row>
    <row r="6" spans="1:16" x14ac:dyDescent="0.35">
      <c r="A6" s="39" t="s">
        <v>379</v>
      </c>
      <c r="B6">
        <v>362779</v>
      </c>
      <c r="C6">
        <v>7967</v>
      </c>
      <c r="D6">
        <v>-1829</v>
      </c>
      <c r="E6">
        <v>23649</v>
      </c>
      <c r="F6">
        <v>-74698</v>
      </c>
      <c r="G6">
        <v>-35143</v>
      </c>
      <c r="H6">
        <v>-937354</v>
      </c>
      <c r="I6">
        <v>83</v>
      </c>
      <c r="J6">
        <v>0</v>
      </c>
      <c r="K6">
        <v>550926</v>
      </c>
      <c r="L6">
        <v>66648</v>
      </c>
      <c r="M6">
        <v>35430</v>
      </c>
      <c r="N6" s="63">
        <v>10835</v>
      </c>
      <c r="O6" s="39"/>
      <c r="P6">
        <f t="shared" si="0"/>
        <v>-45</v>
      </c>
    </row>
    <row r="7" spans="1:16" x14ac:dyDescent="0.35">
      <c r="A7" s="66" t="s">
        <v>378</v>
      </c>
      <c r="B7">
        <v>347287</v>
      </c>
      <c r="C7">
        <v>7959</v>
      </c>
      <c r="D7">
        <v>1179</v>
      </c>
      <c r="E7">
        <v>28917</v>
      </c>
      <c r="F7">
        <v>-80881</v>
      </c>
      <c r="G7">
        <v>-33715</v>
      </c>
      <c r="H7">
        <v>-943675</v>
      </c>
      <c r="I7">
        <v>83</v>
      </c>
      <c r="J7">
        <v>0</v>
      </c>
      <c r="K7">
        <v>567471</v>
      </c>
      <c r="L7">
        <v>72839</v>
      </c>
      <c r="M7">
        <v>32536</v>
      </c>
      <c r="N7" s="63">
        <v>10880</v>
      </c>
      <c r="O7" s="39"/>
      <c r="P7">
        <f t="shared" si="0"/>
        <v>88</v>
      </c>
    </row>
    <row r="8" spans="1:16" x14ac:dyDescent="0.35">
      <c r="A8" s="39" t="s">
        <v>403</v>
      </c>
      <c r="B8">
        <v>363473</v>
      </c>
      <c r="C8">
        <v>8640</v>
      </c>
      <c r="D8">
        <v>3772</v>
      </c>
      <c r="E8">
        <v>20981</v>
      </c>
      <c r="F8">
        <v>-92235</v>
      </c>
      <c r="G8">
        <v>-13988</v>
      </c>
      <c r="H8">
        <v>-935188</v>
      </c>
      <c r="I8">
        <v>83</v>
      </c>
      <c r="J8">
        <v>0</v>
      </c>
      <c r="K8">
        <v>550734</v>
      </c>
      <c r="L8">
        <v>83512</v>
      </c>
      <c r="M8">
        <v>10216</v>
      </c>
      <c r="N8" s="63">
        <v>10792</v>
      </c>
      <c r="O8" s="39"/>
      <c r="P8">
        <f t="shared" si="0"/>
        <v>10792</v>
      </c>
    </row>
    <row r="9" spans="1:16" x14ac:dyDescent="0.3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</row>
    <row r="10" spans="1:16" x14ac:dyDescent="0.3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</row>
    <row r="11" spans="1:16" s="57" customFormat="1" x14ac:dyDescent="0.3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/>
    </row>
    <row r="12" spans="1:16" x14ac:dyDescent="0.3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</row>
    <row r="13" spans="1:16" x14ac:dyDescent="0.3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</row>
    <row r="14" spans="1:16" x14ac:dyDescent="0.3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</row>
    <row r="15" spans="1:16" x14ac:dyDescent="0.3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</row>
    <row r="16" spans="1:16" x14ac:dyDescent="0.3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</row>
    <row r="17" spans="1:15" x14ac:dyDescent="0.3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</row>
    <row r="18" spans="1:15" x14ac:dyDescent="0.3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</row>
    <row r="19" spans="1:15" x14ac:dyDescent="0.3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</row>
    <row r="20" spans="1:15" x14ac:dyDescent="0.3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</row>
    <row r="21" spans="1:15" x14ac:dyDescent="0.3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</row>
    <row r="22" spans="1:15" x14ac:dyDescent="0.3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</row>
    <row r="23" spans="1:15" x14ac:dyDescent="0.3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</row>
    <row r="24" spans="1:15" x14ac:dyDescent="0.3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</row>
    <row r="25" spans="1:15" x14ac:dyDescent="0.3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</row>
    <row r="26" spans="1:15" x14ac:dyDescent="0.3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</row>
    <row r="27" spans="1:15" x14ac:dyDescent="0.3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</row>
    <row r="28" spans="1:15" x14ac:dyDescent="0.3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</row>
    <row r="29" spans="1:15" x14ac:dyDescent="0.3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</row>
    <row r="30" spans="1:15" x14ac:dyDescent="0.3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</row>
    <row r="31" spans="1:15" x14ac:dyDescent="0.3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</row>
    <row r="32" spans="1:15" x14ac:dyDescent="0.35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</row>
    <row r="33" spans="1:15" x14ac:dyDescent="0.35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</row>
    <row r="34" spans="1:15" x14ac:dyDescent="0.35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</row>
    <row r="35" spans="1:15" x14ac:dyDescent="0.35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</row>
    <row r="36" spans="1:15" x14ac:dyDescent="0.35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</row>
    <row r="37" spans="1:15" x14ac:dyDescent="0.35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</row>
    <row r="38" spans="1:15" x14ac:dyDescent="0.35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</row>
    <row r="39" spans="1:15" x14ac:dyDescent="0.35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</row>
    <row r="40" spans="1:15" x14ac:dyDescent="0.35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</row>
    <row r="41" spans="1:15" x14ac:dyDescent="0.35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</row>
    <row r="42" spans="1:15" x14ac:dyDescent="0.35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</row>
    <row r="43" spans="1:15" x14ac:dyDescent="0.35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</row>
    <row r="44" spans="1:15" x14ac:dyDescent="0.35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  <row r="45" spans="1:15" x14ac:dyDescent="0.35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</row>
    <row r="46" spans="1:15" x14ac:dyDescent="0.35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</row>
    <row r="47" spans="1:15" x14ac:dyDescent="0.35">
      <c r="A47" s="39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</row>
    <row r="48" spans="1:15" x14ac:dyDescent="0.35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</row>
    <row r="49" spans="1:15" x14ac:dyDescent="0.35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</row>
    <row r="50" spans="1:15" x14ac:dyDescent="0.35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</row>
    <row r="51" spans="1:15" x14ac:dyDescent="0.35">
      <c r="A51" s="39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</row>
    <row r="52" spans="1:15" x14ac:dyDescent="0.35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</row>
    <row r="53" spans="1:15" x14ac:dyDescent="0.35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</row>
    <row r="54" spans="1:15" x14ac:dyDescent="0.35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</row>
    <row r="55" spans="1:15" x14ac:dyDescent="0.35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</row>
    <row r="56" spans="1:15" x14ac:dyDescent="0.35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</row>
    <row r="57" spans="1:15" x14ac:dyDescent="0.35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</row>
    <row r="58" spans="1:15" x14ac:dyDescent="0.35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</row>
    <row r="59" spans="1:15" x14ac:dyDescent="0.35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</row>
    <row r="60" spans="1:15" x14ac:dyDescent="0.35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</row>
    <row r="61" spans="1:15" x14ac:dyDescent="0.35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</row>
    <row r="62" spans="1:15" x14ac:dyDescent="0.35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</row>
    <row r="63" spans="1:15" x14ac:dyDescent="0.35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</row>
    <row r="64" spans="1:15" x14ac:dyDescent="0.35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</row>
    <row r="65" spans="1:15" x14ac:dyDescent="0.35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</row>
    <row r="66" spans="1:15" x14ac:dyDescent="0.35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</row>
    <row r="67" spans="1:15" x14ac:dyDescent="0.3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</row>
    <row r="68" spans="1:15" x14ac:dyDescent="0.3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</row>
    <row r="69" spans="1:15" x14ac:dyDescent="0.35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</row>
    <row r="70" spans="1:15" x14ac:dyDescent="0.35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</row>
    <row r="71" spans="1:15" x14ac:dyDescent="0.35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</row>
    <row r="72" spans="1:15" x14ac:dyDescent="0.35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</row>
    <row r="73" spans="1:15" x14ac:dyDescent="0.35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</row>
    <row r="74" spans="1:15" x14ac:dyDescent="0.35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</row>
    <row r="75" spans="1:15" x14ac:dyDescent="0.35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</row>
    <row r="76" spans="1:15" x14ac:dyDescent="0.3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</row>
  </sheetData>
  <mergeCells count="3">
    <mergeCell ref="E1:G1"/>
    <mergeCell ref="H1:J1"/>
    <mergeCell ref="K1:M1"/>
  </mergeCells>
  <conditionalFormatting sqref="A3:O7">
    <cfRule type="expression" dxfId="46" priority="1">
      <formula>$P3&lt;0</formula>
    </cfRule>
    <cfRule type="expression" dxfId="45" priority="3">
      <formula>$P3&gt;0</formula>
    </cfRule>
  </conditionalFormatting>
  <conditionalFormatting sqref="N3">
    <cfRule type="expression" dxfId="44" priority="2">
      <formula>$P3&lt;0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5DBC-B628-43F3-9B66-1DD96C3827EA}">
  <sheetPr codeName="Sheet11"/>
  <dimension ref="A2:U79"/>
  <sheetViews>
    <sheetView showGridLines="0" workbookViewId="0">
      <selection activeCell="T9" sqref="T9"/>
    </sheetView>
  </sheetViews>
  <sheetFormatPr defaultRowHeight="14.5" x14ac:dyDescent="0.35"/>
  <cols>
    <col min="1" max="1" width="9" bestFit="1" customWidth="1"/>
    <col min="2" max="19" width="8.81640625" bestFit="1" customWidth="1"/>
    <col min="20" max="20" width="10.1796875" bestFit="1" customWidth="1"/>
  </cols>
  <sheetData>
    <row r="2" spans="1:21" x14ac:dyDescent="0.35">
      <c r="B2" s="119" t="s">
        <v>319</v>
      </c>
      <c r="C2" s="119"/>
      <c r="D2" s="119"/>
      <c r="E2" s="119"/>
      <c r="F2" s="119"/>
      <c r="G2" s="119" t="s">
        <v>320</v>
      </c>
      <c r="H2" s="119"/>
      <c r="I2" s="119"/>
      <c r="J2" s="119"/>
      <c r="K2" s="119" t="s">
        <v>321</v>
      </c>
      <c r="L2" s="119"/>
      <c r="M2" s="119"/>
      <c r="N2" s="119"/>
      <c r="O2" s="119" t="s">
        <v>322</v>
      </c>
      <c r="P2" s="119"/>
      <c r="Q2" s="119"/>
      <c r="R2" s="119"/>
      <c r="S2" s="55" t="s">
        <v>315</v>
      </c>
      <c r="T2" s="55" t="s">
        <v>369</v>
      </c>
    </row>
    <row r="3" spans="1:21" ht="46" x14ac:dyDescent="0.35">
      <c r="A3" s="56" t="s">
        <v>325</v>
      </c>
      <c r="B3" s="56" t="s">
        <v>365</v>
      </c>
      <c r="C3" s="56" t="s">
        <v>366</v>
      </c>
      <c r="D3" s="56" t="s">
        <v>367</v>
      </c>
      <c r="E3" s="56" t="s">
        <v>368</v>
      </c>
      <c r="F3" s="56" t="s">
        <v>327</v>
      </c>
      <c r="G3" s="56" t="s">
        <v>365</v>
      </c>
      <c r="H3" s="56" t="s">
        <v>366</v>
      </c>
      <c r="I3" s="56" t="s">
        <v>367</v>
      </c>
      <c r="J3" s="56" t="s">
        <v>327</v>
      </c>
      <c r="K3" s="56" t="s">
        <v>365</v>
      </c>
      <c r="L3" s="56" t="s">
        <v>366</v>
      </c>
      <c r="M3" s="56" t="s">
        <v>367</v>
      </c>
      <c r="N3" s="56" t="s">
        <v>327</v>
      </c>
      <c r="O3" s="56" t="s">
        <v>365</v>
      </c>
      <c r="P3" s="56" t="s">
        <v>366</v>
      </c>
      <c r="Q3" s="56" t="s">
        <v>367</v>
      </c>
      <c r="R3" s="56" t="s">
        <v>327</v>
      </c>
      <c r="S3" s="56" t="s">
        <v>227</v>
      </c>
      <c r="T3" s="56" t="s">
        <v>227</v>
      </c>
    </row>
    <row r="4" spans="1:21" x14ac:dyDescent="0.35">
      <c r="A4" s="61" t="s">
        <v>404</v>
      </c>
      <c r="B4" s="63">
        <v>206228</v>
      </c>
      <c r="C4" s="63">
        <v>-51937</v>
      </c>
      <c r="D4" s="63">
        <v>154291</v>
      </c>
      <c r="E4" s="63">
        <v>354291</v>
      </c>
      <c r="F4" s="63">
        <v>19687</v>
      </c>
      <c r="G4" s="63">
        <v>-40417</v>
      </c>
      <c r="H4" s="63">
        <v>200333</v>
      </c>
      <c r="I4" s="63">
        <v>159916</v>
      </c>
      <c r="J4" s="63">
        <v>17395</v>
      </c>
      <c r="K4" s="63">
        <v>-199268</v>
      </c>
      <c r="L4" s="63">
        <v>-59939</v>
      </c>
      <c r="M4" s="63">
        <v>-259207</v>
      </c>
      <c r="N4" s="63">
        <v>-37082</v>
      </c>
      <c r="O4" s="63">
        <v>33457</v>
      </c>
      <c r="P4" s="63">
        <v>-88457</v>
      </c>
      <c r="Q4" s="63">
        <v>-55000</v>
      </c>
      <c r="R4" s="63">
        <v>0</v>
      </c>
      <c r="S4">
        <v>550</v>
      </c>
      <c r="T4" s="63">
        <v>2094</v>
      </c>
      <c r="U4" t="e">
        <f>'Nifty Futures '!#REF!</f>
        <v>#REF!</v>
      </c>
    </row>
    <row r="5" spans="1:21" x14ac:dyDescent="0.35">
      <c r="A5" s="61">
        <v>43802</v>
      </c>
      <c r="B5" s="63">
        <v>203333</v>
      </c>
      <c r="C5" s="63">
        <v>-68729</v>
      </c>
      <c r="D5" s="63">
        <v>134604</v>
      </c>
      <c r="E5" s="63">
        <v>334604</v>
      </c>
      <c r="F5" s="63">
        <v>57470</v>
      </c>
      <c r="G5" s="63">
        <v>-37907</v>
      </c>
      <c r="H5" s="63">
        <v>180428</v>
      </c>
      <c r="I5" s="63">
        <v>142521</v>
      </c>
      <c r="J5" s="63">
        <v>58394</v>
      </c>
      <c r="K5" s="63">
        <v>-198883</v>
      </c>
      <c r="L5" s="63">
        <v>-23242</v>
      </c>
      <c r="M5" s="63">
        <v>-222125</v>
      </c>
      <c r="N5" s="63">
        <v>-115864</v>
      </c>
      <c r="O5" s="63">
        <v>33457</v>
      </c>
      <c r="P5" s="63">
        <v>-88457</v>
      </c>
      <c r="Q5" s="63">
        <v>-55000</v>
      </c>
      <c r="R5" s="63">
        <v>0</v>
      </c>
      <c r="S5">
        <v>11301</v>
      </c>
      <c r="T5" s="63">
        <v>28444</v>
      </c>
      <c r="U5">
        <f>'Nifty Futures '!L1</f>
        <v>0</v>
      </c>
    </row>
    <row r="6" spans="1:21" x14ac:dyDescent="0.35">
      <c r="A6" s="61">
        <v>43772</v>
      </c>
      <c r="B6" s="63">
        <v>179666</v>
      </c>
      <c r="C6" s="63">
        <v>-102532</v>
      </c>
      <c r="D6" s="63">
        <v>77134</v>
      </c>
      <c r="E6" s="63">
        <v>277134</v>
      </c>
      <c r="F6" s="63">
        <v>23689</v>
      </c>
      <c r="G6" s="63">
        <v>-61303</v>
      </c>
      <c r="H6" s="63">
        <v>145430</v>
      </c>
      <c r="I6" s="63">
        <v>84127</v>
      </c>
      <c r="J6" s="63">
        <v>22533</v>
      </c>
      <c r="K6" s="63">
        <v>-151820</v>
      </c>
      <c r="L6" s="63">
        <v>45559</v>
      </c>
      <c r="M6" s="63">
        <v>-106261</v>
      </c>
      <c r="N6" s="63">
        <v>-45422</v>
      </c>
      <c r="O6" s="63">
        <v>33457</v>
      </c>
      <c r="P6" s="63">
        <v>-88457</v>
      </c>
      <c r="Q6" s="63">
        <v>-55000</v>
      </c>
      <c r="R6" s="63">
        <v>-800</v>
      </c>
      <c r="S6">
        <v>11168</v>
      </c>
      <c r="T6" s="63">
        <v>27967</v>
      </c>
      <c r="U6">
        <f>'Nifty Futures '!L2</f>
        <v>0</v>
      </c>
    </row>
    <row r="7" spans="1:21" x14ac:dyDescent="0.35">
      <c r="A7" s="61">
        <v>43680</v>
      </c>
      <c r="B7" s="63">
        <v>165136</v>
      </c>
      <c r="C7" s="63">
        <v>-111691</v>
      </c>
      <c r="D7" s="63">
        <v>53445</v>
      </c>
      <c r="E7" s="63">
        <v>253445</v>
      </c>
      <c r="F7" s="63">
        <v>16540</v>
      </c>
      <c r="G7" s="63">
        <v>-41586</v>
      </c>
      <c r="H7" s="63">
        <v>103180</v>
      </c>
      <c r="I7" s="63">
        <v>61594</v>
      </c>
      <c r="J7" s="63">
        <v>-20113</v>
      </c>
      <c r="K7" s="63">
        <v>-157007</v>
      </c>
      <c r="L7" s="63">
        <v>96168</v>
      </c>
      <c r="M7" s="63">
        <v>-60839</v>
      </c>
      <c r="N7" s="63">
        <v>3213</v>
      </c>
      <c r="O7" s="63">
        <v>33457</v>
      </c>
      <c r="P7" s="63">
        <v>-87657</v>
      </c>
      <c r="Q7" s="63">
        <v>-54200</v>
      </c>
      <c r="R7" s="63">
        <v>360</v>
      </c>
      <c r="S7">
        <v>11035</v>
      </c>
      <c r="T7" s="63">
        <v>27762</v>
      </c>
      <c r="U7">
        <f>'Nifty Futures '!L3</f>
        <v>-23</v>
      </c>
    </row>
    <row r="8" spans="1:21" x14ac:dyDescent="0.35">
      <c r="A8" s="61">
        <v>43649</v>
      </c>
      <c r="B8" s="63">
        <v>149770</v>
      </c>
      <c r="C8" s="63">
        <v>-112865</v>
      </c>
      <c r="D8" s="63">
        <v>36905</v>
      </c>
      <c r="E8" s="63">
        <v>236905</v>
      </c>
      <c r="F8" s="63">
        <v>26808</v>
      </c>
      <c r="G8" s="63">
        <v>-13069</v>
      </c>
      <c r="H8" s="63">
        <v>94776</v>
      </c>
      <c r="I8" s="63">
        <v>81707</v>
      </c>
      <c r="J8" s="63">
        <v>-46747</v>
      </c>
      <c r="K8" s="63">
        <v>-170158</v>
      </c>
      <c r="L8" s="63">
        <v>106106</v>
      </c>
      <c r="M8" s="63">
        <v>-64052</v>
      </c>
      <c r="N8" s="63">
        <v>12295</v>
      </c>
      <c r="O8" s="63">
        <v>33457</v>
      </c>
      <c r="P8" s="63">
        <v>-88017</v>
      </c>
      <c r="Q8" s="63">
        <v>-54560</v>
      </c>
      <c r="R8" s="63">
        <v>7644</v>
      </c>
      <c r="S8">
        <v>11058</v>
      </c>
      <c r="T8" s="63">
        <v>27765</v>
      </c>
      <c r="U8">
        <f t="shared" ref="U8:U42" si="0">S8-S9</f>
        <v>5</v>
      </c>
    </row>
    <row r="9" spans="1:21" x14ac:dyDescent="0.35">
      <c r="A9" s="61">
        <v>43619</v>
      </c>
      <c r="B9" s="63">
        <v>137049</v>
      </c>
      <c r="C9" s="63">
        <v>-126952</v>
      </c>
      <c r="D9" s="63">
        <v>10097</v>
      </c>
      <c r="E9" s="63">
        <v>210097</v>
      </c>
      <c r="F9" s="63">
        <v>33264</v>
      </c>
      <c r="G9" s="63">
        <v>-51013</v>
      </c>
      <c r="H9" s="63">
        <v>179467</v>
      </c>
      <c r="I9" s="63">
        <v>128454</v>
      </c>
      <c r="J9" s="63">
        <v>-8565</v>
      </c>
      <c r="K9" s="63">
        <v>-111493</v>
      </c>
      <c r="L9" s="63">
        <v>35146</v>
      </c>
      <c r="M9" s="63">
        <v>-76347</v>
      </c>
      <c r="N9" s="63">
        <v>-23672</v>
      </c>
      <c r="O9" s="63">
        <v>25457</v>
      </c>
      <c r="P9" s="63">
        <v>-87661</v>
      </c>
      <c r="Q9" s="63">
        <v>-62204</v>
      </c>
      <c r="R9" s="63">
        <v>-1027</v>
      </c>
      <c r="S9">
        <v>11053</v>
      </c>
      <c r="T9" s="63">
        <v>27626</v>
      </c>
      <c r="U9">
        <f t="shared" si="0"/>
        <v>66</v>
      </c>
    </row>
    <row r="10" spans="1:21" x14ac:dyDescent="0.35">
      <c r="A10" s="61">
        <v>43588</v>
      </c>
      <c r="B10" s="63">
        <v>117593</v>
      </c>
      <c r="C10" s="63">
        <v>-140760</v>
      </c>
      <c r="D10" s="63">
        <v>-23167</v>
      </c>
      <c r="E10" s="63">
        <v>176833</v>
      </c>
      <c r="F10" s="63">
        <v>22263</v>
      </c>
      <c r="G10" s="63">
        <v>-3106</v>
      </c>
      <c r="H10" s="63">
        <v>140125</v>
      </c>
      <c r="I10" s="63">
        <v>137019</v>
      </c>
      <c r="J10" s="63">
        <v>72403</v>
      </c>
      <c r="K10" s="63">
        <v>-139944</v>
      </c>
      <c r="L10" s="63">
        <v>87269</v>
      </c>
      <c r="M10" s="63">
        <v>-52675</v>
      </c>
      <c r="N10" s="63">
        <v>-114690</v>
      </c>
      <c r="O10" s="63">
        <v>25457</v>
      </c>
      <c r="P10" s="63">
        <v>-86634</v>
      </c>
      <c r="Q10" s="63">
        <v>-61177</v>
      </c>
      <c r="R10" s="63">
        <v>20024</v>
      </c>
      <c r="S10">
        <v>10987</v>
      </c>
      <c r="T10" s="63">
        <v>27554</v>
      </c>
      <c r="U10">
        <f t="shared" si="0"/>
        <v>123</v>
      </c>
    </row>
    <row r="11" spans="1:21" x14ac:dyDescent="0.35">
      <c r="A11" s="61">
        <v>43468</v>
      </c>
      <c r="B11" s="63">
        <v>102286</v>
      </c>
      <c r="C11" s="63">
        <v>-147716</v>
      </c>
      <c r="D11" s="63">
        <v>-45430</v>
      </c>
      <c r="E11" s="63">
        <v>154570</v>
      </c>
      <c r="F11" s="63">
        <v>-2905</v>
      </c>
      <c r="G11" s="63">
        <v>-8814</v>
      </c>
      <c r="H11" s="63">
        <v>73430</v>
      </c>
      <c r="I11" s="63">
        <v>64616</v>
      </c>
      <c r="J11" s="63">
        <v>18659</v>
      </c>
      <c r="K11" s="63">
        <v>-118869</v>
      </c>
      <c r="L11" s="63">
        <v>180884</v>
      </c>
      <c r="M11" s="63">
        <v>62015</v>
      </c>
      <c r="N11" s="63">
        <v>-15136</v>
      </c>
      <c r="O11" s="63">
        <v>25397</v>
      </c>
      <c r="P11" s="63">
        <v>-106598</v>
      </c>
      <c r="Q11" s="63">
        <v>-81201</v>
      </c>
      <c r="R11" s="63">
        <v>-618</v>
      </c>
      <c r="S11">
        <v>10864</v>
      </c>
      <c r="T11" s="63">
        <v>27044</v>
      </c>
      <c r="U11">
        <f t="shared" si="0"/>
        <v>72</v>
      </c>
    </row>
    <row r="12" spans="1:21" x14ac:dyDescent="0.35">
      <c r="A12" s="57" t="s">
        <v>372</v>
      </c>
      <c r="B12" s="63">
        <v>90224</v>
      </c>
      <c r="C12" s="63">
        <v>-132749</v>
      </c>
      <c r="D12" s="63">
        <v>-42525</v>
      </c>
      <c r="E12" s="63">
        <v>157475</v>
      </c>
      <c r="F12" s="63">
        <v>-12730</v>
      </c>
      <c r="G12" s="63">
        <v>7347</v>
      </c>
      <c r="H12" s="63">
        <v>38610</v>
      </c>
      <c r="I12" s="63">
        <v>45957</v>
      </c>
      <c r="J12" s="63">
        <v>97300</v>
      </c>
      <c r="K12" s="63">
        <v>-122968</v>
      </c>
      <c r="L12" s="63">
        <v>200119</v>
      </c>
      <c r="M12" s="63">
        <v>77151</v>
      </c>
      <c r="N12" s="63">
        <v>-84642</v>
      </c>
      <c r="O12" s="63">
        <v>25397</v>
      </c>
      <c r="P12" s="63">
        <v>-105980</v>
      </c>
      <c r="Q12" s="63">
        <v>-80583</v>
      </c>
      <c r="R12" s="63">
        <v>72</v>
      </c>
      <c r="S12" s="63">
        <v>10792</v>
      </c>
      <c r="T12" s="63">
        <v>26790</v>
      </c>
      <c r="U12">
        <f t="shared" si="0"/>
        <v>-15</v>
      </c>
    </row>
    <row r="13" spans="1:21" x14ac:dyDescent="0.35">
      <c r="A13" s="57" t="s">
        <v>373</v>
      </c>
      <c r="B13" s="63">
        <v>161565</v>
      </c>
      <c r="C13" s="63">
        <v>-191360</v>
      </c>
      <c r="D13" s="63">
        <v>-29795</v>
      </c>
      <c r="E13" s="63">
        <v>170205</v>
      </c>
      <c r="F13" s="63">
        <v>-3764</v>
      </c>
      <c r="G13" s="63">
        <v>-118224</v>
      </c>
      <c r="H13" s="63">
        <v>66881</v>
      </c>
      <c r="I13" s="63">
        <v>-51343</v>
      </c>
      <c r="J13" s="63">
        <v>-41636</v>
      </c>
      <c r="K13" s="63">
        <v>-68738</v>
      </c>
      <c r="L13" s="63">
        <v>230531</v>
      </c>
      <c r="M13" s="63">
        <v>161793</v>
      </c>
      <c r="N13" s="63">
        <v>51066</v>
      </c>
      <c r="O13" s="63">
        <v>25397</v>
      </c>
      <c r="P13" s="63">
        <v>-106052</v>
      </c>
      <c r="Q13" s="63">
        <v>-80655</v>
      </c>
      <c r="R13" s="63">
        <v>-5666</v>
      </c>
      <c r="S13" s="63">
        <v>10807</v>
      </c>
      <c r="T13" s="63">
        <v>26799</v>
      </c>
      <c r="U13">
        <f t="shared" si="0"/>
        <v>-28</v>
      </c>
    </row>
    <row r="14" spans="1:21" x14ac:dyDescent="0.35">
      <c r="A14" s="57" t="s">
        <v>374</v>
      </c>
      <c r="B14" s="63">
        <v>158599</v>
      </c>
      <c r="C14" s="63">
        <v>-184630</v>
      </c>
      <c r="D14" s="63">
        <v>-26031</v>
      </c>
      <c r="E14" s="63">
        <v>173969</v>
      </c>
      <c r="F14" s="63">
        <v>4279</v>
      </c>
      <c r="G14" s="63">
        <v>-79200</v>
      </c>
      <c r="H14" s="63">
        <v>69493</v>
      </c>
      <c r="I14" s="63">
        <v>-9707</v>
      </c>
      <c r="J14" s="63">
        <v>-32326</v>
      </c>
      <c r="K14" s="63">
        <v>-103796</v>
      </c>
      <c r="L14" s="63">
        <v>214523</v>
      </c>
      <c r="M14" s="63">
        <v>110727</v>
      </c>
      <c r="N14" s="63">
        <v>37514</v>
      </c>
      <c r="O14" s="63">
        <v>24397</v>
      </c>
      <c r="P14" s="63">
        <v>-99386</v>
      </c>
      <c r="Q14" s="63">
        <v>-74989</v>
      </c>
      <c r="R14" s="63">
        <v>-9467</v>
      </c>
      <c r="S14" s="63">
        <v>10835</v>
      </c>
      <c r="T14" s="63">
        <v>26953</v>
      </c>
      <c r="U14">
        <f t="shared" si="0"/>
        <v>-45</v>
      </c>
    </row>
    <row r="15" spans="1:21" x14ac:dyDescent="0.35">
      <c r="A15" s="57" t="s">
        <v>375</v>
      </c>
      <c r="B15" s="63">
        <v>161260</v>
      </c>
      <c r="C15" s="63">
        <v>-191570</v>
      </c>
      <c r="D15" s="63">
        <v>-30310</v>
      </c>
      <c r="E15" s="63">
        <v>169690</v>
      </c>
      <c r="F15" s="63">
        <v>37077</v>
      </c>
      <c r="G15" s="63">
        <v>-65580</v>
      </c>
      <c r="H15" s="63">
        <v>88199</v>
      </c>
      <c r="I15" s="63">
        <v>22619</v>
      </c>
      <c r="J15" s="63">
        <v>68181</v>
      </c>
      <c r="K15" s="63">
        <v>-120077</v>
      </c>
      <c r="L15" s="63">
        <v>193290</v>
      </c>
      <c r="M15" s="63">
        <v>73213</v>
      </c>
      <c r="N15" s="63">
        <v>-106386</v>
      </c>
      <c r="O15" s="63">
        <v>24397</v>
      </c>
      <c r="P15" s="63">
        <v>-89919</v>
      </c>
      <c r="Q15" s="63">
        <v>-65522</v>
      </c>
      <c r="R15" s="63">
        <v>1128</v>
      </c>
      <c r="S15" s="63">
        <v>10880</v>
      </c>
      <c r="T15" s="63">
        <v>27159</v>
      </c>
      <c r="U15">
        <f t="shared" si="0"/>
        <v>88</v>
      </c>
    </row>
    <row r="16" spans="1:21" x14ac:dyDescent="0.35">
      <c r="A16" s="57" t="s">
        <v>376</v>
      </c>
      <c r="B16" s="63">
        <v>142647</v>
      </c>
      <c r="C16" s="63">
        <v>-210034</v>
      </c>
      <c r="D16" s="63">
        <v>-67387</v>
      </c>
      <c r="E16" s="63">
        <v>132613</v>
      </c>
      <c r="F16" s="63">
        <v>-19389</v>
      </c>
      <c r="G16" s="63">
        <v>-90627</v>
      </c>
      <c r="H16" s="63">
        <v>45065</v>
      </c>
      <c r="I16" s="63">
        <v>-45562</v>
      </c>
      <c r="J16" s="63">
        <v>-25694</v>
      </c>
      <c r="K16" s="63">
        <v>-76417</v>
      </c>
      <c r="L16" s="63">
        <v>256016</v>
      </c>
      <c r="M16" s="63">
        <v>179599</v>
      </c>
      <c r="N16" s="63">
        <v>45085</v>
      </c>
      <c r="O16" s="63">
        <v>24397</v>
      </c>
      <c r="P16" s="63">
        <v>-91047</v>
      </c>
      <c r="Q16" s="63">
        <v>-66650</v>
      </c>
      <c r="R16" s="63">
        <v>-2</v>
      </c>
      <c r="S16" s="63">
        <v>10792</v>
      </c>
      <c r="T16" s="63">
        <v>26867</v>
      </c>
      <c r="U16">
        <f t="shared" si="0"/>
        <v>2</v>
      </c>
    </row>
    <row r="17" spans="1:21" s="57" customFormat="1" x14ac:dyDescent="0.35">
      <c r="A17" s="57" t="s">
        <v>370</v>
      </c>
      <c r="B17" s="63">
        <v>150332</v>
      </c>
      <c r="C17" s="63">
        <v>-198330</v>
      </c>
      <c r="D17" s="63">
        <v>-47998</v>
      </c>
      <c r="E17" s="63">
        <v>152002</v>
      </c>
      <c r="F17" s="63">
        <v>12962</v>
      </c>
      <c r="G17" s="63">
        <v>-71045</v>
      </c>
      <c r="H17" s="63">
        <v>51177</v>
      </c>
      <c r="I17" s="63">
        <v>-19868</v>
      </c>
      <c r="J17" s="63">
        <v>21824</v>
      </c>
      <c r="K17" s="63">
        <v>-103684</v>
      </c>
      <c r="L17" s="63">
        <v>238198</v>
      </c>
      <c r="M17" s="63">
        <v>134514</v>
      </c>
      <c r="N17" s="63">
        <v>-34376</v>
      </c>
      <c r="O17" s="63">
        <v>24397</v>
      </c>
      <c r="P17" s="63">
        <v>-91045</v>
      </c>
      <c r="Q17" s="63">
        <v>-66648</v>
      </c>
      <c r="R17" s="63">
        <v>-410</v>
      </c>
      <c r="S17" s="63">
        <v>10790</v>
      </c>
      <c r="T17" s="63">
        <v>27052</v>
      </c>
      <c r="U17">
        <f t="shared" si="0"/>
        <v>55</v>
      </c>
    </row>
    <row r="18" spans="1:21" x14ac:dyDescent="0.35">
      <c r="A18" s="57" t="s">
        <v>328</v>
      </c>
      <c r="B18" s="58">
        <v>152742</v>
      </c>
      <c r="C18" s="58">
        <v>-213702</v>
      </c>
      <c r="D18" s="58">
        <v>-60960</v>
      </c>
      <c r="E18" s="58">
        <v>139040</v>
      </c>
      <c r="F18" s="58">
        <v>18189</v>
      </c>
      <c r="G18" s="58">
        <v>-130217</v>
      </c>
      <c r="H18" s="58">
        <v>88525</v>
      </c>
      <c r="I18" s="58">
        <v>-41692</v>
      </c>
      <c r="J18" s="59">
        <v>106463</v>
      </c>
      <c r="K18" s="58">
        <v>-47588</v>
      </c>
      <c r="L18" s="58">
        <v>216478</v>
      </c>
      <c r="M18" s="58">
        <v>168890</v>
      </c>
      <c r="N18" s="60">
        <v>-126742</v>
      </c>
      <c r="O18" s="58">
        <v>25063</v>
      </c>
      <c r="P18" s="58">
        <v>-91301</v>
      </c>
      <c r="Q18" s="58">
        <v>-66238</v>
      </c>
      <c r="R18" s="59">
        <v>2090</v>
      </c>
      <c r="S18" s="58">
        <v>10735</v>
      </c>
      <c r="T18" s="58">
        <v>26956</v>
      </c>
      <c r="U18">
        <f t="shared" si="0"/>
        <v>131</v>
      </c>
    </row>
    <row r="19" spans="1:21" x14ac:dyDescent="0.35">
      <c r="A19" s="57" t="s">
        <v>329</v>
      </c>
      <c r="B19" s="58">
        <v>127802</v>
      </c>
      <c r="C19" s="58">
        <v>-206951</v>
      </c>
      <c r="D19" s="58">
        <v>-79149</v>
      </c>
      <c r="E19" s="58">
        <v>120851</v>
      </c>
      <c r="F19" s="58">
        <v>-169</v>
      </c>
      <c r="G19" s="58">
        <v>-168115</v>
      </c>
      <c r="H19" s="58">
        <v>19960</v>
      </c>
      <c r="I19" s="58">
        <v>-148155</v>
      </c>
      <c r="J19" s="58">
        <v>-10950</v>
      </c>
      <c r="K19" s="58">
        <v>15260</v>
      </c>
      <c r="L19" s="58">
        <v>280372</v>
      </c>
      <c r="M19" s="58">
        <v>295632</v>
      </c>
      <c r="N19" s="58">
        <v>7558</v>
      </c>
      <c r="O19" s="58">
        <v>25053</v>
      </c>
      <c r="P19" s="58">
        <v>-93381</v>
      </c>
      <c r="Q19" s="58">
        <v>-68328</v>
      </c>
      <c r="R19" s="59">
        <v>3561</v>
      </c>
      <c r="S19" s="58">
        <v>10604</v>
      </c>
      <c r="T19" s="58">
        <v>26685</v>
      </c>
      <c r="U19">
        <f t="shared" si="0"/>
        <v>-37</v>
      </c>
    </row>
    <row r="20" spans="1:21" x14ac:dyDescent="0.35">
      <c r="A20" s="57" t="s">
        <v>330</v>
      </c>
      <c r="B20" s="58">
        <v>129762</v>
      </c>
      <c r="C20" s="58">
        <v>-208742</v>
      </c>
      <c r="D20" s="58">
        <v>-78980</v>
      </c>
      <c r="E20" s="58">
        <v>121020</v>
      </c>
      <c r="F20" s="58">
        <v>-9474</v>
      </c>
      <c r="G20" s="58">
        <v>-156321</v>
      </c>
      <c r="H20" s="58">
        <v>19116</v>
      </c>
      <c r="I20" s="58">
        <v>-137205</v>
      </c>
      <c r="J20" s="60">
        <v>-52352</v>
      </c>
      <c r="K20" s="58">
        <v>1449</v>
      </c>
      <c r="L20" s="58">
        <v>286625</v>
      </c>
      <c r="M20" s="58">
        <v>288074</v>
      </c>
      <c r="N20" s="59">
        <v>56190</v>
      </c>
      <c r="O20" s="58">
        <v>25110</v>
      </c>
      <c r="P20" s="58">
        <v>-96999</v>
      </c>
      <c r="Q20" s="58">
        <v>-71889</v>
      </c>
      <c r="R20" s="59">
        <v>5636</v>
      </c>
      <c r="S20" s="58">
        <v>10641</v>
      </c>
      <c r="T20" s="58">
        <v>26654</v>
      </c>
      <c r="U20">
        <f t="shared" si="0"/>
        <v>-83</v>
      </c>
    </row>
    <row r="21" spans="1:21" x14ac:dyDescent="0.35">
      <c r="A21" s="57" t="s">
        <v>331</v>
      </c>
      <c r="B21" s="58">
        <v>137130</v>
      </c>
      <c r="C21" s="58">
        <v>-206636</v>
      </c>
      <c r="D21" s="58">
        <v>-69506</v>
      </c>
      <c r="E21" s="58">
        <v>130494</v>
      </c>
      <c r="F21" s="58">
        <v>-15699</v>
      </c>
      <c r="G21" s="58">
        <v>-114700</v>
      </c>
      <c r="H21" s="58">
        <v>29847</v>
      </c>
      <c r="I21" s="58">
        <v>-84853</v>
      </c>
      <c r="J21" s="58">
        <v>-31521</v>
      </c>
      <c r="K21" s="58">
        <v>-46904</v>
      </c>
      <c r="L21" s="58">
        <v>278788</v>
      </c>
      <c r="M21" s="58">
        <v>231884</v>
      </c>
      <c r="N21" s="58">
        <v>44992</v>
      </c>
      <c r="O21" s="58">
        <v>24474</v>
      </c>
      <c r="P21" s="58">
        <v>-101999</v>
      </c>
      <c r="Q21" s="58">
        <v>-77525</v>
      </c>
      <c r="R21" s="59">
        <v>2228</v>
      </c>
      <c r="S21" s="58">
        <v>10724</v>
      </c>
      <c r="T21" s="58">
        <v>26794</v>
      </c>
      <c r="U21">
        <f t="shared" si="0"/>
        <v>-22</v>
      </c>
    </row>
    <row r="22" spans="1:21" x14ac:dyDescent="0.35">
      <c r="A22" s="57" t="s">
        <v>332</v>
      </c>
      <c r="B22" s="58">
        <v>148277</v>
      </c>
      <c r="C22" s="58">
        <v>-202084</v>
      </c>
      <c r="D22" s="58">
        <v>-53807</v>
      </c>
      <c r="E22" s="58">
        <v>146193</v>
      </c>
      <c r="F22" s="60">
        <v>-31370</v>
      </c>
      <c r="G22" s="58">
        <v>-93186</v>
      </c>
      <c r="H22" s="58">
        <v>39854</v>
      </c>
      <c r="I22" s="58">
        <v>-53332</v>
      </c>
      <c r="J22" s="59">
        <v>102269</v>
      </c>
      <c r="K22" s="58">
        <v>-79565</v>
      </c>
      <c r="L22" s="58">
        <v>266457</v>
      </c>
      <c r="M22" s="58">
        <v>186892</v>
      </c>
      <c r="N22" s="60">
        <v>-72909</v>
      </c>
      <c r="O22" s="58">
        <v>24474</v>
      </c>
      <c r="P22" s="58">
        <v>-104227</v>
      </c>
      <c r="Q22" s="58">
        <v>-79753</v>
      </c>
      <c r="R22" s="59">
        <v>2010</v>
      </c>
      <c r="S22" s="58">
        <v>10746</v>
      </c>
      <c r="T22" s="58">
        <v>26971</v>
      </c>
      <c r="U22">
        <f t="shared" si="0"/>
        <v>-48</v>
      </c>
    </row>
    <row r="23" spans="1:21" x14ac:dyDescent="0.35">
      <c r="A23" s="57" t="s">
        <v>333</v>
      </c>
      <c r="B23" s="58">
        <v>159973</v>
      </c>
      <c r="C23" s="58">
        <v>-182410</v>
      </c>
      <c r="D23" s="58">
        <v>-22437</v>
      </c>
      <c r="E23" s="58">
        <v>177563</v>
      </c>
      <c r="F23" s="58">
        <v>-3329</v>
      </c>
      <c r="G23" s="58">
        <v>-200860</v>
      </c>
      <c r="H23" s="58">
        <v>45259</v>
      </c>
      <c r="I23" s="58">
        <v>-155601</v>
      </c>
      <c r="J23" s="60">
        <v>-62815</v>
      </c>
      <c r="K23" s="58">
        <v>16418</v>
      </c>
      <c r="L23" s="58">
        <v>243383</v>
      </c>
      <c r="M23" s="58">
        <v>259801</v>
      </c>
      <c r="N23" s="59">
        <v>66176</v>
      </c>
      <c r="O23" s="58">
        <v>24469</v>
      </c>
      <c r="P23" s="58">
        <v>-106232</v>
      </c>
      <c r="Q23" s="58">
        <v>-81763</v>
      </c>
      <c r="R23" s="58">
        <v>-32</v>
      </c>
      <c r="S23" s="58">
        <v>10794</v>
      </c>
      <c r="T23" s="58">
        <v>26885</v>
      </c>
      <c r="U23">
        <f t="shared" si="0"/>
        <v>-37</v>
      </c>
    </row>
    <row r="24" spans="1:21" x14ac:dyDescent="0.35">
      <c r="A24" s="61">
        <v>43801</v>
      </c>
      <c r="B24" s="58">
        <v>165820</v>
      </c>
      <c r="C24" s="58">
        <v>-184928</v>
      </c>
      <c r="D24" s="58">
        <v>-19108</v>
      </c>
      <c r="E24" s="58">
        <v>180892</v>
      </c>
      <c r="F24" s="60">
        <v>-26760</v>
      </c>
      <c r="G24" s="58">
        <v>-154940</v>
      </c>
      <c r="H24" s="58">
        <v>62154</v>
      </c>
      <c r="I24" s="58">
        <v>-92786</v>
      </c>
      <c r="J24" s="60">
        <v>-79959</v>
      </c>
      <c r="K24" s="58">
        <v>-35349</v>
      </c>
      <c r="L24" s="58">
        <v>228974</v>
      </c>
      <c r="M24" s="58">
        <v>193625</v>
      </c>
      <c r="N24" s="59">
        <v>107305</v>
      </c>
      <c r="O24" s="58">
        <v>24469</v>
      </c>
      <c r="P24" s="58">
        <v>-106200</v>
      </c>
      <c r="Q24" s="58">
        <v>-81731</v>
      </c>
      <c r="R24" s="58">
        <v>-586</v>
      </c>
      <c r="S24" s="58">
        <v>10831</v>
      </c>
      <c r="T24" s="58">
        <v>27011</v>
      </c>
      <c r="U24">
        <f t="shared" si="0"/>
        <v>-58</v>
      </c>
    </row>
    <row r="25" spans="1:21" x14ac:dyDescent="0.35">
      <c r="A25" s="61">
        <v>43771</v>
      </c>
      <c r="B25" s="58">
        <v>174406</v>
      </c>
      <c r="C25" s="58">
        <v>-166754</v>
      </c>
      <c r="D25" s="58">
        <v>7652</v>
      </c>
      <c r="E25" s="58">
        <v>207652</v>
      </c>
      <c r="F25" s="58">
        <v>-14723</v>
      </c>
      <c r="G25" s="58">
        <v>-91465</v>
      </c>
      <c r="H25" s="58">
        <v>78638</v>
      </c>
      <c r="I25" s="58">
        <v>-12827</v>
      </c>
      <c r="J25" s="58">
        <v>-13098</v>
      </c>
      <c r="K25" s="58">
        <v>-107410</v>
      </c>
      <c r="L25" s="58">
        <v>193730</v>
      </c>
      <c r="M25" s="58">
        <v>86320</v>
      </c>
      <c r="N25" s="58">
        <v>28435</v>
      </c>
      <c r="O25" s="58">
        <v>24469</v>
      </c>
      <c r="P25" s="58">
        <v>-105614</v>
      </c>
      <c r="Q25" s="58">
        <v>-81145</v>
      </c>
      <c r="R25" s="58">
        <v>-614</v>
      </c>
      <c r="S25" s="58">
        <v>10889</v>
      </c>
      <c r="T25" s="58">
        <v>27228</v>
      </c>
      <c r="U25">
        <f t="shared" si="0"/>
        <v>-55</v>
      </c>
    </row>
    <row r="26" spans="1:21" x14ac:dyDescent="0.35">
      <c r="A26" s="61">
        <v>43679</v>
      </c>
      <c r="B26" s="58">
        <v>171373</v>
      </c>
      <c r="C26" s="58">
        <v>-148998</v>
      </c>
      <c r="D26" s="58">
        <v>22375</v>
      </c>
      <c r="E26" s="58">
        <v>222375</v>
      </c>
      <c r="F26" s="58">
        <v>10733</v>
      </c>
      <c r="G26" s="58">
        <v>-61767</v>
      </c>
      <c r="H26" s="58">
        <v>62038</v>
      </c>
      <c r="I26" s="58">
        <v>271</v>
      </c>
      <c r="J26" s="60">
        <v>-75009</v>
      </c>
      <c r="K26" s="58">
        <v>-134075</v>
      </c>
      <c r="L26" s="58">
        <v>191960</v>
      </c>
      <c r="M26" s="58">
        <v>57885</v>
      </c>
      <c r="N26" s="59">
        <v>66546</v>
      </c>
      <c r="O26" s="58">
        <v>24469</v>
      </c>
      <c r="P26" s="58">
        <v>-105000</v>
      </c>
      <c r="Q26" s="58">
        <v>-80531</v>
      </c>
      <c r="R26" s="60">
        <v>-2270</v>
      </c>
      <c r="S26" s="58">
        <v>10944</v>
      </c>
      <c r="T26" s="58">
        <v>27294</v>
      </c>
      <c r="U26">
        <f t="shared" si="0"/>
        <v>-125</v>
      </c>
    </row>
    <row r="27" spans="1:21" x14ac:dyDescent="0.35">
      <c r="A27" s="61">
        <v>43648</v>
      </c>
      <c r="B27" s="58">
        <v>151071</v>
      </c>
      <c r="C27" s="58">
        <v>-139429</v>
      </c>
      <c r="D27" s="58">
        <v>11642</v>
      </c>
      <c r="E27" s="58">
        <v>211642</v>
      </c>
      <c r="F27" s="59">
        <v>23317</v>
      </c>
      <c r="G27" s="58">
        <v>-22876</v>
      </c>
      <c r="H27" s="58">
        <v>98156</v>
      </c>
      <c r="I27" s="58">
        <v>75280</v>
      </c>
      <c r="J27" s="58">
        <v>-13344</v>
      </c>
      <c r="K27" s="58">
        <v>-152654</v>
      </c>
      <c r="L27" s="58">
        <v>143993</v>
      </c>
      <c r="M27" s="58">
        <v>-8661</v>
      </c>
      <c r="N27" s="58">
        <v>-2515</v>
      </c>
      <c r="O27" s="58">
        <v>24459</v>
      </c>
      <c r="P27" s="58">
        <v>-102720</v>
      </c>
      <c r="Q27" s="58">
        <v>-78261</v>
      </c>
      <c r="R27" s="60">
        <v>-7458</v>
      </c>
      <c r="S27" s="58">
        <v>11069</v>
      </c>
      <c r="T27" s="58">
        <v>27387</v>
      </c>
      <c r="U27">
        <f t="shared" si="0"/>
        <v>7</v>
      </c>
    </row>
    <row r="28" spans="1:21" x14ac:dyDescent="0.35">
      <c r="A28" s="61">
        <v>43618</v>
      </c>
      <c r="B28" s="58">
        <v>138754</v>
      </c>
      <c r="C28" s="58">
        <v>-150429</v>
      </c>
      <c r="D28" s="58">
        <v>-11675</v>
      </c>
      <c r="E28" s="58">
        <v>188325</v>
      </c>
      <c r="F28" s="58">
        <v>9289</v>
      </c>
      <c r="G28" s="58">
        <v>-48210</v>
      </c>
      <c r="H28" s="58">
        <v>136834</v>
      </c>
      <c r="I28" s="58">
        <v>88624</v>
      </c>
      <c r="J28" s="59">
        <v>70378</v>
      </c>
      <c r="K28" s="58">
        <v>-115003</v>
      </c>
      <c r="L28" s="58">
        <v>108857</v>
      </c>
      <c r="M28" s="58">
        <v>-6146</v>
      </c>
      <c r="N28" s="60">
        <v>-74732</v>
      </c>
      <c r="O28" s="58">
        <v>24459</v>
      </c>
      <c r="P28" s="58">
        <v>-95262</v>
      </c>
      <c r="Q28" s="58">
        <v>-70803</v>
      </c>
      <c r="R28" s="60">
        <v>-4935</v>
      </c>
      <c r="S28" s="58">
        <v>11062</v>
      </c>
      <c r="T28" s="58">
        <v>27402</v>
      </c>
      <c r="U28">
        <f t="shared" si="0"/>
        <v>128</v>
      </c>
    </row>
    <row r="29" spans="1:21" x14ac:dyDescent="0.35">
      <c r="A29" s="61">
        <v>43587</v>
      </c>
      <c r="B29" s="58">
        <v>130945</v>
      </c>
      <c r="C29" s="58">
        <v>-151909</v>
      </c>
      <c r="D29" s="58">
        <v>-20964</v>
      </c>
      <c r="E29" s="58">
        <v>179036</v>
      </c>
      <c r="F29" s="58">
        <v>10491</v>
      </c>
      <c r="G29" s="58">
        <v>-66144</v>
      </c>
      <c r="H29" s="58">
        <v>84390</v>
      </c>
      <c r="I29" s="58">
        <v>18246</v>
      </c>
      <c r="J29" s="58">
        <v>-4511</v>
      </c>
      <c r="K29" s="58">
        <v>-89245</v>
      </c>
      <c r="L29" s="58">
        <v>157831</v>
      </c>
      <c r="M29" s="58">
        <v>68586</v>
      </c>
      <c r="N29" s="58">
        <v>-5950</v>
      </c>
      <c r="O29" s="58">
        <v>24444</v>
      </c>
      <c r="P29" s="58">
        <v>-90312</v>
      </c>
      <c r="Q29" s="58">
        <v>-65868</v>
      </c>
      <c r="R29" s="58">
        <v>-30</v>
      </c>
      <c r="S29" s="58">
        <v>10934</v>
      </c>
      <c r="T29" s="58">
        <v>27272</v>
      </c>
      <c r="U29">
        <f t="shared" si="0"/>
        <v>22</v>
      </c>
    </row>
    <row r="30" spans="1:21" x14ac:dyDescent="0.35">
      <c r="A30" s="61">
        <v>43557</v>
      </c>
      <c r="B30" s="58">
        <v>125587</v>
      </c>
      <c r="C30" s="58">
        <v>-157042</v>
      </c>
      <c r="D30" s="58">
        <v>-31455</v>
      </c>
      <c r="E30" s="58">
        <v>168545</v>
      </c>
      <c r="F30" s="58">
        <v>-18017</v>
      </c>
      <c r="G30" s="58">
        <v>-51752</v>
      </c>
      <c r="H30" s="58">
        <v>74509</v>
      </c>
      <c r="I30" s="58">
        <v>22757</v>
      </c>
      <c r="J30" s="58">
        <v>33585</v>
      </c>
      <c r="K30" s="58">
        <v>-98309</v>
      </c>
      <c r="L30" s="58">
        <v>172845</v>
      </c>
      <c r="M30" s="58">
        <v>74536</v>
      </c>
      <c r="N30" s="58">
        <v>-15558</v>
      </c>
      <c r="O30" s="58">
        <v>24474</v>
      </c>
      <c r="P30" s="58">
        <v>-90312</v>
      </c>
      <c r="Q30" s="58">
        <v>-65838</v>
      </c>
      <c r="R30" s="58">
        <v>-10</v>
      </c>
      <c r="S30" s="58">
        <v>10912</v>
      </c>
      <c r="T30" s="58">
        <v>27187</v>
      </c>
      <c r="U30">
        <f t="shared" si="0"/>
        <v>18</v>
      </c>
    </row>
    <row r="31" spans="1:21" x14ac:dyDescent="0.35">
      <c r="A31" s="61">
        <v>43467</v>
      </c>
      <c r="B31" s="58">
        <v>126279</v>
      </c>
      <c r="C31" s="58">
        <v>-139717</v>
      </c>
      <c r="D31" s="58">
        <v>-13438</v>
      </c>
      <c r="E31" s="58">
        <v>186562</v>
      </c>
      <c r="F31" s="58">
        <v>3672</v>
      </c>
      <c r="G31" s="58">
        <v>-57076</v>
      </c>
      <c r="H31" s="58">
        <v>46248</v>
      </c>
      <c r="I31" s="58">
        <v>-10828</v>
      </c>
      <c r="J31" s="58">
        <v>-30027</v>
      </c>
      <c r="K31" s="58">
        <v>-93677</v>
      </c>
      <c r="L31" s="58">
        <v>183771</v>
      </c>
      <c r="M31" s="58">
        <v>90094</v>
      </c>
      <c r="N31" s="58">
        <v>27658</v>
      </c>
      <c r="O31" s="58">
        <v>24474</v>
      </c>
      <c r="P31" s="58">
        <v>-90302</v>
      </c>
      <c r="Q31" s="58">
        <v>-65828</v>
      </c>
      <c r="R31" s="58">
        <v>-1303</v>
      </c>
      <c r="S31" s="58">
        <v>10894</v>
      </c>
      <c r="T31" s="58">
        <v>27086</v>
      </c>
      <c r="U31">
        <f t="shared" si="0"/>
        <v>63</v>
      </c>
    </row>
    <row r="32" spans="1:21" x14ac:dyDescent="0.35">
      <c r="A32" s="57" t="s">
        <v>334</v>
      </c>
      <c r="B32" s="58">
        <v>122942</v>
      </c>
      <c r="C32" s="58">
        <v>-140052</v>
      </c>
      <c r="D32" s="58">
        <v>-17110</v>
      </c>
      <c r="E32" s="58">
        <v>182890</v>
      </c>
      <c r="F32" s="59">
        <v>132533</v>
      </c>
      <c r="G32" s="58">
        <v>1367</v>
      </c>
      <c r="H32" s="58">
        <v>17832</v>
      </c>
      <c r="I32" s="58">
        <v>19199</v>
      </c>
      <c r="J32" s="59">
        <v>138693</v>
      </c>
      <c r="K32" s="58">
        <v>-148793</v>
      </c>
      <c r="L32" s="58">
        <v>211229</v>
      </c>
      <c r="M32" s="58">
        <v>62436</v>
      </c>
      <c r="N32" s="60">
        <v>-271156</v>
      </c>
      <c r="O32" s="58">
        <v>24484</v>
      </c>
      <c r="P32" s="58">
        <v>-89009</v>
      </c>
      <c r="Q32" s="58">
        <v>-64525</v>
      </c>
      <c r="R32" s="58">
        <v>-70</v>
      </c>
      <c r="S32" s="58">
        <v>10831</v>
      </c>
      <c r="T32" s="58">
        <v>27295</v>
      </c>
      <c r="U32">
        <f t="shared" si="0"/>
        <v>179</v>
      </c>
    </row>
    <row r="33" spans="1:21" x14ac:dyDescent="0.35">
      <c r="A33" s="57" t="s">
        <v>335</v>
      </c>
      <c r="B33" s="58">
        <v>102963</v>
      </c>
      <c r="C33" s="58">
        <v>-252606</v>
      </c>
      <c r="D33" s="58">
        <v>-149643</v>
      </c>
      <c r="E33" s="58">
        <v>50357</v>
      </c>
      <c r="F33" s="58">
        <v>-11321</v>
      </c>
      <c r="G33" s="58">
        <v>-190741</v>
      </c>
      <c r="H33" s="58">
        <v>71247</v>
      </c>
      <c r="I33" s="58">
        <v>-119494</v>
      </c>
      <c r="J33" s="59">
        <v>37660</v>
      </c>
      <c r="K33" s="58">
        <v>63334</v>
      </c>
      <c r="L33" s="58">
        <v>270258</v>
      </c>
      <c r="M33" s="58">
        <v>333592</v>
      </c>
      <c r="N33" s="58">
        <v>-28263</v>
      </c>
      <c r="O33" s="58">
        <v>24444</v>
      </c>
      <c r="P33" s="58">
        <v>-88899</v>
      </c>
      <c r="Q33" s="58">
        <v>-64455</v>
      </c>
      <c r="R33" s="59">
        <v>1924</v>
      </c>
      <c r="S33" s="58">
        <v>10652</v>
      </c>
      <c r="T33" s="58">
        <v>26573</v>
      </c>
      <c r="U33">
        <f t="shared" si="0"/>
        <v>0</v>
      </c>
    </row>
    <row r="34" spans="1:21" x14ac:dyDescent="0.35">
      <c r="A34" s="57" t="s">
        <v>336</v>
      </c>
      <c r="B34" s="58">
        <v>107195</v>
      </c>
      <c r="C34" s="58">
        <v>-245517</v>
      </c>
      <c r="D34" s="58">
        <v>-138322</v>
      </c>
      <c r="E34" s="58">
        <v>61678</v>
      </c>
      <c r="F34" s="58">
        <v>3544</v>
      </c>
      <c r="G34" s="58">
        <v>-199813</v>
      </c>
      <c r="H34" s="58">
        <v>42659</v>
      </c>
      <c r="I34" s="58">
        <v>-157154</v>
      </c>
      <c r="J34" s="58">
        <v>-11423</v>
      </c>
      <c r="K34" s="58">
        <v>68174</v>
      </c>
      <c r="L34" s="58">
        <v>293681</v>
      </c>
      <c r="M34" s="58">
        <v>361855</v>
      </c>
      <c r="N34" s="58">
        <v>7879</v>
      </c>
      <c r="O34" s="58">
        <v>24444</v>
      </c>
      <c r="P34" s="58">
        <v>-90823</v>
      </c>
      <c r="Q34" s="58">
        <v>-66379</v>
      </c>
      <c r="R34" s="58">
        <v>0</v>
      </c>
      <c r="S34" s="58">
        <v>10652</v>
      </c>
      <c r="T34" s="58">
        <v>26573</v>
      </c>
      <c r="U34">
        <f t="shared" si="0"/>
        <v>-10</v>
      </c>
    </row>
    <row r="35" spans="1:21" x14ac:dyDescent="0.35">
      <c r="A35" s="57" t="s">
        <v>337</v>
      </c>
      <c r="B35" s="58">
        <v>103636</v>
      </c>
      <c r="C35" s="58">
        <v>-245502</v>
      </c>
      <c r="D35" s="58">
        <v>-141866</v>
      </c>
      <c r="E35" s="58">
        <v>58134</v>
      </c>
      <c r="F35" s="60">
        <v>-46741</v>
      </c>
      <c r="G35" s="58">
        <v>-185524</v>
      </c>
      <c r="H35" s="58">
        <v>39793</v>
      </c>
      <c r="I35" s="58">
        <v>-145731</v>
      </c>
      <c r="J35" s="60">
        <v>-68424</v>
      </c>
      <c r="K35" s="58">
        <v>57444</v>
      </c>
      <c r="L35" s="58">
        <v>296532</v>
      </c>
      <c r="M35" s="58">
        <v>353976</v>
      </c>
      <c r="N35" s="59">
        <v>115165</v>
      </c>
      <c r="O35" s="58">
        <v>24444</v>
      </c>
      <c r="P35" s="58">
        <v>-90823</v>
      </c>
      <c r="Q35" s="58">
        <v>-66379</v>
      </c>
      <c r="R35" s="58">
        <v>0</v>
      </c>
      <c r="S35" s="58">
        <v>10662</v>
      </c>
      <c r="T35" s="58">
        <v>26653</v>
      </c>
      <c r="U35">
        <f t="shared" si="0"/>
        <v>-118</v>
      </c>
    </row>
    <row r="36" spans="1:21" x14ac:dyDescent="0.35">
      <c r="A36" s="57" t="s">
        <v>338</v>
      </c>
      <c r="B36" s="58">
        <v>133737</v>
      </c>
      <c r="C36" s="58">
        <v>-228862</v>
      </c>
      <c r="D36" s="58">
        <v>-95125</v>
      </c>
      <c r="E36" s="58">
        <v>104875</v>
      </c>
      <c r="F36" s="58">
        <v>-6537</v>
      </c>
      <c r="G36" s="58">
        <v>-117772</v>
      </c>
      <c r="H36" s="58">
        <v>40465</v>
      </c>
      <c r="I36" s="58">
        <v>-77307</v>
      </c>
      <c r="J36" s="60">
        <v>-39699</v>
      </c>
      <c r="K36" s="58">
        <v>-40409</v>
      </c>
      <c r="L36" s="58">
        <v>279220</v>
      </c>
      <c r="M36" s="58">
        <v>238811</v>
      </c>
      <c r="N36" s="58">
        <v>46266</v>
      </c>
      <c r="O36" s="58">
        <v>24444</v>
      </c>
      <c r="P36" s="58">
        <v>-90823</v>
      </c>
      <c r="Q36" s="58">
        <v>-66379</v>
      </c>
      <c r="R36" s="58">
        <v>-30</v>
      </c>
      <c r="S36" s="58">
        <v>10780</v>
      </c>
      <c r="T36" s="58">
        <v>27115</v>
      </c>
      <c r="U36">
        <f t="shared" si="0"/>
        <v>-70</v>
      </c>
    </row>
    <row r="37" spans="1:21" x14ac:dyDescent="0.35">
      <c r="A37" s="57" t="s">
        <v>339</v>
      </c>
      <c r="B37" s="58">
        <v>134558</v>
      </c>
      <c r="C37" s="58">
        <v>-223146</v>
      </c>
      <c r="D37" s="58">
        <v>-88588</v>
      </c>
      <c r="E37" s="58">
        <v>111412</v>
      </c>
      <c r="F37" s="58">
        <v>5081</v>
      </c>
      <c r="G37" s="58">
        <v>-93042</v>
      </c>
      <c r="H37" s="58">
        <v>55434</v>
      </c>
      <c r="I37" s="58">
        <v>-37608</v>
      </c>
      <c r="J37" s="59">
        <v>49343</v>
      </c>
      <c r="K37" s="58">
        <v>-65960</v>
      </c>
      <c r="L37" s="58">
        <v>258505</v>
      </c>
      <c r="M37" s="58">
        <v>192545</v>
      </c>
      <c r="N37" s="60">
        <v>-54444</v>
      </c>
      <c r="O37" s="58">
        <v>24444</v>
      </c>
      <c r="P37" s="58">
        <v>-90793</v>
      </c>
      <c r="Q37" s="58">
        <v>-66349</v>
      </c>
      <c r="R37" s="58">
        <v>20</v>
      </c>
      <c r="S37" s="58">
        <v>10850</v>
      </c>
      <c r="T37" s="58">
        <v>27266</v>
      </c>
      <c r="U37">
        <f t="shared" si="0"/>
        <v>18</v>
      </c>
    </row>
    <row r="38" spans="1:21" x14ac:dyDescent="0.35">
      <c r="A38" s="57" t="s">
        <v>340</v>
      </c>
      <c r="B38" s="58">
        <v>141567</v>
      </c>
      <c r="C38" s="58">
        <v>-235236</v>
      </c>
      <c r="D38" s="58">
        <v>-93669</v>
      </c>
      <c r="E38" s="58">
        <v>106331</v>
      </c>
      <c r="F38" s="58">
        <v>-12352</v>
      </c>
      <c r="G38" s="58">
        <v>-153138</v>
      </c>
      <c r="H38" s="58">
        <v>66187</v>
      </c>
      <c r="I38" s="58">
        <v>-86951</v>
      </c>
      <c r="J38" s="60">
        <v>-91334</v>
      </c>
      <c r="K38" s="58">
        <v>-12873</v>
      </c>
      <c r="L38" s="58">
        <v>259862</v>
      </c>
      <c r="M38" s="58">
        <v>246989</v>
      </c>
      <c r="N38" s="59">
        <v>103039</v>
      </c>
      <c r="O38" s="58">
        <v>24444</v>
      </c>
      <c r="P38" s="58">
        <v>-90813</v>
      </c>
      <c r="Q38" s="58">
        <v>-66369</v>
      </c>
      <c r="R38" s="58">
        <v>647</v>
      </c>
      <c r="S38" s="58">
        <v>10832</v>
      </c>
      <c r="T38" s="58">
        <v>27251</v>
      </c>
      <c r="U38">
        <f t="shared" si="0"/>
        <v>-91</v>
      </c>
    </row>
    <row r="39" spans="1:21" x14ac:dyDescent="0.35">
      <c r="A39" s="57" t="s">
        <v>341</v>
      </c>
      <c r="B39" s="58">
        <v>153402</v>
      </c>
      <c r="C39" s="58">
        <v>-234719</v>
      </c>
      <c r="D39" s="58">
        <v>-81317</v>
      </c>
      <c r="E39" s="58">
        <v>118683</v>
      </c>
      <c r="F39" s="60">
        <v>-31632</v>
      </c>
      <c r="G39" s="58">
        <v>-98393</v>
      </c>
      <c r="H39" s="58">
        <v>102776</v>
      </c>
      <c r="I39" s="58">
        <v>4383</v>
      </c>
      <c r="J39" s="58">
        <v>-28101</v>
      </c>
      <c r="K39" s="58">
        <v>-79453</v>
      </c>
      <c r="L39" s="58">
        <v>223403</v>
      </c>
      <c r="M39" s="58">
        <v>143950</v>
      </c>
      <c r="N39" s="59">
        <v>59646</v>
      </c>
      <c r="O39" s="58">
        <v>24444</v>
      </c>
      <c r="P39" s="58">
        <v>-91460</v>
      </c>
      <c r="Q39" s="58">
        <v>-67016</v>
      </c>
      <c r="R39" s="58">
        <v>87</v>
      </c>
      <c r="S39" s="58">
        <v>10923</v>
      </c>
      <c r="T39" s="58">
        <v>27482</v>
      </c>
      <c r="U39">
        <f t="shared" si="0"/>
        <v>16</v>
      </c>
    </row>
    <row r="40" spans="1:21" x14ac:dyDescent="0.35">
      <c r="A40" s="57" t="s">
        <v>342</v>
      </c>
      <c r="B40" s="58">
        <v>153038</v>
      </c>
      <c r="C40" s="58">
        <v>-202723</v>
      </c>
      <c r="D40" s="58">
        <v>-49685</v>
      </c>
      <c r="E40" s="58">
        <v>150315</v>
      </c>
      <c r="F40" s="59">
        <v>20178</v>
      </c>
      <c r="G40" s="58">
        <v>-77535</v>
      </c>
      <c r="H40" s="58">
        <v>110019</v>
      </c>
      <c r="I40" s="58">
        <v>32484</v>
      </c>
      <c r="J40" s="58">
        <v>21555</v>
      </c>
      <c r="K40" s="58">
        <v>-99860</v>
      </c>
      <c r="L40" s="58">
        <v>184164</v>
      </c>
      <c r="M40" s="58">
        <v>84304</v>
      </c>
      <c r="N40" s="58">
        <v>-40058</v>
      </c>
      <c r="O40" s="58">
        <v>24357</v>
      </c>
      <c r="P40" s="58">
        <v>-91460</v>
      </c>
      <c r="Q40" s="58">
        <v>-67103</v>
      </c>
      <c r="R40" s="58">
        <v>-1675</v>
      </c>
      <c r="S40" s="58">
        <v>10907</v>
      </c>
      <c r="T40" s="58">
        <v>27457</v>
      </c>
      <c r="U40">
        <f t="shared" si="0"/>
        <v>0</v>
      </c>
    </row>
    <row r="41" spans="1:21" x14ac:dyDescent="0.35">
      <c r="A41" s="57" t="s">
        <v>343</v>
      </c>
      <c r="B41" s="58">
        <v>139459</v>
      </c>
      <c r="C41" s="58">
        <v>-209322</v>
      </c>
      <c r="D41" s="58">
        <v>-69863</v>
      </c>
      <c r="E41" s="58">
        <v>130137</v>
      </c>
      <c r="F41" s="58">
        <v>12205</v>
      </c>
      <c r="G41" s="58">
        <v>-75969</v>
      </c>
      <c r="H41" s="58">
        <v>86898</v>
      </c>
      <c r="I41" s="58">
        <v>10929</v>
      </c>
      <c r="J41" s="58">
        <v>-16660</v>
      </c>
      <c r="K41" s="58">
        <v>-87847</v>
      </c>
      <c r="L41" s="58">
        <v>212209</v>
      </c>
      <c r="M41" s="58">
        <v>124362</v>
      </c>
      <c r="N41" s="58">
        <v>4455</v>
      </c>
      <c r="O41" s="58">
        <v>24357</v>
      </c>
      <c r="P41" s="58">
        <v>-89785</v>
      </c>
      <c r="Q41" s="58">
        <v>-65428</v>
      </c>
      <c r="R41" s="58">
        <v>0</v>
      </c>
      <c r="S41" s="58">
        <v>10907</v>
      </c>
      <c r="T41" s="58">
        <v>27457</v>
      </c>
      <c r="U41">
        <f t="shared" si="0"/>
        <v>2</v>
      </c>
    </row>
    <row r="42" spans="1:21" x14ac:dyDescent="0.35">
      <c r="A42" s="57" t="s">
        <v>344</v>
      </c>
      <c r="B42" s="58">
        <v>139394</v>
      </c>
      <c r="C42" s="58">
        <v>-221462</v>
      </c>
      <c r="D42" s="58">
        <v>-82068</v>
      </c>
      <c r="E42" s="58">
        <v>117932</v>
      </c>
      <c r="F42" s="58">
        <v>12105</v>
      </c>
      <c r="G42" s="58">
        <v>-55144</v>
      </c>
      <c r="H42" s="58">
        <v>82733</v>
      </c>
      <c r="I42" s="58">
        <v>27589</v>
      </c>
      <c r="J42" s="58">
        <v>30061</v>
      </c>
      <c r="K42" s="58">
        <v>-108607</v>
      </c>
      <c r="L42" s="58">
        <v>228514</v>
      </c>
      <c r="M42" s="58">
        <v>119907</v>
      </c>
      <c r="N42" s="58">
        <v>-41499</v>
      </c>
      <c r="O42" s="58">
        <v>24357</v>
      </c>
      <c r="P42" s="58">
        <v>-89785</v>
      </c>
      <c r="Q42" s="58">
        <v>-65428</v>
      </c>
      <c r="R42" s="58">
        <v>-667</v>
      </c>
      <c r="S42" s="58">
        <v>10905</v>
      </c>
      <c r="T42" s="58">
        <v>27529</v>
      </c>
      <c r="U42">
        <f t="shared" si="0"/>
        <v>15</v>
      </c>
    </row>
    <row r="43" spans="1:21" x14ac:dyDescent="0.35">
      <c r="A43" s="57" t="s">
        <v>345</v>
      </c>
      <c r="B43" s="58">
        <v>143801</v>
      </c>
      <c r="C43" s="58">
        <v>-237974</v>
      </c>
      <c r="D43" s="58">
        <v>-94173</v>
      </c>
      <c r="E43" s="58">
        <v>105827</v>
      </c>
      <c r="F43" s="58">
        <v>3514</v>
      </c>
      <c r="G43" s="58">
        <v>-116690</v>
      </c>
      <c r="H43" s="58">
        <v>114218</v>
      </c>
      <c r="I43" s="58">
        <v>-2472</v>
      </c>
      <c r="J43" s="58">
        <v>-17843</v>
      </c>
      <c r="K43" s="58">
        <v>-51468</v>
      </c>
      <c r="L43" s="58">
        <v>212874</v>
      </c>
      <c r="M43" s="58">
        <v>161406</v>
      </c>
      <c r="N43" s="58">
        <v>14329</v>
      </c>
      <c r="O43" s="58">
        <v>24357</v>
      </c>
      <c r="P43" s="58">
        <v>-89118</v>
      </c>
      <c r="Q43" s="58">
        <v>-64761</v>
      </c>
      <c r="R43" s="58">
        <v>0</v>
      </c>
      <c r="S43" s="58">
        <v>10890</v>
      </c>
      <c r="T43" s="58">
        <v>27484</v>
      </c>
      <c r="U43">
        <f t="shared" ref="U43:U79" si="1">S43-S44</f>
        <v>3</v>
      </c>
    </row>
    <row r="44" spans="1:21" x14ac:dyDescent="0.35">
      <c r="A44" s="57" t="s">
        <v>346</v>
      </c>
      <c r="B44" s="58">
        <v>139520</v>
      </c>
      <c r="C44" s="58">
        <v>-237207</v>
      </c>
      <c r="D44" s="58">
        <v>-97687</v>
      </c>
      <c r="E44" s="58">
        <v>102313</v>
      </c>
      <c r="F44" s="58">
        <v>5174</v>
      </c>
      <c r="G44" s="58">
        <v>-80606</v>
      </c>
      <c r="H44" s="58">
        <v>95977</v>
      </c>
      <c r="I44" s="58">
        <v>15371</v>
      </c>
      <c r="J44" s="59">
        <v>122303</v>
      </c>
      <c r="K44" s="58">
        <v>-83271</v>
      </c>
      <c r="L44" s="58">
        <v>230348</v>
      </c>
      <c r="M44" s="58">
        <v>147077</v>
      </c>
      <c r="N44" s="60">
        <v>-129437</v>
      </c>
      <c r="O44" s="58">
        <v>24357</v>
      </c>
      <c r="P44" s="58">
        <v>-89118</v>
      </c>
      <c r="Q44" s="58">
        <v>-64761</v>
      </c>
      <c r="R44" s="59">
        <v>1960</v>
      </c>
      <c r="S44" s="58">
        <v>10887</v>
      </c>
      <c r="T44" s="58">
        <v>27401</v>
      </c>
      <c r="U44">
        <f t="shared" si="1"/>
        <v>149</v>
      </c>
    </row>
    <row r="45" spans="1:21" x14ac:dyDescent="0.35">
      <c r="A45" s="57" t="s">
        <v>347</v>
      </c>
      <c r="B45" s="58">
        <v>135025</v>
      </c>
      <c r="C45" s="58">
        <v>-237886</v>
      </c>
      <c r="D45" s="58">
        <v>-102861</v>
      </c>
      <c r="E45" s="58">
        <v>97139</v>
      </c>
      <c r="F45" s="58">
        <v>-4133</v>
      </c>
      <c r="G45" s="58">
        <v>-141868</v>
      </c>
      <c r="H45" s="58">
        <v>34936</v>
      </c>
      <c r="I45" s="58">
        <v>-106932</v>
      </c>
      <c r="J45" s="58">
        <v>-24625</v>
      </c>
      <c r="K45" s="58">
        <v>-17514</v>
      </c>
      <c r="L45" s="58">
        <v>294028</v>
      </c>
      <c r="M45" s="58">
        <v>276514</v>
      </c>
      <c r="N45" s="58">
        <v>28758</v>
      </c>
      <c r="O45" s="58">
        <v>24357</v>
      </c>
      <c r="P45" s="58">
        <v>-91078</v>
      </c>
      <c r="Q45" s="58">
        <v>-66721</v>
      </c>
      <c r="R45" s="58">
        <v>0</v>
      </c>
      <c r="S45" s="58">
        <v>10738</v>
      </c>
      <c r="T45" s="58">
        <v>27248</v>
      </c>
      <c r="U45">
        <f t="shared" si="1"/>
        <v>-57</v>
      </c>
    </row>
    <row r="46" spans="1:21" x14ac:dyDescent="0.35">
      <c r="A46" s="61">
        <v>43770</v>
      </c>
      <c r="B46" s="58">
        <v>135852</v>
      </c>
      <c r="C46" s="58">
        <v>-234580</v>
      </c>
      <c r="D46" s="58">
        <v>-98728</v>
      </c>
      <c r="E46" s="58">
        <v>101272</v>
      </c>
      <c r="F46" s="58">
        <v>-3437</v>
      </c>
      <c r="G46" s="58">
        <v>-104706</v>
      </c>
      <c r="H46" s="58">
        <v>22399</v>
      </c>
      <c r="I46" s="58">
        <v>-82307</v>
      </c>
      <c r="J46" s="60">
        <v>-54096</v>
      </c>
      <c r="K46" s="58">
        <v>-55503</v>
      </c>
      <c r="L46" s="58">
        <v>303259</v>
      </c>
      <c r="M46" s="58">
        <v>247756</v>
      </c>
      <c r="N46" s="59">
        <v>57533</v>
      </c>
      <c r="O46" s="58">
        <v>24357</v>
      </c>
      <c r="P46" s="58">
        <v>-91078</v>
      </c>
      <c r="Q46" s="58">
        <v>-66721</v>
      </c>
      <c r="R46" s="58">
        <v>0</v>
      </c>
      <c r="S46" s="58">
        <v>10795</v>
      </c>
      <c r="T46" s="58">
        <v>27454</v>
      </c>
      <c r="U46">
        <f t="shared" si="1"/>
        <v>-27</v>
      </c>
    </row>
    <row r="47" spans="1:21" x14ac:dyDescent="0.35">
      <c r="A47" s="61">
        <v>43739</v>
      </c>
      <c r="B47" s="58">
        <v>134262</v>
      </c>
      <c r="C47" s="58">
        <v>-229553</v>
      </c>
      <c r="D47" s="58">
        <v>-95291</v>
      </c>
      <c r="E47" s="58">
        <v>104709</v>
      </c>
      <c r="F47" s="58">
        <v>3435</v>
      </c>
      <c r="G47" s="58">
        <v>-63962</v>
      </c>
      <c r="H47" s="58">
        <v>35751</v>
      </c>
      <c r="I47" s="58">
        <v>-28211</v>
      </c>
      <c r="J47" s="60">
        <v>-56259</v>
      </c>
      <c r="K47" s="58">
        <v>-94657</v>
      </c>
      <c r="L47" s="58">
        <v>284880</v>
      </c>
      <c r="M47" s="58">
        <v>190223</v>
      </c>
      <c r="N47" s="59">
        <v>52824</v>
      </c>
      <c r="O47" s="58">
        <v>24357</v>
      </c>
      <c r="P47" s="58">
        <v>-91078</v>
      </c>
      <c r="Q47" s="58">
        <v>-66721</v>
      </c>
      <c r="R47" s="58">
        <v>0</v>
      </c>
      <c r="S47" s="58">
        <v>10822</v>
      </c>
      <c r="T47" s="58">
        <v>27528</v>
      </c>
      <c r="U47">
        <f t="shared" si="1"/>
        <v>-33</v>
      </c>
    </row>
    <row r="48" spans="1:21" x14ac:dyDescent="0.35">
      <c r="A48" s="61">
        <v>43709</v>
      </c>
      <c r="B48" s="58">
        <v>134055</v>
      </c>
      <c r="C48" s="58">
        <v>-232781</v>
      </c>
      <c r="D48" s="58">
        <v>-98726</v>
      </c>
      <c r="E48" s="58">
        <v>101274</v>
      </c>
      <c r="F48" s="58">
        <v>-8362</v>
      </c>
      <c r="G48" s="58">
        <v>-91983</v>
      </c>
      <c r="H48" s="58">
        <v>120031</v>
      </c>
      <c r="I48" s="58">
        <v>28048</v>
      </c>
      <c r="J48" s="58">
        <v>32607</v>
      </c>
      <c r="K48" s="58">
        <v>-66429</v>
      </c>
      <c r="L48" s="58">
        <v>203828</v>
      </c>
      <c r="M48" s="58">
        <v>137399</v>
      </c>
      <c r="N48" s="58">
        <v>-24245</v>
      </c>
      <c r="O48" s="58">
        <v>24357</v>
      </c>
      <c r="P48" s="58">
        <v>-91078</v>
      </c>
      <c r="Q48" s="58">
        <v>-66721</v>
      </c>
      <c r="R48" s="58">
        <v>0</v>
      </c>
      <c r="S48" s="58">
        <v>10855</v>
      </c>
      <c r="T48" s="58">
        <v>27720</v>
      </c>
      <c r="U48">
        <f t="shared" si="1"/>
        <v>53</v>
      </c>
    </row>
    <row r="49" spans="1:21" x14ac:dyDescent="0.35">
      <c r="A49" s="61">
        <v>43678</v>
      </c>
      <c r="B49" s="58">
        <v>125991</v>
      </c>
      <c r="C49" s="58">
        <v>-216355</v>
      </c>
      <c r="D49" s="58">
        <v>-90364</v>
      </c>
      <c r="E49" s="58">
        <v>109636</v>
      </c>
      <c r="F49" s="58">
        <v>9484</v>
      </c>
      <c r="G49" s="58">
        <v>-86962</v>
      </c>
      <c r="H49" s="58">
        <v>82403</v>
      </c>
      <c r="I49" s="58">
        <v>-4559</v>
      </c>
      <c r="J49" s="59">
        <v>53444</v>
      </c>
      <c r="K49" s="58">
        <v>-63386</v>
      </c>
      <c r="L49" s="58">
        <v>225030</v>
      </c>
      <c r="M49" s="58">
        <v>161644</v>
      </c>
      <c r="N49" s="60">
        <v>-62928</v>
      </c>
      <c r="O49" s="58">
        <v>24357</v>
      </c>
      <c r="P49" s="58">
        <v>-91078</v>
      </c>
      <c r="Q49" s="58">
        <v>-66721</v>
      </c>
      <c r="R49" s="58">
        <v>0</v>
      </c>
      <c r="S49" s="58">
        <v>10802</v>
      </c>
      <c r="T49" s="58">
        <v>27510</v>
      </c>
      <c r="U49">
        <f t="shared" si="1"/>
        <v>30</v>
      </c>
    </row>
    <row r="50" spans="1:21" x14ac:dyDescent="0.35">
      <c r="A50" s="61">
        <v>43647</v>
      </c>
      <c r="B50" s="58">
        <v>123367</v>
      </c>
      <c r="C50" s="58">
        <v>-223215</v>
      </c>
      <c r="D50" s="58">
        <v>-99848</v>
      </c>
      <c r="E50" s="58">
        <v>100152</v>
      </c>
      <c r="F50" s="58">
        <v>769</v>
      </c>
      <c r="G50" s="58">
        <v>-100716</v>
      </c>
      <c r="H50" s="58">
        <v>42713</v>
      </c>
      <c r="I50" s="58">
        <v>-58003</v>
      </c>
      <c r="J50" s="58">
        <v>-4349</v>
      </c>
      <c r="K50" s="58">
        <v>-47008</v>
      </c>
      <c r="L50" s="58">
        <v>271580</v>
      </c>
      <c r="M50" s="58">
        <v>224572</v>
      </c>
      <c r="N50" s="58">
        <v>3580</v>
      </c>
      <c r="O50" s="58">
        <v>24357</v>
      </c>
      <c r="P50" s="58">
        <v>-91078</v>
      </c>
      <c r="Q50" s="58">
        <v>-66721</v>
      </c>
      <c r="R50" s="58">
        <v>0</v>
      </c>
      <c r="S50" s="58">
        <v>10772</v>
      </c>
      <c r="T50" s="58">
        <v>27305</v>
      </c>
      <c r="U50">
        <f t="shared" si="1"/>
        <v>45</v>
      </c>
    </row>
    <row r="51" spans="1:21" x14ac:dyDescent="0.35">
      <c r="A51" s="61">
        <v>43556</v>
      </c>
      <c r="B51" s="58">
        <v>118820</v>
      </c>
      <c r="C51" s="58">
        <v>-219437</v>
      </c>
      <c r="D51" s="58">
        <v>-100617</v>
      </c>
      <c r="E51" s="58">
        <v>99383</v>
      </c>
      <c r="F51" s="58">
        <v>-783</v>
      </c>
      <c r="G51" s="58">
        <v>-73180</v>
      </c>
      <c r="H51" s="58">
        <v>19526</v>
      </c>
      <c r="I51" s="58">
        <v>-53654</v>
      </c>
      <c r="J51" s="59">
        <v>39609</v>
      </c>
      <c r="K51" s="58">
        <v>-69997</v>
      </c>
      <c r="L51" s="58">
        <v>290989</v>
      </c>
      <c r="M51" s="58">
        <v>220992</v>
      </c>
      <c r="N51" s="58">
        <v>-38826</v>
      </c>
      <c r="O51" s="58">
        <v>24357</v>
      </c>
      <c r="P51" s="58">
        <v>-91078</v>
      </c>
      <c r="Q51" s="58">
        <v>-66721</v>
      </c>
      <c r="R51" s="58">
        <v>0</v>
      </c>
      <c r="S51" s="58">
        <v>10727</v>
      </c>
      <c r="T51" s="58">
        <v>27195</v>
      </c>
      <c r="U51">
        <f t="shared" si="1"/>
        <v>55</v>
      </c>
    </row>
    <row r="52" spans="1:21" x14ac:dyDescent="0.35">
      <c r="A52" s="61">
        <v>43525</v>
      </c>
      <c r="B52" s="58">
        <v>123054</v>
      </c>
      <c r="C52" s="58">
        <v>-222888</v>
      </c>
      <c r="D52" s="58">
        <v>-99834</v>
      </c>
      <c r="E52" s="58">
        <v>100166</v>
      </c>
      <c r="F52" s="58">
        <v>-13403</v>
      </c>
      <c r="G52" s="58">
        <v>-92933</v>
      </c>
      <c r="H52" s="58">
        <v>-330</v>
      </c>
      <c r="I52" s="58">
        <v>-93263</v>
      </c>
      <c r="J52" s="58">
        <v>-1531</v>
      </c>
      <c r="K52" s="58">
        <v>-54478</v>
      </c>
      <c r="L52" s="58">
        <v>314296</v>
      </c>
      <c r="M52" s="58">
        <v>259818</v>
      </c>
      <c r="N52" s="58">
        <v>17574</v>
      </c>
      <c r="O52" s="58">
        <v>24357</v>
      </c>
      <c r="P52" s="58">
        <v>-91078</v>
      </c>
      <c r="Q52" s="58">
        <v>-66721</v>
      </c>
      <c r="R52" s="60">
        <v>-2640</v>
      </c>
      <c r="S52" s="58">
        <v>10672</v>
      </c>
      <c r="T52" s="58">
        <v>26960</v>
      </c>
      <c r="U52">
        <f t="shared" si="1"/>
        <v>-121</v>
      </c>
    </row>
    <row r="53" spans="1:21" x14ac:dyDescent="0.35">
      <c r="A53" s="61">
        <v>43497</v>
      </c>
      <c r="B53" s="58">
        <v>123225</v>
      </c>
      <c r="C53" s="58">
        <v>-209656</v>
      </c>
      <c r="D53" s="58">
        <v>-86431</v>
      </c>
      <c r="E53" s="58">
        <v>113569</v>
      </c>
      <c r="F53" s="58">
        <v>-372</v>
      </c>
      <c r="G53" s="58">
        <v>-141857</v>
      </c>
      <c r="H53" s="58">
        <v>50125</v>
      </c>
      <c r="I53" s="58">
        <v>-91732</v>
      </c>
      <c r="J53" s="60">
        <v>-129460</v>
      </c>
      <c r="K53" s="58">
        <v>-5725</v>
      </c>
      <c r="L53" s="58">
        <v>247969</v>
      </c>
      <c r="M53" s="58">
        <v>242244</v>
      </c>
      <c r="N53" s="59">
        <v>130492</v>
      </c>
      <c r="O53" s="58">
        <v>24357</v>
      </c>
      <c r="P53" s="58">
        <v>-88438</v>
      </c>
      <c r="Q53" s="58">
        <v>-64081</v>
      </c>
      <c r="R53" s="58">
        <v>-660</v>
      </c>
      <c r="S53" s="58">
        <v>10793</v>
      </c>
      <c r="T53" s="58">
        <v>27175</v>
      </c>
      <c r="U53">
        <f t="shared" si="1"/>
        <v>-117</v>
      </c>
    </row>
    <row r="54" spans="1:21" x14ac:dyDescent="0.35">
      <c r="A54" s="61">
        <v>43466</v>
      </c>
      <c r="B54" s="58">
        <v>122551</v>
      </c>
      <c r="C54" s="58">
        <v>-208610</v>
      </c>
      <c r="D54" s="58">
        <v>-86059</v>
      </c>
      <c r="E54" s="58">
        <v>113941</v>
      </c>
      <c r="F54" s="58">
        <v>580</v>
      </c>
      <c r="G54" s="58">
        <v>-36651</v>
      </c>
      <c r="H54" s="58">
        <v>74379</v>
      </c>
      <c r="I54" s="58">
        <v>37728</v>
      </c>
      <c r="J54" s="58">
        <v>21806</v>
      </c>
      <c r="K54" s="58">
        <v>-110917</v>
      </c>
      <c r="L54" s="58">
        <v>222669</v>
      </c>
      <c r="M54" s="58">
        <v>111752</v>
      </c>
      <c r="N54" s="58">
        <v>-23337</v>
      </c>
      <c r="O54" s="58">
        <v>25017</v>
      </c>
      <c r="P54" s="58">
        <v>-88438</v>
      </c>
      <c r="Q54" s="58">
        <v>-63421</v>
      </c>
      <c r="R54" s="58">
        <v>951</v>
      </c>
      <c r="S54" s="58">
        <v>10910</v>
      </c>
      <c r="T54" s="58">
        <v>27392</v>
      </c>
      <c r="U54">
        <f t="shared" si="1"/>
        <v>47</v>
      </c>
    </row>
    <row r="55" spans="1:21" x14ac:dyDescent="0.35">
      <c r="A55" s="57" t="s">
        <v>348</v>
      </c>
      <c r="B55" s="58">
        <v>118821</v>
      </c>
      <c r="C55" s="58">
        <v>-205460</v>
      </c>
      <c r="D55" s="58">
        <v>-86639</v>
      </c>
      <c r="E55" s="58">
        <v>113361</v>
      </c>
      <c r="F55" s="58">
        <v>-15395</v>
      </c>
      <c r="G55" s="58">
        <v>-38813</v>
      </c>
      <c r="H55" s="58">
        <v>54735</v>
      </c>
      <c r="I55" s="58">
        <v>15922</v>
      </c>
      <c r="J55" s="58">
        <v>12394</v>
      </c>
      <c r="K55" s="58">
        <v>-105025</v>
      </c>
      <c r="L55" s="58">
        <v>240114</v>
      </c>
      <c r="M55" s="58">
        <v>135089</v>
      </c>
      <c r="N55" s="58">
        <v>4001</v>
      </c>
      <c r="O55" s="58">
        <v>25017</v>
      </c>
      <c r="P55" s="58">
        <v>-89389</v>
      </c>
      <c r="Q55" s="58">
        <v>-64372</v>
      </c>
      <c r="R55" s="58">
        <v>-1000</v>
      </c>
      <c r="S55" s="58">
        <v>10863</v>
      </c>
      <c r="T55" s="58">
        <v>27160</v>
      </c>
      <c r="U55">
        <f t="shared" si="1"/>
        <v>3</v>
      </c>
    </row>
    <row r="56" spans="1:21" x14ac:dyDescent="0.35">
      <c r="A56" s="57" t="s">
        <v>349</v>
      </c>
      <c r="B56" s="58">
        <v>114412</v>
      </c>
      <c r="C56" s="58">
        <v>-185656</v>
      </c>
      <c r="D56" s="58">
        <v>-71244</v>
      </c>
      <c r="E56" s="58">
        <v>128756</v>
      </c>
      <c r="F56" s="58">
        <v>-7615</v>
      </c>
      <c r="G56" s="58">
        <v>-31391</v>
      </c>
      <c r="H56" s="58">
        <v>34919</v>
      </c>
      <c r="I56" s="58">
        <v>3528</v>
      </c>
      <c r="J56" s="58">
        <v>19946</v>
      </c>
      <c r="K56" s="58">
        <v>-109038</v>
      </c>
      <c r="L56" s="58">
        <v>240126</v>
      </c>
      <c r="M56" s="58">
        <v>131088</v>
      </c>
      <c r="N56" s="58">
        <v>-13871</v>
      </c>
      <c r="O56" s="58">
        <v>26017</v>
      </c>
      <c r="P56" s="58">
        <v>-89389</v>
      </c>
      <c r="Q56" s="58">
        <v>-63372</v>
      </c>
      <c r="R56" s="58">
        <v>1540</v>
      </c>
      <c r="S56" s="58">
        <v>10860</v>
      </c>
      <c r="T56" s="58">
        <v>27125</v>
      </c>
      <c r="U56">
        <f t="shared" si="1"/>
        <v>80</v>
      </c>
    </row>
    <row r="57" spans="1:21" x14ac:dyDescent="0.35">
      <c r="A57" s="57" t="s">
        <v>350</v>
      </c>
      <c r="B57" s="58">
        <v>99649</v>
      </c>
      <c r="C57" s="58">
        <v>-163278</v>
      </c>
      <c r="D57" s="58">
        <v>-63629</v>
      </c>
      <c r="E57" s="58">
        <v>136371</v>
      </c>
      <c r="F57" s="59">
        <v>58947</v>
      </c>
      <c r="G57" s="58">
        <v>-23963</v>
      </c>
      <c r="H57" s="58">
        <v>7545</v>
      </c>
      <c r="I57" s="58">
        <v>-16418</v>
      </c>
      <c r="J57" s="58">
        <v>16880</v>
      </c>
      <c r="K57" s="58">
        <v>-101703</v>
      </c>
      <c r="L57" s="58">
        <v>246662</v>
      </c>
      <c r="M57" s="58">
        <v>144959</v>
      </c>
      <c r="N57" s="60">
        <v>-69646</v>
      </c>
      <c r="O57" s="58">
        <v>26017</v>
      </c>
      <c r="P57" s="58">
        <v>-90929</v>
      </c>
      <c r="Q57" s="58">
        <v>-64912</v>
      </c>
      <c r="R57" s="60">
        <v>-6181</v>
      </c>
      <c r="S57" s="58">
        <v>10780</v>
      </c>
      <c r="T57" s="58">
        <v>26879</v>
      </c>
      <c r="U57">
        <f t="shared" si="1"/>
        <v>50</v>
      </c>
    </row>
    <row r="58" spans="1:21" x14ac:dyDescent="0.35">
      <c r="A58" s="57" t="s">
        <v>351</v>
      </c>
      <c r="B58" s="58">
        <v>141839</v>
      </c>
      <c r="C58" s="58">
        <v>-264415</v>
      </c>
      <c r="D58" s="58">
        <v>-122576</v>
      </c>
      <c r="E58" s="58">
        <v>77424</v>
      </c>
      <c r="F58" s="58">
        <v>-12504</v>
      </c>
      <c r="G58" s="58">
        <v>-160866</v>
      </c>
      <c r="H58" s="58">
        <v>127568</v>
      </c>
      <c r="I58" s="58">
        <v>-33298</v>
      </c>
      <c r="J58" s="59">
        <v>135905</v>
      </c>
      <c r="K58" s="58">
        <v>-13251</v>
      </c>
      <c r="L58" s="58">
        <v>227856</v>
      </c>
      <c r="M58" s="58">
        <v>214605</v>
      </c>
      <c r="N58" s="60">
        <v>-123371</v>
      </c>
      <c r="O58" s="58">
        <v>32278</v>
      </c>
      <c r="P58" s="58">
        <v>-91009</v>
      </c>
      <c r="Q58" s="58">
        <v>-58731</v>
      </c>
      <c r="R58" s="58">
        <v>-30</v>
      </c>
      <c r="S58" s="58">
        <v>10730</v>
      </c>
      <c r="T58" s="58">
        <v>26987</v>
      </c>
      <c r="U58">
        <f t="shared" si="1"/>
        <v>66</v>
      </c>
    </row>
    <row r="59" spans="1:21" x14ac:dyDescent="0.35">
      <c r="A59" s="57" t="s">
        <v>352</v>
      </c>
      <c r="B59" s="58">
        <v>149559</v>
      </c>
      <c r="C59" s="58">
        <v>-259631</v>
      </c>
      <c r="D59" s="58">
        <v>-110072</v>
      </c>
      <c r="E59" s="58">
        <v>89928</v>
      </c>
      <c r="F59" s="58">
        <v>-16469</v>
      </c>
      <c r="G59" s="58">
        <v>-233338</v>
      </c>
      <c r="H59" s="58">
        <v>64135</v>
      </c>
      <c r="I59" s="58">
        <v>-169203</v>
      </c>
      <c r="J59" s="60">
        <v>-46846</v>
      </c>
      <c r="K59" s="58">
        <v>51501</v>
      </c>
      <c r="L59" s="58">
        <v>286475</v>
      </c>
      <c r="M59" s="58">
        <v>337976</v>
      </c>
      <c r="N59" s="59">
        <v>63315</v>
      </c>
      <c r="O59" s="58">
        <v>32278</v>
      </c>
      <c r="P59" s="58">
        <v>-90979</v>
      </c>
      <c r="Q59" s="58">
        <v>-58701</v>
      </c>
      <c r="R59" s="58">
        <v>0</v>
      </c>
      <c r="S59" s="58">
        <v>10664</v>
      </c>
      <c r="T59" s="58">
        <v>26715</v>
      </c>
      <c r="U59">
        <f t="shared" si="1"/>
        <v>-90</v>
      </c>
    </row>
    <row r="60" spans="1:21" x14ac:dyDescent="0.35">
      <c r="A60" s="57" t="s">
        <v>353</v>
      </c>
      <c r="B60" s="58">
        <v>145370</v>
      </c>
      <c r="C60" s="58">
        <v>-238973</v>
      </c>
      <c r="D60" s="58">
        <v>-93603</v>
      </c>
      <c r="E60" s="58">
        <v>106397</v>
      </c>
      <c r="F60" s="60">
        <v>-29467</v>
      </c>
      <c r="G60" s="58">
        <v>-189363</v>
      </c>
      <c r="H60" s="58">
        <v>67006</v>
      </c>
      <c r="I60" s="58">
        <v>-122357</v>
      </c>
      <c r="J60" s="60">
        <v>-163250</v>
      </c>
      <c r="K60" s="58">
        <v>11715</v>
      </c>
      <c r="L60" s="58">
        <v>262946</v>
      </c>
      <c r="M60" s="58">
        <v>274661</v>
      </c>
      <c r="N60" s="59">
        <v>199113</v>
      </c>
      <c r="O60" s="58">
        <v>32278</v>
      </c>
      <c r="P60" s="58">
        <v>-90979</v>
      </c>
      <c r="Q60" s="58">
        <v>-58701</v>
      </c>
      <c r="R60" s="60">
        <v>-6396</v>
      </c>
      <c r="S60" s="58">
        <v>10754</v>
      </c>
      <c r="T60" s="58">
        <v>26870</v>
      </c>
      <c r="U60">
        <f t="shared" si="1"/>
        <v>-198</v>
      </c>
    </row>
    <row r="61" spans="1:21" x14ac:dyDescent="0.35">
      <c r="A61" s="57" t="s">
        <v>354</v>
      </c>
      <c r="B61" s="58">
        <v>148794</v>
      </c>
      <c r="C61" s="58">
        <v>-212930</v>
      </c>
      <c r="D61" s="58">
        <v>-64136</v>
      </c>
      <c r="E61" s="58">
        <v>135864</v>
      </c>
      <c r="F61" s="58">
        <v>4808</v>
      </c>
      <c r="G61" s="58">
        <v>-80058</v>
      </c>
      <c r="H61" s="58">
        <v>120951</v>
      </c>
      <c r="I61" s="58">
        <v>40893</v>
      </c>
      <c r="J61" s="58">
        <v>-31540</v>
      </c>
      <c r="K61" s="58">
        <v>-102014</v>
      </c>
      <c r="L61" s="58">
        <v>177562</v>
      </c>
      <c r="M61" s="58">
        <v>75548</v>
      </c>
      <c r="N61" s="58">
        <v>26732</v>
      </c>
      <c r="O61" s="58">
        <v>33278</v>
      </c>
      <c r="P61" s="58">
        <v>-85583</v>
      </c>
      <c r="Q61" s="58">
        <v>-52305</v>
      </c>
      <c r="R61" s="58">
        <v>0</v>
      </c>
      <c r="S61" s="58">
        <v>10952</v>
      </c>
      <c r="T61" s="58">
        <v>27275</v>
      </c>
      <c r="U61">
        <f t="shared" si="1"/>
        <v>-15</v>
      </c>
    </row>
    <row r="62" spans="1:21" x14ac:dyDescent="0.35">
      <c r="A62" s="57" t="s">
        <v>355</v>
      </c>
      <c r="B62" s="58">
        <v>144430</v>
      </c>
      <c r="C62" s="58">
        <v>-213374</v>
      </c>
      <c r="D62" s="58">
        <v>-68944</v>
      </c>
      <c r="E62" s="58">
        <v>131056</v>
      </c>
      <c r="F62" s="58">
        <v>-1121</v>
      </c>
      <c r="G62" s="58">
        <v>-114652</v>
      </c>
      <c r="H62" s="58">
        <v>187085</v>
      </c>
      <c r="I62" s="58">
        <v>72433</v>
      </c>
      <c r="J62" s="58">
        <v>19273</v>
      </c>
      <c r="K62" s="58">
        <v>-63056</v>
      </c>
      <c r="L62" s="58">
        <v>111872</v>
      </c>
      <c r="M62" s="58">
        <v>48816</v>
      </c>
      <c r="N62" s="58">
        <v>-21824</v>
      </c>
      <c r="O62" s="58">
        <v>33278</v>
      </c>
      <c r="P62" s="58">
        <v>-85583</v>
      </c>
      <c r="Q62" s="58">
        <v>-52305</v>
      </c>
      <c r="R62" s="59">
        <v>3672</v>
      </c>
      <c r="S62" s="58">
        <v>10967</v>
      </c>
      <c r="T62" s="58">
        <v>27298</v>
      </c>
      <c r="U62">
        <f t="shared" si="1"/>
        <v>58</v>
      </c>
    </row>
    <row r="63" spans="1:21" x14ac:dyDescent="0.35">
      <c r="A63" s="57" t="s">
        <v>356</v>
      </c>
      <c r="B63" s="58">
        <v>147035</v>
      </c>
      <c r="C63" s="58">
        <v>-214858</v>
      </c>
      <c r="D63" s="58">
        <v>-67823</v>
      </c>
      <c r="E63" s="58">
        <v>132177</v>
      </c>
      <c r="F63" s="58">
        <v>-973</v>
      </c>
      <c r="G63" s="58">
        <v>-110740</v>
      </c>
      <c r="H63" s="58">
        <v>163900</v>
      </c>
      <c r="I63" s="58">
        <v>53160</v>
      </c>
      <c r="J63" s="58">
        <v>-24918</v>
      </c>
      <c r="K63" s="58">
        <v>-69573</v>
      </c>
      <c r="L63" s="58">
        <v>140213</v>
      </c>
      <c r="M63" s="58">
        <v>70640</v>
      </c>
      <c r="N63" s="58">
        <v>26391</v>
      </c>
      <c r="O63" s="58">
        <v>33278</v>
      </c>
      <c r="P63" s="58">
        <v>-89255</v>
      </c>
      <c r="Q63" s="58">
        <v>-55977</v>
      </c>
      <c r="R63" s="58">
        <v>-500</v>
      </c>
      <c r="S63" s="58">
        <v>10909</v>
      </c>
      <c r="T63" s="58">
        <v>27175</v>
      </c>
      <c r="U63">
        <f t="shared" si="1"/>
        <v>21</v>
      </c>
    </row>
    <row r="64" spans="1:21" x14ac:dyDescent="0.35">
      <c r="A64" s="57" t="s">
        <v>357</v>
      </c>
      <c r="B64" s="58">
        <v>141911</v>
      </c>
      <c r="C64" s="58">
        <v>-208761</v>
      </c>
      <c r="D64" s="58">
        <v>-66850</v>
      </c>
      <c r="E64" s="58">
        <v>133150</v>
      </c>
      <c r="F64" s="58">
        <v>5696</v>
      </c>
      <c r="G64" s="58">
        <v>-91561</v>
      </c>
      <c r="H64" s="58">
        <v>169639</v>
      </c>
      <c r="I64" s="58">
        <v>78078</v>
      </c>
      <c r="J64" s="58">
        <v>35986</v>
      </c>
      <c r="K64" s="58">
        <v>-84128</v>
      </c>
      <c r="L64" s="58">
        <v>128377</v>
      </c>
      <c r="M64" s="58">
        <v>44249</v>
      </c>
      <c r="N64" s="58">
        <v>-40783</v>
      </c>
      <c r="O64" s="58">
        <v>33778</v>
      </c>
      <c r="P64" s="58">
        <v>-89255</v>
      </c>
      <c r="Q64" s="58">
        <v>-55477</v>
      </c>
      <c r="R64" s="58">
        <v>-899</v>
      </c>
      <c r="S64" s="58">
        <v>10888</v>
      </c>
      <c r="T64" s="58">
        <v>27016</v>
      </c>
      <c r="U64">
        <f t="shared" si="1"/>
        <v>83</v>
      </c>
    </row>
    <row r="65" spans="1:21" x14ac:dyDescent="0.35">
      <c r="A65" s="57" t="s">
        <v>358</v>
      </c>
      <c r="B65" s="58">
        <v>139175</v>
      </c>
      <c r="C65" s="58">
        <v>-211721</v>
      </c>
      <c r="D65" s="58">
        <v>-72546</v>
      </c>
      <c r="E65" s="58">
        <v>127454</v>
      </c>
      <c r="F65" s="58">
        <v>-12747</v>
      </c>
      <c r="G65" s="58">
        <v>-80862</v>
      </c>
      <c r="H65" s="58">
        <v>122954</v>
      </c>
      <c r="I65" s="58">
        <v>42092</v>
      </c>
      <c r="J65" s="58">
        <v>27235</v>
      </c>
      <c r="K65" s="58">
        <v>-93615</v>
      </c>
      <c r="L65" s="58">
        <v>178647</v>
      </c>
      <c r="M65" s="58">
        <v>85032</v>
      </c>
      <c r="N65" s="58">
        <v>-25740</v>
      </c>
      <c r="O65" s="58">
        <v>35302</v>
      </c>
      <c r="P65" s="58">
        <v>-89880</v>
      </c>
      <c r="Q65" s="58">
        <v>-54578</v>
      </c>
      <c r="R65" s="59">
        <v>11252</v>
      </c>
      <c r="S65" s="58">
        <v>10805</v>
      </c>
      <c r="T65" s="58">
        <v>26826</v>
      </c>
      <c r="U65">
        <f t="shared" si="1"/>
        <v>13</v>
      </c>
    </row>
    <row r="66" spans="1:21" x14ac:dyDescent="0.35">
      <c r="A66" s="57" t="s">
        <v>359</v>
      </c>
      <c r="B66" s="58">
        <v>139465</v>
      </c>
      <c r="C66" s="58">
        <v>-199264</v>
      </c>
      <c r="D66" s="58">
        <v>-59799</v>
      </c>
      <c r="E66" s="58">
        <v>140201</v>
      </c>
      <c r="F66" s="60">
        <v>-47106</v>
      </c>
      <c r="G66" s="58">
        <v>-86724</v>
      </c>
      <c r="H66" s="58">
        <v>101581</v>
      </c>
      <c r="I66" s="58">
        <v>14857</v>
      </c>
      <c r="J66" s="58">
        <v>-29535</v>
      </c>
      <c r="K66" s="58">
        <v>-88043</v>
      </c>
      <c r="L66" s="58">
        <v>198815</v>
      </c>
      <c r="M66" s="58">
        <v>110772</v>
      </c>
      <c r="N66" s="59">
        <v>60414</v>
      </c>
      <c r="O66" s="58">
        <v>35302</v>
      </c>
      <c r="P66" s="58">
        <v>-101132</v>
      </c>
      <c r="Q66" s="58">
        <v>-65830</v>
      </c>
      <c r="R66" s="59">
        <v>16227</v>
      </c>
      <c r="S66" s="58">
        <v>10792</v>
      </c>
      <c r="T66" s="58">
        <v>26816</v>
      </c>
      <c r="U66">
        <f t="shared" si="1"/>
        <v>54</v>
      </c>
    </row>
    <row r="67" spans="1:21" x14ac:dyDescent="0.35">
      <c r="A67" s="61">
        <v>43446</v>
      </c>
      <c r="B67" s="58">
        <v>151804</v>
      </c>
      <c r="C67" s="58">
        <v>-164497</v>
      </c>
      <c r="D67" s="58">
        <v>-12693</v>
      </c>
      <c r="E67" s="58">
        <v>187307</v>
      </c>
      <c r="F67" s="58">
        <v>-4819</v>
      </c>
      <c r="G67" s="58">
        <v>-126927</v>
      </c>
      <c r="H67" s="58">
        <v>171319</v>
      </c>
      <c r="I67" s="58">
        <v>44392</v>
      </c>
      <c r="J67" s="59">
        <v>59973</v>
      </c>
      <c r="K67" s="58">
        <v>-62614</v>
      </c>
      <c r="L67" s="58">
        <v>112972</v>
      </c>
      <c r="M67" s="58">
        <v>50358</v>
      </c>
      <c r="N67" s="60">
        <v>-56919</v>
      </c>
      <c r="O67" s="58">
        <v>37737</v>
      </c>
      <c r="P67" s="58">
        <v>-119794</v>
      </c>
      <c r="Q67" s="58">
        <v>-82057</v>
      </c>
      <c r="R67" s="58">
        <v>1765</v>
      </c>
      <c r="S67" s="58">
        <v>10738</v>
      </c>
      <c r="T67" s="58">
        <v>26644</v>
      </c>
      <c r="U67">
        <f t="shared" si="1"/>
        <v>189</v>
      </c>
    </row>
    <row r="68" spans="1:21" x14ac:dyDescent="0.35">
      <c r="A68" s="61">
        <v>43416</v>
      </c>
      <c r="B68" s="58">
        <v>146477</v>
      </c>
      <c r="C68" s="58">
        <v>-154351</v>
      </c>
      <c r="D68" s="58">
        <v>-7874</v>
      </c>
      <c r="E68" s="58">
        <v>192126</v>
      </c>
      <c r="F68" s="58">
        <v>17203</v>
      </c>
      <c r="G68" s="58">
        <v>-135627</v>
      </c>
      <c r="H68" s="58">
        <v>120046</v>
      </c>
      <c r="I68" s="58">
        <v>-15581</v>
      </c>
      <c r="J68" s="59">
        <v>43593</v>
      </c>
      <c r="K68" s="58">
        <v>-48588</v>
      </c>
      <c r="L68" s="58">
        <v>155865</v>
      </c>
      <c r="M68" s="58">
        <v>107277</v>
      </c>
      <c r="N68" s="60">
        <v>-63887</v>
      </c>
      <c r="O68" s="58">
        <v>37738</v>
      </c>
      <c r="P68" s="58">
        <v>-121560</v>
      </c>
      <c r="Q68" s="58">
        <v>-83822</v>
      </c>
      <c r="R68" s="59">
        <v>3091</v>
      </c>
      <c r="S68" s="58">
        <v>10549</v>
      </c>
      <c r="T68" s="58">
        <v>26163</v>
      </c>
      <c r="U68">
        <f t="shared" si="1"/>
        <v>61</v>
      </c>
    </row>
    <row r="69" spans="1:21" x14ac:dyDescent="0.35">
      <c r="A69" s="61">
        <v>43385</v>
      </c>
      <c r="B69" s="58">
        <v>137296</v>
      </c>
      <c r="C69" s="58">
        <v>-162373</v>
      </c>
      <c r="D69" s="58">
        <v>-25077</v>
      </c>
      <c r="E69" s="58">
        <v>174923</v>
      </c>
      <c r="F69" s="58">
        <v>-1974</v>
      </c>
      <c r="G69" s="58">
        <v>-106014</v>
      </c>
      <c r="H69" s="58">
        <v>46840</v>
      </c>
      <c r="I69" s="58">
        <v>-59174</v>
      </c>
      <c r="J69" s="60">
        <v>-64365</v>
      </c>
      <c r="K69" s="58">
        <v>-65919</v>
      </c>
      <c r="L69" s="58">
        <v>237083</v>
      </c>
      <c r="M69" s="58">
        <v>171164</v>
      </c>
      <c r="N69" s="59">
        <v>62330</v>
      </c>
      <c r="O69" s="58">
        <v>34637</v>
      </c>
      <c r="P69" s="58">
        <v>-121550</v>
      </c>
      <c r="Q69" s="58">
        <v>-86913</v>
      </c>
      <c r="R69" s="59">
        <v>4009</v>
      </c>
      <c r="S69" s="58">
        <v>10488</v>
      </c>
      <c r="T69" s="58">
        <v>26103</v>
      </c>
      <c r="U69">
        <f t="shared" si="1"/>
        <v>-206</v>
      </c>
    </row>
    <row r="70" spans="1:21" x14ac:dyDescent="0.35">
      <c r="A70" s="61">
        <v>43293</v>
      </c>
      <c r="B70" s="58">
        <v>138035</v>
      </c>
      <c r="C70" s="58">
        <v>-161138</v>
      </c>
      <c r="D70" s="58">
        <v>-23103</v>
      </c>
      <c r="E70" s="58">
        <v>176897</v>
      </c>
      <c r="F70" s="58">
        <v>10046</v>
      </c>
      <c r="G70" s="58">
        <v>-37877</v>
      </c>
      <c r="H70" s="58">
        <v>43068</v>
      </c>
      <c r="I70" s="58">
        <v>5191</v>
      </c>
      <c r="J70" s="58">
        <v>29211</v>
      </c>
      <c r="K70" s="58">
        <v>-130786</v>
      </c>
      <c r="L70" s="58">
        <v>239620</v>
      </c>
      <c r="M70" s="58">
        <v>108834</v>
      </c>
      <c r="N70" s="58">
        <v>-39258</v>
      </c>
      <c r="O70" s="58">
        <v>30628</v>
      </c>
      <c r="P70" s="58">
        <v>-121550</v>
      </c>
      <c r="Q70" s="58">
        <v>-90922</v>
      </c>
      <c r="R70" s="58">
        <v>1</v>
      </c>
      <c r="S70" s="58">
        <v>10694</v>
      </c>
      <c r="T70" s="58">
        <v>26594</v>
      </c>
      <c r="U70">
        <f t="shared" si="1"/>
        <v>93</v>
      </c>
    </row>
    <row r="71" spans="1:21" x14ac:dyDescent="0.35">
      <c r="A71" s="61">
        <v>43263</v>
      </c>
      <c r="B71" s="58">
        <v>135173</v>
      </c>
      <c r="C71" s="58">
        <v>-168322</v>
      </c>
      <c r="D71" s="58">
        <v>-33149</v>
      </c>
      <c r="E71" s="58">
        <v>166851</v>
      </c>
      <c r="F71" s="58">
        <v>-18187</v>
      </c>
      <c r="G71" s="58">
        <v>-34481</v>
      </c>
      <c r="H71" s="58">
        <v>10461</v>
      </c>
      <c r="I71" s="58">
        <v>-24020</v>
      </c>
      <c r="J71" s="59">
        <v>63939</v>
      </c>
      <c r="K71" s="58">
        <v>-131319</v>
      </c>
      <c r="L71" s="58">
        <v>279411</v>
      </c>
      <c r="M71" s="58">
        <v>148092</v>
      </c>
      <c r="N71" s="58">
        <v>-46236</v>
      </c>
      <c r="O71" s="58">
        <v>30627</v>
      </c>
      <c r="P71" s="58">
        <v>-121550</v>
      </c>
      <c r="Q71" s="58">
        <v>-90923</v>
      </c>
      <c r="R71" s="58">
        <v>484</v>
      </c>
      <c r="S71" s="58">
        <v>10601</v>
      </c>
      <c r="T71" s="58">
        <v>26198</v>
      </c>
      <c r="U71">
        <f t="shared" si="1"/>
        <v>-182</v>
      </c>
    </row>
    <row r="72" spans="1:21" x14ac:dyDescent="0.35">
      <c r="A72" s="61">
        <v>43232</v>
      </c>
      <c r="B72" s="58">
        <v>137732</v>
      </c>
      <c r="C72" s="58">
        <v>-152694</v>
      </c>
      <c r="D72" s="58">
        <v>-14962</v>
      </c>
      <c r="E72" s="58">
        <v>185038</v>
      </c>
      <c r="F72" s="59">
        <v>28665</v>
      </c>
      <c r="G72" s="58">
        <v>-147979</v>
      </c>
      <c r="H72" s="58">
        <v>60020</v>
      </c>
      <c r="I72" s="58">
        <v>-87959</v>
      </c>
      <c r="J72" s="60">
        <v>-89188</v>
      </c>
      <c r="K72" s="58">
        <v>-20380</v>
      </c>
      <c r="L72" s="58">
        <v>214708</v>
      </c>
      <c r="M72" s="58">
        <v>194328</v>
      </c>
      <c r="N72" s="59">
        <v>60655</v>
      </c>
      <c r="O72" s="58">
        <v>30627</v>
      </c>
      <c r="P72" s="58">
        <v>-122034</v>
      </c>
      <c r="Q72" s="58">
        <v>-91407</v>
      </c>
      <c r="R72" s="58">
        <v>-132</v>
      </c>
      <c r="S72" s="58">
        <v>10783</v>
      </c>
      <c r="T72" s="58">
        <v>26520</v>
      </c>
      <c r="U72">
        <f t="shared" si="1"/>
        <v>-87</v>
      </c>
    </row>
    <row r="73" spans="1:21" x14ac:dyDescent="0.35">
      <c r="A73" s="61">
        <v>43202</v>
      </c>
      <c r="B73" s="58">
        <v>131462</v>
      </c>
      <c r="C73" s="58">
        <v>-175089</v>
      </c>
      <c r="D73" s="58">
        <v>-43627</v>
      </c>
      <c r="E73" s="58">
        <v>156373</v>
      </c>
      <c r="F73" s="58">
        <v>5212</v>
      </c>
      <c r="G73" s="58">
        <v>-61412</v>
      </c>
      <c r="H73" s="58">
        <v>62641</v>
      </c>
      <c r="I73" s="58">
        <v>1229</v>
      </c>
      <c r="J73" s="58">
        <v>-25494</v>
      </c>
      <c r="K73" s="58">
        <v>-100677</v>
      </c>
      <c r="L73" s="58">
        <v>234350</v>
      </c>
      <c r="M73" s="58">
        <v>133673</v>
      </c>
      <c r="N73" s="58">
        <v>21285</v>
      </c>
      <c r="O73" s="58">
        <v>30627</v>
      </c>
      <c r="P73" s="58">
        <v>-121902</v>
      </c>
      <c r="Q73" s="58">
        <v>-91275</v>
      </c>
      <c r="R73" s="58">
        <v>-1003</v>
      </c>
      <c r="S73" s="58">
        <v>10870</v>
      </c>
      <c r="T73" s="58">
        <v>26694</v>
      </c>
      <c r="U73">
        <f t="shared" si="1"/>
        <v>-14</v>
      </c>
    </row>
    <row r="74" spans="1:21" x14ac:dyDescent="0.35">
      <c r="A74" s="61">
        <v>43171</v>
      </c>
      <c r="B74" s="58">
        <v>121657</v>
      </c>
      <c r="C74" s="58">
        <v>-170496</v>
      </c>
      <c r="D74" s="58">
        <v>-48839</v>
      </c>
      <c r="E74" s="58">
        <v>151161</v>
      </c>
      <c r="F74" s="58">
        <v>8155</v>
      </c>
      <c r="G74" s="58">
        <v>-34009</v>
      </c>
      <c r="H74" s="58">
        <v>60732</v>
      </c>
      <c r="I74" s="58">
        <v>26723</v>
      </c>
      <c r="J74" s="58">
        <v>-12982</v>
      </c>
      <c r="K74" s="58">
        <v>-119275</v>
      </c>
      <c r="L74" s="58">
        <v>231663</v>
      </c>
      <c r="M74" s="58">
        <v>112388</v>
      </c>
      <c r="N74" s="58">
        <v>8607</v>
      </c>
      <c r="O74" s="58">
        <v>31627</v>
      </c>
      <c r="P74" s="58">
        <v>-121899</v>
      </c>
      <c r="Q74" s="58">
        <v>-90272</v>
      </c>
      <c r="R74" s="60">
        <v>-3780</v>
      </c>
      <c r="S74" s="58">
        <v>10884</v>
      </c>
      <c r="T74" s="58">
        <v>26858</v>
      </c>
      <c r="U74">
        <f t="shared" si="1"/>
        <v>7</v>
      </c>
    </row>
    <row r="75" spans="1:21" x14ac:dyDescent="0.35">
      <c r="A75" s="57" t="s">
        <v>360</v>
      </c>
      <c r="B75" s="58">
        <v>126991</v>
      </c>
      <c r="C75" s="58">
        <v>-183985</v>
      </c>
      <c r="D75" s="58">
        <v>-56994</v>
      </c>
      <c r="E75" s="58">
        <v>143006</v>
      </c>
      <c r="F75" s="60">
        <v>-34321</v>
      </c>
      <c r="G75" s="58">
        <v>-1243</v>
      </c>
      <c r="H75" s="58">
        <v>40948</v>
      </c>
      <c r="I75" s="58">
        <v>39705</v>
      </c>
      <c r="J75" s="58">
        <v>-17541</v>
      </c>
      <c r="K75" s="58">
        <v>-159455</v>
      </c>
      <c r="L75" s="58">
        <v>263236</v>
      </c>
      <c r="M75" s="58">
        <v>103781</v>
      </c>
      <c r="N75" s="59">
        <v>51712</v>
      </c>
      <c r="O75" s="58">
        <v>33707</v>
      </c>
      <c r="P75" s="58">
        <v>-120199</v>
      </c>
      <c r="Q75" s="58">
        <v>-86492</v>
      </c>
      <c r="R75" s="58">
        <v>150</v>
      </c>
      <c r="S75" s="58">
        <v>10877</v>
      </c>
      <c r="T75" s="58">
        <v>26863</v>
      </c>
      <c r="U75">
        <f t="shared" si="1"/>
        <v>18</v>
      </c>
    </row>
    <row r="76" spans="1:21" x14ac:dyDescent="0.35">
      <c r="A76" s="57" t="s">
        <v>361</v>
      </c>
      <c r="B76" s="58">
        <v>128670</v>
      </c>
      <c r="C76" s="58">
        <v>-151343</v>
      </c>
      <c r="D76" s="58">
        <v>-22673</v>
      </c>
      <c r="E76" s="58">
        <v>177327</v>
      </c>
      <c r="F76" s="59">
        <v>46483</v>
      </c>
      <c r="G76" s="58">
        <v>18057</v>
      </c>
      <c r="H76" s="58">
        <v>39189</v>
      </c>
      <c r="I76" s="58">
        <v>57246</v>
      </c>
      <c r="J76" s="58">
        <v>6294</v>
      </c>
      <c r="K76" s="58">
        <v>-180434</v>
      </c>
      <c r="L76" s="58">
        <v>232503</v>
      </c>
      <c r="M76" s="58">
        <v>52069</v>
      </c>
      <c r="N76" s="60">
        <v>-82169</v>
      </c>
      <c r="O76" s="58">
        <v>33707</v>
      </c>
      <c r="P76" s="58">
        <v>-120349</v>
      </c>
      <c r="Q76" s="58">
        <v>-86642</v>
      </c>
      <c r="R76" s="59">
        <v>29392</v>
      </c>
      <c r="S76" s="58">
        <v>10859</v>
      </c>
      <c r="T76" s="58">
        <v>26940</v>
      </c>
      <c r="U76">
        <f t="shared" si="1"/>
        <v>173</v>
      </c>
    </row>
    <row r="77" spans="1:21" x14ac:dyDescent="0.35">
      <c r="A77" s="57" t="s">
        <v>362</v>
      </c>
      <c r="B77" s="58">
        <v>184395</v>
      </c>
      <c r="C77" s="58">
        <v>-253551</v>
      </c>
      <c r="D77" s="58">
        <v>-69156</v>
      </c>
      <c r="E77" s="58">
        <v>130844</v>
      </c>
      <c r="F77" s="60">
        <v>-28717</v>
      </c>
      <c r="G77" s="58">
        <v>-122889</v>
      </c>
      <c r="H77" s="58">
        <v>173841</v>
      </c>
      <c r="I77" s="58">
        <v>50952</v>
      </c>
      <c r="J77" s="58">
        <v>-8145</v>
      </c>
      <c r="K77" s="58">
        <v>-95177</v>
      </c>
      <c r="L77" s="58">
        <v>229415</v>
      </c>
      <c r="M77" s="58">
        <v>134238</v>
      </c>
      <c r="N77" s="58">
        <v>35924</v>
      </c>
      <c r="O77" s="58">
        <v>33671</v>
      </c>
      <c r="P77" s="58">
        <v>-149705</v>
      </c>
      <c r="Q77" s="58">
        <v>-116034</v>
      </c>
      <c r="R77" s="58">
        <v>938</v>
      </c>
      <c r="S77" s="58">
        <v>10686</v>
      </c>
      <c r="T77" s="58">
        <v>26443</v>
      </c>
      <c r="U77">
        <f t="shared" si="1"/>
        <v>0</v>
      </c>
    </row>
    <row r="78" spans="1:21" x14ac:dyDescent="0.35">
      <c r="A78" s="57" t="s">
        <v>363</v>
      </c>
      <c r="B78" s="58">
        <v>199392</v>
      </c>
      <c r="C78" s="58">
        <v>-239831</v>
      </c>
      <c r="D78" s="58">
        <v>-40439</v>
      </c>
      <c r="E78" s="58">
        <v>159561</v>
      </c>
      <c r="F78" s="58">
        <v>-216</v>
      </c>
      <c r="G78" s="58">
        <v>-101470</v>
      </c>
      <c r="H78" s="58">
        <v>160567</v>
      </c>
      <c r="I78" s="58">
        <v>59097</v>
      </c>
      <c r="J78" s="58">
        <v>21968</v>
      </c>
      <c r="K78" s="58">
        <v>-131590</v>
      </c>
      <c r="L78" s="58">
        <v>229904</v>
      </c>
      <c r="M78" s="58">
        <v>98314</v>
      </c>
      <c r="N78" s="58">
        <v>-21686</v>
      </c>
      <c r="O78" s="58">
        <v>33668</v>
      </c>
      <c r="P78" s="58">
        <v>-150640</v>
      </c>
      <c r="Q78" s="58">
        <v>-116972</v>
      </c>
      <c r="R78" s="58">
        <v>-66</v>
      </c>
      <c r="S78" s="58">
        <v>10686</v>
      </c>
      <c r="T78" s="58">
        <v>26443</v>
      </c>
      <c r="U78">
        <f t="shared" si="1"/>
        <v>57</v>
      </c>
    </row>
    <row r="79" spans="1:21" x14ac:dyDescent="0.35">
      <c r="A79" s="57" t="s">
        <v>364</v>
      </c>
      <c r="B79" s="58">
        <v>204563</v>
      </c>
      <c r="C79" s="58">
        <v>-244786</v>
      </c>
      <c r="D79" s="58">
        <v>-40223</v>
      </c>
      <c r="E79" s="58">
        <v>159777</v>
      </c>
      <c r="F79" s="59">
        <v>21506</v>
      </c>
      <c r="G79" s="58">
        <v>-101789</v>
      </c>
      <c r="H79" s="58">
        <v>138918</v>
      </c>
      <c r="I79" s="58">
        <v>37129</v>
      </c>
      <c r="J79" s="59">
        <v>95149</v>
      </c>
      <c r="K79" s="58">
        <v>-136432</v>
      </c>
      <c r="L79" s="58">
        <v>256432</v>
      </c>
      <c r="M79" s="58">
        <v>120000</v>
      </c>
      <c r="N79" s="60">
        <v>-114775</v>
      </c>
      <c r="O79" s="58">
        <v>33658</v>
      </c>
      <c r="P79" s="58">
        <v>-150564</v>
      </c>
      <c r="Q79" s="58">
        <v>-116906</v>
      </c>
      <c r="R79" s="60">
        <v>-1880</v>
      </c>
      <c r="S79" s="58">
        <v>10629</v>
      </c>
      <c r="T79" s="58">
        <v>26366</v>
      </c>
      <c r="U79">
        <f t="shared" si="1"/>
        <v>10629</v>
      </c>
    </row>
  </sheetData>
  <mergeCells count="4">
    <mergeCell ref="B2:F2"/>
    <mergeCell ref="G2:J2"/>
    <mergeCell ref="K2:N2"/>
    <mergeCell ref="O2:R2"/>
  </mergeCells>
  <conditionalFormatting sqref="A11:T79">
    <cfRule type="expression" dxfId="43" priority="31">
      <formula>$U11&lt;=0</formula>
    </cfRule>
    <cfRule type="expression" dxfId="42" priority="32">
      <formula>$U11&gt;=0</formula>
    </cfRule>
  </conditionalFormatting>
  <conditionalFormatting sqref="D11:D79">
    <cfRule type="expression" dxfId="41" priority="29">
      <formula>$D11&lt;=0</formula>
    </cfRule>
    <cfRule type="expression" dxfId="40" priority="30">
      <formula>$D11&gt;=0</formula>
    </cfRule>
  </conditionalFormatting>
  <conditionalFormatting sqref="A10:T10">
    <cfRule type="expression" dxfId="39" priority="23">
      <formula>$U10&lt;=0</formula>
    </cfRule>
    <cfRule type="expression" dxfId="38" priority="24">
      <formula>$U10&gt;=0</formula>
    </cfRule>
  </conditionalFormatting>
  <conditionalFormatting sqref="D10">
    <cfRule type="expression" dxfId="37" priority="21">
      <formula>$D10&lt;=0</formula>
    </cfRule>
    <cfRule type="expression" dxfId="36" priority="22">
      <formula>$D10&gt;=0</formula>
    </cfRule>
  </conditionalFormatting>
  <conditionalFormatting sqref="A9:T9">
    <cfRule type="expression" dxfId="35" priority="19">
      <formula>$U9&lt;=0</formula>
    </cfRule>
    <cfRule type="expression" dxfId="34" priority="20">
      <formula>$U9&gt;=0</formula>
    </cfRule>
  </conditionalFormatting>
  <conditionalFormatting sqref="D9">
    <cfRule type="expression" dxfId="33" priority="17">
      <formula>$D9&lt;=0</formula>
    </cfRule>
    <cfRule type="expression" dxfId="32" priority="18">
      <formula>$D9&gt;=0</formula>
    </cfRule>
  </conditionalFormatting>
  <conditionalFormatting sqref="A8:T8">
    <cfRule type="expression" dxfId="31" priority="11">
      <formula>$U8&lt;=0</formula>
    </cfRule>
    <cfRule type="expression" dxfId="30" priority="12">
      <formula>$U8&gt;=0</formula>
    </cfRule>
  </conditionalFormatting>
  <conditionalFormatting sqref="D8">
    <cfRule type="expression" dxfId="29" priority="9">
      <formula>$D8&lt;=0</formula>
    </cfRule>
    <cfRule type="expression" dxfId="28" priority="10">
      <formula>$D8&gt;=0</formula>
    </cfRule>
  </conditionalFormatting>
  <conditionalFormatting sqref="A7:T7">
    <cfRule type="expression" dxfId="27" priority="7">
      <formula>$U7&lt;=0</formula>
    </cfRule>
    <cfRule type="expression" dxfId="26" priority="8">
      <formula>$U7&gt;=0</formula>
    </cfRule>
  </conditionalFormatting>
  <conditionalFormatting sqref="D7">
    <cfRule type="expression" dxfId="25" priority="5">
      <formula>$D7&lt;=0</formula>
    </cfRule>
    <cfRule type="expression" dxfId="24" priority="6">
      <formula>$D7&gt;=0</formula>
    </cfRule>
  </conditionalFormatting>
  <conditionalFormatting sqref="A4:T6">
    <cfRule type="expression" dxfId="23" priority="3">
      <formula>$U4&lt;=0</formula>
    </cfRule>
    <cfRule type="expression" dxfId="22" priority="4">
      <formula>$U4&gt;=0</formula>
    </cfRule>
  </conditionalFormatting>
  <conditionalFormatting sqref="D4:D6">
    <cfRule type="expression" dxfId="21" priority="1">
      <formula>$D4&lt;=0</formula>
    </cfRule>
    <cfRule type="expression" dxfId="20" priority="2">
      <formula>$D4&gt;=0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5BF96-1622-4558-8B4E-B42C2590CDD2}">
  <sheetPr codeName="Sheet6"/>
  <dimension ref="A1:X75"/>
  <sheetViews>
    <sheetView showGridLines="0" workbookViewId="0">
      <pane xSplit="8" ySplit="10" topLeftCell="R11" activePane="bottomRight" state="frozen"/>
      <selection pane="topRight" activeCell="I1" sqref="I1"/>
      <selection pane="bottomLeft" activeCell="A7" sqref="A7"/>
      <selection pane="bottomRight" activeCell="G9" sqref="G9"/>
    </sheetView>
  </sheetViews>
  <sheetFormatPr defaultRowHeight="14.5" x14ac:dyDescent="0.35"/>
  <cols>
    <col min="1" max="1" width="9.453125" bestFit="1" customWidth="1"/>
    <col min="2" max="2" width="12.453125" customWidth="1"/>
    <col min="3" max="3" width="9.90625" customWidth="1"/>
    <col min="4" max="6" width="8.81640625" bestFit="1" customWidth="1"/>
    <col min="7" max="7" width="13.453125" customWidth="1"/>
    <col min="8" max="11" width="11.81640625" customWidth="1"/>
    <col min="12" max="12" width="13.453125" customWidth="1"/>
    <col min="13" max="13" width="15.90625" customWidth="1"/>
    <col min="14" max="16" width="11.81640625" customWidth="1"/>
    <col min="17" max="17" width="13.453125" customWidth="1"/>
    <col min="18" max="21" width="11.81640625" customWidth="1"/>
    <col min="22" max="23" width="10.26953125" customWidth="1"/>
  </cols>
  <sheetData>
    <row r="1" spans="1:24" ht="23.5" thickBot="1" x14ac:dyDescent="0.4">
      <c r="B1" s="120" t="s">
        <v>319</v>
      </c>
      <c r="C1" s="121"/>
      <c r="D1" s="121"/>
      <c r="E1" s="121"/>
      <c r="F1" s="122"/>
      <c r="G1" s="120" t="s">
        <v>320</v>
      </c>
      <c r="H1" s="121"/>
      <c r="I1" s="121"/>
      <c r="J1" s="121"/>
      <c r="K1" s="122"/>
      <c r="L1" s="123" t="s">
        <v>322</v>
      </c>
      <c r="M1" s="125"/>
      <c r="N1" s="125"/>
      <c r="O1" s="125"/>
      <c r="P1" s="126"/>
      <c r="Q1" s="123" t="s">
        <v>321</v>
      </c>
      <c r="R1" s="124"/>
      <c r="S1" s="125"/>
      <c r="T1" s="125"/>
      <c r="U1" s="126"/>
      <c r="V1" s="80" t="s">
        <v>323</v>
      </c>
      <c r="W1" s="62" t="s">
        <v>324</v>
      </c>
    </row>
    <row r="2" spans="1:24" ht="58.5" thickBot="1" x14ac:dyDescent="0.4">
      <c r="A2" s="65" t="s">
        <v>325</v>
      </c>
      <c r="B2" s="86" t="s">
        <v>386</v>
      </c>
      <c r="C2" s="81" t="s">
        <v>387</v>
      </c>
      <c r="D2" s="87" t="s">
        <v>382</v>
      </c>
      <c r="E2" s="87" t="s">
        <v>383</v>
      </c>
      <c r="F2" s="88" t="s">
        <v>384</v>
      </c>
      <c r="G2" s="89" t="s">
        <v>388</v>
      </c>
      <c r="H2" s="81" t="s">
        <v>389</v>
      </c>
      <c r="I2" s="90" t="s">
        <v>390</v>
      </c>
      <c r="J2" s="90" t="s">
        <v>391</v>
      </c>
      <c r="K2" s="91" t="s">
        <v>392</v>
      </c>
      <c r="L2" s="95" t="s">
        <v>398</v>
      </c>
      <c r="M2" s="68" t="s">
        <v>399</v>
      </c>
      <c r="N2" s="90" t="s">
        <v>400</v>
      </c>
      <c r="O2" s="90" t="s">
        <v>401</v>
      </c>
      <c r="P2" s="94" t="s">
        <v>402</v>
      </c>
      <c r="Q2" s="92" t="s">
        <v>393</v>
      </c>
      <c r="R2" s="82" t="s">
        <v>394</v>
      </c>
      <c r="S2" s="93" t="s">
        <v>395</v>
      </c>
      <c r="T2" s="90" t="s">
        <v>396</v>
      </c>
      <c r="U2" s="94" t="s">
        <v>397</v>
      </c>
      <c r="V2" s="96" t="s">
        <v>323</v>
      </c>
      <c r="W2" s="97" t="s">
        <v>324</v>
      </c>
      <c r="X2" s="65" t="s">
        <v>377</v>
      </c>
    </row>
    <row r="3" spans="1:24" x14ac:dyDescent="0.35">
      <c r="A3" s="98">
        <v>43680</v>
      </c>
      <c r="B3">
        <v>9838</v>
      </c>
      <c r="C3">
        <v>53445</v>
      </c>
      <c r="G3">
        <v>-29846</v>
      </c>
      <c r="H3">
        <v>61594</v>
      </c>
      <c r="L3" s="75">
        <v>12889</v>
      </c>
      <c r="M3" s="70">
        <v>-54200</v>
      </c>
      <c r="N3" s="70"/>
      <c r="O3" s="70"/>
      <c r="P3" s="76"/>
      <c r="Q3">
        <v>7119</v>
      </c>
      <c r="R3">
        <v>-60839</v>
      </c>
      <c r="S3" s="70"/>
      <c r="T3" s="69"/>
      <c r="U3" s="76"/>
      <c r="V3">
        <v>11035</v>
      </c>
      <c r="W3">
        <v>27762</v>
      </c>
      <c r="X3">
        <f>Table4[[#This Row],[Nifty Index]]-V4</f>
        <v>-23</v>
      </c>
    </row>
    <row r="4" spans="1:24" x14ac:dyDescent="0.35">
      <c r="A4" s="98">
        <v>43649</v>
      </c>
      <c r="B4">
        <v>13639</v>
      </c>
      <c r="C4">
        <v>36905</v>
      </c>
      <c r="G4">
        <v>-31694</v>
      </c>
      <c r="H4">
        <v>81707</v>
      </c>
      <c r="L4" s="75">
        <v>12964</v>
      </c>
      <c r="M4" s="70">
        <v>-54560</v>
      </c>
      <c r="N4" s="70"/>
      <c r="O4" s="70"/>
      <c r="P4" s="76"/>
      <c r="Q4">
        <v>5091</v>
      </c>
      <c r="R4">
        <v>-64052</v>
      </c>
      <c r="S4" s="70"/>
      <c r="T4" s="69"/>
      <c r="U4" s="76"/>
      <c r="V4">
        <v>11058</v>
      </c>
      <c r="W4">
        <v>27765</v>
      </c>
      <c r="X4">
        <f>Table4[[#This Row],[Nifty Index]]-V5</f>
        <v>5</v>
      </c>
    </row>
    <row r="5" spans="1:24" x14ac:dyDescent="0.35">
      <c r="A5" s="98">
        <v>43619</v>
      </c>
      <c r="B5">
        <v>9548</v>
      </c>
      <c r="C5">
        <v>10097</v>
      </c>
      <c r="G5">
        <v>-32180</v>
      </c>
      <c r="H5">
        <v>128454</v>
      </c>
      <c r="L5" s="75">
        <v>16834</v>
      </c>
      <c r="M5" s="70">
        <v>-62204</v>
      </c>
      <c r="N5" s="70"/>
      <c r="O5" s="70"/>
      <c r="P5" s="76"/>
      <c r="Q5">
        <v>5798</v>
      </c>
      <c r="R5">
        <v>-76347</v>
      </c>
      <c r="S5" s="70"/>
      <c r="T5" s="69"/>
      <c r="U5" s="76"/>
      <c r="V5">
        <v>11053</v>
      </c>
      <c r="W5">
        <v>27626</v>
      </c>
      <c r="X5">
        <f>Table4[[#This Row],[Nifty Index]]-V6</f>
        <v>66</v>
      </c>
    </row>
    <row r="6" spans="1:24" x14ac:dyDescent="0.35">
      <c r="A6" s="98">
        <v>43470</v>
      </c>
      <c r="B6">
        <v>5530</v>
      </c>
      <c r="C6">
        <v>-23167</v>
      </c>
      <c r="D6">
        <v>400308</v>
      </c>
      <c r="E6">
        <v>3806</v>
      </c>
      <c r="F6">
        <v>1147</v>
      </c>
      <c r="G6">
        <f>'Nifty Futures '!D5</f>
        <v>-27886</v>
      </c>
      <c r="H6">
        <v>137019</v>
      </c>
      <c r="I6">
        <v>20223</v>
      </c>
      <c r="J6">
        <v>-17227</v>
      </c>
      <c r="K6">
        <v>-8721</v>
      </c>
      <c r="L6" s="75">
        <f>'Nifty Futures '!H5</f>
        <v>17961</v>
      </c>
      <c r="M6" s="70">
        <v>-61177</v>
      </c>
      <c r="N6" s="70">
        <v>-920248</v>
      </c>
      <c r="O6" s="70">
        <v>0</v>
      </c>
      <c r="P6" s="76">
        <v>0</v>
      </c>
      <c r="Q6">
        <v>4395</v>
      </c>
      <c r="R6">
        <v>-52675</v>
      </c>
      <c r="S6" s="70">
        <v>492069</v>
      </c>
      <c r="T6" s="69">
        <v>13421</v>
      </c>
      <c r="U6" s="76">
        <v>7574</v>
      </c>
      <c r="V6">
        <f>'Nifty Futures '!J5</f>
        <v>10987</v>
      </c>
      <c r="W6">
        <f>'Nifty Futures '!K5</f>
        <v>27554</v>
      </c>
      <c r="X6">
        <f>Table4[[#This Row],[Nifty Index]]-V7</f>
        <v>123</v>
      </c>
    </row>
    <row r="7" spans="1:24" x14ac:dyDescent="0.35">
      <c r="A7" s="98">
        <v>43468</v>
      </c>
      <c r="B7">
        <v>5351</v>
      </c>
      <c r="C7">
        <v>-45430</v>
      </c>
      <c r="D7">
        <v>389881</v>
      </c>
      <c r="E7">
        <v>3074</v>
      </c>
      <c r="F7">
        <v>1216</v>
      </c>
      <c r="G7">
        <f>'Nifty Futures '!D6</f>
        <v>-23920</v>
      </c>
      <c r="H7">
        <f>'[1]Nifty Options'!I5</f>
        <v>45957</v>
      </c>
      <c r="I7">
        <v>83</v>
      </c>
      <c r="J7">
        <v>0</v>
      </c>
      <c r="K7">
        <v>556241</v>
      </c>
      <c r="L7" s="75">
        <f>'Nifty Futures '!H6</f>
        <v>18947</v>
      </c>
      <c r="M7" s="70">
        <f>'[1]Nifty Options'!Q4</f>
        <v>-81201</v>
      </c>
      <c r="N7" s="70">
        <v>-920248</v>
      </c>
      <c r="O7" s="70">
        <v>0</v>
      </c>
      <c r="P7" s="76">
        <v>0</v>
      </c>
      <c r="Q7">
        <f>'Nifty Futures '!F6</f>
        <v>-378</v>
      </c>
      <c r="R7">
        <v>31754</v>
      </c>
      <c r="S7" s="70">
        <v>512596</v>
      </c>
      <c r="T7" s="69">
        <v>18301</v>
      </c>
      <c r="U7" s="76">
        <v>-3416</v>
      </c>
      <c r="V7">
        <f>'Nifty Futures '!J6</f>
        <v>10864</v>
      </c>
      <c r="W7">
        <f>'Nifty Futures '!K6</f>
        <v>27044</v>
      </c>
      <c r="X7">
        <f>Table4[[#This Row],[Nifty Index]]-V8</f>
        <v>72</v>
      </c>
    </row>
    <row r="8" spans="1:24" x14ac:dyDescent="0.35">
      <c r="A8" s="98" t="s">
        <v>372</v>
      </c>
      <c r="B8" s="69">
        <v>2811</v>
      </c>
      <c r="C8" s="70">
        <v>-42525</v>
      </c>
      <c r="D8" s="70">
        <v>392834</v>
      </c>
      <c r="E8" s="70">
        <v>-2057</v>
      </c>
      <c r="F8" s="71">
        <v>-485</v>
      </c>
      <c r="G8" s="69">
        <f>'Nifty Futures '!D7</f>
        <v>-17474</v>
      </c>
      <c r="H8">
        <f>'[1]Nifty Options'!I6</f>
        <v>-51343</v>
      </c>
      <c r="I8" s="70">
        <v>15425</v>
      </c>
      <c r="J8" s="71">
        <v>-10928</v>
      </c>
      <c r="K8" s="69">
        <v>38353</v>
      </c>
      <c r="L8" s="75">
        <f>'Nifty Futures '!H7</f>
        <v>18910</v>
      </c>
      <c r="M8" s="70">
        <f>'[1]Nifty Options'!Q5</f>
        <v>-80583</v>
      </c>
      <c r="N8" s="70">
        <v>-919093</v>
      </c>
      <c r="O8" s="70">
        <v>0</v>
      </c>
      <c r="P8" s="76">
        <v>0</v>
      </c>
      <c r="Q8" s="75">
        <f>'Nifty Futures '!F7</f>
        <v>-4247</v>
      </c>
      <c r="R8" s="83">
        <f>'[1]Nifty Options'!M5</f>
        <v>77151</v>
      </c>
      <c r="S8" s="70">
        <v>510834</v>
      </c>
      <c r="T8" s="69">
        <v>12985</v>
      </c>
      <c r="U8" s="76">
        <v>-6422</v>
      </c>
      <c r="V8">
        <f>'Nifty Futures '!J7</f>
        <v>10792</v>
      </c>
      <c r="W8">
        <f>'Nifty Futures '!K7</f>
        <v>26790</v>
      </c>
      <c r="X8">
        <f>Table4[[#This Row],[Nifty Index]]-V9</f>
        <v>-15</v>
      </c>
    </row>
    <row r="9" spans="1:24" x14ac:dyDescent="0.35">
      <c r="A9" s="98" t="s">
        <v>373</v>
      </c>
      <c r="B9" s="69">
        <v>-13068</v>
      </c>
      <c r="C9" s="70">
        <v>-29795</v>
      </c>
      <c r="D9" s="70">
        <v>368555</v>
      </c>
      <c r="E9" s="70">
        <v>6088</v>
      </c>
      <c r="F9" s="71">
        <v>-1932</v>
      </c>
      <c r="G9" s="69">
        <f>'Nifty Futures '!D8</f>
        <v>-21668</v>
      </c>
      <c r="H9">
        <f>'[1]Nifty Options'!I7</f>
        <v>-9707</v>
      </c>
      <c r="I9" s="70">
        <v>24801</v>
      </c>
      <c r="J9" s="71">
        <v>-70113</v>
      </c>
      <c r="K9" s="69">
        <v>-29522</v>
      </c>
      <c r="L9" s="75">
        <f>'Nifty Futures '!H8</f>
        <v>19007</v>
      </c>
      <c r="M9" s="70">
        <f>'[1]Nifty Options'!Q6</f>
        <v>-80655</v>
      </c>
      <c r="N9" s="70">
        <v>-930675</v>
      </c>
      <c r="O9" s="70">
        <v>83</v>
      </c>
      <c r="P9" s="76">
        <v>0</v>
      </c>
      <c r="Q9" s="75">
        <f>'Nifty Futures '!F8</f>
        <v>15729</v>
      </c>
      <c r="R9" s="83">
        <f>'[1]Nifty Options'!M6</f>
        <v>161793</v>
      </c>
      <c r="S9" s="70">
        <v>537319</v>
      </c>
      <c r="T9" s="69">
        <v>63942</v>
      </c>
      <c r="U9" s="76">
        <v>26140</v>
      </c>
      <c r="V9">
        <f>'Nifty Futures '!J8</f>
        <v>10807</v>
      </c>
      <c r="W9">
        <f>'Nifty Futures '!K8</f>
        <v>26799</v>
      </c>
      <c r="X9">
        <f>Table4[[#This Row],[Nifty Index]]-V10</f>
        <v>-28</v>
      </c>
    </row>
    <row r="10" spans="1:24" x14ac:dyDescent="0.35">
      <c r="A10" s="98" t="s">
        <v>374</v>
      </c>
      <c r="B10" s="69">
        <v>-18159</v>
      </c>
      <c r="C10" s="70">
        <v>-26031</v>
      </c>
      <c r="D10" s="70">
        <v>362779</v>
      </c>
      <c r="E10" s="70">
        <v>7967</v>
      </c>
      <c r="F10" s="71">
        <v>-1829</v>
      </c>
      <c r="G10" s="69">
        <f>'Nifty Futures '!D9</f>
        <v>-15065</v>
      </c>
      <c r="H10">
        <f>'[1]Nifty Options'!I8</f>
        <v>22619</v>
      </c>
      <c r="I10" s="70">
        <v>23649</v>
      </c>
      <c r="J10" s="71">
        <v>-74698</v>
      </c>
      <c r="K10" s="69">
        <v>-35143</v>
      </c>
      <c r="L10" s="75">
        <f>'Nifty Futures '!H9</f>
        <v>19877</v>
      </c>
      <c r="M10" s="70">
        <f>'[1]Nifty Options'!Q7</f>
        <v>-74989</v>
      </c>
      <c r="N10" s="70">
        <v>-937354</v>
      </c>
      <c r="O10" s="70">
        <v>83</v>
      </c>
      <c r="P10" s="76">
        <v>0</v>
      </c>
      <c r="Q10" s="75">
        <f>'Nifty Futures '!F9</f>
        <v>13347</v>
      </c>
      <c r="R10" s="83">
        <f>'[1]Nifty Options'!M7</f>
        <v>110727</v>
      </c>
      <c r="S10" s="70">
        <v>550926</v>
      </c>
      <c r="T10" s="69">
        <v>66648</v>
      </c>
      <c r="U10" s="76">
        <v>35430</v>
      </c>
      <c r="V10">
        <f>'Nifty Futures '!J9</f>
        <v>10835</v>
      </c>
      <c r="W10">
        <f>'Nifty Futures '!K9</f>
        <v>26953</v>
      </c>
      <c r="X10">
        <f>Table4[[#This Row],[Nifty Index]]-V11</f>
        <v>-45</v>
      </c>
    </row>
    <row r="11" spans="1:24" x14ac:dyDescent="0.35">
      <c r="A11" s="98" t="s">
        <v>375</v>
      </c>
      <c r="B11" s="69">
        <v>-9439</v>
      </c>
      <c r="C11" s="70">
        <v>-30310</v>
      </c>
      <c r="D11" s="70">
        <v>347287</v>
      </c>
      <c r="E11" s="70">
        <v>7959</v>
      </c>
      <c r="F11" s="71">
        <v>1179</v>
      </c>
      <c r="G11" s="69">
        <f>'Nifty Futures '!D10</f>
        <v>-8647</v>
      </c>
      <c r="H11">
        <f>'[1]Nifty Options'!I9</f>
        <v>-45562</v>
      </c>
      <c r="I11" s="70">
        <v>28917</v>
      </c>
      <c r="J11" s="71">
        <v>-80881</v>
      </c>
      <c r="K11" s="69">
        <v>-33715</v>
      </c>
      <c r="L11" s="75">
        <f>'Nifty Futures '!H10</f>
        <v>16532</v>
      </c>
      <c r="M11" s="70">
        <f>'[1]Nifty Options'!Q8</f>
        <v>-65522</v>
      </c>
      <c r="N11" s="70">
        <v>-943675</v>
      </c>
      <c r="O11" s="70">
        <v>83</v>
      </c>
      <c r="P11" s="76">
        <v>0</v>
      </c>
      <c r="Q11" s="75">
        <f>'Nifty Futures '!F10</f>
        <v>1554</v>
      </c>
      <c r="R11" s="83">
        <f>'[1]Nifty Options'!M8</f>
        <v>73213</v>
      </c>
      <c r="S11" s="70">
        <v>567471</v>
      </c>
      <c r="T11" s="69">
        <v>72839</v>
      </c>
      <c r="U11" s="76">
        <v>32536</v>
      </c>
      <c r="V11">
        <f>'Nifty Futures '!J10</f>
        <v>10880</v>
      </c>
      <c r="W11">
        <f>'Nifty Futures '!K10</f>
        <v>27159</v>
      </c>
      <c r="X11">
        <f>Table4[[#This Row],[Nifty Index]]-V12</f>
        <v>88</v>
      </c>
    </row>
    <row r="12" spans="1:24" x14ac:dyDescent="0.35">
      <c r="A12" s="98" t="s">
        <v>376</v>
      </c>
      <c r="B12" s="69">
        <v>-11427</v>
      </c>
      <c r="C12" s="70">
        <v>-67387</v>
      </c>
      <c r="D12" s="70">
        <v>363568</v>
      </c>
      <c r="E12" s="70">
        <v>6747</v>
      </c>
      <c r="F12" s="71">
        <v>-198</v>
      </c>
      <c r="G12" s="69">
        <f>'Nifty Futures '!D11</f>
        <v>564</v>
      </c>
      <c r="H12">
        <f>'[1]Nifty Options'!I10</f>
        <v>-19868</v>
      </c>
      <c r="I12">
        <v>24588</v>
      </c>
      <c r="J12">
        <v>-80764</v>
      </c>
      <c r="K12">
        <v>-31026</v>
      </c>
      <c r="L12" s="75">
        <f>'Nifty Futures '!H11</f>
        <v>14020</v>
      </c>
      <c r="M12" s="70">
        <f>'[1]Nifty Options'!Q9</f>
        <v>-66650</v>
      </c>
      <c r="N12">
        <v>-944397</v>
      </c>
      <c r="O12">
        <v>83</v>
      </c>
      <c r="P12">
        <v>0</v>
      </c>
      <c r="Q12" s="75">
        <f>'Nifty Futures '!F11</f>
        <v>-3157</v>
      </c>
      <c r="R12" s="83">
        <f>'[1]Nifty Options'!M9</f>
        <v>179599</v>
      </c>
      <c r="S12">
        <v>556241</v>
      </c>
      <c r="T12">
        <v>73934</v>
      </c>
      <c r="U12">
        <v>31754</v>
      </c>
      <c r="V12">
        <f>'Nifty Futures '!J11</f>
        <v>10792</v>
      </c>
      <c r="W12">
        <f>'Nifty Futures '!K11</f>
        <v>26867</v>
      </c>
      <c r="X12">
        <f>Table4[[#This Row],[Nifty Index]]-V13</f>
        <v>2</v>
      </c>
    </row>
    <row r="13" spans="1:24" x14ac:dyDescent="0.35">
      <c r="A13" s="98" t="s">
        <v>370</v>
      </c>
      <c r="B13" s="69">
        <v>-12298</v>
      </c>
      <c r="C13" s="70">
        <v>-47998</v>
      </c>
      <c r="D13" s="70">
        <v>376025</v>
      </c>
      <c r="E13" s="70">
        <v>7291</v>
      </c>
      <c r="F13" s="71">
        <v>415</v>
      </c>
      <c r="G13" s="69">
        <f>'Nifty Futures '!D12</f>
        <v>-4151</v>
      </c>
      <c r="H13">
        <f>'[1]Nifty Options'!I11</f>
        <v>-41692</v>
      </c>
      <c r="I13" s="70">
        <v>19827</v>
      </c>
      <c r="J13" s="70">
        <v>-78541</v>
      </c>
      <c r="K13" s="70">
        <v>-29674</v>
      </c>
      <c r="L13" s="75">
        <f>'Nifty Futures '!H12</f>
        <v>20907</v>
      </c>
      <c r="M13" s="70">
        <f>'[1]Nifty Options'!Q10</f>
        <v>-66648</v>
      </c>
      <c r="N13" s="70">
        <v>547333</v>
      </c>
      <c r="O13" s="70">
        <v>71168</v>
      </c>
      <c r="P13" s="76">
        <v>30087</v>
      </c>
      <c r="Q13" s="75">
        <f>'Nifty Futures '!F12</f>
        <v>-4458</v>
      </c>
      <c r="R13" s="83">
        <f>'[1]Nifty Options'!M10</f>
        <v>134514</v>
      </c>
      <c r="S13" s="70">
        <v>-943185</v>
      </c>
      <c r="T13" s="70">
        <v>82</v>
      </c>
      <c r="U13" s="76">
        <v>0</v>
      </c>
      <c r="V13">
        <f>'Nifty Futures '!J12</f>
        <v>10790</v>
      </c>
      <c r="W13">
        <f>'Nifty Futures '!K12</f>
        <v>27052</v>
      </c>
      <c r="X13">
        <f>Table4[[#This Row],[Nifty Index]]-V14</f>
        <v>55</v>
      </c>
    </row>
    <row r="14" spans="1:24" x14ac:dyDescent="0.35">
      <c r="A14" s="98" t="s">
        <v>328</v>
      </c>
      <c r="B14" s="69">
        <v>-6298</v>
      </c>
      <c r="C14" s="70">
        <v>-60960</v>
      </c>
      <c r="D14" s="70">
        <v>369368</v>
      </c>
      <c r="E14" s="70">
        <v>8830</v>
      </c>
      <c r="F14" s="71">
        <v>1863</v>
      </c>
      <c r="G14" s="69">
        <f>'Nifty Futures '!D13</f>
        <v>-7142</v>
      </c>
      <c r="H14">
        <f>'[1]Nifty Options'!I12</f>
        <v>-148155</v>
      </c>
      <c r="I14" s="70">
        <v>17436</v>
      </c>
      <c r="J14" s="70">
        <v>-81111</v>
      </c>
      <c r="K14" s="70">
        <v>-24784</v>
      </c>
      <c r="L14" s="75">
        <f>'Nifty Futures '!H13</f>
        <v>18725</v>
      </c>
      <c r="M14" s="70">
        <f>'[1]Nifty Options'!Q11</f>
        <v>-66238</v>
      </c>
      <c r="N14" s="70">
        <v>-940613</v>
      </c>
      <c r="O14" s="70">
        <v>83</v>
      </c>
      <c r="P14" s="76">
        <v>0</v>
      </c>
      <c r="Q14" s="75">
        <f>'Nifty Futures '!F13</f>
        <v>-5285</v>
      </c>
      <c r="R14" s="83">
        <f>'[1]Nifty Options'!M11</f>
        <v>168890</v>
      </c>
      <c r="S14" s="70">
        <v>553809</v>
      </c>
      <c r="T14" s="70">
        <v>72198</v>
      </c>
      <c r="U14" s="76">
        <v>22176</v>
      </c>
      <c r="V14">
        <f>'Nifty Futures '!J13</f>
        <v>10735</v>
      </c>
      <c r="W14">
        <f>'Nifty Futures '!K13</f>
        <v>26956</v>
      </c>
      <c r="X14">
        <f>Table4[[#This Row],[Nifty Index]]-V15</f>
        <v>131</v>
      </c>
    </row>
    <row r="15" spans="1:24" x14ac:dyDescent="0.35">
      <c r="A15" s="98" t="s">
        <v>329</v>
      </c>
      <c r="B15" s="69">
        <v>-15096</v>
      </c>
      <c r="C15" s="70">
        <v>-79149</v>
      </c>
      <c r="D15" s="70">
        <v>363473</v>
      </c>
      <c r="E15" s="70">
        <v>8640</v>
      </c>
      <c r="F15" s="71">
        <v>3772</v>
      </c>
      <c r="G15" s="69">
        <f>'Nifty Futures '!D14</f>
        <v>-1676</v>
      </c>
      <c r="H15">
        <f>'[1]Nifty Options'!I13</f>
        <v>-137205</v>
      </c>
      <c r="I15" s="70">
        <v>20981</v>
      </c>
      <c r="J15" s="70">
        <v>-92235</v>
      </c>
      <c r="K15" s="70">
        <v>-13988</v>
      </c>
      <c r="L15" s="75">
        <f>'Nifty Futures '!H14</f>
        <v>20907</v>
      </c>
      <c r="M15" s="70">
        <f>'[1]Nifty Options'!Q12</f>
        <v>-68328</v>
      </c>
      <c r="N15" s="70">
        <v>550734</v>
      </c>
      <c r="O15" s="70">
        <v>83512</v>
      </c>
      <c r="P15" s="70">
        <v>10216</v>
      </c>
      <c r="Q15" s="75">
        <f>'Nifty Futures '!F14</f>
        <v>-4135</v>
      </c>
      <c r="R15" s="84">
        <f>'[1]Nifty Options'!M12</f>
        <v>295632</v>
      </c>
      <c r="S15" s="70">
        <v>-935188</v>
      </c>
      <c r="T15" s="70">
        <v>83</v>
      </c>
      <c r="U15" s="76">
        <v>0</v>
      </c>
      <c r="V15">
        <f>'Nifty Futures '!J14</f>
        <v>10604</v>
      </c>
      <c r="W15">
        <f>'Nifty Futures '!K14</f>
        <v>26685</v>
      </c>
      <c r="X15">
        <f>Table4[[#This Row],[Nifty Index]]-V16</f>
        <v>-37</v>
      </c>
    </row>
    <row r="16" spans="1:24" x14ac:dyDescent="0.35">
      <c r="A16" s="98" t="s">
        <v>330</v>
      </c>
      <c r="B16" s="69">
        <v>-26884</v>
      </c>
      <c r="C16" s="70">
        <v>-78980</v>
      </c>
      <c r="D16" s="70"/>
      <c r="E16" s="70"/>
      <c r="F16" s="71"/>
      <c r="G16" s="69">
        <f>'Nifty Futures '!D15</f>
        <v>5455</v>
      </c>
      <c r="H16">
        <f>'[1]Nifty Options'!I14</f>
        <v>-84853</v>
      </c>
      <c r="I16" s="70"/>
      <c r="J16" s="70"/>
      <c r="K16" s="70"/>
      <c r="L16" s="75">
        <f>'Nifty Futures '!H15</f>
        <v>16910</v>
      </c>
      <c r="M16" s="70">
        <f>'[1]Nifty Options'!Q13</f>
        <v>-71889</v>
      </c>
      <c r="N16" s="70"/>
      <c r="O16" s="70"/>
      <c r="P16" s="76"/>
      <c r="Q16" s="75">
        <f>'Nifty Futures '!F15</f>
        <v>4519</v>
      </c>
      <c r="R16" s="83">
        <f>'[1]Nifty Options'!M13</f>
        <v>288074</v>
      </c>
      <c r="S16" s="70"/>
      <c r="T16" s="70"/>
      <c r="U16" s="76"/>
      <c r="V16">
        <f>'Nifty Futures '!J15</f>
        <v>10641</v>
      </c>
      <c r="W16">
        <f>'Nifty Futures '!K15</f>
        <v>26654</v>
      </c>
      <c r="X16">
        <f>Table4[[#This Row],[Nifty Index]]-V17</f>
        <v>-83</v>
      </c>
    </row>
    <row r="17" spans="1:24" x14ac:dyDescent="0.35">
      <c r="A17" s="98" t="s">
        <v>331</v>
      </c>
      <c r="B17" s="69">
        <v>-20677</v>
      </c>
      <c r="C17" s="70">
        <v>-69506</v>
      </c>
      <c r="D17" s="70"/>
      <c r="E17" s="70"/>
      <c r="F17" s="71"/>
      <c r="G17" s="69">
        <f>'Nifty Futures '!D16</f>
        <v>-983</v>
      </c>
      <c r="H17">
        <f>'[1]Nifty Options'!I15</f>
        <v>-53332</v>
      </c>
      <c r="I17" s="70"/>
      <c r="J17" s="70"/>
      <c r="K17" s="70"/>
      <c r="L17" s="75">
        <f>'Nifty Futures '!H16</f>
        <v>18218</v>
      </c>
      <c r="M17" s="70">
        <f>'[1]Nifty Options'!Q14</f>
        <v>-77525</v>
      </c>
      <c r="N17" s="70"/>
      <c r="O17" s="70"/>
      <c r="P17" s="76"/>
      <c r="Q17" s="75">
        <f>'Nifty Futures '!F16</f>
        <v>3442</v>
      </c>
      <c r="R17" s="83">
        <f>'[1]Nifty Options'!M14</f>
        <v>231884</v>
      </c>
      <c r="S17" s="70"/>
      <c r="T17" s="70"/>
      <c r="U17" s="76"/>
      <c r="V17">
        <f>'Nifty Futures '!J16</f>
        <v>10724</v>
      </c>
      <c r="W17">
        <f>'Nifty Futures '!K16</f>
        <v>26794</v>
      </c>
      <c r="X17">
        <f>Table4[[#This Row],[Nifty Index]]-V18</f>
        <v>-22</v>
      </c>
    </row>
    <row r="18" spans="1:24" x14ac:dyDescent="0.35">
      <c r="A18" s="98" t="s">
        <v>332</v>
      </c>
      <c r="B18" s="69">
        <v>-7461</v>
      </c>
      <c r="C18" s="70">
        <v>-53807</v>
      </c>
      <c r="D18" s="70"/>
      <c r="E18" s="70"/>
      <c r="F18" s="71"/>
      <c r="G18" s="69">
        <f>'Nifty Futures '!D17</f>
        <v>2137</v>
      </c>
      <c r="H18">
        <f>'[1]Nifty Options'!I16</f>
        <v>-155601</v>
      </c>
      <c r="I18" s="70"/>
      <c r="J18" s="70"/>
      <c r="K18" s="70"/>
      <c r="L18" s="75">
        <f>'Nifty Futures '!H17</f>
        <v>6463</v>
      </c>
      <c r="M18" s="70">
        <f>'[1]Nifty Options'!Q15</f>
        <v>-79753</v>
      </c>
      <c r="N18" s="70"/>
      <c r="O18" s="70"/>
      <c r="P18" s="76"/>
      <c r="Q18" s="75">
        <f>'Nifty Futures '!F17</f>
        <v>-1139</v>
      </c>
      <c r="R18" s="83">
        <f>'[1]Nifty Options'!M15</f>
        <v>186892</v>
      </c>
      <c r="S18" s="70"/>
      <c r="T18" s="70"/>
      <c r="U18" s="76"/>
      <c r="V18">
        <f>'Nifty Futures '!J17</f>
        <v>10746</v>
      </c>
      <c r="W18">
        <f>'Nifty Futures '!K17</f>
        <v>26971</v>
      </c>
      <c r="X18">
        <f>Table4[[#This Row],[Nifty Index]]-V19</f>
        <v>-48</v>
      </c>
    </row>
    <row r="19" spans="1:24" x14ac:dyDescent="0.35">
      <c r="A19" s="98" t="s">
        <v>333</v>
      </c>
      <c r="B19" s="69">
        <v>38026</v>
      </c>
      <c r="C19" s="70">
        <v>-22437</v>
      </c>
      <c r="D19" s="70"/>
      <c r="E19" s="70"/>
      <c r="F19" s="71"/>
      <c r="G19" s="69">
        <f>'Nifty Futures '!D18</f>
        <v>-11404</v>
      </c>
      <c r="H19">
        <f>'[1]Nifty Options'!I17</f>
        <v>-92786</v>
      </c>
      <c r="I19" s="70"/>
      <c r="J19" s="70"/>
      <c r="K19" s="70"/>
      <c r="L19" s="75">
        <f>'Nifty Futures '!H18</f>
        <v>-10453</v>
      </c>
      <c r="M19" s="70">
        <f>'[1]Nifty Options'!Q16</f>
        <v>-81763</v>
      </c>
      <c r="N19" s="70"/>
      <c r="O19" s="70"/>
      <c r="P19" s="76"/>
      <c r="Q19" s="75">
        <f>'Nifty Futures '!F18</f>
        <v>-16169</v>
      </c>
      <c r="R19" s="83">
        <f>'[1]Nifty Options'!M16</f>
        <v>259801</v>
      </c>
      <c r="S19" s="70"/>
      <c r="T19" s="70"/>
      <c r="U19" s="76"/>
      <c r="V19">
        <f>'Nifty Futures '!J18</f>
        <v>10794</v>
      </c>
      <c r="W19">
        <f>'Nifty Futures '!K18</f>
        <v>26885</v>
      </c>
      <c r="X19">
        <f>Table4[[#This Row],[Nifty Index]]-V20</f>
        <v>-37</v>
      </c>
    </row>
    <row r="20" spans="1:24" x14ac:dyDescent="0.35">
      <c r="A20" s="98">
        <v>43801</v>
      </c>
      <c r="B20" s="69">
        <v>31777</v>
      </c>
      <c r="C20" s="70">
        <v>-19108</v>
      </c>
      <c r="D20" s="70"/>
      <c r="E20" s="70"/>
      <c r="F20" s="71"/>
      <c r="G20" s="69">
        <f>'Nifty Futures '!D19</f>
        <v>-12904</v>
      </c>
      <c r="H20">
        <f>'[1]Nifty Options'!I18</f>
        <v>-12827</v>
      </c>
      <c r="I20" s="70"/>
      <c r="J20" s="70"/>
      <c r="K20" s="70"/>
      <c r="L20" s="75">
        <f>'Nifty Futures '!H19</f>
        <v>-10517</v>
      </c>
      <c r="M20" s="70">
        <f>'[1]Nifty Options'!Q17</f>
        <v>-81731</v>
      </c>
      <c r="N20" s="70"/>
      <c r="O20" s="70"/>
      <c r="P20" s="76"/>
      <c r="Q20" s="75">
        <f>'Nifty Futures '!F19</f>
        <v>-8356</v>
      </c>
      <c r="R20" s="83">
        <f>'[1]Nifty Options'!M17</f>
        <v>193625</v>
      </c>
      <c r="S20" s="70"/>
      <c r="T20" s="70"/>
      <c r="U20" s="76"/>
      <c r="V20">
        <f>'Nifty Futures '!J19</f>
        <v>10831</v>
      </c>
      <c r="W20">
        <f>'Nifty Futures '!K19</f>
        <v>27011</v>
      </c>
      <c r="X20">
        <f>Table4[[#This Row],[Nifty Index]]-V21</f>
        <v>-58</v>
      </c>
    </row>
    <row r="21" spans="1:24" x14ac:dyDescent="0.35">
      <c r="A21" s="98">
        <v>43771</v>
      </c>
      <c r="B21" s="69">
        <v>24655</v>
      </c>
      <c r="C21" s="70">
        <v>7652</v>
      </c>
      <c r="D21" s="70"/>
      <c r="E21" s="70"/>
      <c r="F21" s="71"/>
      <c r="G21" s="69">
        <f>'Nifty Futures '!D20</f>
        <v>-15216</v>
      </c>
      <c r="H21">
        <f>'[1]Nifty Options'!I19</f>
        <v>271</v>
      </c>
      <c r="I21" s="70"/>
      <c r="J21" s="70"/>
      <c r="K21" s="70"/>
      <c r="L21" s="75">
        <f>'Nifty Futures '!H20</f>
        <v>-9743</v>
      </c>
      <c r="M21" s="70">
        <f>'[1]Nifty Options'!Q18</f>
        <v>-81145</v>
      </c>
      <c r="N21" s="70"/>
      <c r="O21" s="70"/>
      <c r="P21" s="76"/>
      <c r="Q21" s="75">
        <f>'Nifty Futures '!F20</f>
        <v>304</v>
      </c>
      <c r="R21" s="83">
        <f>'[1]Nifty Options'!M18</f>
        <v>86320</v>
      </c>
      <c r="S21" s="70"/>
      <c r="T21" s="70"/>
      <c r="U21" s="76"/>
      <c r="V21">
        <f>'Nifty Futures '!J20</f>
        <v>10889</v>
      </c>
      <c r="W21">
        <f>'Nifty Futures '!K20</f>
        <v>27228</v>
      </c>
      <c r="X21">
        <f>Table4[[#This Row],[Nifty Index]]-V22</f>
        <v>-55</v>
      </c>
    </row>
    <row r="22" spans="1:24" x14ac:dyDescent="0.35">
      <c r="A22" s="98">
        <v>43679</v>
      </c>
      <c r="B22" s="69">
        <v>20599</v>
      </c>
      <c r="C22" s="70">
        <v>22375</v>
      </c>
      <c r="D22" s="70"/>
      <c r="E22" s="70"/>
      <c r="F22" s="71"/>
      <c r="G22" s="69">
        <f>'Nifty Futures '!D21</f>
        <v>-19691</v>
      </c>
      <c r="H22">
        <f>'[1]Nifty Options'!I20</f>
        <v>75280</v>
      </c>
      <c r="I22" s="70"/>
      <c r="J22" s="70"/>
      <c r="K22" s="70"/>
      <c r="L22" s="75">
        <f>'Nifty Futures '!H21</f>
        <v>-9968</v>
      </c>
      <c r="M22" s="70">
        <f>'[1]Nifty Options'!Q19</f>
        <v>-80531</v>
      </c>
      <c r="N22" s="70"/>
      <c r="O22" s="70"/>
      <c r="P22" s="76"/>
      <c r="Q22" s="75">
        <f>'Nifty Futures '!F21</f>
        <v>9060</v>
      </c>
      <c r="R22" s="83">
        <f>'[1]Nifty Options'!M19</f>
        <v>57885</v>
      </c>
      <c r="S22" s="70"/>
      <c r="T22" s="70"/>
      <c r="U22" s="76"/>
      <c r="V22">
        <f>'Nifty Futures '!J21</f>
        <v>10944</v>
      </c>
      <c r="W22">
        <f>'Nifty Futures '!K21</f>
        <v>27294</v>
      </c>
      <c r="X22">
        <f>Table4[[#This Row],[Nifty Index]]-V23</f>
        <v>-125</v>
      </c>
    </row>
    <row r="23" spans="1:24" x14ac:dyDescent="0.35">
      <c r="A23" s="98">
        <v>43648</v>
      </c>
      <c r="B23" s="69">
        <v>23201</v>
      </c>
      <c r="C23" s="70">
        <v>11642</v>
      </c>
      <c r="D23" s="70"/>
      <c r="E23" s="70"/>
      <c r="F23" s="71"/>
      <c r="G23" s="69">
        <f>'Nifty Futures '!D22</f>
        <v>-22348</v>
      </c>
      <c r="H23">
        <f>'[1]Nifty Options'!I21</f>
        <v>88624</v>
      </c>
      <c r="I23" s="70"/>
      <c r="J23" s="70"/>
      <c r="K23" s="70"/>
      <c r="L23" s="75">
        <f>'Nifty Futures '!H22</f>
        <v>-1211</v>
      </c>
      <c r="M23" s="70">
        <f>'[1]Nifty Options'!Q20</f>
        <v>-78261</v>
      </c>
      <c r="N23" s="70"/>
      <c r="O23" s="70"/>
      <c r="P23" s="76"/>
      <c r="Q23" s="75">
        <f>'Nifty Futures '!F22</f>
        <v>358</v>
      </c>
      <c r="R23" s="83">
        <f>'[1]Nifty Options'!M20</f>
        <v>-8661</v>
      </c>
      <c r="S23" s="70"/>
      <c r="T23" s="70"/>
      <c r="U23" s="76"/>
      <c r="V23">
        <f>'Nifty Futures '!J22</f>
        <v>11069</v>
      </c>
      <c r="W23">
        <f>'Nifty Futures '!K22</f>
        <v>27387</v>
      </c>
      <c r="X23">
        <f>Table4[[#This Row],[Nifty Index]]-V24</f>
        <v>7</v>
      </c>
    </row>
    <row r="24" spans="1:24" x14ac:dyDescent="0.35">
      <c r="A24" s="98">
        <v>43618</v>
      </c>
      <c r="B24" s="69">
        <v>10890</v>
      </c>
      <c r="C24" s="70">
        <v>-11675</v>
      </c>
      <c r="D24" s="70"/>
      <c r="E24" s="70"/>
      <c r="F24" s="71"/>
      <c r="G24" s="69">
        <f>'Nifty Futures '!D23</f>
        <v>-23644</v>
      </c>
      <c r="H24">
        <f>'[1]Nifty Options'!I22</f>
        <v>18246</v>
      </c>
      <c r="I24" s="70"/>
      <c r="J24" s="70"/>
      <c r="K24" s="70"/>
      <c r="L24" s="75">
        <f>'Nifty Futures '!H23</f>
        <v>1701</v>
      </c>
      <c r="M24" s="70">
        <f>'[1]Nifty Options'!Q21</f>
        <v>-70803</v>
      </c>
      <c r="N24" s="70"/>
      <c r="O24" s="70"/>
      <c r="P24" s="76"/>
      <c r="Q24" s="75">
        <f>'Nifty Futures '!F23</f>
        <v>11053</v>
      </c>
      <c r="R24" s="83">
        <f>'[1]Nifty Options'!M21</f>
        <v>-6146</v>
      </c>
      <c r="S24" s="70"/>
      <c r="T24" s="70"/>
      <c r="U24" s="76"/>
      <c r="V24">
        <f>'Nifty Futures '!J23</f>
        <v>11062</v>
      </c>
      <c r="W24">
        <f>'Nifty Futures '!K23</f>
        <v>27402</v>
      </c>
      <c r="X24">
        <f>Table4[[#This Row],[Nifty Index]]-V25</f>
        <v>128</v>
      </c>
    </row>
    <row r="25" spans="1:24" x14ac:dyDescent="0.35">
      <c r="A25" s="98">
        <v>43587</v>
      </c>
      <c r="B25" s="69">
        <v>-22060</v>
      </c>
      <c r="C25" s="70">
        <v>-20964</v>
      </c>
      <c r="D25" s="70"/>
      <c r="E25" s="70"/>
      <c r="F25" s="71"/>
      <c r="G25" s="69">
        <f>'Nifty Futures '!D24</f>
        <v>-12088</v>
      </c>
      <c r="H25">
        <f>'[1]Nifty Options'!I23</f>
        <v>22757</v>
      </c>
      <c r="I25" s="70"/>
      <c r="J25" s="70"/>
      <c r="K25" s="70"/>
      <c r="L25" s="75">
        <f>'Nifty Futures '!H24</f>
        <v>9277</v>
      </c>
      <c r="M25" s="70">
        <f>'[1]Nifty Options'!Q22</f>
        <v>-65868</v>
      </c>
      <c r="N25" s="70"/>
      <c r="O25" s="70"/>
      <c r="P25" s="76"/>
      <c r="Q25" s="75">
        <f>'Nifty Futures '!F24</f>
        <v>24871</v>
      </c>
      <c r="R25" s="83">
        <f>'[1]Nifty Options'!M22</f>
        <v>68586</v>
      </c>
      <c r="S25" s="70"/>
      <c r="T25" s="70"/>
      <c r="U25" s="76"/>
      <c r="V25">
        <f>'Nifty Futures '!J24</f>
        <v>10934</v>
      </c>
      <c r="W25">
        <f>'Nifty Futures '!K24</f>
        <v>27272</v>
      </c>
      <c r="X25">
        <f>Table4[[#This Row],[Nifty Index]]-V26</f>
        <v>22</v>
      </c>
    </row>
    <row r="26" spans="1:24" x14ac:dyDescent="0.35">
      <c r="A26" s="98">
        <v>43557</v>
      </c>
      <c r="B26" s="69">
        <v>-30397</v>
      </c>
      <c r="C26" s="70">
        <v>-31455</v>
      </c>
      <c r="D26" s="70"/>
      <c r="E26" s="70"/>
      <c r="F26" s="71"/>
      <c r="G26" s="69">
        <f>'Nifty Futures '!D25</f>
        <v>-13056</v>
      </c>
      <c r="H26">
        <f>'[1]Nifty Options'!I24</f>
        <v>-10828</v>
      </c>
      <c r="I26" s="70"/>
      <c r="J26" s="70"/>
      <c r="K26" s="70"/>
      <c r="L26" s="75">
        <f>'Nifty Futures '!H25</f>
        <v>17789</v>
      </c>
      <c r="M26" s="70">
        <f>'[1]Nifty Options'!Q23</f>
        <v>-65838</v>
      </c>
      <c r="N26" s="70"/>
      <c r="O26" s="70"/>
      <c r="P26" s="76"/>
      <c r="Q26" s="75">
        <f>'Nifty Futures '!F25</f>
        <v>25664</v>
      </c>
      <c r="R26" s="83">
        <f>'[1]Nifty Options'!M23</f>
        <v>74536</v>
      </c>
      <c r="S26" s="70"/>
      <c r="T26" s="70"/>
      <c r="U26" s="76"/>
      <c r="V26">
        <f>'Nifty Futures '!J25</f>
        <v>10912</v>
      </c>
      <c r="W26">
        <f>'Nifty Futures '!K25</f>
        <v>27187</v>
      </c>
      <c r="X26">
        <f>Table4[[#This Row],[Nifty Index]]-V27</f>
        <v>18</v>
      </c>
    </row>
    <row r="27" spans="1:24" x14ac:dyDescent="0.35">
      <c r="A27" s="98">
        <v>43467</v>
      </c>
      <c r="B27" s="69">
        <v>-27679</v>
      </c>
      <c r="C27" s="70">
        <v>-13438</v>
      </c>
      <c r="D27" s="70"/>
      <c r="E27" s="70"/>
      <c r="F27" s="71"/>
      <c r="G27" s="69">
        <f>'Nifty Futures '!D26</f>
        <v>-11580</v>
      </c>
      <c r="H27">
        <f>'[1]Nifty Options'!I25</f>
        <v>19199</v>
      </c>
      <c r="I27" s="70"/>
      <c r="J27" s="70"/>
      <c r="K27" s="70"/>
      <c r="L27" s="75">
        <f>'Nifty Futures '!H26</f>
        <v>23297</v>
      </c>
      <c r="M27" s="70">
        <f>'[1]Nifty Options'!Q24</f>
        <v>-65828</v>
      </c>
      <c r="N27" s="70"/>
      <c r="O27" s="70"/>
      <c r="P27" s="76"/>
      <c r="Q27" s="75">
        <f>'Nifty Futures '!F26</f>
        <v>15962</v>
      </c>
      <c r="R27" s="83">
        <f>'[1]Nifty Options'!M24</f>
        <v>90094</v>
      </c>
      <c r="S27" s="70"/>
      <c r="T27" s="70"/>
      <c r="U27" s="76"/>
      <c r="V27">
        <f>'Nifty Futures '!J26</f>
        <v>10894</v>
      </c>
      <c r="W27">
        <f>'Nifty Futures '!K26</f>
        <v>27086</v>
      </c>
      <c r="X27">
        <f>Table4[[#This Row],[Nifty Index]]-V28</f>
        <v>63</v>
      </c>
    </row>
    <row r="28" spans="1:24" x14ac:dyDescent="0.35">
      <c r="A28" s="98" t="s">
        <v>334</v>
      </c>
      <c r="B28" s="69">
        <v>-48606</v>
      </c>
      <c r="C28" s="70">
        <v>-17110</v>
      </c>
      <c r="D28" s="70"/>
      <c r="E28" s="70"/>
      <c r="F28" s="71"/>
      <c r="G28" s="69">
        <f>'Nifty Futures '!D27</f>
        <v>-12569</v>
      </c>
      <c r="H28">
        <f>'[1]Nifty Options'!I26</f>
        <v>-119494</v>
      </c>
      <c r="I28" s="70"/>
      <c r="J28" s="70"/>
      <c r="K28" s="70"/>
      <c r="L28" s="75">
        <f>'Nifty Futures '!H27</f>
        <v>29049</v>
      </c>
      <c r="M28" s="70">
        <f>'[1]Nifty Options'!Q25</f>
        <v>-64525</v>
      </c>
      <c r="N28" s="70"/>
      <c r="O28" s="70"/>
      <c r="P28" s="76"/>
      <c r="Q28" s="75">
        <f>'Nifty Futures '!F27</f>
        <v>32126</v>
      </c>
      <c r="R28" s="83">
        <f>'[1]Nifty Options'!M25</f>
        <v>62436</v>
      </c>
      <c r="S28" s="70"/>
      <c r="T28" s="70"/>
      <c r="U28" s="76"/>
      <c r="V28">
        <f>'Nifty Futures '!J27</f>
        <v>10831</v>
      </c>
      <c r="W28">
        <f>'Nifty Futures '!K27</f>
        <v>27295</v>
      </c>
      <c r="X28">
        <f>Table4[[#This Row],[Nifty Index]]-V29</f>
        <v>179</v>
      </c>
    </row>
    <row r="29" spans="1:24" x14ac:dyDescent="0.35">
      <c r="A29" s="98" t="s">
        <v>335</v>
      </c>
      <c r="B29" s="69">
        <v>-42309</v>
      </c>
      <c r="C29" s="70">
        <v>-149643</v>
      </c>
      <c r="D29" s="70"/>
      <c r="E29" s="70"/>
      <c r="F29" s="71"/>
      <c r="G29" s="69">
        <f>'Nifty Futures '!D28</f>
        <v>-24657</v>
      </c>
      <c r="H29">
        <f>'[1]Nifty Options'!I27</f>
        <v>-157154</v>
      </c>
      <c r="I29" s="70"/>
      <c r="J29" s="70"/>
      <c r="K29" s="70"/>
      <c r="L29" s="75">
        <f>'Nifty Futures '!H28</f>
        <v>34276</v>
      </c>
      <c r="M29" s="70">
        <f>'[1]Nifty Options'!Q26</f>
        <v>-64455</v>
      </c>
      <c r="N29" s="70"/>
      <c r="O29" s="70"/>
      <c r="P29" s="76"/>
      <c r="Q29" s="75">
        <f>'Nifty Futures '!F28</f>
        <v>32690</v>
      </c>
      <c r="R29" s="83">
        <f>'[1]Nifty Options'!M26</f>
        <v>333592</v>
      </c>
      <c r="S29" s="70"/>
      <c r="T29" s="70"/>
      <c r="U29" s="76"/>
      <c r="V29">
        <f>'Nifty Futures '!J28</f>
        <v>10652</v>
      </c>
      <c r="W29">
        <f>'Nifty Futures '!K28</f>
        <v>26573</v>
      </c>
      <c r="X29">
        <f>Table4[[#This Row],[Nifty Index]]-V30</f>
        <v>0</v>
      </c>
    </row>
    <row r="30" spans="1:24" x14ac:dyDescent="0.35">
      <c r="A30" s="98" t="s">
        <v>336</v>
      </c>
      <c r="B30" s="69">
        <v>-18948</v>
      </c>
      <c r="C30" s="70">
        <v>-138322</v>
      </c>
      <c r="D30" s="70"/>
      <c r="E30" s="70"/>
      <c r="F30" s="71"/>
      <c r="G30" s="69">
        <f>'Nifty Futures '!D29</f>
        <v>-17462</v>
      </c>
      <c r="H30">
        <f>'[1]Nifty Options'!I28</f>
        <v>-145731</v>
      </c>
      <c r="I30" s="70"/>
      <c r="J30" s="70"/>
      <c r="K30" s="70"/>
      <c r="L30" s="75">
        <f>'Nifty Futures '!H29</f>
        <v>34026</v>
      </c>
      <c r="M30" s="70">
        <f>'[1]Nifty Options'!Q27</f>
        <v>-66379</v>
      </c>
      <c r="N30" s="70"/>
      <c r="O30" s="70"/>
      <c r="P30" s="76"/>
      <c r="Q30" s="75">
        <f>'Nifty Futures '!F29</f>
        <v>2384</v>
      </c>
      <c r="R30" s="83">
        <f>'[1]Nifty Options'!M27</f>
        <v>361855</v>
      </c>
      <c r="S30" s="70"/>
      <c r="T30" s="70"/>
      <c r="U30" s="76"/>
      <c r="V30">
        <f>'Nifty Futures '!J29</f>
        <v>10652</v>
      </c>
      <c r="W30">
        <f>'Nifty Futures '!K29</f>
        <v>26573</v>
      </c>
      <c r="X30">
        <f>Table4[[#This Row],[Nifty Index]]-V31</f>
        <v>-10</v>
      </c>
    </row>
    <row r="31" spans="1:24" x14ac:dyDescent="0.35">
      <c r="A31" s="98" t="s">
        <v>337</v>
      </c>
      <c r="B31" s="69">
        <v>-15017</v>
      </c>
      <c r="C31" s="70">
        <v>-141866</v>
      </c>
      <c r="D31" s="70"/>
      <c r="E31" s="70"/>
      <c r="F31" s="71"/>
      <c r="G31" s="69">
        <f>'Nifty Futures '!D30</f>
        <v>-17668</v>
      </c>
      <c r="H31">
        <f>'[1]Nifty Options'!I29</f>
        <v>-77307</v>
      </c>
      <c r="I31" s="70"/>
      <c r="J31" s="70"/>
      <c r="K31" s="70"/>
      <c r="L31" s="75">
        <f>'Nifty Futures '!H30</f>
        <v>29863</v>
      </c>
      <c r="M31" s="70">
        <f>'[1]Nifty Options'!Q28</f>
        <v>-66379</v>
      </c>
      <c r="N31" s="70"/>
      <c r="O31" s="70"/>
      <c r="P31" s="76"/>
      <c r="Q31" s="75">
        <f>'Nifty Futures '!F30</f>
        <v>2822</v>
      </c>
      <c r="R31" s="83">
        <f>'[1]Nifty Options'!M28</f>
        <v>353976</v>
      </c>
      <c r="S31" s="70"/>
      <c r="T31" s="70"/>
      <c r="U31" s="76"/>
      <c r="V31">
        <f>'Nifty Futures '!J30</f>
        <v>10662</v>
      </c>
      <c r="W31">
        <f>'Nifty Futures '!K30</f>
        <v>26653</v>
      </c>
      <c r="X31">
        <f>Table4[[#This Row],[Nifty Index]]-V32</f>
        <v>-118</v>
      </c>
    </row>
    <row r="32" spans="1:24" x14ac:dyDescent="0.35">
      <c r="A32" s="98" t="s">
        <v>338</v>
      </c>
      <c r="B32" s="69">
        <v>-27810</v>
      </c>
      <c r="C32" s="70">
        <v>-95125</v>
      </c>
      <c r="D32" s="70"/>
      <c r="E32" s="70"/>
      <c r="F32" s="71"/>
      <c r="G32" s="69">
        <f>'Nifty Futures '!D31</f>
        <v>-14204</v>
      </c>
      <c r="H32">
        <f>'[1]Nifty Options'!I30</f>
        <v>-37608</v>
      </c>
      <c r="I32" s="70"/>
      <c r="J32" s="70"/>
      <c r="K32" s="70"/>
      <c r="L32" s="75">
        <f>'Nifty Futures '!H31</f>
        <v>21782</v>
      </c>
      <c r="M32" s="70">
        <f>'[1]Nifty Options'!Q29</f>
        <v>-66379</v>
      </c>
      <c r="N32" s="70"/>
      <c r="O32" s="70"/>
      <c r="P32" s="76"/>
      <c r="Q32" s="75">
        <f>'Nifty Futures '!F31</f>
        <v>20232</v>
      </c>
      <c r="R32" s="83">
        <f>'[1]Nifty Options'!M29</f>
        <v>238811</v>
      </c>
      <c r="S32" s="70"/>
      <c r="T32" s="70"/>
      <c r="U32" s="76"/>
      <c r="V32">
        <f>'Nifty Futures '!J31</f>
        <v>10780</v>
      </c>
      <c r="W32">
        <f>'Nifty Futures '!K31</f>
        <v>27115</v>
      </c>
      <c r="X32">
        <f>Table4[[#This Row],[Nifty Index]]-V33</f>
        <v>-70</v>
      </c>
    </row>
    <row r="33" spans="1:24" x14ac:dyDescent="0.35">
      <c r="A33" s="98" t="s">
        <v>339</v>
      </c>
      <c r="B33" s="69">
        <v>-43830</v>
      </c>
      <c r="C33" s="70">
        <v>-88588</v>
      </c>
      <c r="D33" s="70"/>
      <c r="E33" s="70"/>
      <c r="F33" s="71"/>
      <c r="G33" s="69">
        <f>'Nifty Futures '!D32</f>
        <v>-11125</v>
      </c>
      <c r="H33">
        <f>'[1]Nifty Options'!I31</f>
        <v>-86951</v>
      </c>
      <c r="I33" s="70"/>
      <c r="J33" s="70"/>
      <c r="K33" s="70"/>
      <c r="L33" s="75">
        <f>'Nifty Futures '!H32</f>
        <v>27387</v>
      </c>
      <c r="M33" s="70">
        <f>'[1]Nifty Options'!Q30</f>
        <v>-66349</v>
      </c>
      <c r="N33" s="70"/>
      <c r="O33" s="70"/>
      <c r="P33" s="76"/>
      <c r="Q33" s="75">
        <f>'Nifty Futures '!F32</f>
        <v>27568</v>
      </c>
      <c r="R33" s="83">
        <f>'[1]Nifty Options'!M30</f>
        <v>192545</v>
      </c>
      <c r="S33" s="70"/>
      <c r="T33" s="70"/>
      <c r="U33" s="76"/>
      <c r="V33">
        <f>'Nifty Futures '!J32</f>
        <v>10850</v>
      </c>
      <c r="W33">
        <f>'Nifty Futures '!K32</f>
        <v>27266</v>
      </c>
      <c r="X33">
        <f>Table4[[#This Row],[Nifty Index]]-V34</f>
        <v>18</v>
      </c>
    </row>
    <row r="34" spans="1:24" x14ac:dyDescent="0.35">
      <c r="A34" s="98" t="s">
        <v>340</v>
      </c>
      <c r="B34" s="69">
        <v>-39710</v>
      </c>
      <c r="C34" s="70">
        <v>-93669</v>
      </c>
      <c r="D34" s="70"/>
      <c r="E34" s="70"/>
      <c r="F34" s="71"/>
      <c r="G34" s="69">
        <f>'Nifty Futures '!D33</f>
        <v>-5989</v>
      </c>
      <c r="H34">
        <f>'[1]Nifty Options'!I32</f>
        <v>4383</v>
      </c>
      <c r="I34" s="70"/>
      <c r="J34" s="70"/>
      <c r="K34" s="70"/>
      <c r="L34" s="75">
        <f>'Nifty Futures '!H33</f>
        <v>23512</v>
      </c>
      <c r="M34" s="70">
        <f>'[1]Nifty Options'!Q31</f>
        <v>-66369</v>
      </c>
      <c r="N34" s="70"/>
      <c r="O34" s="70"/>
      <c r="P34" s="76"/>
      <c r="Q34" s="75">
        <f>'Nifty Futures '!F33</f>
        <v>22187</v>
      </c>
      <c r="R34" s="83">
        <f>'[1]Nifty Options'!M31</f>
        <v>246989</v>
      </c>
      <c r="S34" s="70"/>
      <c r="T34" s="70"/>
      <c r="U34" s="76"/>
      <c r="V34">
        <f>'Nifty Futures '!J33</f>
        <v>10832</v>
      </c>
      <c r="W34">
        <f>'Nifty Futures '!K33</f>
        <v>27251</v>
      </c>
      <c r="X34">
        <f>Table4[[#This Row],[Nifty Index]]-V35</f>
        <v>-91</v>
      </c>
    </row>
    <row r="35" spans="1:24" x14ac:dyDescent="0.35">
      <c r="A35" s="98" t="s">
        <v>341</v>
      </c>
      <c r="B35" s="69">
        <v>-37034</v>
      </c>
      <c r="C35" s="70">
        <v>-81317</v>
      </c>
      <c r="D35" s="70"/>
      <c r="E35" s="70"/>
      <c r="F35" s="71"/>
      <c r="G35" s="69">
        <f>'Nifty Futures '!D34</f>
        <v>-6295</v>
      </c>
      <c r="H35">
        <f>'[1]Nifty Options'!I33</f>
        <v>32484</v>
      </c>
      <c r="I35" s="70"/>
      <c r="J35" s="70"/>
      <c r="K35" s="70"/>
      <c r="L35" s="75">
        <f>'Nifty Futures '!H34</f>
        <v>22071</v>
      </c>
      <c r="M35" s="70">
        <f>'[1]Nifty Options'!Q32</f>
        <v>-67016</v>
      </c>
      <c r="N35" s="70"/>
      <c r="O35" s="70"/>
      <c r="P35" s="76"/>
      <c r="Q35" s="75">
        <f>'Nifty Futures '!F34</f>
        <v>21258</v>
      </c>
      <c r="R35" s="83">
        <f>'[1]Nifty Options'!M32</f>
        <v>143950</v>
      </c>
      <c r="S35" s="70"/>
      <c r="T35" s="70"/>
      <c r="U35" s="76"/>
      <c r="V35">
        <f>'Nifty Futures '!J34</f>
        <v>10923</v>
      </c>
      <c r="W35">
        <f>'Nifty Futures '!K34</f>
        <v>27482</v>
      </c>
      <c r="X35">
        <f>Table4[[#This Row],[Nifty Index]]-V36</f>
        <v>16</v>
      </c>
    </row>
    <row r="36" spans="1:24" x14ac:dyDescent="0.35">
      <c r="A36" s="98" t="s">
        <v>342</v>
      </c>
      <c r="B36" s="69">
        <v>-31372</v>
      </c>
      <c r="C36" s="70">
        <v>-49685</v>
      </c>
      <c r="D36" s="70"/>
      <c r="E36" s="70"/>
      <c r="F36" s="71"/>
      <c r="G36" s="69">
        <f>'Nifty Futures '!D35</f>
        <v>-9496</v>
      </c>
      <c r="H36">
        <f>'[1]Nifty Options'!I34</f>
        <v>10929</v>
      </c>
      <c r="I36" s="70"/>
      <c r="J36" s="70"/>
      <c r="K36" s="70"/>
      <c r="L36" s="75">
        <f>'Nifty Futures '!H35</f>
        <v>22548</v>
      </c>
      <c r="M36" s="70">
        <f>'[1]Nifty Options'!Q33</f>
        <v>-67103</v>
      </c>
      <c r="N36" s="70"/>
      <c r="O36" s="70"/>
      <c r="P36" s="76"/>
      <c r="Q36" s="75">
        <f>'Nifty Futures '!F35</f>
        <v>18320</v>
      </c>
      <c r="R36" s="83">
        <f>'[1]Nifty Options'!M33</f>
        <v>84304</v>
      </c>
      <c r="S36" s="70"/>
      <c r="T36" s="70"/>
      <c r="U36" s="76"/>
      <c r="V36">
        <f>'Nifty Futures '!J35</f>
        <v>10907</v>
      </c>
      <c r="W36">
        <f>'Nifty Futures '!K35</f>
        <v>27457</v>
      </c>
      <c r="X36">
        <f>Table4[[#This Row],[Nifty Index]]-V37</f>
        <v>0</v>
      </c>
    </row>
    <row r="37" spans="1:24" x14ac:dyDescent="0.35">
      <c r="A37" s="98" t="s">
        <v>343</v>
      </c>
      <c r="B37" s="69">
        <v>-37003</v>
      </c>
      <c r="C37" s="70">
        <v>-69863</v>
      </c>
      <c r="D37" s="70"/>
      <c r="E37" s="70"/>
      <c r="F37" s="71"/>
      <c r="G37" s="69">
        <f>'Nifty Futures '!D36</f>
        <v>-8714</v>
      </c>
      <c r="H37">
        <f>'[1]Nifty Options'!I35</f>
        <v>27589</v>
      </c>
      <c r="I37" s="70"/>
      <c r="J37" s="70"/>
      <c r="K37" s="70"/>
      <c r="L37" s="75">
        <f>'Nifty Futures '!H36</f>
        <v>32966</v>
      </c>
      <c r="M37" s="70">
        <f>'[1]Nifty Options'!Q34</f>
        <v>-65428</v>
      </c>
      <c r="N37" s="70"/>
      <c r="O37" s="70"/>
      <c r="P37" s="76"/>
      <c r="Q37" s="75">
        <f>'Nifty Futures '!F36</f>
        <v>12751</v>
      </c>
      <c r="R37" s="83">
        <f>'[1]Nifty Options'!M34</f>
        <v>124362</v>
      </c>
      <c r="S37" s="70"/>
      <c r="T37" s="70"/>
      <c r="U37" s="76"/>
      <c r="V37">
        <f>'Nifty Futures '!J36</f>
        <v>10907</v>
      </c>
      <c r="W37">
        <f>'Nifty Futures '!K36</f>
        <v>27457</v>
      </c>
      <c r="X37">
        <f>Table4[[#This Row],[Nifty Index]]-V38</f>
        <v>2</v>
      </c>
    </row>
    <row r="38" spans="1:24" x14ac:dyDescent="0.35">
      <c r="A38" s="98" t="s">
        <v>344</v>
      </c>
      <c r="B38" s="69">
        <v>-33016</v>
      </c>
      <c r="C38" s="70">
        <v>-82068</v>
      </c>
      <c r="D38" s="70"/>
      <c r="E38" s="70"/>
      <c r="F38" s="71"/>
      <c r="G38" s="69">
        <f>'Nifty Futures '!D37</f>
        <v>-12158</v>
      </c>
      <c r="H38">
        <f>'[1]Nifty Options'!I36</f>
        <v>-2472</v>
      </c>
      <c r="I38" s="70"/>
      <c r="J38" s="70"/>
      <c r="K38" s="70"/>
      <c r="L38" s="75">
        <f>'Nifty Futures '!H37</f>
        <v>33166</v>
      </c>
      <c r="M38" s="70">
        <f>'[1]Nifty Options'!Q35</f>
        <v>-65428</v>
      </c>
      <c r="N38" s="70"/>
      <c r="O38" s="70"/>
      <c r="P38" s="76"/>
      <c r="Q38" s="75">
        <f>'Nifty Futures '!F37</f>
        <v>12008</v>
      </c>
      <c r="R38" s="83">
        <f>'[1]Nifty Options'!M35</f>
        <v>119907</v>
      </c>
      <c r="S38" s="70"/>
      <c r="T38" s="70"/>
      <c r="U38" s="76"/>
      <c r="V38">
        <f>'Nifty Futures '!J37</f>
        <v>10905</v>
      </c>
      <c r="W38">
        <f>'Nifty Futures '!K37</f>
        <v>27529</v>
      </c>
      <c r="X38">
        <f>Table4[[#This Row],[Nifty Index]]-V39</f>
        <v>15</v>
      </c>
    </row>
    <row r="39" spans="1:24" x14ac:dyDescent="0.35">
      <c r="A39" s="98" t="s">
        <v>345</v>
      </c>
      <c r="B39" s="69">
        <v>-25082</v>
      </c>
      <c r="C39" s="70">
        <v>-94173</v>
      </c>
      <c r="D39" s="70"/>
      <c r="E39" s="70"/>
      <c r="F39" s="71"/>
      <c r="G39" s="69">
        <f>'Nifty Futures '!D38</f>
        <v>-9433</v>
      </c>
      <c r="H39">
        <f>'[1]Nifty Options'!I37</f>
        <v>15371</v>
      </c>
      <c r="I39" s="70"/>
      <c r="J39" s="70"/>
      <c r="K39" s="70"/>
      <c r="L39" s="75">
        <f>'Nifty Futures '!H38</f>
        <v>38126</v>
      </c>
      <c r="M39" s="70">
        <f>'[1]Nifty Options'!Q36</f>
        <v>-64761</v>
      </c>
      <c r="N39" s="70"/>
      <c r="O39" s="70"/>
      <c r="P39" s="76"/>
      <c r="Q39" s="75">
        <f>'Nifty Futures '!F38</f>
        <v>-3611</v>
      </c>
      <c r="R39" s="83">
        <f>'[1]Nifty Options'!M36</f>
        <v>161406</v>
      </c>
      <c r="S39" s="70"/>
      <c r="T39" s="70"/>
      <c r="U39" s="76"/>
      <c r="V39">
        <f>'Nifty Futures '!J38</f>
        <v>10890</v>
      </c>
      <c r="W39">
        <f>'Nifty Futures '!K38</f>
        <v>27484</v>
      </c>
      <c r="X39">
        <f>Table4[[#This Row],[Nifty Index]]-V40</f>
        <v>3</v>
      </c>
    </row>
    <row r="40" spans="1:24" x14ac:dyDescent="0.35">
      <c r="A40" s="98" t="s">
        <v>346</v>
      </c>
      <c r="B40" s="69">
        <v>-12976</v>
      </c>
      <c r="C40" s="70">
        <v>-97687</v>
      </c>
      <c r="D40" s="70"/>
      <c r="E40" s="70"/>
      <c r="F40" s="71"/>
      <c r="G40" s="69">
        <f>'Nifty Futures '!D39</f>
        <v>-12335</v>
      </c>
      <c r="H40">
        <f>'[1]Nifty Options'!I38</f>
        <v>-106932</v>
      </c>
      <c r="I40" s="70"/>
      <c r="J40" s="70"/>
      <c r="K40" s="70"/>
      <c r="L40" s="75">
        <f>'Nifty Futures '!H39</f>
        <v>40828</v>
      </c>
      <c r="M40" s="70">
        <f>'[1]Nifty Options'!Q37</f>
        <v>-64761</v>
      </c>
      <c r="N40" s="70"/>
      <c r="O40" s="70"/>
      <c r="P40" s="76"/>
      <c r="Q40" s="75">
        <f>'Nifty Futures '!F39</f>
        <v>-15517</v>
      </c>
      <c r="R40" s="83">
        <f>'[1]Nifty Options'!M37</f>
        <v>147077</v>
      </c>
      <c r="S40" s="70"/>
      <c r="T40" s="70"/>
      <c r="U40" s="76"/>
      <c r="V40">
        <f>'Nifty Futures '!J39</f>
        <v>10887</v>
      </c>
      <c r="W40">
        <f>'Nifty Futures '!K39</f>
        <v>27401</v>
      </c>
      <c r="X40">
        <f>Table4[[#This Row],[Nifty Index]]-V41</f>
        <v>149</v>
      </c>
    </row>
    <row r="41" spans="1:24" x14ac:dyDescent="0.35">
      <c r="A41" s="98" t="s">
        <v>347</v>
      </c>
      <c r="B41" s="69">
        <v>-27979</v>
      </c>
      <c r="C41" s="70">
        <v>-102861</v>
      </c>
      <c r="D41" s="70"/>
      <c r="E41" s="70"/>
      <c r="F41" s="71"/>
      <c r="G41" s="69">
        <f>'Nifty Futures '!D40</f>
        <v>-5165</v>
      </c>
      <c r="H41">
        <f>'[1]Nifty Options'!I39</f>
        <v>-82307</v>
      </c>
      <c r="I41" s="70"/>
      <c r="J41" s="70"/>
      <c r="K41" s="70"/>
      <c r="L41" s="75">
        <f>'Nifty Futures '!H40</f>
        <v>41949</v>
      </c>
      <c r="M41" s="70">
        <f>'[1]Nifty Options'!Q38</f>
        <v>-66721</v>
      </c>
      <c r="N41" s="70"/>
      <c r="O41" s="70"/>
      <c r="P41" s="76"/>
      <c r="Q41" s="75">
        <f>'Nifty Futures '!F40</f>
        <v>-8805</v>
      </c>
      <c r="R41" s="83">
        <f>'[1]Nifty Options'!M38</f>
        <v>276514</v>
      </c>
      <c r="S41" s="70"/>
      <c r="T41" s="70"/>
      <c r="U41" s="76"/>
      <c r="V41">
        <f>'Nifty Futures '!J40</f>
        <v>10738</v>
      </c>
      <c r="W41">
        <f>'Nifty Futures '!K40</f>
        <v>27248</v>
      </c>
      <c r="X41">
        <f>Table4[[#This Row],[Nifty Index]]-V42</f>
        <v>-57</v>
      </c>
    </row>
    <row r="42" spans="1:24" x14ac:dyDescent="0.35">
      <c r="A42" s="98">
        <v>43770</v>
      </c>
      <c r="B42" s="69">
        <v>-14836</v>
      </c>
      <c r="C42" s="70">
        <v>-98728</v>
      </c>
      <c r="D42" s="70"/>
      <c r="E42" s="70"/>
      <c r="F42" s="71"/>
      <c r="G42" s="69">
        <f>'Nifty Futures '!D41</f>
        <v>-3517</v>
      </c>
      <c r="H42">
        <f>'[1]Nifty Options'!I40</f>
        <v>-28211</v>
      </c>
      <c r="I42" s="70"/>
      <c r="J42" s="70"/>
      <c r="K42" s="70"/>
      <c r="L42" s="75">
        <f>'Nifty Futures '!H41</f>
        <v>41931</v>
      </c>
      <c r="M42" s="70">
        <f>'[1]Nifty Options'!Q39</f>
        <v>-66721</v>
      </c>
      <c r="N42" s="70"/>
      <c r="O42" s="70"/>
      <c r="P42" s="76"/>
      <c r="Q42" s="75">
        <f>'Nifty Futures '!F41</f>
        <v>-23578</v>
      </c>
      <c r="R42" s="83">
        <f>'[1]Nifty Options'!M39</f>
        <v>247756</v>
      </c>
      <c r="S42" s="70"/>
      <c r="T42" s="70"/>
      <c r="U42" s="76"/>
      <c r="V42">
        <f>'Nifty Futures '!J41</f>
        <v>10795</v>
      </c>
      <c r="W42">
        <f>'Nifty Futures '!K41</f>
        <v>27454</v>
      </c>
      <c r="X42">
        <f>Table4[[#This Row],[Nifty Index]]-V43</f>
        <v>-27</v>
      </c>
    </row>
    <row r="43" spans="1:24" x14ac:dyDescent="0.35">
      <c r="A43" s="98">
        <v>43739</v>
      </c>
      <c r="B43" s="69">
        <v>-6410</v>
      </c>
      <c r="C43" s="70">
        <v>-95291</v>
      </c>
      <c r="D43" s="70"/>
      <c r="E43" s="70"/>
      <c r="F43" s="71"/>
      <c r="G43" s="69">
        <f>'Nifty Futures '!D42</f>
        <v>-11729</v>
      </c>
      <c r="H43">
        <f>'[1]Nifty Options'!I41</f>
        <v>28048</v>
      </c>
      <c r="I43" s="70"/>
      <c r="J43" s="70"/>
      <c r="K43" s="70"/>
      <c r="L43" s="75">
        <f>'Nifty Futures '!H42</f>
        <v>43354</v>
      </c>
      <c r="M43" s="70">
        <f>'[1]Nifty Options'!Q40</f>
        <v>-66721</v>
      </c>
      <c r="N43" s="70"/>
      <c r="O43" s="70"/>
      <c r="P43" s="76"/>
      <c r="Q43" s="75">
        <f>'Nifty Futures '!F42</f>
        <v>-25215</v>
      </c>
      <c r="R43" s="83">
        <f>'[1]Nifty Options'!M40</f>
        <v>190223</v>
      </c>
      <c r="S43" s="70"/>
      <c r="T43" s="70"/>
      <c r="U43" s="76"/>
      <c r="V43">
        <f>'Nifty Futures '!J42</f>
        <v>10822</v>
      </c>
      <c r="W43">
        <f>'Nifty Futures '!K42</f>
        <v>27528</v>
      </c>
      <c r="X43">
        <f>Table4[[#This Row],[Nifty Index]]-V44</f>
        <v>-33</v>
      </c>
    </row>
    <row r="44" spans="1:24" x14ac:dyDescent="0.35">
      <c r="A44" s="98">
        <v>43709</v>
      </c>
      <c r="B44" s="69">
        <v>-10938</v>
      </c>
      <c r="C44" s="70">
        <v>-98726</v>
      </c>
      <c r="D44" s="70"/>
      <c r="E44" s="70"/>
      <c r="F44" s="71"/>
      <c r="G44" s="69">
        <f>'Nifty Futures '!D43</f>
        <v>-13773</v>
      </c>
      <c r="H44">
        <f>'[1]Nifty Options'!I42</f>
        <v>-4559</v>
      </c>
      <c r="I44" s="70"/>
      <c r="J44" s="70"/>
      <c r="K44" s="70"/>
      <c r="L44" s="75">
        <f>'Nifty Futures '!H43</f>
        <v>49637</v>
      </c>
      <c r="M44" s="70">
        <f>'[1]Nifty Options'!Q41</f>
        <v>-66721</v>
      </c>
      <c r="N44" s="70"/>
      <c r="O44" s="70"/>
      <c r="P44" s="76"/>
      <c r="Q44" s="75">
        <f>'Nifty Futures '!F43</f>
        <v>-24926</v>
      </c>
      <c r="R44" s="83">
        <f>'[1]Nifty Options'!M41</f>
        <v>137399</v>
      </c>
      <c r="S44" s="70"/>
      <c r="T44" s="70"/>
      <c r="U44" s="76"/>
      <c r="V44">
        <f>'Nifty Futures '!J43</f>
        <v>10855</v>
      </c>
      <c r="W44">
        <f>'Nifty Futures '!K43</f>
        <v>27720</v>
      </c>
      <c r="X44">
        <f>Table4[[#This Row],[Nifty Index]]-V45</f>
        <v>53</v>
      </c>
    </row>
    <row r="45" spans="1:24" x14ac:dyDescent="0.35">
      <c r="A45" s="98">
        <v>43678</v>
      </c>
      <c r="B45" s="69">
        <v>-14648</v>
      </c>
      <c r="C45" s="70">
        <v>-90364</v>
      </c>
      <c r="D45" s="70"/>
      <c r="E45" s="70"/>
      <c r="F45" s="71"/>
      <c r="G45" s="69">
        <f>'Nifty Futures '!D44</f>
        <v>-10810</v>
      </c>
      <c r="H45">
        <f>'[1]Nifty Options'!I43</f>
        <v>-58003</v>
      </c>
      <c r="I45" s="70"/>
      <c r="J45" s="70"/>
      <c r="K45" s="70"/>
      <c r="L45" s="75">
        <f>'Nifty Futures '!H44</f>
        <v>53526</v>
      </c>
      <c r="M45" s="70">
        <f>'[1]Nifty Options'!Q42</f>
        <v>-66721</v>
      </c>
      <c r="N45" s="70"/>
      <c r="O45" s="70"/>
      <c r="P45" s="76"/>
      <c r="Q45" s="75">
        <f>'Nifty Futures '!F44</f>
        <v>-28068</v>
      </c>
      <c r="R45" s="83">
        <f>'[1]Nifty Options'!M42</f>
        <v>161644</v>
      </c>
      <c r="S45" s="70"/>
      <c r="T45" s="70"/>
      <c r="U45" s="76"/>
      <c r="V45">
        <f>'Nifty Futures '!J44</f>
        <v>10802</v>
      </c>
      <c r="W45">
        <f>'Nifty Futures '!K44</f>
        <v>27510</v>
      </c>
      <c r="X45">
        <f>Table4[[#This Row],[Nifty Index]]-V46</f>
        <v>30</v>
      </c>
    </row>
    <row r="46" spans="1:24" x14ac:dyDescent="0.35">
      <c r="A46" s="98">
        <v>43647</v>
      </c>
      <c r="B46" s="69">
        <v>-7819</v>
      </c>
      <c r="C46" s="70">
        <v>-99848</v>
      </c>
      <c r="D46" s="70"/>
      <c r="E46" s="70"/>
      <c r="F46" s="71"/>
      <c r="G46" s="69">
        <f>'Nifty Futures '!D45</f>
        <v>-4671</v>
      </c>
      <c r="H46">
        <f>'[1]Nifty Options'!I44</f>
        <v>-53654</v>
      </c>
      <c r="I46" s="70"/>
      <c r="J46" s="70"/>
      <c r="K46" s="70"/>
      <c r="L46" s="75">
        <f>'Nifty Futures '!H45</f>
        <v>53733</v>
      </c>
      <c r="M46" s="70">
        <f>'[1]Nifty Options'!Q43</f>
        <v>-66721</v>
      </c>
      <c r="N46" s="70"/>
      <c r="O46" s="70"/>
      <c r="P46" s="76"/>
      <c r="Q46" s="75">
        <f>'Nifty Futures '!F45</f>
        <v>-41243</v>
      </c>
      <c r="R46" s="83">
        <f>'[1]Nifty Options'!M43</f>
        <v>224572</v>
      </c>
      <c r="S46" s="70"/>
      <c r="T46" s="70"/>
      <c r="U46" s="76"/>
      <c r="V46">
        <f>'Nifty Futures '!J45</f>
        <v>10772</v>
      </c>
      <c r="W46">
        <f>'Nifty Futures '!K45</f>
        <v>27305</v>
      </c>
      <c r="X46">
        <f>Table4[[#This Row],[Nifty Index]]-V47</f>
        <v>45</v>
      </c>
    </row>
    <row r="47" spans="1:24" x14ac:dyDescent="0.35">
      <c r="A47" s="98">
        <v>43556</v>
      </c>
      <c r="B47" s="69">
        <v>-12342</v>
      </c>
      <c r="C47" s="70">
        <v>-100617</v>
      </c>
      <c r="D47" s="70"/>
      <c r="E47" s="70"/>
      <c r="F47" s="71"/>
      <c r="G47" s="69">
        <f>'Nifty Futures '!D46</f>
        <v>-4931</v>
      </c>
      <c r="H47">
        <f>'[1]Nifty Options'!I45</f>
        <v>-93263</v>
      </c>
      <c r="I47" s="70"/>
      <c r="J47" s="70"/>
      <c r="K47" s="70"/>
      <c r="L47" s="75">
        <f>'Nifty Futures '!H46</f>
        <v>59858</v>
      </c>
      <c r="M47" s="70">
        <f>'[1]Nifty Options'!Q44</f>
        <v>-66721</v>
      </c>
      <c r="N47" s="70"/>
      <c r="O47" s="70"/>
      <c r="P47" s="76"/>
      <c r="Q47" s="75">
        <f>'Nifty Futures '!F46</f>
        <v>-42585</v>
      </c>
      <c r="R47" s="83">
        <f>'[1]Nifty Options'!M44</f>
        <v>220992</v>
      </c>
      <c r="S47" s="70"/>
      <c r="T47" s="70"/>
      <c r="U47" s="76"/>
      <c r="V47">
        <f>'Nifty Futures '!J46</f>
        <v>10727</v>
      </c>
      <c r="W47">
        <f>'Nifty Futures '!K46</f>
        <v>27195</v>
      </c>
      <c r="X47">
        <f>Table4[[#This Row],[Nifty Index]]-V48</f>
        <v>55</v>
      </c>
    </row>
    <row r="48" spans="1:24" x14ac:dyDescent="0.35">
      <c r="A48" s="98">
        <v>43525</v>
      </c>
      <c r="B48" s="69">
        <v>-7089</v>
      </c>
      <c r="C48" s="70">
        <v>-99834</v>
      </c>
      <c r="D48" s="70"/>
      <c r="E48" s="70"/>
      <c r="F48" s="71"/>
      <c r="G48" s="69">
        <f>'Nifty Futures '!D47</f>
        <v>-9669</v>
      </c>
      <c r="H48">
        <f>'[1]Nifty Options'!I46</f>
        <v>-91732</v>
      </c>
      <c r="I48" s="70"/>
      <c r="J48" s="70"/>
      <c r="K48" s="70"/>
      <c r="L48" s="75">
        <f>'Nifty Futures '!H47</f>
        <v>61860</v>
      </c>
      <c r="M48" s="70">
        <f>'[1]Nifty Options'!Q45</f>
        <v>-66721</v>
      </c>
      <c r="N48" s="70"/>
      <c r="O48" s="70"/>
      <c r="P48" s="76"/>
      <c r="Q48" s="75">
        <f>'Nifty Futures '!F47</f>
        <v>-45102</v>
      </c>
      <c r="R48" s="83">
        <f>'[1]Nifty Options'!M45</f>
        <v>259818</v>
      </c>
      <c r="S48" s="70"/>
      <c r="T48" s="70"/>
      <c r="U48" s="76"/>
      <c r="V48">
        <f>'Nifty Futures '!J47</f>
        <v>10672</v>
      </c>
      <c r="W48">
        <f>'Nifty Futures '!K47</f>
        <v>26960</v>
      </c>
      <c r="X48">
        <f>Table4[[#This Row],[Nifty Index]]-V49</f>
        <v>-121</v>
      </c>
    </row>
    <row r="49" spans="1:24" x14ac:dyDescent="0.35">
      <c r="A49" s="98">
        <v>43497</v>
      </c>
      <c r="B49" s="69">
        <v>-1004</v>
      </c>
      <c r="C49" s="70">
        <v>-86431</v>
      </c>
      <c r="D49" s="70"/>
      <c r="E49" s="70"/>
      <c r="F49" s="71"/>
      <c r="G49" s="69">
        <f>'Nifty Futures '!D48</f>
        <v>-8195</v>
      </c>
      <c r="H49">
        <f>'[1]Nifty Options'!I47</f>
        <v>37728</v>
      </c>
      <c r="I49" s="70"/>
      <c r="J49" s="70"/>
      <c r="K49" s="70"/>
      <c r="L49" s="75">
        <f>'Nifty Futures '!H48</f>
        <v>60821</v>
      </c>
      <c r="M49" s="70">
        <f>'[1]Nifty Options'!Q46</f>
        <v>-64081</v>
      </c>
      <c r="N49" s="70"/>
      <c r="O49" s="70"/>
      <c r="P49" s="76"/>
      <c r="Q49" s="75">
        <f>'Nifty Futures '!F48</f>
        <v>-51622</v>
      </c>
      <c r="R49" s="83">
        <f>'[1]Nifty Options'!M46</f>
        <v>242244</v>
      </c>
      <c r="S49" s="70"/>
      <c r="T49" s="70"/>
      <c r="U49" s="76"/>
      <c r="V49">
        <f>'Nifty Futures '!J48</f>
        <v>10793</v>
      </c>
      <c r="W49">
        <f>'Nifty Futures '!K48</f>
        <v>27175</v>
      </c>
      <c r="X49">
        <f>Table4[[#This Row],[Nifty Index]]-V50</f>
        <v>-117</v>
      </c>
    </row>
    <row r="50" spans="1:24" x14ac:dyDescent="0.35">
      <c r="A50" s="98">
        <v>43466</v>
      </c>
      <c r="B50" s="69">
        <v>9696</v>
      </c>
      <c r="C50" s="70">
        <v>-86059</v>
      </c>
      <c r="D50" s="70"/>
      <c r="E50" s="70"/>
      <c r="F50" s="71"/>
      <c r="G50" s="69">
        <f>'Nifty Futures '!D49</f>
        <v>-12012</v>
      </c>
      <c r="H50">
        <f>'[1]Nifty Options'!I48</f>
        <v>15922</v>
      </c>
      <c r="I50" s="70"/>
      <c r="J50" s="70"/>
      <c r="K50" s="70"/>
      <c r="L50" s="75">
        <f>'Nifty Futures '!H49</f>
        <v>56852</v>
      </c>
      <c r="M50" s="70">
        <f>'[1]Nifty Options'!Q47</f>
        <v>-63421</v>
      </c>
      <c r="N50" s="70"/>
      <c r="O50" s="70"/>
      <c r="P50" s="76"/>
      <c r="Q50" s="75">
        <f>'Nifty Futures '!F49</f>
        <v>-54536</v>
      </c>
      <c r="R50" s="83">
        <f>'[1]Nifty Options'!M47</f>
        <v>111752</v>
      </c>
      <c r="S50" s="70"/>
      <c r="T50" s="70"/>
      <c r="U50" s="76"/>
      <c r="V50">
        <f>'Nifty Futures '!J49</f>
        <v>10910</v>
      </c>
      <c r="W50">
        <f>'Nifty Futures '!K49</f>
        <v>27392</v>
      </c>
      <c r="X50">
        <f>Table4[[#This Row],[Nifty Index]]-V51</f>
        <v>47</v>
      </c>
    </row>
    <row r="51" spans="1:24" x14ac:dyDescent="0.35">
      <c r="A51" s="98" t="s">
        <v>348</v>
      </c>
      <c r="B51" s="69">
        <v>16817</v>
      </c>
      <c r="C51" s="70">
        <v>-86639</v>
      </c>
      <c r="D51" s="70"/>
      <c r="E51" s="70"/>
      <c r="F51" s="71"/>
      <c r="G51" s="69">
        <f>'Nifty Futures '!D50</f>
        <v>-14288</v>
      </c>
      <c r="H51">
        <f>'[1]Nifty Options'!I49</f>
        <v>3528</v>
      </c>
      <c r="I51" s="70"/>
      <c r="J51" s="70"/>
      <c r="K51" s="70"/>
      <c r="L51" s="75">
        <f>'Nifty Futures '!H50</f>
        <v>56823</v>
      </c>
      <c r="M51" s="70">
        <f>'[1]Nifty Options'!Q48</f>
        <v>-64372</v>
      </c>
      <c r="N51" s="70"/>
      <c r="O51" s="70"/>
      <c r="P51" s="76"/>
      <c r="Q51" s="75">
        <f>'Nifty Futures '!F50</f>
        <v>-59352</v>
      </c>
      <c r="R51" s="83">
        <f>'[1]Nifty Options'!M48</f>
        <v>135089</v>
      </c>
      <c r="S51" s="70"/>
      <c r="T51" s="70"/>
      <c r="U51" s="76"/>
      <c r="V51">
        <f>'Nifty Futures '!J50</f>
        <v>10863</v>
      </c>
      <c r="W51">
        <f>'Nifty Futures '!K50</f>
        <v>27160</v>
      </c>
      <c r="X51">
        <f>Table4[[#This Row],[Nifty Index]]-V52</f>
        <v>3</v>
      </c>
    </row>
    <row r="52" spans="1:24" x14ac:dyDescent="0.35">
      <c r="A52" s="98" t="s">
        <v>349</v>
      </c>
      <c r="B52" s="69">
        <v>10232</v>
      </c>
      <c r="C52" s="70">
        <v>-71244</v>
      </c>
      <c r="D52" s="70"/>
      <c r="E52" s="70"/>
      <c r="F52" s="71"/>
      <c r="G52" s="69">
        <f>'Nifty Futures '!D51</f>
        <v>-10655</v>
      </c>
      <c r="H52">
        <f>'[1]Nifty Options'!I50</f>
        <v>-16418</v>
      </c>
      <c r="I52" s="70"/>
      <c r="J52" s="70"/>
      <c r="K52" s="70"/>
      <c r="L52" s="75">
        <f>'Nifty Futures '!H51</f>
        <v>52709</v>
      </c>
      <c r="M52" s="70">
        <f>'[1]Nifty Options'!Q49</f>
        <v>-63372</v>
      </c>
      <c r="N52" s="70"/>
      <c r="O52" s="70"/>
      <c r="P52" s="76"/>
      <c r="Q52" s="75">
        <f>'Nifty Futures '!F51</f>
        <v>-52286</v>
      </c>
      <c r="R52" s="83">
        <f>'[1]Nifty Options'!M49</f>
        <v>131088</v>
      </c>
      <c r="S52" s="70"/>
      <c r="T52" s="70"/>
      <c r="U52" s="76"/>
      <c r="V52">
        <f>'Nifty Futures '!J51</f>
        <v>10860</v>
      </c>
      <c r="W52">
        <f>'Nifty Futures '!K51</f>
        <v>27125</v>
      </c>
      <c r="X52">
        <f>Table4[[#This Row],[Nifty Index]]-V53</f>
        <v>80</v>
      </c>
    </row>
    <row r="53" spans="1:24" x14ac:dyDescent="0.35">
      <c r="A53" s="98" t="s">
        <v>350</v>
      </c>
      <c r="B53" s="69">
        <v>2820</v>
      </c>
      <c r="C53" s="70">
        <v>-63629</v>
      </c>
      <c r="D53" s="70"/>
      <c r="E53" s="70"/>
      <c r="F53" s="71"/>
      <c r="G53" s="69">
        <f>'Nifty Futures '!D52</f>
        <v>-11463</v>
      </c>
      <c r="H53">
        <f>'[1]Nifty Options'!I51</f>
        <v>-33298</v>
      </c>
      <c r="I53" s="70"/>
      <c r="J53" s="70"/>
      <c r="K53" s="70"/>
      <c r="L53" s="75">
        <f>'Nifty Futures '!H52</f>
        <v>56215</v>
      </c>
      <c r="M53" s="70">
        <f>'[1]Nifty Options'!Q50</f>
        <v>-64912</v>
      </c>
      <c r="N53" s="70"/>
      <c r="O53" s="70"/>
      <c r="P53" s="76"/>
      <c r="Q53" s="75">
        <f>'Nifty Futures '!F52</f>
        <v>-47572</v>
      </c>
      <c r="R53" s="83">
        <f>'[1]Nifty Options'!M50</f>
        <v>144959</v>
      </c>
      <c r="S53" s="70"/>
      <c r="T53" s="70"/>
      <c r="U53" s="76"/>
      <c r="V53">
        <f>'Nifty Futures '!J52</f>
        <v>10780</v>
      </c>
      <c r="W53">
        <f>'Nifty Futures '!K52</f>
        <v>26879</v>
      </c>
      <c r="X53">
        <f>Table4[[#This Row],[Nifty Index]]-V54</f>
        <v>50</v>
      </c>
    </row>
    <row r="54" spans="1:24" x14ac:dyDescent="0.35">
      <c r="A54" s="98" t="s">
        <v>351</v>
      </c>
      <c r="B54" s="69">
        <v>-30058</v>
      </c>
      <c r="C54" s="70">
        <v>-122576</v>
      </c>
      <c r="D54" s="70"/>
      <c r="E54" s="70"/>
      <c r="F54" s="71"/>
      <c r="G54" s="69">
        <f>'Nifty Futures '!D53</f>
        <v>-1930</v>
      </c>
      <c r="H54">
        <f>'[1]Nifty Options'!I52</f>
        <v>-169203</v>
      </c>
      <c r="I54" s="70"/>
      <c r="J54" s="70"/>
      <c r="K54" s="70"/>
      <c r="L54" s="75">
        <f>'Nifty Futures '!H53</f>
        <v>55112</v>
      </c>
      <c r="M54" s="70">
        <f>'[1]Nifty Options'!Q51</f>
        <v>-58731</v>
      </c>
      <c r="N54" s="70"/>
      <c r="O54" s="70"/>
      <c r="P54" s="76"/>
      <c r="Q54" s="75">
        <f>'Nifty Futures '!F53</f>
        <v>-23124</v>
      </c>
      <c r="R54" s="83">
        <f>'[1]Nifty Options'!M51</f>
        <v>214605</v>
      </c>
      <c r="S54" s="70"/>
      <c r="T54" s="70"/>
      <c r="U54" s="76"/>
      <c r="V54">
        <f>'Nifty Futures '!J53</f>
        <v>10730</v>
      </c>
      <c r="W54">
        <f>'Nifty Futures '!K53</f>
        <v>26987</v>
      </c>
      <c r="X54">
        <f>Table4[[#This Row],[Nifty Index]]-V55</f>
        <v>66</v>
      </c>
    </row>
    <row r="55" spans="1:24" x14ac:dyDescent="0.35">
      <c r="A55" s="98" t="s">
        <v>352</v>
      </c>
      <c r="B55" s="69">
        <v>-21687</v>
      </c>
      <c r="C55" s="70">
        <v>-110072</v>
      </c>
      <c r="D55" s="70"/>
      <c r="E55" s="70"/>
      <c r="F55" s="71"/>
      <c r="G55" s="69">
        <f>'Nifty Futures '!D54</f>
        <v>-6104</v>
      </c>
      <c r="H55">
        <f>'[1]Nifty Options'!I53</f>
        <v>-122357</v>
      </c>
      <c r="I55" s="70"/>
      <c r="J55" s="70"/>
      <c r="K55" s="70"/>
      <c r="L55" s="75">
        <f>'Nifty Futures '!H54</f>
        <v>55845</v>
      </c>
      <c r="M55" s="70">
        <f>'[1]Nifty Options'!Q52</f>
        <v>-58701</v>
      </c>
      <c r="N55" s="70"/>
      <c r="O55" s="70"/>
      <c r="P55" s="76"/>
      <c r="Q55" s="75">
        <f>'Nifty Futures '!F54</f>
        <v>-28054</v>
      </c>
      <c r="R55" s="83">
        <f>'[1]Nifty Options'!M52</f>
        <v>337976</v>
      </c>
      <c r="S55" s="70"/>
      <c r="T55" s="70"/>
      <c r="U55" s="76"/>
      <c r="V55">
        <f>'Nifty Futures '!J54</f>
        <v>10664</v>
      </c>
      <c r="W55">
        <f>'Nifty Futures '!K54</f>
        <v>26715</v>
      </c>
      <c r="X55">
        <f>Table4[[#This Row],[Nifty Index]]-V56</f>
        <v>-90</v>
      </c>
    </row>
    <row r="56" spans="1:24" ht="15" thickBot="1" x14ac:dyDescent="0.4">
      <c r="A56" s="98" t="s">
        <v>353</v>
      </c>
      <c r="B56" s="72">
        <v>-25364</v>
      </c>
      <c r="C56" s="73">
        <v>-93603</v>
      </c>
      <c r="D56" s="70"/>
      <c r="E56" s="73"/>
      <c r="F56" s="74"/>
      <c r="G56" s="72">
        <f>'Nifty Futures '!D55</f>
        <v>2996</v>
      </c>
      <c r="H56">
        <f>'[1]Nifty Options'!I54</f>
        <v>40893</v>
      </c>
      <c r="I56" s="73"/>
      <c r="J56" s="73"/>
      <c r="K56" s="73"/>
      <c r="L56" s="77">
        <f>'Nifty Futures '!H55</f>
        <v>41882</v>
      </c>
      <c r="M56" s="78">
        <f>'[1]Nifty Options'!Q53</f>
        <v>-58701</v>
      </c>
      <c r="N56" s="78"/>
      <c r="O56" s="78"/>
      <c r="P56" s="79"/>
      <c r="Q56" s="77">
        <f>'Nifty Futures '!F55</f>
        <v>-19514</v>
      </c>
      <c r="R56" s="85">
        <f>'[1]Nifty Options'!M53</f>
        <v>274661</v>
      </c>
      <c r="S56" s="78"/>
      <c r="T56" s="78"/>
      <c r="U56" s="79"/>
      <c r="V56">
        <f>'Nifty Futures '!J55</f>
        <v>10754</v>
      </c>
      <c r="W56">
        <f>'Nifty Futures '!K55</f>
        <v>26870</v>
      </c>
      <c r="X56">
        <f>Table4[[#This Row],[Nifty Index]]-V76</f>
        <v>10754</v>
      </c>
    </row>
    <row r="57" spans="1:24" x14ac:dyDescent="0.35">
      <c r="A57" s="98" t="s">
        <v>354</v>
      </c>
      <c r="B57" s="70">
        <v>-22340</v>
      </c>
      <c r="C57" s="70">
        <v>-64136</v>
      </c>
      <c r="D57" s="39"/>
      <c r="E57" s="39"/>
      <c r="F57" s="39"/>
      <c r="G57" s="69">
        <f>'Nifty Futures '!D57</f>
        <v>5497</v>
      </c>
      <c r="H57">
        <f>'[1]Nifty Options'!I55</f>
        <v>72433</v>
      </c>
      <c r="I57" s="70"/>
      <c r="J57" s="70"/>
      <c r="K57" s="70"/>
      <c r="L57" s="75">
        <f>'Nifty Futures '!H57</f>
        <v>33384</v>
      </c>
      <c r="M57" s="70">
        <f>'[1]Nifty Options'!Q55</f>
        <v>-52305</v>
      </c>
      <c r="N57" s="70"/>
      <c r="O57" s="70"/>
      <c r="P57" s="70"/>
      <c r="Q57" s="75">
        <f>'Nifty Futures '!F57</f>
        <v>-12527</v>
      </c>
      <c r="R57" s="83">
        <f>'[1]Nifty Options'!M55</f>
        <v>48816</v>
      </c>
      <c r="S57" s="70"/>
      <c r="T57" s="70"/>
      <c r="U57" s="76"/>
      <c r="V57">
        <f>'Nifty Futures '!J57</f>
        <v>10967</v>
      </c>
      <c r="W57">
        <f>'Nifty Futures '!K57</f>
        <v>27298</v>
      </c>
      <c r="X57" s="4">
        <f>Table4[[#This Row],[Nifty Index]]-V58</f>
        <v>58</v>
      </c>
    </row>
    <row r="58" spans="1:24" x14ac:dyDescent="0.35">
      <c r="A58" s="98" t="s">
        <v>355</v>
      </c>
      <c r="B58" s="70">
        <v>-26354</v>
      </c>
      <c r="C58" s="70">
        <v>-68944</v>
      </c>
      <c r="D58" s="39"/>
      <c r="E58" s="39"/>
      <c r="F58" s="39"/>
      <c r="G58" s="69">
        <f>'Nifty Futures '!D58</f>
        <v>7331</v>
      </c>
      <c r="H58">
        <f>'[1]Nifty Options'!I56</f>
        <v>53160</v>
      </c>
      <c r="I58" s="70"/>
      <c r="J58" s="70"/>
      <c r="K58" s="70"/>
      <c r="L58" s="75">
        <f>'Nifty Futures '!H58</f>
        <v>33037</v>
      </c>
      <c r="M58" s="70">
        <f>'[1]Nifty Options'!Q56</f>
        <v>-55977</v>
      </c>
      <c r="N58" s="70"/>
      <c r="O58" s="70"/>
      <c r="P58" s="70"/>
      <c r="Q58" s="75">
        <f>'Nifty Futures '!F58</f>
        <v>-8681</v>
      </c>
      <c r="R58" s="83">
        <f>'[1]Nifty Options'!M56</f>
        <v>70640</v>
      </c>
      <c r="S58" s="70"/>
      <c r="T58" s="70"/>
      <c r="U58" s="76"/>
      <c r="V58">
        <f>'Nifty Futures '!J58</f>
        <v>10909</v>
      </c>
      <c r="W58">
        <f>'Nifty Futures '!K58</f>
        <v>27175</v>
      </c>
      <c r="X58" s="4">
        <f>Table4[[#This Row],[Nifty Index]]-V59</f>
        <v>21</v>
      </c>
    </row>
    <row r="59" spans="1:24" x14ac:dyDescent="0.35">
      <c r="A59" s="98" t="s">
        <v>356</v>
      </c>
      <c r="B59" s="70">
        <v>-31687</v>
      </c>
      <c r="C59" s="70">
        <v>-67823</v>
      </c>
      <c r="D59" s="39"/>
      <c r="E59" s="39"/>
      <c r="F59" s="39"/>
      <c r="G59" s="69">
        <f>'Nifty Futures '!D59</f>
        <v>-3649</v>
      </c>
      <c r="H59">
        <f>'[1]Nifty Options'!I57</f>
        <v>78078</v>
      </c>
      <c r="I59" s="70"/>
      <c r="J59" s="70"/>
      <c r="K59" s="70"/>
      <c r="L59" s="75">
        <f>'Nifty Futures '!H59</f>
        <v>36968</v>
      </c>
      <c r="M59" s="70">
        <f>'[1]Nifty Options'!Q57</f>
        <v>-55477</v>
      </c>
      <c r="N59" s="70"/>
      <c r="O59" s="70"/>
      <c r="P59" s="70"/>
      <c r="Q59" s="75">
        <f>'Nifty Futures '!F59</f>
        <v>-13849</v>
      </c>
      <c r="R59" s="83">
        <f>'[1]Nifty Options'!M57</f>
        <v>44249</v>
      </c>
      <c r="S59" s="70"/>
      <c r="T59" s="70"/>
      <c r="U59" s="76"/>
      <c r="V59">
        <f>'Nifty Futures '!J59</f>
        <v>10888</v>
      </c>
      <c r="W59">
        <f>'Nifty Futures '!K59</f>
        <v>27016</v>
      </c>
      <c r="X59" s="4">
        <f>Table4[[#This Row],[Nifty Index]]-V60</f>
        <v>83</v>
      </c>
    </row>
    <row r="60" spans="1:24" x14ac:dyDescent="0.35">
      <c r="A60" s="98" t="s">
        <v>357</v>
      </c>
      <c r="B60" s="70">
        <v>-19470</v>
      </c>
      <c r="C60" s="70">
        <v>-66850</v>
      </c>
      <c r="D60" s="39"/>
      <c r="E60" s="39"/>
      <c r="F60" s="39"/>
      <c r="G60" s="69">
        <f>'Nifty Futures '!D60</f>
        <v>-10553</v>
      </c>
      <c r="H60">
        <f>'[1]Nifty Options'!I58</f>
        <v>42092</v>
      </c>
      <c r="I60" s="70"/>
      <c r="J60" s="70"/>
      <c r="K60" s="70"/>
      <c r="L60" s="75">
        <f>'Nifty Futures '!H60</f>
        <v>41929</v>
      </c>
      <c r="M60" s="70">
        <f>'[1]Nifty Options'!Q58</f>
        <v>-54578</v>
      </c>
      <c r="N60" s="70"/>
      <c r="O60" s="70"/>
      <c r="P60" s="70"/>
      <c r="Q60" s="75">
        <f>'Nifty Futures '!F60</f>
        <v>-18052</v>
      </c>
      <c r="R60" s="83">
        <f>'[1]Nifty Options'!M58</f>
        <v>85032</v>
      </c>
      <c r="S60" s="70"/>
      <c r="T60" s="70"/>
      <c r="U60" s="76"/>
      <c r="V60">
        <f>'Nifty Futures '!J60</f>
        <v>10805</v>
      </c>
      <c r="W60">
        <f>'Nifty Futures '!K60</f>
        <v>26826</v>
      </c>
      <c r="X60" s="4">
        <f>Table4[[#This Row],[Nifty Index]]-V61</f>
        <v>13</v>
      </c>
    </row>
    <row r="61" spans="1:24" x14ac:dyDescent="0.35">
      <c r="A61" s="98" t="s">
        <v>358</v>
      </c>
      <c r="B61" s="70">
        <v>-13324</v>
      </c>
      <c r="C61" s="70">
        <v>-72546</v>
      </c>
      <c r="D61" s="39"/>
      <c r="E61" s="39"/>
      <c r="F61" s="39"/>
      <c r="G61" s="69">
        <f>'Nifty Futures '!D61</f>
        <v>-5092</v>
      </c>
      <c r="H61">
        <f>'[1]Nifty Options'!I59</f>
        <v>14857</v>
      </c>
      <c r="I61" s="70"/>
      <c r="J61" s="70"/>
      <c r="K61" s="70"/>
      <c r="L61" s="75">
        <f>'Nifty Futures '!H61</f>
        <v>46936</v>
      </c>
      <c r="M61" s="70">
        <f>'[1]Nifty Options'!Q59</f>
        <v>-65830</v>
      </c>
      <c r="N61" s="70"/>
      <c r="O61" s="70"/>
      <c r="P61" s="70"/>
      <c r="Q61" s="75">
        <f>'Nifty Futures '!F61</f>
        <v>-24236</v>
      </c>
      <c r="R61" s="83">
        <f>'[1]Nifty Options'!M59</f>
        <v>110772</v>
      </c>
      <c r="S61" s="70"/>
      <c r="T61" s="70"/>
      <c r="U61" s="76"/>
      <c r="V61">
        <f>'Nifty Futures '!J61</f>
        <v>10792</v>
      </c>
      <c r="W61">
        <f>'Nifty Futures '!K61</f>
        <v>26816</v>
      </c>
      <c r="X61" s="4">
        <f>Table4[[#This Row],[Nifty Index]]-V62</f>
        <v>54</v>
      </c>
    </row>
    <row r="62" spans="1:24" x14ac:dyDescent="0.35">
      <c r="A62" s="98" t="s">
        <v>359</v>
      </c>
      <c r="B62" s="70">
        <v>-17608</v>
      </c>
      <c r="C62" s="70">
        <v>-59799</v>
      </c>
      <c r="D62" s="39"/>
      <c r="E62" s="39"/>
      <c r="F62" s="39"/>
      <c r="G62" s="69">
        <f>'Nifty Futures '!D62</f>
        <v>-1358</v>
      </c>
      <c r="H62">
        <f>'[1]Nifty Options'!I60</f>
        <v>44392</v>
      </c>
      <c r="I62" s="70"/>
      <c r="J62" s="70"/>
      <c r="K62" s="70"/>
      <c r="L62" s="75">
        <f>'Nifty Futures '!H62</f>
        <v>55033</v>
      </c>
      <c r="M62" s="70">
        <f>'[1]Nifty Options'!Q60</f>
        <v>-82057</v>
      </c>
      <c r="N62" s="70"/>
      <c r="O62" s="70"/>
      <c r="P62" s="70"/>
      <c r="Q62" s="75">
        <f>'Nifty Futures '!F62</f>
        <v>-3540</v>
      </c>
      <c r="R62" s="83">
        <f>'[1]Nifty Options'!M60</f>
        <v>50358</v>
      </c>
      <c r="S62" s="70"/>
      <c r="T62" s="70"/>
      <c r="U62" s="76"/>
      <c r="V62">
        <f>'Nifty Futures '!J62</f>
        <v>10738</v>
      </c>
      <c r="W62">
        <f>'Nifty Futures '!K62</f>
        <v>26644</v>
      </c>
      <c r="X62" s="4">
        <f>Table4[[#This Row],[Nifty Index]]-V63</f>
        <v>189</v>
      </c>
    </row>
    <row r="63" spans="1:24" x14ac:dyDescent="0.35">
      <c r="A63" s="98">
        <v>43446</v>
      </c>
      <c r="B63" s="70">
        <v>-50135</v>
      </c>
      <c r="C63" s="70">
        <v>-12693</v>
      </c>
      <c r="D63" s="39"/>
      <c r="E63" s="39"/>
      <c r="F63" s="39"/>
      <c r="G63" s="69">
        <f>'Nifty Futures '!D63</f>
        <v>-19213</v>
      </c>
      <c r="H63">
        <f>'[1]Nifty Options'!I61</f>
        <v>-15581</v>
      </c>
      <c r="I63" s="70"/>
      <c r="J63" s="70"/>
      <c r="K63" s="70"/>
      <c r="L63" s="75">
        <f>'Nifty Futures '!H63</f>
        <v>59515</v>
      </c>
      <c r="M63" s="70">
        <f>'[1]Nifty Options'!Q61</f>
        <v>-83822</v>
      </c>
      <c r="N63" s="70"/>
      <c r="O63" s="70"/>
      <c r="P63" s="70"/>
      <c r="Q63" s="75">
        <f>'Nifty Futures '!F63</f>
        <v>-518</v>
      </c>
      <c r="R63" s="83">
        <f>'[1]Nifty Options'!M61</f>
        <v>107277</v>
      </c>
      <c r="S63" s="70"/>
      <c r="T63" s="70"/>
      <c r="U63" s="76"/>
      <c r="V63">
        <f>'Nifty Futures '!J63</f>
        <v>10549</v>
      </c>
      <c r="W63">
        <f>'Nifty Futures '!K63</f>
        <v>26163</v>
      </c>
      <c r="X63" s="4">
        <f>Table4[[#This Row],[Nifty Index]]-V64</f>
        <v>61</v>
      </c>
    </row>
    <row r="64" spans="1:24" x14ac:dyDescent="0.35">
      <c r="A64" s="98">
        <v>43416</v>
      </c>
      <c r="B64" s="70">
        <v>-39784</v>
      </c>
      <c r="C64" s="70">
        <v>-7874</v>
      </c>
      <c r="D64" s="39"/>
      <c r="E64" s="39"/>
      <c r="F64" s="39"/>
      <c r="G64" s="69">
        <f>'Nifty Futures '!D64</f>
        <v>-10529</v>
      </c>
      <c r="H64">
        <f>'[1]Nifty Options'!I62</f>
        <v>-59174</v>
      </c>
      <c r="I64" s="70"/>
      <c r="J64" s="70"/>
      <c r="K64" s="70"/>
      <c r="L64" s="75">
        <f>'Nifty Futures '!H64</f>
        <v>56946</v>
      </c>
      <c r="M64" s="70">
        <f>'[1]Nifty Options'!Q62</f>
        <v>-86913</v>
      </c>
      <c r="N64" s="70"/>
      <c r="O64" s="70"/>
      <c r="P64" s="70"/>
      <c r="Q64" s="75">
        <f>'Nifty Futures '!F64</f>
        <v>-12149</v>
      </c>
      <c r="R64" s="83">
        <f>'[1]Nifty Options'!M62</f>
        <v>171164</v>
      </c>
      <c r="S64" s="70"/>
      <c r="T64" s="70"/>
      <c r="U64" s="76"/>
      <c r="V64">
        <f>'Nifty Futures '!J64</f>
        <v>10488</v>
      </c>
      <c r="W64">
        <f>'Nifty Futures '!K64</f>
        <v>26103</v>
      </c>
      <c r="X64" s="4">
        <f>Table4[[#This Row],[Nifty Index]]-V65</f>
        <v>-206</v>
      </c>
    </row>
    <row r="65" spans="1:24" x14ac:dyDescent="0.35">
      <c r="A65" s="98">
        <v>43385</v>
      </c>
      <c r="B65" s="70">
        <v>-34268</v>
      </c>
      <c r="C65" s="70">
        <v>-25077</v>
      </c>
      <c r="D65" s="39"/>
      <c r="E65" s="39"/>
      <c r="F65" s="39"/>
      <c r="G65" s="69">
        <f>'Nifty Futures '!D65</f>
        <v>-12457</v>
      </c>
      <c r="H65">
        <f>'[1]Nifty Options'!I63</f>
        <v>5191</v>
      </c>
      <c r="I65" s="70"/>
      <c r="J65" s="70"/>
      <c r="K65" s="70"/>
      <c r="L65" s="75">
        <f>'Nifty Futures '!H65</f>
        <v>54083</v>
      </c>
      <c r="M65" s="70">
        <f>'[1]Nifty Options'!Q63</f>
        <v>-90922</v>
      </c>
      <c r="N65" s="70"/>
      <c r="O65" s="70"/>
      <c r="P65" s="70"/>
      <c r="Q65" s="75">
        <f>'Nifty Futures '!F65</f>
        <v>-19069</v>
      </c>
      <c r="R65" s="83">
        <f>'[1]Nifty Options'!M63</f>
        <v>108834</v>
      </c>
      <c r="S65" s="70"/>
      <c r="T65" s="70"/>
      <c r="U65" s="76"/>
      <c r="V65">
        <f>'Nifty Futures '!J65</f>
        <v>10694</v>
      </c>
      <c r="W65">
        <f>'Nifty Futures '!K65</f>
        <v>26594</v>
      </c>
      <c r="X65" s="4">
        <f>Table4[[#This Row],[Nifty Index]]-V66</f>
        <v>93</v>
      </c>
    </row>
    <row r="66" spans="1:24" x14ac:dyDescent="0.35">
      <c r="A66" s="98">
        <v>43293</v>
      </c>
      <c r="B66" s="70">
        <v>-22557</v>
      </c>
      <c r="C66" s="70">
        <v>-23103</v>
      </c>
      <c r="D66" s="39"/>
      <c r="E66" s="39"/>
      <c r="F66" s="39"/>
      <c r="G66" s="69">
        <f>'Nifty Futures '!D66</f>
        <v>-13308</v>
      </c>
      <c r="H66">
        <f>'[1]Nifty Options'!I64</f>
        <v>-24020</v>
      </c>
      <c r="I66" s="70"/>
      <c r="J66" s="70"/>
      <c r="K66" s="70"/>
      <c r="L66" s="75">
        <f>'Nifty Futures '!H66</f>
        <v>47515</v>
      </c>
      <c r="M66" s="70">
        <f>'[1]Nifty Options'!Q64</f>
        <v>-90923</v>
      </c>
      <c r="N66" s="70"/>
      <c r="O66" s="70"/>
      <c r="P66" s="70"/>
      <c r="Q66" s="75">
        <f>'Nifty Futures '!F66</f>
        <v>-4093</v>
      </c>
      <c r="R66" s="83">
        <f>'[1]Nifty Options'!M64</f>
        <v>148092</v>
      </c>
      <c r="S66" s="70"/>
      <c r="T66" s="70"/>
      <c r="U66" s="76"/>
      <c r="V66">
        <f>'Nifty Futures '!J66</f>
        <v>10601</v>
      </c>
      <c r="W66">
        <f>'Nifty Futures '!K66</f>
        <v>26198</v>
      </c>
      <c r="X66" s="4">
        <f>Table4[[#This Row],[Nifty Index]]-V67</f>
        <v>-182</v>
      </c>
    </row>
    <row r="67" spans="1:24" x14ac:dyDescent="0.35">
      <c r="A67" s="98">
        <v>43263</v>
      </c>
      <c r="B67" s="70">
        <v>-30114</v>
      </c>
      <c r="C67" s="70">
        <v>-33149</v>
      </c>
      <c r="D67" s="39"/>
      <c r="E67" s="39"/>
      <c r="F67" s="39"/>
      <c r="G67" s="69">
        <f>'Nifty Futures '!D67</f>
        <v>-11642</v>
      </c>
      <c r="H67">
        <f>'[1]Nifty Options'!I65</f>
        <v>-87959</v>
      </c>
      <c r="I67" s="70"/>
      <c r="J67" s="70"/>
      <c r="K67" s="70"/>
      <c r="L67" s="75">
        <f>'Nifty Futures '!H67</f>
        <v>39618</v>
      </c>
      <c r="M67" s="70">
        <f>'[1]Nifty Options'!Q65</f>
        <v>-91407</v>
      </c>
      <c r="N67" s="70"/>
      <c r="O67" s="70"/>
      <c r="P67" s="70"/>
      <c r="Q67" s="75">
        <f>'Nifty Futures '!F67</f>
        <v>-20154</v>
      </c>
      <c r="R67" s="83">
        <f>'[1]Nifty Options'!M65</f>
        <v>194328</v>
      </c>
      <c r="S67" s="70"/>
      <c r="T67" s="70"/>
      <c r="U67" s="76"/>
      <c r="V67">
        <f>'Nifty Futures '!J67</f>
        <v>10783</v>
      </c>
      <c r="W67">
        <f>'Nifty Futures '!K67</f>
        <v>26520</v>
      </c>
      <c r="X67" s="4">
        <f>Table4[[#This Row],[Nifty Index]]-V68</f>
        <v>-87</v>
      </c>
    </row>
    <row r="68" spans="1:24" x14ac:dyDescent="0.35">
      <c r="A68" s="98">
        <v>43232</v>
      </c>
      <c r="B68" s="70">
        <v>-7822</v>
      </c>
      <c r="C68" s="70">
        <v>-14962</v>
      </c>
      <c r="D68" s="39"/>
      <c r="E68" s="39"/>
      <c r="F68" s="39"/>
      <c r="G68" s="69">
        <f>'Nifty Futures '!D68</f>
        <v>-17331</v>
      </c>
      <c r="H68">
        <f>'[1]Nifty Options'!I66</f>
        <v>1229</v>
      </c>
      <c r="I68" s="70"/>
      <c r="J68" s="70"/>
      <c r="K68" s="70"/>
      <c r="L68" s="75">
        <f>'Nifty Futures '!H68</f>
        <v>37895</v>
      </c>
      <c r="M68" s="70">
        <f>'[1]Nifty Options'!Q66</f>
        <v>-91275</v>
      </c>
      <c r="N68" s="70"/>
      <c r="O68" s="70"/>
      <c r="P68" s="70"/>
      <c r="Q68" s="75">
        <f>'Nifty Futures '!F68</f>
        <v>-31603</v>
      </c>
      <c r="R68" s="83">
        <f>'[1]Nifty Options'!M66</f>
        <v>133673</v>
      </c>
      <c r="S68" s="70"/>
      <c r="T68" s="70"/>
      <c r="U68" s="76"/>
      <c r="V68">
        <f>'Nifty Futures '!J68</f>
        <v>10870</v>
      </c>
      <c r="W68">
        <f>'Nifty Futures '!K68</f>
        <v>26694</v>
      </c>
      <c r="X68" s="4">
        <f>Table4[[#This Row],[Nifty Index]]-V69</f>
        <v>-14</v>
      </c>
    </row>
    <row r="69" spans="1:24" x14ac:dyDescent="0.35">
      <c r="A69" s="98">
        <v>43202</v>
      </c>
      <c r="B69" s="70">
        <v>11039</v>
      </c>
      <c r="C69" s="70">
        <v>-43627</v>
      </c>
      <c r="D69" s="39"/>
      <c r="E69" s="39"/>
      <c r="F69" s="39"/>
      <c r="G69" s="69">
        <f>'Nifty Futures '!D69</f>
        <v>-19402</v>
      </c>
      <c r="H69">
        <f>'[1]Nifty Options'!I67</f>
        <v>26723</v>
      </c>
      <c r="I69" s="70"/>
      <c r="J69" s="70"/>
      <c r="K69" s="70"/>
      <c r="L69" s="75">
        <f>'Nifty Futures '!H69</f>
        <v>38082</v>
      </c>
      <c r="M69" s="70">
        <f>'[1]Nifty Options'!Q67</f>
        <v>-90272</v>
      </c>
      <c r="N69" s="70"/>
      <c r="O69" s="70"/>
      <c r="P69" s="70"/>
      <c r="Q69" s="75">
        <f>'Nifty Futures '!F69</f>
        <v>-31552</v>
      </c>
      <c r="R69" s="83">
        <f>'[1]Nifty Options'!M67</f>
        <v>112388</v>
      </c>
      <c r="S69" s="70"/>
      <c r="T69" s="70"/>
      <c r="U69" s="76"/>
      <c r="V69">
        <f>'Nifty Futures '!J69</f>
        <v>10884</v>
      </c>
      <c r="W69">
        <f>'Nifty Futures '!K69</f>
        <v>26858</v>
      </c>
      <c r="X69" s="4">
        <f>Table4[[#This Row],[Nifty Index]]-V70</f>
        <v>7</v>
      </c>
    </row>
    <row r="70" spans="1:24" x14ac:dyDescent="0.35">
      <c r="A70" s="98">
        <v>43171</v>
      </c>
      <c r="B70" s="70">
        <v>12872</v>
      </c>
      <c r="C70" s="70">
        <v>-48839</v>
      </c>
      <c r="D70" s="39"/>
      <c r="E70" s="39"/>
      <c r="F70" s="39"/>
      <c r="G70" s="69">
        <f>'Nifty Futures '!D70</f>
        <v>-21307</v>
      </c>
      <c r="H70">
        <f>'[1]Nifty Options'!I68</f>
        <v>39705</v>
      </c>
      <c r="I70" s="70"/>
      <c r="J70" s="70"/>
      <c r="K70" s="70"/>
      <c r="L70" s="75">
        <f>'Nifty Futures '!H70</f>
        <v>42882</v>
      </c>
      <c r="M70" s="70">
        <f>'[1]Nifty Options'!Q68</f>
        <v>-86492</v>
      </c>
      <c r="N70" s="70"/>
      <c r="O70" s="70"/>
      <c r="P70" s="70"/>
      <c r="Q70" s="75">
        <f>'Nifty Futures '!F70</f>
        <v>-30382</v>
      </c>
      <c r="R70" s="83">
        <f>'[1]Nifty Options'!M68</f>
        <v>103781</v>
      </c>
      <c r="S70" s="70"/>
      <c r="T70" s="70"/>
      <c r="U70" s="76"/>
      <c r="V70">
        <f>'Nifty Futures '!J70</f>
        <v>10877</v>
      </c>
      <c r="W70">
        <f>'Nifty Futures '!K70</f>
        <v>26863</v>
      </c>
      <c r="X70" s="4">
        <f>Table4[[#This Row],[Nifty Index]]-V71</f>
        <v>18</v>
      </c>
    </row>
    <row r="71" spans="1:24" x14ac:dyDescent="0.35">
      <c r="A71" s="98" t="s">
        <v>360</v>
      </c>
      <c r="B71" s="70">
        <v>8807</v>
      </c>
      <c r="C71" s="70">
        <v>-56994</v>
      </c>
      <c r="D71" s="39"/>
      <c r="E71" s="39"/>
      <c r="F71" s="39"/>
      <c r="G71" s="69">
        <f>'Nifty Futures '!D71</f>
        <v>-20379</v>
      </c>
      <c r="H71">
        <f>'[1]Nifty Options'!I69</f>
        <v>57246</v>
      </c>
      <c r="I71" s="70"/>
      <c r="J71" s="70"/>
      <c r="K71" s="70"/>
      <c r="L71" s="75">
        <f>'Nifty Futures '!H71</f>
        <v>40151</v>
      </c>
      <c r="M71" s="70">
        <f>'[1]Nifty Options'!Q69</f>
        <v>-86642</v>
      </c>
      <c r="N71" s="70"/>
      <c r="O71" s="70"/>
      <c r="P71" s="70"/>
      <c r="Q71" s="75">
        <f>'Nifty Futures '!F71</f>
        <v>-27186</v>
      </c>
      <c r="R71" s="83">
        <f>'[1]Nifty Options'!M69</f>
        <v>52069</v>
      </c>
      <c r="S71" s="70"/>
      <c r="T71" s="70"/>
      <c r="U71" s="76"/>
      <c r="V71">
        <f>'Nifty Futures '!J71</f>
        <v>10859</v>
      </c>
      <c r="W71">
        <f>'Nifty Futures '!K71</f>
        <v>26940</v>
      </c>
      <c r="X71" s="4">
        <f>Table4[[#This Row],[Nifty Index]]-V72</f>
        <v>173</v>
      </c>
    </row>
    <row r="72" spans="1:24" x14ac:dyDescent="0.35">
      <c r="A72" s="98" t="s">
        <v>361</v>
      </c>
      <c r="B72" s="70">
        <v>7414</v>
      </c>
      <c r="C72" s="70">
        <v>-22673</v>
      </c>
      <c r="D72" s="39"/>
      <c r="E72" s="39"/>
      <c r="F72" s="39"/>
      <c r="G72" s="69">
        <f>'Nifty Futures '!D72</f>
        <v>14047</v>
      </c>
      <c r="H72">
        <f>'[1]Nifty Options'!I70</f>
        <v>50952</v>
      </c>
      <c r="I72" s="70"/>
      <c r="J72" s="70"/>
      <c r="K72" s="70"/>
      <c r="L72" s="75">
        <f>'Nifty Futures '!H72</f>
        <v>37645</v>
      </c>
      <c r="M72" s="70">
        <f>'[1]Nifty Options'!Q70</f>
        <v>-116034</v>
      </c>
      <c r="N72" s="70"/>
      <c r="O72" s="70"/>
      <c r="P72" s="70"/>
      <c r="Q72" s="75">
        <f>'Nifty Futures '!F72</f>
        <v>16633</v>
      </c>
      <c r="R72" s="83">
        <f>'[1]Nifty Options'!M70</f>
        <v>134238</v>
      </c>
      <c r="S72" s="70"/>
      <c r="T72" s="70"/>
      <c r="U72" s="76"/>
      <c r="V72">
        <f>'Nifty Futures '!J72</f>
        <v>10686</v>
      </c>
      <c r="W72">
        <f>'Nifty Futures '!K72</f>
        <v>26443</v>
      </c>
      <c r="X72" s="4">
        <f>Table4[[#This Row],[Nifty Index]]-V73</f>
        <v>0</v>
      </c>
    </row>
    <row r="73" spans="1:24" x14ac:dyDescent="0.35">
      <c r="A73" s="98" t="s">
        <v>362</v>
      </c>
      <c r="B73" s="70">
        <v>-68325</v>
      </c>
      <c r="C73" s="70">
        <v>-69156</v>
      </c>
      <c r="D73" s="39"/>
      <c r="E73" s="39"/>
      <c r="F73" s="39"/>
      <c r="G73" s="69">
        <f>'Nifty Futures '!D73</f>
        <v>2722</v>
      </c>
      <c r="H73">
        <f>'[1]Nifty Options'!I71</f>
        <v>59097</v>
      </c>
      <c r="I73" s="70"/>
      <c r="J73" s="70"/>
      <c r="K73" s="70"/>
      <c r="L73" s="75">
        <f>'Nifty Futures '!H73</f>
        <v>46141</v>
      </c>
      <c r="M73" s="70">
        <f>'[1]Nifty Options'!Q71</f>
        <v>-116972</v>
      </c>
      <c r="N73" s="70"/>
      <c r="O73" s="70"/>
      <c r="P73" s="70"/>
      <c r="Q73" s="75">
        <f>'Nifty Futures '!F73</f>
        <v>33142</v>
      </c>
      <c r="R73" s="83">
        <f>'[1]Nifty Options'!M71</f>
        <v>98314</v>
      </c>
      <c r="S73" s="70"/>
      <c r="T73" s="70"/>
      <c r="U73" s="76"/>
      <c r="V73">
        <f>'Nifty Futures '!J73</f>
        <v>10686</v>
      </c>
      <c r="W73">
        <f>'Nifty Futures '!K73</f>
        <v>26443</v>
      </c>
      <c r="X73" s="4">
        <f>Table4[[#This Row],[Nifty Index]]-V74</f>
        <v>57</v>
      </c>
    </row>
    <row r="74" spans="1:24" x14ac:dyDescent="0.35">
      <c r="A74" s="98" t="s">
        <v>363</v>
      </c>
      <c r="B74" s="70">
        <v>-82005</v>
      </c>
      <c r="C74" s="70">
        <v>-40439</v>
      </c>
      <c r="D74" s="39"/>
      <c r="E74" s="39"/>
      <c r="F74" s="39"/>
      <c r="G74" s="69">
        <f>'Nifty Futures '!D74</f>
        <v>3161</v>
      </c>
      <c r="H74">
        <f>'[1]Nifty Options'!I72</f>
        <v>37129</v>
      </c>
      <c r="I74" s="70"/>
      <c r="J74" s="70"/>
      <c r="K74" s="70"/>
      <c r="L74" s="75">
        <f>'Nifty Futures '!H74</f>
        <v>42710</v>
      </c>
      <c r="M74" s="70">
        <f>'[1]Nifty Options'!Q72</f>
        <v>-116906</v>
      </c>
      <c r="N74" s="70"/>
      <c r="O74" s="70"/>
      <c r="P74" s="70"/>
      <c r="Q74" s="75">
        <f>'Nifty Futures '!F74</f>
        <v>24924</v>
      </c>
      <c r="R74" s="83">
        <f>'[1]Nifty Options'!M72</f>
        <v>120000</v>
      </c>
      <c r="S74" s="70"/>
      <c r="T74" s="70"/>
      <c r="U74" s="76"/>
      <c r="V74">
        <f>'Nifty Futures '!J74</f>
        <v>10629</v>
      </c>
      <c r="W74">
        <f>'Nifty Futures '!K74</f>
        <v>26366</v>
      </c>
      <c r="X74" s="4">
        <f>Table4[[#This Row],[Nifty Index]]-V75</f>
        <v>10629</v>
      </c>
    </row>
    <row r="75" spans="1:24" x14ac:dyDescent="0.35">
      <c r="A75" s="98" t="s">
        <v>364</v>
      </c>
      <c r="B75" s="70">
        <v>-70795</v>
      </c>
      <c r="C75" s="70">
        <v>-40223</v>
      </c>
      <c r="D75" s="39"/>
      <c r="E75" s="39"/>
      <c r="F75" s="39"/>
      <c r="G75" s="69">
        <f>'Nifty Futures '!D75</f>
        <v>0</v>
      </c>
      <c r="H75">
        <f>'[1]Nifty Options'!I73</f>
        <v>0</v>
      </c>
      <c r="I75" s="70"/>
      <c r="J75" s="70"/>
      <c r="K75" s="70"/>
      <c r="L75" s="75">
        <f>'Nifty Futures '!H75</f>
        <v>0</v>
      </c>
      <c r="M75" s="70">
        <f>'[1]Nifty Options'!Q73</f>
        <v>0</v>
      </c>
      <c r="N75" s="70"/>
      <c r="O75" s="70"/>
      <c r="P75" s="70"/>
      <c r="Q75" s="75">
        <f>'Nifty Futures '!F75</f>
        <v>0</v>
      </c>
      <c r="R75" s="83">
        <f>'[1]Nifty Options'!M73</f>
        <v>0</v>
      </c>
      <c r="S75" s="70"/>
      <c r="T75" s="70"/>
      <c r="U75" s="76"/>
      <c r="V75">
        <f>'Nifty Futures '!J75</f>
        <v>0</v>
      </c>
      <c r="W75">
        <f>'Nifty Futures '!K75</f>
        <v>0</v>
      </c>
      <c r="X75" s="4">
        <f>Table4[[#This Row],[Nifty Index]]-V76</f>
        <v>0</v>
      </c>
    </row>
  </sheetData>
  <mergeCells count="4">
    <mergeCell ref="B1:F1"/>
    <mergeCell ref="G1:K1"/>
    <mergeCell ref="Q1:U1"/>
    <mergeCell ref="L1:P1"/>
  </mergeCells>
  <conditionalFormatting sqref="A7:X75">
    <cfRule type="expression" dxfId="19" priority="85">
      <formula>$X7&lt;0</formula>
    </cfRule>
    <cfRule type="expression" dxfId="18" priority="86">
      <formula>$X7&gt;0</formula>
    </cfRule>
  </conditionalFormatting>
  <conditionalFormatting sqref="A3:X6">
    <cfRule type="expression" dxfId="17" priority="1">
      <formula>$X3&lt;0</formula>
    </cfRule>
    <cfRule type="expression" dxfId="16" priority="2">
      <formula>$X3&gt;0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S40"/>
  <sheetViews>
    <sheetView showGridLines="0" workbookViewId="0">
      <selection activeCell="C4" sqref="C4"/>
    </sheetView>
  </sheetViews>
  <sheetFormatPr defaultColWidth="9.1796875" defaultRowHeight="14.5" x14ac:dyDescent="0.35"/>
  <cols>
    <col min="1" max="1" width="12.1796875" style="6" customWidth="1"/>
    <col min="2" max="2" width="14.81640625" style="7" customWidth="1"/>
    <col min="3" max="3" width="13" style="7" customWidth="1"/>
    <col min="4" max="4" width="9.81640625" style="7" customWidth="1"/>
    <col min="5" max="5" width="12.26953125" style="7" customWidth="1"/>
    <col min="6" max="6" width="11.1796875" style="7" customWidth="1"/>
    <col min="7" max="7" width="13" style="7" customWidth="1"/>
    <col min="8" max="8" width="13.7265625" style="7" customWidth="1"/>
    <col min="9" max="9" width="10.453125" style="7" customWidth="1"/>
    <col min="10" max="10" width="16" style="7" customWidth="1"/>
    <col min="11" max="11" width="12" style="7" bestFit="1" customWidth="1"/>
    <col min="12" max="13" width="9.1796875" style="7"/>
    <col min="14" max="14" width="11.1796875" style="6" bestFit="1" customWidth="1"/>
    <col min="15" max="15" width="12" style="6" bestFit="1" customWidth="1"/>
    <col min="16" max="16384" width="9.1796875" style="6"/>
  </cols>
  <sheetData>
    <row r="1" spans="1:19" ht="15" customHeight="1" thickBot="1" x14ac:dyDescent="0.4"/>
    <row r="2" spans="1:19" ht="15" customHeight="1" x14ac:dyDescent="0.35">
      <c r="A2" s="8" t="s">
        <v>212</v>
      </c>
      <c r="B2" s="9"/>
      <c r="C2" s="10" t="s">
        <v>315</v>
      </c>
      <c r="E2" s="8" t="s">
        <v>212</v>
      </c>
      <c r="F2" s="9"/>
      <c r="G2" s="10" t="s">
        <v>24</v>
      </c>
      <c r="I2" s="8" t="s">
        <v>212</v>
      </c>
      <c r="J2" s="9"/>
      <c r="K2" s="10" t="s">
        <v>124</v>
      </c>
      <c r="M2" s="8" t="s">
        <v>212</v>
      </c>
      <c r="N2" s="9"/>
      <c r="O2" s="10" t="s">
        <v>36</v>
      </c>
      <c r="Q2" s="8" t="s">
        <v>212</v>
      </c>
      <c r="R2" s="9"/>
      <c r="S2" s="10" t="s">
        <v>276</v>
      </c>
    </row>
    <row r="3" spans="1:19" ht="15" customHeight="1" x14ac:dyDescent="0.35">
      <c r="A3" s="11" t="s">
        <v>213</v>
      </c>
      <c r="B3" s="12"/>
      <c r="C3" s="53">
        <v>11604</v>
      </c>
      <c r="E3" s="11" t="s">
        <v>213</v>
      </c>
      <c r="F3" s="12"/>
      <c r="G3" s="13">
        <v>366</v>
      </c>
      <c r="I3" s="11" t="s">
        <v>213</v>
      </c>
      <c r="J3" s="12"/>
      <c r="K3" s="13">
        <v>200</v>
      </c>
      <c r="M3" s="11" t="s">
        <v>213</v>
      </c>
      <c r="N3" s="12"/>
      <c r="O3" s="13">
        <v>160</v>
      </c>
      <c r="Q3" s="11" t="s">
        <v>213</v>
      </c>
      <c r="R3" s="12"/>
      <c r="S3" s="13">
        <v>275</v>
      </c>
    </row>
    <row r="4" spans="1:19" ht="15" customHeight="1" x14ac:dyDescent="0.35">
      <c r="A4" s="11" t="s">
        <v>214</v>
      </c>
      <c r="B4" s="12"/>
      <c r="C4" s="14">
        <v>0.1462</v>
      </c>
      <c r="E4" s="11" t="s">
        <v>214</v>
      </c>
      <c r="F4" s="12"/>
      <c r="G4" s="14">
        <v>0.24</v>
      </c>
      <c r="I4" s="11" t="s">
        <v>214</v>
      </c>
      <c r="J4" s="12"/>
      <c r="K4" s="14">
        <v>0.495</v>
      </c>
      <c r="M4" s="11" t="s">
        <v>214</v>
      </c>
      <c r="N4" s="12"/>
      <c r="O4" s="14">
        <v>0.30130000000000001</v>
      </c>
      <c r="Q4" s="11" t="s">
        <v>214</v>
      </c>
      <c r="R4" s="12"/>
      <c r="S4" s="14">
        <v>0.31390000000000001</v>
      </c>
    </row>
    <row r="5" spans="1:19" ht="15" customHeight="1" x14ac:dyDescent="0.35">
      <c r="A5" s="11" t="s">
        <v>215</v>
      </c>
      <c r="B5" s="12"/>
      <c r="C5" s="14">
        <v>0.1226</v>
      </c>
      <c r="E5" s="11" t="s">
        <v>215</v>
      </c>
      <c r="F5" s="12"/>
      <c r="G5" s="14">
        <v>0.27</v>
      </c>
      <c r="I5" s="11" t="s">
        <v>215</v>
      </c>
      <c r="J5" s="12"/>
      <c r="K5" s="14">
        <v>0.53900000000000003</v>
      </c>
      <c r="M5" s="11" t="s">
        <v>215</v>
      </c>
      <c r="N5" s="12"/>
      <c r="O5" s="14">
        <v>0.31090000000000001</v>
      </c>
      <c r="Q5" s="11" t="s">
        <v>215</v>
      </c>
      <c r="R5" s="12"/>
      <c r="S5" s="14">
        <v>0.36399999999999999</v>
      </c>
    </row>
    <row r="6" spans="1:19" ht="15" customHeight="1" thickBot="1" x14ac:dyDescent="0.4">
      <c r="A6" s="15" t="s">
        <v>216</v>
      </c>
      <c r="B6" s="16"/>
      <c r="C6" s="17">
        <v>3</v>
      </c>
      <c r="E6" s="15" t="s">
        <v>216</v>
      </c>
      <c r="F6" s="16"/>
      <c r="G6" s="17">
        <v>19</v>
      </c>
      <c r="I6" s="15" t="s">
        <v>216</v>
      </c>
      <c r="J6" s="16"/>
      <c r="K6" s="17">
        <v>32</v>
      </c>
      <c r="M6" s="15" t="s">
        <v>216</v>
      </c>
      <c r="N6" s="16"/>
      <c r="O6" s="17">
        <v>32</v>
      </c>
      <c r="Q6" s="15" t="s">
        <v>216</v>
      </c>
      <c r="R6" s="16"/>
      <c r="S6" s="17">
        <v>32</v>
      </c>
    </row>
    <row r="7" spans="1:19" ht="15" customHeight="1" x14ac:dyDescent="0.35">
      <c r="C7" s="18"/>
      <c r="E7" s="6"/>
      <c r="G7" s="18"/>
      <c r="I7" s="6"/>
      <c r="K7" s="18"/>
      <c r="M7" s="6"/>
      <c r="N7" s="7"/>
      <c r="O7" s="18"/>
      <c r="R7" s="7"/>
      <c r="S7" s="18"/>
    </row>
    <row r="8" spans="1:19" ht="15" customHeight="1" thickBot="1" x14ac:dyDescent="0.4">
      <c r="A8" s="19" t="s">
        <v>217</v>
      </c>
      <c r="B8" s="6"/>
      <c r="E8" s="19" t="s">
        <v>217</v>
      </c>
      <c r="F8" s="6"/>
      <c r="I8" s="19" t="s">
        <v>217</v>
      </c>
      <c r="J8" s="6"/>
      <c r="M8" s="19" t="s">
        <v>217</v>
      </c>
      <c r="O8" s="7"/>
      <c r="Q8" s="19" t="s">
        <v>217</v>
      </c>
      <c r="S8" s="7"/>
    </row>
    <row r="9" spans="1:19" ht="15" customHeight="1" x14ac:dyDescent="0.35">
      <c r="A9" s="20" t="s">
        <v>218</v>
      </c>
      <c r="B9" s="21" t="s">
        <v>219</v>
      </c>
      <c r="C9" s="22" t="s">
        <v>220</v>
      </c>
      <c r="E9" s="20" t="s">
        <v>218</v>
      </c>
      <c r="F9" s="21" t="s">
        <v>219</v>
      </c>
      <c r="G9" s="22" t="s">
        <v>220</v>
      </c>
      <c r="I9" s="20" t="s">
        <v>218</v>
      </c>
      <c r="J9" s="21" t="s">
        <v>219</v>
      </c>
      <c r="K9" s="22" t="s">
        <v>220</v>
      </c>
      <c r="M9" s="20" t="s">
        <v>218</v>
      </c>
      <c r="N9" s="21" t="s">
        <v>219</v>
      </c>
      <c r="O9" s="22" t="s">
        <v>220</v>
      </c>
      <c r="Q9" s="20" t="s">
        <v>218</v>
      </c>
      <c r="R9" s="21" t="s">
        <v>219</v>
      </c>
      <c r="S9" s="22" t="s">
        <v>220</v>
      </c>
    </row>
    <row r="10" spans="1:19" ht="15" customHeight="1" x14ac:dyDescent="0.35">
      <c r="A10" s="23" t="s">
        <v>221</v>
      </c>
      <c r="B10" s="24" t="s">
        <v>222</v>
      </c>
      <c r="C10" s="25" t="s">
        <v>223</v>
      </c>
      <c r="E10" s="23" t="s">
        <v>221</v>
      </c>
      <c r="F10" s="24" t="s">
        <v>222</v>
      </c>
      <c r="G10" s="25" t="s">
        <v>223</v>
      </c>
      <c r="I10" s="23" t="s">
        <v>221</v>
      </c>
      <c r="J10" s="24" t="s">
        <v>222</v>
      </c>
      <c r="K10" s="25" t="s">
        <v>223</v>
      </c>
      <c r="M10" s="23" t="s">
        <v>221</v>
      </c>
      <c r="N10" s="24" t="s">
        <v>222</v>
      </c>
      <c r="O10" s="25" t="s">
        <v>223</v>
      </c>
      <c r="Q10" s="23" t="s">
        <v>221</v>
      </c>
      <c r="R10" s="24" t="s">
        <v>222</v>
      </c>
      <c r="S10" s="25" t="s">
        <v>223</v>
      </c>
    </row>
    <row r="11" spans="1:19" ht="15" customHeight="1" thickBot="1" x14ac:dyDescent="0.4">
      <c r="A11" s="26">
        <v>11600</v>
      </c>
      <c r="B11" s="27">
        <f>NORMSDIST(LN(A11/C3)/(C4*SQRT(C6/365)))</f>
        <v>0.48962407889331094</v>
      </c>
      <c r="C11" s="28">
        <f>1-NORMSDIST(LN(A11/C3)/(C4*SQRT(C6/365)))</f>
        <v>0.51037592110668906</v>
      </c>
      <c r="E11" s="26">
        <v>350</v>
      </c>
      <c r="F11" s="27">
        <f>NORMSDIST(LN(E11/G3)/(G4*SQRT(G6/365)))</f>
        <v>0.20715469224220923</v>
      </c>
      <c r="G11" s="28">
        <f>1-NORMSDIST(LN(E11/G3)/(G4*SQRT(G6/365)))</f>
        <v>0.79284530775779083</v>
      </c>
      <c r="I11" s="26">
        <v>180</v>
      </c>
      <c r="J11" s="27">
        <f>NORMSDIST(LN(I11/K3)/(K4*SQRT(K6/365)))</f>
        <v>0.23611368753728371</v>
      </c>
      <c r="K11" s="28">
        <f>1-NORMSDIST(LN(I11/K3)/(K4*SQRT(K6/365)))</f>
        <v>0.76388631246271632</v>
      </c>
      <c r="M11" s="26">
        <v>150</v>
      </c>
      <c r="N11" s="27">
        <f>NORMSDIST(LN(M11/O3)/(O4*SQRT(O6/365)))</f>
        <v>0.23471052954578969</v>
      </c>
      <c r="O11" s="28">
        <f>1-NORMSDIST(LN(M11/O3)/(O4*SQRT(O6/365)))</f>
        <v>0.76528947045421036</v>
      </c>
      <c r="Q11" s="26">
        <v>270</v>
      </c>
      <c r="R11" s="27">
        <f>NORMSDIST(LN(Q11/S3)/(S4*SQRT(S6/365)))</f>
        <v>0.42174861069526198</v>
      </c>
      <c r="S11" s="28">
        <f>1-NORMSDIST(LN(Q11/S3)/(S4*SQRT(S6/365)))</f>
        <v>0.57825138930473807</v>
      </c>
    </row>
    <row r="12" spans="1:19" ht="15" customHeight="1" x14ac:dyDescent="0.35">
      <c r="E12" s="6"/>
      <c r="I12" s="6"/>
      <c r="M12" s="6"/>
      <c r="N12" s="7"/>
      <c r="O12" s="7"/>
      <c r="R12" s="7"/>
      <c r="S12" s="7"/>
    </row>
    <row r="13" spans="1:19" ht="15" customHeight="1" thickBot="1" x14ac:dyDescent="0.4">
      <c r="A13" s="19" t="s">
        <v>224</v>
      </c>
      <c r="E13" s="19" t="s">
        <v>224</v>
      </c>
      <c r="I13" s="19" t="s">
        <v>224</v>
      </c>
      <c r="M13" s="19" t="s">
        <v>224</v>
      </c>
      <c r="N13" s="7"/>
      <c r="O13" s="7"/>
      <c r="Q13" s="19" t="s">
        <v>224</v>
      </c>
      <c r="R13" s="7"/>
      <c r="S13" s="7"/>
    </row>
    <row r="14" spans="1:19" ht="13.5" customHeight="1" x14ac:dyDescent="0.35">
      <c r="A14" s="20" t="s">
        <v>218</v>
      </c>
      <c r="B14" s="30" t="s">
        <v>219</v>
      </c>
      <c r="C14" s="31" t="s">
        <v>225</v>
      </c>
      <c r="E14" s="20" t="s">
        <v>218</v>
      </c>
      <c r="F14" s="30" t="s">
        <v>219</v>
      </c>
      <c r="G14" s="31" t="s">
        <v>225</v>
      </c>
      <c r="I14" s="20" t="s">
        <v>218</v>
      </c>
      <c r="J14" s="30" t="s">
        <v>219</v>
      </c>
      <c r="K14" s="31" t="s">
        <v>225</v>
      </c>
      <c r="M14" s="20" t="s">
        <v>218</v>
      </c>
      <c r="N14" s="30" t="s">
        <v>219</v>
      </c>
      <c r="O14" s="31" t="s">
        <v>225</v>
      </c>
      <c r="Q14" s="20" t="s">
        <v>218</v>
      </c>
      <c r="R14" s="30" t="s">
        <v>219</v>
      </c>
      <c r="S14" s="31" t="s">
        <v>225</v>
      </c>
    </row>
    <row r="15" spans="1:19" ht="15" customHeight="1" x14ac:dyDescent="0.35">
      <c r="A15" s="23" t="s">
        <v>221</v>
      </c>
      <c r="B15" s="32" t="s">
        <v>222</v>
      </c>
      <c r="C15" s="33" t="s">
        <v>223</v>
      </c>
      <c r="E15" s="23" t="s">
        <v>221</v>
      </c>
      <c r="F15" s="32" t="s">
        <v>222</v>
      </c>
      <c r="G15" s="33" t="s">
        <v>223</v>
      </c>
      <c r="I15" s="23" t="s">
        <v>221</v>
      </c>
      <c r="J15" s="32" t="s">
        <v>222</v>
      </c>
      <c r="K15" s="33" t="s">
        <v>223</v>
      </c>
      <c r="M15" s="23" t="s">
        <v>221</v>
      </c>
      <c r="N15" s="32" t="s">
        <v>222</v>
      </c>
      <c r="O15" s="33" t="s">
        <v>223</v>
      </c>
      <c r="Q15" s="23" t="s">
        <v>221</v>
      </c>
      <c r="R15" s="32" t="s">
        <v>222</v>
      </c>
      <c r="S15" s="33" t="s">
        <v>223</v>
      </c>
    </row>
    <row r="16" spans="1:19" ht="15" customHeight="1" thickBot="1" x14ac:dyDescent="0.4">
      <c r="A16" s="26">
        <v>11700</v>
      </c>
      <c r="B16" s="34">
        <f>1-NORMSDIST(LN($A$16/$C$3)/($C$5*SQRT($C$6/365)))</f>
        <v>0.22926894832814282</v>
      </c>
      <c r="C16" s="35">
        <f>NORMSDIST(LN(A16/$C$3)/($C$5*SQRT($C$6/365)))</f>
        <v>0.77073105167185718</v>
      </c>
      <c r="E16" s="26">
        <v>380</v>
      </c>
      <c r="F16" s="34">
        <f>1-NORMSDIST(LN(E16/G3)/(G5*SQRT(G6/365)))</f>
        <v>0.27114193621721094</v>
      </c>
      <c r="G16" s="35">
        <f>NORMSDIST(LN(E16/G3)/(G5*SQRT(G6/365)))</f>
        <v>0.72885806378278906</v>
      </c>
      <c r="I16" s="26">
        <v>220</v>
      </c>
      <c r="J16" s="34">
        <f>1-NORMSDIST(LN(I16/K3)/(K5*SQRT(K6/365)))</f>
        <v>0.27518593466198227</v>
      </c>
      <c r="K16" s="35">
        <f>NORMSDIST(LN(I16/K3)/(K5*SQRT(K6/365)))</f>
        <v>0.72481406533801773</v>
      </c>
      <c r="M16" s="26">
        <v>170</v>
      </c>
      <c r="N16" s="34">
        <f>1-NORMSDIST(LN(M16/O3)/(O5*SQRT(O6/365)))</f>
        <v>0.25508702797355609</v>
      </c>
      <c r="O16" s="35">
        <f>NORMSDIST(LN(M16/O3)/(O5*SQRT(O6/365)))</f>
        <v>0.74491297202644391</v>
      </c>
      <c r="Q16" s="26">
        <v>280</v>
      </c>
      <c r="R16" s="34">
        <f>1-NORMSDIST(LN(Q16/S3)/(S5*SQRT(S6/365)))</f>
        <v>0.43361352803687514</v>
      </c>
      <c r="S16" s="35">
        <f>NORMSDIST(LN(Q16/S3)/(S5*SQRT(S6/365)))</f>
        <v>0.56638647196312486</v>
      </c>
    </row>
    <row r="17" spans="1:19" s="44" customFormat="1" ht="15" customHeight="1" thickBot="1" x14ac:dyDescent="0.4">
      <c r="E17" s="45"/>
      <c r="F17" s="46"/>
      <c r="G17" s="47"/>
      <c r="H17" s="47"/>
      <c r="L17" s="45"/>
      <c r="M17" s="45"/>
    </row>
    <row r="18" spans="1:19" ht="15" customHeight="1" x14ac:dyDescent="0.35">
      <c r="A18" s="8" t="s">
        <v>212</v>
      </c>
      <c r="B18" s="9"/>
      <c r="C18" s="10" t="s">
        <v>274</v>
      </c>
      <c r="E18" s="8" t="s">
        <v>212</v>
      </c>
      <c r="F18" s="9"/>
      <c r="G18" s="43" t="s">
        <v>133</v>
      </c>
      <c r="H18" s="29"/>
      <c r="I18" s="8" t="s">
        <v>212</v>
      </c>
      <c r="J18" s="9"/>
      <c r="K18" s="10" t="s">
        <v>312</v>
      </c>
      <c r="M18" s="8" t="s">
        <v>212</v>
      </c>
      <c r="N18" s="9"/>
      <c r="O18" s="10" t="s">
        <v>275</v>
      </c>
      <c r="Q18" s="8" t="s">
        <v>212</v>
      </c>
      <c r="R18" s="9"/>
      <c r="S18" s="10" t="s">
        <v>275</v>
      </c>
    </row>
    <row r="19" spans="1:19" ht="15" customHeight="1" x14ac:dyDescent="0.35">
      <c r="A19" s="11" t="s">
        <v>213</v>
      </c>
      <c r="B19" s="12"/>
      <c r="C19" s="13">
        <v>390</v>
      </c>
      <c r="E19" s="11" t="s">
        <v>213</v>
      </c>
      <c r="F19" s="12"/>
      <c r="G19" s="13">
        <v>181.95</v>
      </c>
      <c r="I19" s="11" t="s">
        <v>213</v>
      </c>
      <c r="J19" s="12"/>
      <c r="K19" s="13">
        <v>394.75</v>
      </c>
      <c r="M19" s="11" t="s">
        <v>213</v>
      </c>
      <c r="N19" s="12"/>
      <c r="O19" s="13">
        <v>11300</v>
      </c>
      <c r="Q19" s="11" t="s">
        <v>213</v>
      </c>
      <c r="R19" s="12"/>
      <c r="S19" s="13">
        <v>11300</v>
      </c>
    </row>
    <row r="20" spans="1:19" ht="15" customHeight="1" x14ac:dyDescent="0.35">
      <c r="A20" s="11" t="s">
        <v>214</v>
      </c>
      <c r="B20" s="12"/>
      <c r="C20" s="14">
        <v>0.29060000000000002</v>
      </c>
      <c r="E20" s="11" t="s">
        <v>214</v>
      </c>
      <c r="F20" s="12"/>
      <c r="G20" s="14">
        <v>0.36759999999999998</v>
      </c>
      <c r="H20" s="36"/>
      <c r="I20" s="11" t="s">
        <v>214</v>
      </c>
      <c r="J20" s="12"/>
      <c r="K20" s="14">
        <v>0.29289999999999999</v>
      </c>
      <c r="M20" s="11" t="s">
        <v>214</v>
      </c>
      <c r="N20" s="12"/>
      <c r="O20" s="14">
        <v>7.6899999999999996E-2</v>
      </c>
      <c r="Q20" s="11" t="s">
        <v>214</v>
      </c>
      <c r="R20" s="12"/>
      <c r="S20" s="14">
        <v>7.6899999999999996E-2</v>
      </c>
    </row>
    <row r="21" spans="1:19" ht="15" customHeight="1" x14ac:dyDescent="0.35">
      <c r="A21" s="11" t="s">
        <v>215</v>
      </c>
      <c r="B21" s="12"/>
      <c r="C21" s="14">
        <v>0.34920000000000001</v>
      </c>
      <c r="E21" s="11" t="s">
        <v>215</v>
      </c>
      <c r="F21" s="12"/>
      <c r="G21" s="14">
        <v>0.438</v>
      </c>
      <c r="H21" s="36"/>
      <c r="I21" s="11" t="s">
        <v>215</v>
      </c>
      <c r="J21" s="12"/>
      <c r="K21" s="14">
        <v>0.36080000000000001</v>
      </c>
      <c r="M21" s="11" t="s">
        <v>215</v>
      </c>
      <c r="N21" s="12"/>
      <c r="O21" s="14">
        <v>0.1358</v>
      </c>
      <c r="Q21" s="11" t="s">
        <v>215</v>
      </c>
      <c r="R21" s="12"/>
      <c r="S21" s="14">
        <v>0.1358</v>
      </c>
    </row>
    <row r="22" spans="1:19" ht="15" customHeight="1" thickBot="1" x14ac:dyDescent="0.4">
      <c r="A22" s="15" t="s">
        <v>216</v>
      </c>
      <c r="B22" s="16"/>
      <c r="C22" s="17">
        <v>32</v>
      </c>
      <c r="E22" s="15" t="s">
        <v>216</v>
      </c>
      <c r="F22" s="16"/>
      <c r="G22" s="17">
        <v>9</v>
      </c>
      <c r="H22" s="36"/>
      <c r="I22" s="15" t="s">
        <v>216</v>
      </c>
      <c r="J22" s="16"/>
      <c r="K22" s="17">
        <v>9</v>
      </c>
      <c r="M22" s="15" t="s">
        <v>216</v>
      </c>
      <c r="N22" s="16"/>
      <c r="O22" s="17">
        <v>32</v>
      </c>
      <c r="Q22" s="15" t="s">
        <v>216</v>
      </c>
      <c r="R22" s="16"/>
      <c r="S22" s="17">
        <v>32</v>
      </c>
    </row>
    <row r="23" spans="1:19" ht="15" customHeight="1" x14ac:dyDescent="0.35">
      <c r="C23" s="18"/>
      <c r="E23" s="6"/>
      <c r="G23" s="18"/>
      <c r="H23" s="36"/>
      <c r="I23" s="6"/>
      <c r="K23" s="18"/>
      <c r="M23" s="6"/>
      <c r="N23" s="7"/>
      <c r="O23" s="18"/>
      <c r="R23" s="7"/>
      <c r="S23" s="18"/>
    </row>
    <row r="24" spans="1:19" ht="15" customHeight="1" thickBot="1" x14ac:dyDescent="0.4">
      <c r="A24" s="19" t="s">
        <v>217</v>
      </c>
      <c r="B24" s="6"/>
      <c r="E24" s="19" t="s">
        <v>217</v>
      </c>
      <c r="F24" s="6"/>
      <c r="H24" s="36"/>
      <c r="I24" s="19" t="s">
        <v>217</v>
      </c>
      <c r="J24" s="6"/>
      <c r="M24" s="19" t="s">
        <v>217</v>
      </c>
      <c r="O24" s="7"/>
      <c r="Q24" s="19" t="s">
        <v>217</v>
      </c>
      <c r="S24" s="7"/>
    </row>
    <row r="25" spans="1:19" ht="15" customHeight="1" x14ac:dyDescent="0.35">
      <c r="A25" s="20" t="s">
        <v>218</v>
      </c>
      <c r="B25" s="21" t="s">
        <v>219</v>
      </c>
      <c r="C25" s="22" t="s">
        <v>220</v>
      </c>
      <c r="E25" s="20" t="s">
        <v>218</v>
      </c>
      <c r="F25" s="21" t="s">
        <v>219</v>
      </c>
      <c r="G25" s="22" t="s">
        <v>220</v>
      </c>
      <c r="H25" s="36"/>
      <c r="I25" s="20" t="s">
        <v>218</v>
      </c>
      <c r="J25" s="21" t="s">
        <v>219</v>
      </c>
      <c r="K25" s="22" t="s">
        <v>220</v>
      </c>
      <c r="M25" s="20" t="s">
        <v>218</v>
      </c>
      <c r="N25" s="21" t="s">
        <v>219</v>
      </c>
      <c r="O25" s="22" t="s">
        <v>220</v>
      </c>
      <c r="Q25" s="20" t="s">
        <v>218</v>
      </c>
      <c r="R25" s="21" t="s">
        <v>219</v>
      </c>
      <c r="S25" s="22" t="s">
        <v>220</v>
      </c>
    </row>
    <row r="26" spans="1:19" ht="15" customHeight="1" x14ac:dyDescent="0.35">
      <c r="A26" s="23" t="s">
        <v>221</v>
      </c>
      <c r="B26" s="24" t="s">
        <v>222</v>
      </c>
      <c r="C26" s="25" t="s">
        <v>223</v>
      </c>
      <c r="E26" s="23" t="s">
        <v>221</v>
      </c>
      <c r="F26" s="24" t="s">
        <v>222</v>
      </c>
      <c r="G26" s="25" t="s">
        <v>223</v>
      </c>
      <c r="H26" s="36"/>
      <c r="I26" s="23" t="s">
        <v>221</v>
      </c>
      <c r="J26" s="24" t="s">
        <v>222</v>
      </c>
      <c r="K26" s="25" t="s">
        <v>223</v>
      </c>
      <c r="M26" s="23" t="s">
        <v>221</v>
      </c>
      <c r="N26" s="24" t="s">
        <v>222</v>
      </c>
      <c r="O26" s="25" t="s">
        <v>223</v>
      </c>
      <c r="Q26" s="23" t="s">
        <v>221</v>
      </c>
      <c r="R26" s="24" t="s">
        <v>222</v>
      </c>
      <c r="S26" s="25" t="s">
        <v>223</v>
      </c>
    </row>
    <row r="27" spans="1:19" ht="15" customHeight="1" thickBot="1" x14ac:dyDescent="0.4">
      <c r="A27" s="26">
        <v>350</v>
      </c>
      <c r="B27" s="27">
        <f>NORMSDIST(LN(A27/C19)/(C20*SQRT(C22/365)))</f>
        <v>0.1042603223890851</v>
      </c>
      <c r="C27" s="28">
        <f>1-NORMSDIST(LN(A27/C19)/(C20*SQRT(C22/365)))</f>
        <v>0.89573967761091489</v>
      </c>
      <c r="E27" s="26">
        <v>170</v>
      </c>
      <c r="F27" s="27">
        <f>NORMSDIST(LN(E27/G19)/(G20*SQRT(G22/365)))</f>
        <v>0.11962094584300788</v>
      </c>
      <c r="G27" s="28">
        <f>1-NORMSDIST(LN(E27/G19)/(G20*SQRT(G22/365)))</f>
        <v>0.88037905415699214</v>
      </c>
      <c r="I27" s="26">
        <v>380</v>
      </c>
      <c r="J27" s="27">
        <f>NORMSDIST(LN(I27/K19)/(K20*SQRT(K22/365)))</f>
        <v>0.20384152317748658</v>
      </c>
      <c r="K27" s="28">
        <f>1-NORMSDIST(LN(I27/K19)/(K20*SQRT(K22/365)))</f>
        <v>0.79615847682251339</v>
      </c>
      <c r="M27" s="26">
        <v>11000</v>
      </c>
      <c r="N27" s="27">
        <f>NORMSDIST(LN(M27/O19)/(O20*SQRT(O22/365)))</f>
        <v>0.11865673237419377</v>
      </c>
      <c r="O27" s="28">
        <f>1-NORMSDIST(LN(M27/O19)/(O20*SQRT(O22/365)))</f>
        <v>0.88134326762580617</v>
      </c>
      <c r="Q27" s="26">
        <v>11000</v>
      </c>
      <c r="R27" s="27">
        <f>NORMSDIST(LN(Q27/S19)/(S20*SQRT(S22/365)))</f>
        <v>0.11865673237419377</v>
      </c>
      <c r="S27" s="28">
        <f>1-NORMSDIST(LN(Q27/S19)/(S20*SQRT(S22/365)))</f>
        <v>0.88134326762580617</v>
      </c>
    </row>
    <row r="28" spans="1:19" ht="15" customHeight="1" x14ac:dyDescent="0.35">
      <c r="E28" s="6"/>
      <c r="I28" s="6"/>
      <c r="M28" s="6"/>
      <c r="N28" s="7"/>
      <c r="O28" s="7"/>
      <c r="R28" s="7"/>
      <c r="S28" s="7"/>
    </row>
    <row r="29" spans="1:19" ht="15" customHeight="1" thickBot="1" x14ac:dyDescent="0.4">
      <c r="A29" s="19" t="s">
        <v>224</v>
      </c>
      <c r="E29" s="19" t="s">
        <v>224</v>
      </c>
      <c r="I29" s="19" t="s">
        <v>224</v>
      </c>
      <c r="M29" s="19" t="s">
        <v>224</v>
      </c>
      <c r="N29" s="7"/>
      <c r="O29" s="7"/>
      <c r="Q29" s="19" t="s">
        <v>224</v>
      </c>
      <c r="R29" s="7"/>
      <c r="S29" s="7"/>
    </row>
    <row r="30" spans="1:19" x14ac:dyDescent="0.35">
      <c r="A30" s="20" t="s">
        <v>218</v>
      </c>
      <c r="B30" s="30" t="s">
        <v>219</v>
      </c>
      <c r="C30" s="31" t="s">
        <v>225</v>
      </c>
      <c r="E30" s="20" t="s">
        <v>218</v>
      </c>
      <c r="F30" s="30" t="s">
        <v>219</v>
      </c>
      <c r="G30" s="31" t="s">
        <v>225</v>
      </c>
      <c r="I30" s="20" t="s">
        <v>218</v>
      </c>
      <c r="J30" s="30" t="s">
        <v>219</v>
      </c>
      <c r="K30" s="31" t="s">
        <v>225</v>
      </c>
      <c r="M30" s="20" t="s">
        <v>218</v>
      </c>
      <c r="N30" s="30" t="s">
        <v>219</v>
      </c>
      <c r="O30" s="31" t="s">
        <v>225</v>
      </c>
      <c r="Q30" s="20" t="s">
        <v>218</v>
      </c>
      <c r="R30" s="30" t="s">
        <v>219</v>
      </c>
      <c r="S30" s="31" t="s">
        <v>225</v>
      </c>
    </row>
    <row r="31" spans="1:19" x14ac:dyDescent="0.35">
      <c r="A31" s="23" t="s">
        <v>221</v>
      </c>
      <c r="B31" s="32" t="s">
        <v>222</v>
      </c>
      <c r="C31" s="33" t="s">
        <v>223</v>
      </c>
      <c r="E31" s="23" t="s">
        <v>221</v>
      </c>
      <c r="F31" s="32" t="s">
        <v>222</v>
      </c>
      <c r="G31" s="33" t="s">
        <v>223</v>
      </c>
      <c r="I31" s="23" t="s">
        <v>221</v>
      </c>
      <c r="J31" s="32" t="s">
        <v>222</v>
      </c>
      <c r="K31" s="33" t="s">
        <v>223</v>
      </c>
      <c r="M31" s="23" t="s">
        <v>221</v>
      </c>
      <c r="N31" s="32" t="s">
        <v>222</v>
      </c>
      <c r="O31" s="33" t="s">
        <v>223</v>
      </c>
      <c r="Q31" s="23" t="s">
        <v>221</v>
      </c>
      <c r="R31" s="32" t="s">
        <v>222</v>
      </c>
      <c r="S31" s="33" t="s">
        <v>223</v>
      </c>
    </row>
    <row r="32" spans="1:19" ht="15" thickBot="1" x14ac:dyDescent="0.4">
      <c r="A32" s="26">
        <v>400</v>
      </c>
      <c r="B32" s="34">
        <f>1-NORMSDIST(LN($A$16/$C$3)/($C$5*SQRT($C$6/365)))</f>
        <v>0.22926894832814282</v>
      </c>
      <c r="C32" s="35">
        <f>NORMSDIST(LN(A32/$C$3)/($C$5*SQRT($C$6/365)))</f>
        <v>0</v>
      </c>
      <c r="E32" s="26">
        <v>190</v>
      </c>
      <c r="F32" s="34">
        <f>1-NORMSDIST(LN(E32/G19)/(G21*SQRT(G22/365)))</f>
        <v>0.26452773749735214</v>
      </c>
      <c r="G32" s="35">
        <f>NORMSDIST(LN(E32/G19)/(G21*SQRT(G22/365)))</f>
        <v>0.73547226250264786</v>
      </c>
      <c r="I32" s="26">
        <v>400</v>
      </c>
      <c r="J32" s="34">
        <f>1-NORMSDIST(LN(I32/K19)/(K21*SQRT(K22/365)))</f>
        <v>0.40780405727042224</v>
      </c>
      <c r="K32" s="35">
        <f>NORMSDIST(LN(I32/K19)/(K21*SQRT(K22/365)))</f>
        <v>0.59219594272957776</v>
      </c>
      <c r="M32" s="26">
        <v>11500</v>
      </c>
      <c r="N32" s="34">
        <f>1-NORMSDIST(LN($A$16/$C$3)/($C$5*SQRT($C$6/365)))</f>
        <v>0.22926894832814282</v>
      </c>
      <c r="O32" s="35">
        <f>NORMSDIST(LN(M32/$C$3)/($C$5*SQRT($C$6/365)))</f>
        <v>0.20897576473525648</v>
      </c>
      <c r="Q32" s="26">
        <v>11500</v>
      </c>
      <c r="R32" s="34">
        <f>1-NORMSDIST(LN($A$16/$C$3)/($C$5*SQRT($C$6/365)))</f>
        <v>0.22926894832814282</v>
      </c>
      <c r="S32" s="35">
        <f>NORMSDIST(LN(Q32/$C$3)/($C$5*SQRT($C$6/365)))</f>
        <v>0.20897576473525648</v>
      </c>
    </row>
    <row r="37" spans="1:11" ht="15" customHeight="1" x14ac:dyDescent="0.35">
      <c r="A37" s="127"/>
      <c r="B37" s="127"/>
      <c r="C37" s="127"/>
      <c r="D37" s="127"/>
      <c r="E37" s="127"/>
      <c r="F37" s="127"/>
      <c r="G37" s="127"/>
      <c r="H37" s="127"/>
      <c r="I37" s="127"/>
      <c r="J37" s="127"/>
      <c r="K37" s="127"/>
    </row>
    <row r="38" spans="1:11" ht="15" customHeight="1" x14ac:dyDescent="0.35">
      <c r="A38" s="127"/>
      <c r="B38" s="127"/>
      <c r="C38" s="127"/>
      <c r="D38" s="127"/>
      <c r="E38" s="127"/>
      <c r="F38" s="127"/>
      <c r="G38" s="127"/>
      <c r="H38" s="127"/>
      <c r="I38" s="127"/>
      <c r="J38" s="127"/>
      <c r="K38" s="127"/>
    </row>
    <row r="39" spans="1:11" ht="15" customHeight="1" x14ac:dyDescent="0.35">
      <c r="A39" s="127"/>
      <c r="B39" s="127"/>
      <c r="C39" s="127"/>
      <c r="D39" s="127"/>
      <c r="E39" s="127"/>
      <c r="F39" s="127"/>
      <c r="G39" s="127"/>
      <c r="H39" s="127"/>
      <c r="I39" s="127"/>
      <c r="J39" s="127"/>
      <c r="K39" s="127"/>
    </row>
    <row r="40" spans="1:11" ht="15" customHeight="1" x14ac:dyDescent="0.35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</row>
  </sheetData>
  <mergeCells count="1">
    <mergeCell ref="A37:K39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97F65-377F-43FC-AF1E-C1610F901CEB}">
  <sheetPr codeName="Sheet9"/>
  <dimension ref="A1:C50"/>
  <sheetViews>
    <sheetView workbookViewId="0">
      <selection activeCell="B12" sqref="B12"/>
    </sheetView>
  </sheetViews>
  <sheetFormatPr defaultRowHeight="14.5" x14ac:dyDescent="0.35"/>
  <cols>
    <col min="1" max="1" width="14.54296875" bestFit="1" customWidth="1"/>
    <col min="3" max="3" width="12.1796875" bestFit="1" customWidth="1"/>
  </cols>
  <sheetData>
    <row r="1" spans="1:3" x14ac:dyDescent="0.35">
      <c r="A1" t="s">
        <v>2</v>
      </c>
      <c r="B1" t="s">
        <v>52</v>
      </c>
      <c r="C1" t="s">
        <v>313</v>
      </c>
    </row>
    <row r="2" spans="1:3" x14ac:dyDescent="0.35">
      <c r="A2" t="s">
        <v>57</v>
      </c>
      <c r="B2" t="s">
        <v>52</v>
      </c>
      <c r="C2" t="s">
        <v>314</v>
      </c>
    </row>
    <row r="3" spans="1:3" x14ac:dyDescent="0.35">
      <c r="A3" t="s">
        <v>278</v>
      </c>
      <c r="B3" t="s">
        <v>52</v>
      </c>
    </row>
    <row r="4" spans="1:3" x14ac:dyDescent="0.35">
      <c r="A4" t="s">
        <v>62</v>
      </c>
      <c r="B4" t="s">
        <v>52</v>
      </c>
    </row>
    <row r="5" spans="1:3" x14ac:dyDescent="0.35">
      <c r="A5" t="s">
        <v>8</v>
      </c>
      <c r="B5" t="s">
        <v>52</v>
      </c>
    </row>
    <row r="6" spans="1:3" x14ac:dyDescent="0.35">
      <c r="A6" t="s">
        <v>78</v>
      </c>
      <c r="B6" t="s">
        <v>52</v>
      </c>
    </row>
    <row r="7" spans="1:3" x14ac:dyDescent="0.35">
      <c r="A7" t="s">
        <v>80</v>
      </c>
      <c r="B7" t="s">
        <v>52</v>
      </c>
    </row>
    <row r="8" spans="1:3" x14ac:dyDescent="0.35">
      <c r="A8" t="s">
        <v>83</v>
      </c>
      <c r="B8" t="s">
        <v>52</v>
      </c>
    </row>
    <row r="9" spans="1:3" x14ac:dyDescent="0.35">
      <c r="A9" t="s">
        <v>96</v>
      </c>
      <c r="B9" t="s">
        <v>52</v>
      </c>
    </row>
    <row r="10" spans="1:3" x14ac:dyDescent="0.35">
      <c r="A10" t="s">
        <v>279</v>
      </c>
      <c r="B10" t="s">
        <v>52</v>
      </c>
    </row>
    <row r="11" spans="1:3" x14ac:dyDescent="0.35">
      <c r="A11" t="s">
        <v>93</v>
      </c>
      <c r="B11" t="s">
        <v>52</v>
      </c>
    </row>
    <row r="12" spans="1:3" x14ac:dyDescent="0.35">
      <c r="A12" t="s">
        <v>280</v>
      </c>
      <c r="B12" t="s">
        <v>52</v>
      </c>
    </row>
    <row r="13" spans="1:3" x14ac:dyDescent="0.35">
      <c r="A13" t="s">
        <v>103</v>
      </c>
      <c r="B13" t="s">
        <v>52</v>
      </c>
    </row>
    <row r="14" spans="1:3" x14ac:dyDescent="0.35">
      <c r="A14" t="s">
        <v>281</v>
      </c>
      <c r="B14" t="s">
        <v>52</v>
      </c>
    </row>
    <row r="15" spans="1:3" x14ac:dyDescent="0.35">
      <c r="A15" t="s">
        <v>108</v>
      </c>
      <c r="B15" t="s">
        <v>52</v>
      </c>
    </row>
    <row r="16" spans="1:3" x14ac:dyDescent="0.35">
      <c r="A16" t="s">
        <v>21</v>
      </c>
      <c r="B16" t="s">
        <v>52</v>
      </c>
    </row>
    <row r="17" spans="1:2" x14ac:dyDescent="0.35">
      <c r="A17" t="s">
        <v>24</v>
      </c>
      <c r="B17" t="s">
        <v>52</v>
      </c>
    </row>
    <row r="18" spans="1:2" x14ac:dyDescent="0.35">
      <c r="A18" t="s">
        <v>113</v>
      </c>
      <c r="B18" t="s">
        <v>52</v>
      </c>
    </row>
    <row r="19" spans="1:2" x14ac:dyDescent="0.35">
      <c r="A19" t="s">
        <v>122</v>
      </c>
      <c r="B19" t="s">
        <v>52</v>
      </c>
    </row>
    <row r="20" spans="1:2" x14ac:dyDescent="0.35">
      <c r="A20" t="s">
        <v>118</v>
      </c>
      <c r="B20" t="s">
        <v>52</v>
      </c>
    </row>
    <row r="21" spans="1:2" x14ac:dyDescent="0.35">
      <c r="A21" t="s">
        <v>282</v>
      </c>
      <c r="B21" t="s">
        <v>52</v>
      </c>
    </row>
    <row r="22" spans="1:2" x14ac:dyDescent="0.35">
      <c r="A22" t="s">
        <v>283</v>
      </c>
      <c r="B22" t="s">
        <v>52</v>
      </c>
    </row>
    <row r="23" spans="1:2" x14ac:dyDescent="0.35">
      <c r="A23" t="s">
        <v>119</v>
      </c>
      <c r="B23" t="s">
        <v>52</v>
      </c>
    </row>
    <row r="24" spans="1:2" x14ac:dyDescent="0.35">
      <c r="A24" t="s">
        <v>284</v>
      </c>
      <c r="B24" t="s">
        <v>52</v>
      </c>
    </row>
    <row r="25" spans="1:2" x14ac:dyDescent="0.35">
      <c r="A25" t="s">
        <v>125</v>
      </c>
      <c r="B25" t="s">
        <v>52</v>
      </c>
    </row>
    <row r="26" spans="1:2" x14ac:dyDescent="0.35">
      <c r="A26" t="s">
        <v>126</v>
      </c>
      <c r="B26" t="s">
        <v>52</v>
      </c>
    </row>
    <row r="27" spans="1:2" x14ac:dyDescent="0.35">
      <c r="A27" t="s">
        <v>124</v>
      </c>
      <c r="B27" t="s">
        <v>52</v>
      </c>
    </row>
    <row r="28" spans="1:2" x14ac:dyDescent="0.35">
      <c r="A28" t="s">
        <v>132</v>
      </c>
      <c r="B28" t="s">
        <v>52</v>
      </c>
    </row>
    <row r="29" spans="1:2" x14ac:dyDescent="0.35">
      <c r="A29" t="s">
        <v>133</v>
      </c>
      <c r="B29" t="s">
        <v>52</v>
      </c>
    </row>
    <row r="30" spans="1:2" x14ac:dyDescent="0.35">
      <c r="A30" t="s">
        <v>136</v>
      </c>
      <c r="B30" t="s">
        <v>52</v>
      </c>
    </row>
    <row r="31" spans="1:2" x14ac:dyDescent="0.35">
      <c r="A31" t="s">
        <v>149</v>
      </c>
      <c r="B31" t="s">
        <v>52</v>
      </c>
    </row>
    <row r="32" spans="1:2" x14ac:dyDescent="0.35">
      <c r="A32" t="s">
        <v>147</v>
      </c>
      <c r="B32" t="s">
        <v>52</v>
      </c>
    </row>
    <row r="33" spans="1:2" x14ac:dyDescent="0.35">
      <c r="A33" t="s">
        <v>158</v>
      </c>
      <c r="B33" t="s">
        <v>52</v>
      </c>
    </row>
    <row r="34" spans="1:2" x14ac:dyDescent="0.35">
      <c r="A34" t="s">
        <v>161</v>
      </c>
      <c r="B34" t="s">
        <v>52</v>
      </c>
    </row>
    <row r="35" spans="1:2" x14ac:dyDescent="0.35">
      <c r="A35" t="s">
        <v>163</v>
      </c>
      <c r="B35" t="s">
        <v>52</v>
      </c>
    </row>
    <row r="36" spans="1:2" x14ac:dyDescent="0.35">
      <c r="A36" t="s">
        <v>285</v>
      </c>
      <c r="B36" t="s">
        <v>52</v>
      </c>
    </row>
    <row r="37" spans="1:2" x14ac:dyDescent="0.35">
      <c r="A37" t="s">
        <v>166</v>
      </c>
      <c r="B37" t="s">
        <v>52</v>
      </c>
    </row>
    <row r="38" spans="1:2" x14ac:dyDescent="0.35">
      <c r="A38" t="s">
        <v>170</v>
      </c>
      <c r="B38" t="s">
        <v>52</v>
      </c>
    </row>
    <row r="39" spans="1:2" x14ac:dyDescent="0.35">
      <c r="A39" t="s">
        <v>168</v>
      </c>
      <c r="B39" t="s">
        <v>52</v>
      </c>
    </row>
    <row r="40" spans="1:2" x14ac:dyDescent="0.35">
      <c r="A40" t="s">
        <v>39</v>
      </c>
      <c r="B40" t="s">
        <v>52</v>
      </c>
    </row>
    <row r="41" spans="1:2" x14ac:dyDescent="0.35">
      <c r="A41" t="s">
        <v>173</v>
      </c>
      <c r="B41" t="s">
        <v>52</v>
      </c>
    </row>
    <row r="42" spans="1:2" x14ac:dyDescent="0.35">
      <c r="A42" t="s">
        <v>181</v>
      </c>
      <c r="B42" t="s">
        <v>52</v>
      </c>
    </row>
    <row r="43" spans="1:2" x14ac:dyDescent="0.35">
      <c r="A43" t="s">
        <v>191</v>
      </c>
      <c r="B43" t="s">
        <v>52</v>
      </c>
    </row>
    <row r="44" spans="1:2" x14ac:dyDescent="0.35">
      <c r="A44" t="s">
        <v>41</v>
      </c>
      <c r="B44" t="s">
        <v>52</v>
      </c>
    </row>
    <row r="45" spans="1:2" x14ac:dyDescent="0.35">
      <c r="A45" t="s">
        <v>43</v>
      </c>
      <c r="B45" t="s">
        <v>52</v>
      </c>
    </row>
    <row r="46" spans="1:2" x14ac:dyDescent="0.35">
      <c r="A46" t="s">
        <v>194</v>
      </c>
      <c r="B46" t="s">
        <v>52</v>
      </c>
    </row>
    <row r="47" spans="1:2" x14ac:dyDescent="0.35">
      <c r="A47" t="s">
        <v>195</v>
      </c>
      <c r="B47" t="s">
        <v>52</v>
      </c>
    </row>
    <row r="48" spans="1:2" x14ac:dyDescent="0.35">
      <c r="A48" t="s">
        <v>48</v>
      </c>
      <c r="B48" t="s">
        <v>52</v>
      </c>
    </row>
    <row r="49" spans="1:2" x14ac:dyDescent="0.35">
      <c r="A49" t="s">
        <v>197</v>
      </c>
      <c r="B49" t="s">
        <v>52</v>
      </c>
    </row>
    <row r="50" spans="1:2" x14ac:dyDescent="0.35">
      <c r="A50" t="s">
        <v>50</v>
      </c>
      <c r="B50" t="s">
        <v>52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81D14-52D2-4535-AF5F-2E00DB8CED4F}">
  <sheetPr codeName="Sheet10"/>
  <dimension ref="A1:B23"/>
  <sheetViews>
    <sheetView workbookViewId="0">
      <selection activeCell="D26" sqref="D26:D31"/>
    </sheetView>
  </sheetViews>
  <sheetFormatPr defaultRowHeight="14.5" x14ac:dyDescent="0.35"/>
  <sheetData>
    <row r="1" spans="1:2" x14ac:dyDescent="0.35">
      <c r="A1" s="51">
        <v>43351</v>
      </c>
    </row>
    <row r="2" spans="1:2" x14ac:dyDescent="0.35">
      <c r="A2" t="s">
        <v>133</v>
      </c>
      <c r="B2" t="s">
        <v>300</v>
      </c>
    </row>
    <row r="3" spans="1:2" x14ac:dyDescent="0.35">
      <c r="A3" t="s">
        <v>70</v>
      </c>
    </row>
    <row r="4" spans="1:2" x14ac:dyDescent="0.35">
      <c r="A4" t="s">
        <v>301</v>
      </c>
    </row>
    <row r="5" spans="1:2" x14ac:dyDescent="0.35">
      <c r="A5" t="s">
        <v>302</v>
      </c>
    </row>
    <row r="6" spans="1:2" x14ac:dyDescent="0.35">
      <c r="A6" t="s">
        <v>303</v>
      </c>
    </row>
    <row r="7" spans="1:2" x14ac:dyDescent="0.35">
      <c r="A7" t="s">
        <v>12</v>
      </c>
    </row>
    <row r="8" spans="1:2" x14ac:dyDescent="0.35">
      <c r="A8" t="s">
        <v>88</v>
      </c>
    </row>
    <row r="9" spans="1:2" x14ac:dyDescent="0.35">
      <c r="A9" t="s">
        <v>304</v>
      </c>
    </row>
    <row r="10" spans="1:2" x14ac:dyDescent="0.35">
      <c r="A10" t="s">
        <v>305</v>
      </c>
    </row>
    <row r="11" spans="1:2" x14ac:dyDescent="0.35">
      <c r="A11" t="s">
        <v>17</v>
      </c>
    </row>
    <row r="12" spans="1:2" x14ac:dyDescent="0.35">
      <c r="A12" t="s">
        <v>306</v>
      </c>
    </row>
    <row r="13" spans="1:2" x14ac:dyDescent="0.35">
      <c r="A13" t="s">
        <v>32</v>
      </c>
    </row>
    <row r="14" spans="1:2" x14ac:dyDescent="0.35">
      <c r="A14" t="s">
        <v>277</v>
      </c>
    </row>
    <row r="15" spans="1:2" x14ac:dyDescent="0.35">
      <c r="A15" t="s">
        <v>307</v>
      </c>
    </row>
    <row r="16" spans="1:2" x14ac:dyDescent="0.35">
      <c r="A16" t="s">
        <v>308</v>
      </c>
    </row>
    <row r="17" spans="1:1" x14ac:dyDescent="0.35">
      <c r="A17" t="s">
        <v>309</v>
      </c>
    </row>
    <row r="18" spans="1:1" x14ac:dyDescent="0.35">
      <c r="A18" t="s">
        <v>36</v>
      </c>
    </row>
    <row r="19" spans="1:1" x14ac:dyDescent="0.35">
      <c r="A19" t="s">
        <v>168</v>
      </c>
    </row>
    <row r="20" spans="1:1" x14ac:dyDescent="0.35">
      <c r="A20" t="s">
        <v>183</v>
      </c>
    </row>
    <row r="21" spans="1:1" x14ac:dyDescent="0.35">
      <c r="A21" t="s">
        <v>310</v>
      </c>
    </row>
    <row r="22" spans="1:1" x14ac:dyDescent="0.35">
      <c r="A22" t="s">
        <v>311</v>
      </c>
    </row>
    <row r="23" spans="1:1" x14ac:dyDescent="0.35">
      <c r="A23" t="s">
        <v>49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E1BF3E-733E-4CA2-A23D-C80FBDA90C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Analysis</vt:lpstr>
      <vt:lpstr>Sheet1</vt:lpstr>
      <vt:lpstr>TotalTrades</vt:lpstr>
      <vt:lpstr>WatchList</vt:lpstr>
      <vt:lpstr>Nifty Futures </vt:lpstr>
      <vt:lpstr>NiftyStocks</vt:lpstr>
      <vt:lpstr>Nifty Options</vt:lpstr>
      <vt:lpstr>Consolidated</vt:lpstr>
      <vt:lpstr>OptionChainAnalysis</vt:lpstr>
      <vt:lpstr>High Beta</vt:lpstr>
      <vt:lpstr>Swing Watchlist</vt:lpstr>
      <vt:lpstr>FromDate</vt:lpstr>
      <vt:lpstr>ToDate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Bhatia</dc:creator>
  <cp:lastModifiedBy>Singh Rajawat, Ajay</cp:lastModifiedBy>
  <dcterms:created xsi:type="dcterms:W3CDTF">2018-05-12T14:03:35Z</dcterms:created>
  <dcterms:modified xsi:type="dcterms:W3CDTF">2019-05-27T06:47:51Z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bc0f418-96a4-4caf-9d7c-ccc5ec7f9d91_Enabled">
    <vt:lpwstr>True</vt:lpwstr>
  </property>
  <property fmtid="{D5CDD505-2E9C-101B-9397-08002B2CF9AE}" pid="3" name="MSIP_Label_1bc0f418-96a4-4caf-9d7c-ccc5ec7f9d91_SiteId">
    <vt:lpwstr>e0793d39-0939-496d-b129-198edd916feb</vt:lpwstr>
  </property>
  <property fmtid="{D5CDD505-2E9C-101B-9397-08002B2CF9AE}" pid="4" name="MSIP_Label_1bc0f418-96a4-4caf-9d7c-ccc5ec7f9d91_Owner">
    <vt:lpwstr>ajay.singh.rajawat@accenture.com</vt:lpwstr>
  </property>
  <property fmtid="{D5CDD505-2E9C-101B-9397-08002B2CF9AE}" pid="5" name="MSIP_Label_1bc0f418-96a4-4caf-9d7c-ccc5ec7f9d91_SetDate">
    <vt:lpwstr>2018-11-25T13:05:50.8093374Z</vt:lpwstr>
  </property>
  <property fmtid="{D5CDD505-2E9C-101B-9397-08002B2CF9AE}" pid="6" name="MSIP_Label_1bc0f418-96a4-4caf-9d7c-ccc5ec7f9d91_Name">
    <vt:lpwstr>Unrestricted</vt:lpwstr>
  </property>
  <property fmtid="{D5CDD505-2E9C-101B-9397-08002B2CF9AE}" pid="7" name="MSIP_Label_1bc0f418-96a4-4caf-9d7c-ccc5ec7f9d91_Application">
    <vt:lpwstr>Microsoft Azure Information Protection</vt:lpwstr>
  </property>
  <property fmtid="{D5CDD505-2E9C-101B-9397-08002B2CF9AE}" pid="8" name="MSIP_Label_1bc0f418-96a4-4caf-9d7c-ccc5ec7f9d91_Extended_MSFT_Method">
    <vt:lpwstr>Manual</vt:lpwstr>
  </property>
  <property fmtid="{D5CDD505-2E9C-101B-9397-08002B2CF9AE}" pid="9" name="Sensitivity">
    <vt:lpwstr>Unrestricted</vt:lpwstr>
  </property>
</Properties>
</file>